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D:\RW7o\Plantillas-de-RW7o\EDIFICACION\"/>
    </mc:Choice>
  </mc:AlternateContent>
  <xr:revisionPtr revIDLastSave="0" documentId="13_ncr:1_{B070E45E-EFA3-47B3-94FE-75DACB7E4E30}" xr6:coauthVersionLast="47" xr6:coauthVersionMax="47" xr10:uidLastSave="{00000000-0000-0000-0000-000000000000}"/>
  <bookViews>
    <workbookView xWindow="390" yWindow="390" windowWidth="14985" windowHeight="15165" tabRatio="890" activeTab="3" xr2:uid="{00000000-000D-0000-FFFF-FFFF00000000}"/>
  </bookViews>
  <sheets>
    <sheet name="Datos" sheetId="24" r:id="rId1"/>
    <sheet name="InsB" sheetId="1" state="hidden" r:id="rId2"/>
    <sheet name="ApuB" sheetId="15" state="hidden" r:id="rId3"/>
    <sheet name="Pto" sheetId="29" r:id="rId4"/>
  </sheets>
  <definedNames>
    <definedName name="_xlnm._FilterDatabase" localSheetId="1" hidden="1">InsB!$A$15:$L$15</definedName>
    <definedName name="APUb">#REF!</definedName>
    <definedName name="BDcodCU">ApuB!$A$5:$A$50005</definedName>
    <definedName name="BDcodINS">InsB!$A$16:$A$3015</definedName>
    <definedName name="BDcuA">ApuB!$A$5:$DJ$50005</definedName>
    <definedName name="BDcuB">ApuB!$B$5:$DJ$50005</definedName>
    <definedName name="BDins">InsB!$A$16:$M$3015</definedName>
    <definedName name="cellbimuser0EB30BF1602D56040B4019F3" comment="    ">1714952548072</definedName>
    <definedName name="cellbimuser33120D4C9001780EE8508FEB" comment="Walter Rios Espinoza">1715181719314</definedName>
    <definedName name="CODc">#REF!&amp;"C"</definedName>
    <definedName name="CODp">#REF!</definedName>
    <definedName name="CODr">#REF!&amp;"P"</definedName>
    <definedName name="DcCU">Datos!$J$13</definedName>
    <definedName name="Dins">Datos!$J$15</definedName>
    <definedName name="DLS">Datos!$AJ$12:$AJ$18</definedName>
    <definedName name="DpCU">Datos!$J$12</definedName>
    <definedName name="DpP">Datos!$J$9</definedName>
    <definedName name="EQ">#REF!</definedName>
    <definedName name="Frto">Datos!$J$19</definedName>
    <definedName name="JL">Datos!$H$19</definedName>
    <definedName name="MA">#REF!</definedName>
    <definedName name="MO">#REF!</definedName>
    <definedName name="NO">Datos!$AJ$12:$AJ$18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1" i="29" l="1"/>
  <c r="C148" i="29"/>
  <c r="C147" i="29"/>
  <c r="C146" i="29"/>
  <c r="C145" i="29"/>
  <c r="C144" i="29"/>
  <c r="C143" i="29"/>
  <c r="A3" i="15"/>
  <c r="C2" i="15"/>
  <c r="A2" i="15"/>
  <c r="B1" i="15"/>
  <c r="C14" i="1" a="1"/>
  <c r="C14" i="1" s="1"/>
  <c r="C13" i="1" a="1"/>
  <c r="C13" i="1" s="1"/>
  <c r="A8" i="1" a="1"/>
  <c r="A8" i="1" s="1"/>
  <c r="C9" i="1" a="1"/>
  <c r="C9" i="1" s="1"/>
  <c r="C10" i="1" a="1"/>
  <c r="C10" i="1" s="1"/>
  <c r="C11" i="1" a="1"/>
  <c r="C11" i="1" s="1"/>
  <c r="C12" i="1" a="1"/>
  <c r="C12" i="1" s="1"/>
  <c r="B8" i="1" a="1"/>
  <c r="B8" i="1" s="1"/>
  <c r="B9" i="1" a="1"/>
  <c r="B9" i="1" s="1"/>
  <c r="B10" i="1" a="1"/>
  <c r="B10" i="1" s="1"/>
  <c r="B11" i="1" a="1"/>
  <c r="B11" i="1" s="1"/>
  <c r="B12" i="1" a="1"/>
  <c r="B12" i="1" s="1"/>
  <c r="A9" i="1" a="1"/>
  <c r="A9" i="1" s="1"/>
  <c r="A10" i="1" a="1"/>
  <c r="A10" i="1" s="1"/>
  <c r="A11" i="1" a="1"/>
  <c r="A11" i="1" s="1"/>
  <c r="C8" i="1" a="1"/>
  <c r="C8" i="1" s="1"/>
  <c r="A12" i="1" a="1"/>
  <c r="A12" i="1" s="1"/>
  <c r="B13" i="1"/>
  <c r="A14" i="1"/>
  <c r="D23" i="24"/>
  <c r="D22" i="24"/>
  <c r="D21" i="24"/>
  <c r="D20" i="24"/>
  <c r="D19" i="24"/>
  <c r="D18" i="24"/>
  <c r="D17" i="24"/>
  <c r="D16" i="24"/>
  <c r="D15" i="24"/>
  <c r="D14" i="24"/>
  <c r="D7" i="24"/>
  <c r="L96" i="1"/>
  <c r="E96" i="1"/>
  <c r="D96" i="1"/>
  <c r="L94" i="1"/>
  <c r="E94" i="1"/>
  <c r="D94" i="1"/>
  <c r="L90" i="1"/>
  <c r="E90" i="1"/>
  <c r="D90" i="1"/>
  <c r="L83" i="1"/>
  <c r="E83" i="1"/>
  <c r="D83" i="1"/>
  <c r="F15" i="1"/>
  <c r="P13" i="1"/>
  <c r="N13" i="1"/>
  <c r="Q14" i="1"/>
  <c r="O14" i="1"/>
  <c r="P197" i="1"/>
  <c r="O197" i="1"/>
  <c r="P196" i="1"/>
  <c r="O196" i="1"/>
  <c r="P195" i="1"/>
  <c r="O195" i="1"/>
  <c r="F195" i="1" s="1"/>
  <c r="R487" i="15" s="1"/>
  <c r="R488" i="15" s="1"/>
  <c r="P194" i="1"/>
  <c r="O194" i="1"/>
  <c r="P193" i="1"/>
  <c r="O193" i="1"/>
  <c r="P192" i="1"/>
  <c r="O192" i="1"/>
  <c r="P191" i="1"/>
  <c r="O191" i="1"/>
  <c r="F191" i="1" s="1"/>
  <c r="R482" i="15" s="1"/>
  <c r="R483" i="15" s="1"/>
  <c r="P190" i="1"/>
  <c r="O190" i="1"/>
  <c r="P189" i="1"/>
  <c r="O189" i="1"/>
  <c r="P188" i="1"/>
  <c r="O188" i="1"/>
  <c r="P187" i="1"/>
  <c r="O187" i="1"/>
  <c r="F187" i="1" s="1"/>
  <c r="P477" i="15" s="1"/>
  <c r="P478" i="15" s="1"/>
  <c r="P186" i="1"/>
  <c r="O186" i="1"/>
  <c r="P185" i="1"/>
  <c r="O185" i="1"/>
  <c r="P184" i="1"/>
  <c r="O184" i="1"/>
  <c r="P183" i="1"/>
  <c r="O183" i="1"/>
  <c r="F183" i="1" s="1"/>
  <c r="R462" i="15" s="1"/>
  <c r="R463" i="15" s="1"/>
  <c r="P182" i="1"/>
  <c r="O182" i="1"/>
  <c r="P181" i="1"/>
  <c r="O181" i="1"/>
  <c r="P180" i="1"/>
  <c r="O180" i="1"/>
  <c r="P179" i="1"/>
  <c r="O179" i="1"/>
  <c r="F179" i="1" s="1"/>
  <c r="V457" i="15" s="1"/>
  <c r="V458" i="15" s="1"/>
  <c r="P178" i="1"/>
  <c r="O178" i="1"/>
  <c r="P177" i="1"/>
  <c r="O177" i="1"/>
  <c r="P176" i="1"/>
  <c r="O176" i="1"/>
  <c r="P175" i="1"/>
  <c r="O175" i="1"/>
  <c r="F175" i="1" s="1"/>
  <c r="R457" i="15" s="1"/>
  <c r="R458" i="15" s="1"/>
  <c r="P174" i="1"/>
  <c r="O174" i="1"/>
  <c r="P173" i="1"/>
  <c r="O173" i="1"/>
  <c r="P172" i="1"/>
  <c r="O172" i="1"/>
  <c r="P171" i="1"/>
  <c r="O171" i="1"/>
  <c r="F171" i="1" s="1"/>
  <c r="T452" i="15" s="1"/>
  <c r="T453" i="15" s="1"/>
  <c r="P170" i="1"/>
  <c r="O170" i="1"/>
  <c r="P169" i="1"/>
  <c r="O169" i="1"/>
  <c r="P168" i="1"/>
  <c r="O168" i="1"/>
  <c r="P167" i="1"/>
  <c r="O167" i="1"/>
  <c r="F167" i="1" s="1"/>
  <c r="Q447" i="15" s="1"/>
  <c r="Q448" i="15" s="1"/>
  <c r="G445" i="15" s="1"/>
  <c r="P166" i="1"/>
  <c r="O166" i="1"/>
  <c r="P165" i="1"/>
  <c r="O165" i="1"/>
  <c r="P164" i="1"/>
  <c r="O164" i="1"/>
  <c r="P163" i="1"/>
  <c r="O163" i="1"/>
  <c r="F163" i="1" s="1"/>
  <c r="P162" i="1"/>
  <c r="O162" i="1"/>
  <c r="P161" i="1"/>
  <c r="O161" i="1"/>
  <c r="P160" i="1"/>
  <c r="O160" i="1"/>
  <c r="P159" i="1"/>
  <c r="O159" i="1"/>
  <c r="F159" i="1" s="1"/>
  <c r="P158" i="1"/>
  <c r="O158" i="1"/>
  <c r="P157" i="1"/>
  <c r="O157" i="1"/>
  <c r="P156" i="1"/>
  <c r="O156" i="1"/>
  <c r="P155" i="1"/>
  <c r="O155" i="1"/>
  <c r="F155" i="1" s="1"/>
  <c r="O407" i="15" s="1"/>
  <c r="O408" i="15" s="1"/>
  <c r="G405" i="15" s="1"/>
  <c r="P154" i="1"/>
  <c r="O154" i="1"/>
  <c r="P153" i="1"/>
  <c r="O153" i="1"/>
  <c r="P152" i="1"/>
  <c r="O152" i="1"/>
  <c r="P151" i="1"/>
  <c r="O151" i="1"/>
  <c r="F151" i="1" s="1"/>
  <c r="Y387" i="15" s="1"/>
  <c r="Y388" i="15" s="1"/>
  <c r="P150" i="1"/>
  <c r="O150" i="1"/>
  <c r="P149" i="1"/>
  <c r="O149" i="1"/>
  <c r="P148" i="1"/>
  <c r="O148" i="1"/>
  <c r="P147" i="1"/>
  <c r="O147" i="1"/>
  <c r="F147" i="1" s="1"/>
  <c r="P146" i="1"/>
  <c r="O146" i="1"/>
  <c r="P145" i="1"/>
  <c r="O145" i="1"/>
  <c r="P144" i="1"/>
  <c r="O144" i="1"/>
  <c r="P143" i="1"/>
  <c r="O143" i="1"/>
  <c r="F143" i="1" s="1"/>
  <c r="P142" i="1"/>
  <c r="O142" i="1"/>
  <c r="P141" i="1"/>
  <c r="O141" i="1"/>
  <c r="P140" i="1"/>
  <c r="O140" i="1"/>
  <c r="P139" i="1"/>
  <c r="O139" i="1"/>
  <c r="F139" i="1" s="1"/>
  <c r="P138" i="1"/>
  <c r="O138" i="1"/>
  <c r="P137" i="1"/>
  <c r="O137" i="1"/>
  <c r="P136" i="1"/>
  <c r="O136" i="1"/>
  <c r="P135" i="1"/>
  <c r="O135" i="1"/>
  <c r="F135" i="1" s="1"/>
  <c r="P134" i="1"/>
  <c r="O134" i="1"/>
  <c r="P133" i="1"/>
  <c r="O133" i="1"/>
  <c r="P132" i="1"/>
  <c r="O132" i="1"/>
  <c r="P131" i="1"/>
  <c r="O131" i="1"/>
  <c r="F131" i="1" s="1"/>
  <c r="P130" i="1"/>
  <c r="O130" i="1"/>
  <c r="P129" i="1"/>
  <c r="O129" i="1"/>
  <c r="P128" i="1"/>
  <c r="O128" i="1"/>
  <c r="P127" i="1"/>
  <c r="O127" i="1"/>
  <c r="F127" i="1" s="1"/>
  <c r="P126" i="1"/>
  <c r="O126" i="1"/>
  <c r="P125" i="1"/>
  <c r="O125" i="1"/>
  <c r="P124" i="1"/>
  <c r="O124" i="1"/>
  <c r="P123" i="1"/>
  <c r="O123" i="1"/>
  <c r="F123" i="1" s="1"/>
  <c r="R362" i="15" s="1"/>
  <c r="R363" i="15" s="1"/>
  <c r="P122" i="1"/>
  <c r="O122" i="1"/>
  <c r="P121" i="1"/>
  <c r="O121" i="1"/>
  <c r="P120" i="1"/>
  <c r="O120" i="1"/>
  <c r="P119" i="1"/>
  <c r="O119" i="1"/>
  <c r="F119" i="1" s="1"/>
  <c r="P118" i="1"/>
  <c r="O118" i="1"/>
  <c r="P117" i="1"/>
  <c r="O117" i="1"/>
  <c r="P116" i="1"/>
  <c r="O116" i="1"/>
  <c r="P115" i="1"/>
  <c r="O115" i="1"/>
  <c r="F115" i="1" s="1"/>
  <c r="T347" i="15" s="1"/>
  <c r="T348" i="15" s="1"/>
  <c r="P114" i="1"/>
  <c r="O114" i="1"/>
  <c r="P113" i="1"/>
  <c r="O113" i="1"/>
  <c r="P112" i="1"/>
  <c r="O112" i="1"/>
  <c r="P111" i="1"/>
  <c r="O111" i="1"/>
  <c r="F111" i="1" s="1"/>
  <c r="O332" i="15" s="1"/>
  <c r="O333" i="15" s="1"/>
  <c r="E330" i="15" s="1"/>
  <c r="F103" i="29" s="1"/>
  <c r="G103" i="29" s="1"/>
  <c r="P110" i="1"/>
  <c r="O110" i="1"/>
  <c r="P109" i="1"/>
  <c r="O109" i="1"/>
  <c r="P108" i="1"/>
  <c r="O108" i="1"/>
  <c r="P107" i="1"/>
  <c r="O107" i="1"/>
  <c r="F107" i="1" s="1"/>
  <c r="P317" i="15" s="1"/>
  <c r="P318" i="15" s="1"/>
  <c r="P106" i="1"/>
  <c r="O106" i="1"/>
  <c r="P105" i="1"/>
  <c r="O105" i="1"/>
  <c r="P104" i="1"/>
  <c r="O104" i="1"/>
  <c r="P103" i="1"/>
  <c r="O103" i="1"/>
  <c r="F103" i="1" s="1"/>
  <c r="Q307" i="15" s="1"/>
  <c r="Q308" i="15" s="1"/>
  <c r="P102" i="1"/>
  <c r="O102" i="1"/>
  <c r="P101" i="1"/>
  <c r="O101" i="1"/>
  <c r="P100" i="1"/>
  <c r="O100" i="1"/>
  <c r="P99" i="1"/>
  <c r="O99" i="1"/>
  <c r="F99" i="1" s="1"/>
  <c r="Q302" i="15" s="1"/>
  <c r="Q303" i="15" s="1"/>
  <c r="P98" i="1"/>
  <c r="O98" i="1"/>
  <c r="P97" i="1"/>
  <c r="O97" i="1"/>
  <c r="P96" i="1"/>
  <c r="O96" i="1"/>
  <c r="P95" i="1"/>
  <c r="O95" i="1"/>
  <c r="F95" i="1" s="1"/>
  <c r="P282" i="15" s="1"/>
  <c r="P283" i="15" s="1"/>
  <c r="G280" i="15" s="1"/>
  <c r="P94" i="1"/>
  <c r="O94" i="1"/>
  <c r="P93" i="1"/>
  <c r="O93" i="1"/>
  <c r="P92" i="1"/>
  <c r="O92" i="1"/>
  <c r="P91" i="1"/>
  <c r="O91" i="1"/>
  <c r="P90" i="1"/>
  <c r="O90" i="1"/>
  <c r="P89" i="1"/>
  <c r="O89" i="1"/>
  <c r="P88" i="1"/>
  <c r="O88" i="1"/>
  <c r="P87" i="1"/>
  <c r="O87" i="1"/>
  <c r="F87" i="1" s="1"/>
  <c r="P86" i="1"/>
  <c r="O86" i="1"/>
  <c r="P85" i="1"/>
  <c r="O85" i="1"/>
  <c r="P84" i="1"/>
  <c r="O84" i="1"/>
  <c r="P83" i="1"/>
  <c r="O83" i="1"/>
  <c r="P82" i="1"/>
  <c r="O82" i="1"/>
  <c r="P81" i="1"/>
  <c r="O81" i="1"/>
  <c r="P80" i="1"/>
  <c r="O80" i="1"/>
  <c r="P79" i="1"/>
  <c r="O79" i="1"/>
  <c r="F79" i="1" s="1"/>
  <c r="P78" i="1"/>
  <c r="O78" i="1"/>
  <c r="P77" i="1"/>
  <c r="O77" i="1"/>
  <c r="P76" i="1"/>
  <c r="O76" i="1"/>
  <c r="P75" i="1"/>
  <c r="O75" i="1"/>
  <c r="F75" i="1" s="1"/>
  <c r="W147" i="15" s="1"/>
  <c r="W148" i="15" s="1"/>
  <c r="P74" i="1"/>
  <c r="O74" i="1"/>
  <c r="P73" i="1"/>
  <c r="O73" i="1"/>
  <c r="P72" i="1"/>
  <c r="O72" i="1"/>
  <c r="P71" i="1"/>
  <c r="O71" i="1"/>
  <c r="F71" i="1" s="1"/>
  <c r="P70" i="1"/>
  <c r="O70" i="1"/>
  <c r="P69" i="1"/>
  <c r="O69" i="1"/>
  <c r="P68" i="1"/>
  <c r="O68" i="1"/>
  <c r="P67" i="1"/>
  <c r="O67" i="1"/>
  <c r="F67" i="1" s="1"/>
  <c r="V107" i="15" s="1"/>
  <c r="V108" i="15" s="1"/>
  <c r="P66" i="1"/>
  <c r="O66" i="1"/>
  <c r="P65" i="1"/>
  <c r="O65" i="1"/>
  <c r="P64" i="1"/>
  <c r="O64" i="1"/>
  <c r="P63" i="1"/>
  <c r="O63" i="1"/>
  <c r="F63" i="1" s="1"/>
  <c r="V97" i="15" s="1"/>
  <c r="V98" i="15" s="1"/>
  <c r="P62" i="1"/>
  <c r="O62" i="1"/>
  <c r="P61" i="1"/>
  <c r="O61" i="1"/>
  <c r="P60" i="1"/>
  <c r="O60" i="1"/>
  <c r="P59" i="1"/>
  <c r="Q59" i="1" s="1"/>
  <c r="O59" i="1"/>
  <c r="F59" i="1" s="1"/>
  <c r="P58" i="1"/>
  <c r="O58" i="1"/>
  <c r="P57" i="1"/>
  <c r="O57" i="1"/>
  <c r="P56" i="1"/>
  <c r="O56" i="1"/>
  <c r="P55" i="1"/>
  <c r="O55" i="1"/>
  <c r="F55" i="1" s="1"/>
  <c r="P54" i="1"/>
  <c r="O54" i="1"/>
  <c r="P53" i="1"/>
  <c r="O53" i="1"/>
  <c r="P52" i="1"/>
  <c r="O52" i="1"/>
  <c r="P51" i="1"/>
  <c r="O51" i="1"/>
  <c r="F51" i="1" s="1"/>
  <c r="O72" i="15" s="1"/>
  <c r="O73" i="15" s="1"/>
  <c r="E70" i="15" s="1"/>
  <c r="F29" i="29" s="1"/>
  <c r="G29" i="29" s="1"/>
  <c r="P50" i="1"/>
  <c r="O50" i="1"/>
  <c r="P49" i="1"/>
  <c r="O49" i="1"/>
  <c r="P48" i="1"/>
  <c r="O48" i="1"/>
  <c r="P47" i="1"/>
  <c r="O47" i="1"/>
  <c r="F47" i="1" s="1"/>
  <c r="P57" i="15" s="1"/>
  <c r="P58" i="15" s="1"/>
  <c r="P46" i="1"/>
  <c r="O46" i="1"/>
  <c r="P45" i="1"/>
  <c r="O45" i="1"/>
  <c r="P44" i="1"/>
  <c r="O44" i="1"/>
  <c r="P43" i="1"/>
  <c r="O43" i="1"/>
  <c r="F43" i="1" s="1"/>
  <c r="U32" i="15" s="1"/>
  <c r="U33" i="15" s="1"/>
  <c r="P42" i="1"/>
  <c r="O42" i="1"/>
  <c r="P41" i="1"/>
  <c r="O41" i="1"/>
  <c r="P40" i="1"/>
  <c r="O40" i="1"/>
  <c r="P39" i="1"/>
  <c r="O39" i="1"/>
  <c r="F39" i="1" s="1"/>
  <c r="S27" i="15" s="1"/>
  <c r="S28" i="15" s="1"/>
  <c r="P38" i="1"/>
  <c r="O38" i="1"/>
  <c r="P37" i="1"/>
  <c r="O37" i="1"/>
  <c r="P36" i="1"/>
  <c r="O36" i="1"/>
  <c r="P35" i="1"/>
  <c r="O35" i="1"/>
  <c r="F35" i="1" s="1"/>
  <c r="O27" i="15" s="1"/>
  <c r="O28" i="15" s="1"/>
  <c r="P34" i="1"/>
  <c r="O34" i="1"/>
  <c r="P33" i="1"/>
  <c r="O33" i="1"/>
  <c r="P32" i="1"/>
  <c r="O32" i="1"/>
  <c r="P31" i="1"/>
  <c r="O31" i="1"/>
  <c r="F31" i="1" s="1"/>
  <c r="P30" i="1"/>
  <c r="Q30" i="1" s="1"/>
  <c r="O30" i="1"/>
  <c r="P29" i="1"/>
  <c r="Q29" i="1" s="1"/>
  <c r="O29" i="1"/>
  <c r="P28" i="1"/>
  <c r="O28" i="1"/>
  <c r="P27" i="1"/>
  <c r="O27" i="1"/>
  <c r="F27" i="1" s="1"/>
  <c r="T12" i="15" s="1"/>
  <c r="T13" i="15" s="1"/>
  <c r="P26" i="1"/>
  <c r="O26" i="1"/>
  <c r="P25" i="1"/>
  <c r="O25" i="1"/>
  <c r="P24" i="1"/>
  <c r="O24" i="1"/>
  <c r="P23" i="1"/>
  <c r="O23" i="1"/>
  <c r="F23" i="1" s="1"/>
  <c r="V7" i="15" s="1"/>
  <c r="V8" i="15" s="1"/>
  <c r="P22" i="1"/>
  <c r="O22" i="1"/>
  <c r="P21" i="1"/>
  <c r="O21" i="1"/>
  <c r="P20" i="1"/>
  <c r="O20" i="1"/>
  <c r="P19" i="1"/>
  <c r="O19" i="1"/>
  <c r="F19" i="1" s="1"/>
  <c r="P18" i="1"/>
  <c r="O18" i="1"/>
  <c r="P17" i="1"/>
  <c r="Q17" i="1" s="1"/>
  <c r="O17" i="1"/>
  <c r="P16" i="1"/>
  <c r="Q16" i="1" s="1"/>
  <c r="O16" i="1"/>
  <c r="F197" i="1"/>
  <c r="T487" i="15" s="1"/>
  <c r="T488" i="15" s="1"/>
  <c r="F196" i="1"/>
  <c r="S487" i="15" s="1"/>
  <c r="S488" i="15" s="1"/>
  <c r="F194" i="1"/>
  <c r="Q487" i="15" s="1"/>
  <c r="Q488" i="15" s="1"/>
  <c r="F193" i="1"/>
  <c r="F192" i="1"/>
  <c r="F190" i="1"/>
  <c r="F189" i="1"/>
  <c r="F188" i="1"/>
  <c r="F186" i="1"/>
  <c r="F185" i="1"/>
  <c r="R472" i="15" s="1"/>
  <c r="R473" i="15" s="1"/>
  <c r="F184" i="1"/>
  <c r="F182" i="1"/>
  <c r="Y457" i="15" s="1"/>
  <c r="Y458" i="15" s="1"/>
  <c r="F181" i="1"/>
  <c r="F180" i="1"/>
  <c r="W457" i="15" s="1"/>
  <c r="W458" i="15" s="1"/>
  <c r="F178" i="1"/>
  <c r="F177" i="1"/>
  <c r="F176" i="1"/>
  <c r="F174" i="1"/>
  <c r="Q457" i="15" s="1"/>
  <c r="Q458" i="15" s="1"/>
  <c r="F173" i="1"/>
  <c r="F172" i="1"/>
  <c r="F170" i="1"/>
  <c r="S452" i="15" s="1"/>
  <c r="S453" i="15" s="1"/>
  <c r="F169" i="1"/>
  <c r="R452" i="15" s="1"/>
  <c r="R453" i="15" s="1"/>
  <c r="F168" i="1"/>
  <c r="F166" i="1"/>
  <c r="F165" i="1"/>
  <c r="Q472" i="15" s="1"/>
  <c r="Q473" i="15" s="1"/>
  <c r="F164" i="1"/>
  <c r="T422" i="15" s="1"/>
  <c r="T423" i="15" s="1"/>
  <c r="F162" i="1"/>
  <c r="F161" i="1"/>
  <c r="F160" i="1"/>
  <c r="F158" i="1"/>
  <c r="Q437" i="15" s="1"/>
  <c r="Q438" i="15" s="1"/>
  <c r="F157" i="1"/>
  <c r="O412" i="15" s="1"/>
  <c r="O413" i="15" s="1"/>
  <c r="E410" i="15" s="1"/>
  <c r="F123" i="29" s="1"/>
  <c r="G123" i="29" s="1"/>
  <c r="F156" i="1"/>
  <c r="P407" i="15" s="1"/>
  <c r="P408" i="15" s="1"/>
  <c r="F154" i="1"/>
  <c r="F153" i="1"/>
  <c r="Q397" i="15" s="1"/>
  <c r="Q398" i="15" s="1"/>
  <c r="G395" i="15" s="1"/>
  <c r="F152" i="1"/>
  <c r="F150" i="1"/>
  <c r="F149" i="1"/>
  <c r="AF377" i="15" s="1"/>
  <c r="AF378" i="15" s="1"/>
  <c r="F148" i="1"/>
  <c r="AE377" i="15" s="1"/>
  <c r="AE378" i="15" s="1"/>
  <c r="F146" i="1"/>
  <c r="F145" i="1"/>
  <c r="F144" i="1"/>
  <c r="F142" i="1"/>
  <c r="F141" i="1"/>
  <c r="AG367" i="15" s="1"/>
  <c r="AG368" i="15" s="1"/>
  <c r="F140" i="1"/>
  <c r="AF367" i="15" s="1"/>
  <c r="AF368" i="15" s="1"/>
  <c r="F138" i="1"/>
  <c r="F137" i="1"/>
  <c r="V387" i="15" s="1"/>
  <c r="V388" i="15" s="1"/>
  <c r="F136" i="1"/>
  <c r="F134" i="1"/>
  <c r="F133" i="1"/>
  <c r="Y382" i="15" s="1"/>
  <c r="Y383" i="15" s="1"/>
  <c r="F132" i="1"/>
  <c r="Q427" i="15" s="1"/>
  <c r="Q428" i="15" s="1"/>
  <c r="F130" i="1"/>
  <c r="F129" i="1"/>
  <c r="F128" i="1"/>
  <c r="F126" i="1"/>
  <c r="F125" i="1"/>
  <c r="Q387" i="15" s="1"/>
  <c r="Q388" i="15" s="1"/>
  <c r="F124" i="1"/>
  <c r="S362" i="15" s="1"/>
  <c r="S363" i="15" s="1"/>
  <c r="H360" i="15" s="1"/>
  <c r="F122" i="1"/>
  <c r="F121" i="1"/>
  <c r="F120" i="1"/>
  <c r="F118" i="1"/>
  <c r="F117" i="1"/>
  <c r="F116" i="1"/>
  <c r="F114" i="1"/>
  <c r="F113" i="1"/>
  <c r="F112" i="1"/>
  <c r="F110" i="1"/>
  <c r="F109" i="1"/>
  <c r="O322" i="15" s="1"/>
  <c r="O323" i="15" s="1"/>
  <c r="E320" i="15" s="1"/>
  <c r="F100" i="29" s="1"/>
  <c r="G100" i="29" s="1"/>
  <c r="G99" i="29" s="1"/>
  <c r="F108" i="1"/>
  <c r="Q317" i="15" s="1"/>
  <c r="Q318" i="15" s="1"/>
  <c r="F106" i="1"/>
  <c r="F105" i="1"/>
  <c r="F104" i="1"/>
  <c r="F102" i="1"/>
  <c r="F101" i="1"/>
  <c r="O307" i="15" s="1"/>
  <c r="O308" i="15" s="1"/>
  <c r="F100" i="1"/>
  <c r="R302" i="15" s="1"/>
  <c r="R303" i="15" s="1"/>
  <c r="F98" i="1"/>
  <c r="F97" i="1"/>
  <c r="F93" i="1"/>
  <c r="F92" i="1"/>
  <c r="F91" i="1"/>
  <c r="R287" i="15" s="1"/>
  <c r="R288" i="15" s="1"/>
  <c r="F89" i="1"/>
  <c r="P257" i="15" s="1"/>
  <c r="P258" i="15" s="1"/>
  <c r="G255" i="15" s="1"/>
  <c r="F88" i="1"/>
  <c r="F86" i="1"/>
  <c r="F85" i="1"/>
  <c r="F84" i="1"/>
  <c r="F82" i="1"/>
  <c r="F81" i="1"/>
  <c r="P227" i="15" s="1"/>
  <c r="P228" i="15" s="1"/>
  <c r="F80" i="1"/>
  <c r="V192" i="15" s="1"/>
  <c r="V193" i="15" s="1"/>
  <c r="F78" i="1"/>
  <c r="F77" i="1"/>
  <c r="F76" i="1"/>
  <c r="F74" i="1"/>
  <c r="F73" i="1"/>
  <c r="W277" i="15" s="1"/>
  <c r="W278" i="15" s="1"/>
  <c r="F72" i="1"/>
  <c r="R122" i="15" s="1"/>
  <c r="R123" i="15" s="1"/>
  <c r="F70" i="1"/>
  <c r="F69" i="1"/>
  <c r="F68" i="1"/>
  <c r="F66" i="1"/>
  <c r="F65" i="1"/>
  <c r="T182" i="15" s="1"/>
  <c r="T183" i="15" s="1"/>
  <c r="F64" i="1"/>
  <c r="T147" i="15" s="1"/>
  <c r="T148" i="15" s="1"/>
  <c r="F62" i="1"/>
  <c r="F61" i="1"/>
  <c r="F60" i="1"/>
  <c r="F58" i="1"/>
  <c r="F57" i="1"/>
  <c r="F56" i="1"/>
  <c r="U272" i="15" s="1"/>
  <c r="U273" i="15" s="1"/>
  <c r="F54" i="1"/>
  <c r="F53" i="1"/>
  <c r="F52" i="1"/>
  <c r="F50" i="1"/>
  <c r="F49" i="1"/>
  <c r="S297" i="15" s="1"/>
  <c r="S298" i="15" s="1"/>
  <c r="F48" i="1"/>
  <c r="Q57" i="15" s="1"/>
  <c r="Q58" i="15" s="1"/>
  <c r="F46" i="1"/>
  <c r="F45" i="1"/>
  <c r="F44" i="1"/>
  <c r="F42" i="1"/>
  <c r="F41" i="1"/>
  <c r="F40" i="1"/>
  <c r="T27" i="15" s="1"/>
  <c r="T28" i="15" s="1"/>
  <c r="F38" i="1"/>
  <c r="F37" i="1"/>
  <c r="F36" i="1"/>
  <c r="F34" i="1"/>
  <c r="F33" i="1"/>
  <c r="F32" i="1"/>
  <c r="R202" i="15" s="1"/>
  <c r="R203" i="15" s="1"/>
  <c r="F30" i="1"/>
  <c r="P487" i="15" s="1"/>
  <c r="F29" i="1"/>
  <c r="F28" i="1"/>
  <c r="F26" i="1"/>
  <c r="F25" i="1"/>
  <c r="F24" i="1"/>
  <c r="W7" i="15" s="1"/>
  <c r="W8" i="15" s="1"/>
  <c r="F22" i="1"/>
  <c r="F21" i="1"/>
  <c r="F20" i="1"/>
  <c r="F18" i="1"/>
  <c r="F17" i="1"/>
  <c r="P7" i="15" s="1"/>
  <c r="P8" i="15" s="1"/>
  <c r="F16" i="1"/>
  <c r="O487" i="15" s="1"/>
  <c r="O488" i="15" s="1"/>
  <c r="D141" i="29"/>
  <c r="B141" i="29"/>
  <c r="H485" i="15"/>
  <c r="C485" i="15"/>
  <c r="B489" i="15"/>
  <c r="B486" i="15"/>
  <c r="D140" i="29"/>
  <c r="B140" i="29"/>
  <c r="T482" i="15"/>
  <c r="T483" i="15" s="1"/>
  <c r="S482" i="15"/>
  <c r="S483" i="15" s="1"/>
  <c r="Q482" i="15"/>
  <c r="Q483" i="15" s="1"/>
  <c r="P482" i="15"/>
  <c r="P483" i="15" s="1"/>
  <c r="H480" i="15"/>
  <c r="C480" i="15"/>
  <c r="B484" i="15"/>
  <c r="B481" i="15"/>
  <c r="D139" i="29"/>
  <c r="B139" i="29"/>
  <c r="R477" i="15"/>
  <c r="R478" i="15" s="1"/>
  <c r="Q477" i="15"/>
  <c r="Q478" i="15" s="1"/>
  <c r="O477" i="15"/>
  <c r="O478" i="15" s="1"/>
  <c r="H475" i="15"/>
  <c r="F475" i="15"/>
  <c r="C475" i="15"/>
  <c r="B479" i="15"/>
  <c r="B476" i="15"/>
  <c r="D138" i="29"/>
  <c r="B138" i="29"/>
  <c r="H470" i="15"/>
  <c r="C470" i="15"/>
  <c r="B474" i="15"/>
  <c r="B471" i="15"/>
  <c r="D137" i="29"/>
  <c r="B137" i="29"/>
  <c r="R467" i="15"/>
  <c r="R468" i="15" s="1"/>
  <c r="P467" i="15"/>
  <c r="H465" i="15"/>
  <c r="C465" i="15"/>
  <c r="B469" i="15"/>
  <c r="B466" i="15"/>
  <c r="D136" i="29"/>
  <c r="B136" i="29"/>
  <c r="H460" i="15"/>
  <c r="C460" i="15"/>
  <c r="B464" i="15"/>
  <c r="B461" i="15"/>
  <c r="B135" i="29"/>
  <c r="D134" i="29"/>
  <c r="B134" i="29"/>
  <c r="X457" i="15"/>
  <c r="X458" i="15" s="1"/>
  <c r="U457" i="15"/>
  <c r="U458" i="15" s="1"/>
  <c r="T457" i="15"/>
  <c r="T458" i="15" s="1"/>
  <c r="S457" i="15"/>
  <c r="S458" i="15" s="1"/>
  <c r="P457" i="15"/>
  <c r="P458" i="15" s="1"/>
  <c r="O457" i="15"/>
  <c r="O458" i="15" s="1"/>
  <c r="H455" i="15"/>
  <c r="F455" i="15"/>
  <c r="C455" i="15"/>
  <c r="B459" i="15"/>
  <c r="B456" i="15"/>
  <c r="D133" i="29"/>
  <c r="B133" i="29"/>
  <c r="Q452" i="15"/>
  <c r="Q453" i="15" s="1"/>
  <c r="P452" i="15"/>
  <c r="H450" i="15"/>
  <c r="C450" i="15"/>
  <c r="B454" i="15"/>
  <c r="B451" i="15"/>
  <c r="D132" i="29"/>
  <c r="B132" i="29"/>
  <c r="P447" i="15"/>
  <c r="H445" i="15"/>
  <c r="C445" i="15"/>
  <c r="B449" i="15"/>
  <c r="B446" i="15"/>
  <c r="D131" i="29"/>
  <c r="B131" i="29"/>
  <c r="T442" i="15"/>
  <c r="T443" i="15" s="1"/>
  <c r="R442" i="15"/>
  <c r="R443" i="15" s="1"/>
  <c r="P442" i="15"/>
  <c r="P443" i="15" s="1"/>
  <c r="H440" i="15"/>
  <c r="C440" i="15"/>
  <c r="B444" i="15"/>
  <c r="B441" i="15"/>
  <c r="D130" i="29"/>
  <c r="B130" i="29"/>
  <c r="S437" i="15"/>
  <c r="S438" i="15" s="1"/>
  <c r="P437" i="15"/>
  <c r="H435" i="15"/>
  <c r="C435" i="15"/>
  <c r="B439" i="15"/>
  <c r="B436" i="15"/>
  <c r="D129" i="29"/>
  <c r="B129" i="29"/>
  <c r="Q432" i="15"/>
  <c r="Q433" i="15" s="1"/>
  <c r="P432" i="15"/>
  <c r="P433" i="15" s="1"/>
  <c r="H430" i="15"/>
  <c r="C430" i="15"/>
  <c r="B434" i="15"/>
  <c r="B431" i="15"/>
  <c r="D128" i="29"/>
  <c r="B128" i="29"/>
  <c r="T427" i="15"/>
  <c r="T428" i="15" s="1"/>
  <c r="R427" i="15"/>
  <c r="R428" i="15" s="1"/>
  <c r="P427" i="15"/>
  <c r="P428" i="15" s="1"/>
  <c r="H425" i="15"/>
  <c r="C425" i="15"/>
  <c r="B429" i="15"/>
  <c r="B426" i="15"/>
  <c r="D127" i="29"/>
  <c r="B127" i="29"/>
  <c r="R422" i="15"/>
  <c r="R423" i="15" s="1"/>
  <c r="P422" i="15"/>
  <c r="P423" i="15" s="1"/>
  <c r="H420" i="15"/>
  <c r="C420" i="15"/>
  <c r="B424" i="15"/>
  <c r="B421" i="15"/>
  <c r="D126" i="29"/>
  <c r="B126" i="29"/>
  <c r="U417" i="15"/>
  <c r="U418" i="15" s="1"/>
  <c r="T417" i="15"/>
  <c r="T418" i="15" s="1"/>
  <c r="R417" i="15"/>
  <c r="R418" i="15" s="1"/>
  <c r="P417" i="15"/>
  <c r="H415" i="15"/>
  <c r="C415" i="15"/>
  <c r="B419" i="15"/>
  <c r="B416" i="15"/>
  <c r="B125" i="29"/>
  <c r="B124" i="29"/>
  <c r="D123" i="29"/>
  <c r="B123" i="29"/>
  <c r="H410" i="15"/>
  <c r="G410" i="15"/>
  <c r="F410" i="15"/>
  <c r="C410" i="15"/>
  <c r="B414" i="15"/>
  <c r="B411" i="15"/>
  <c r="D122" i="29"/>
  <c r="B122" i="29"/>
  <c r="H405" i="15"/>
  <c r="F405" i="15"/>
  <c r="C405" i="15"/>
  <c r="B409" i="15"/>
  <c r="B406" i="15"/>
  <c r="D121" i="29"/>
  <c r="B121" i="29"/>
  <c r="Q402" i="15"/>
  <c r="Q403" i="15" s="1"/>
  <c r="G400" i="15" s="1"/>
  <c r="P402" i="15"/>
  <c r="P403" i="15" s="1"/>
  <c r="H400" i="15"/>
  <c r="C400" i="15"/>
  <c r="B404" i="15"/>
  <c r="B401" i="15"/>
  <c r="D120" i="29"/>
  <c r="B120" i="29"/>
  <c r="P397" i="15"/>
  <c r="P398" i="15" s="1"/>
  <c r="H395" i="15"/>
  <c r="C395" i="15"/>
  <c r="B399" i="15"/>
  <c r="B396" i="15"/>
  <c r="D119" i="29"/>
  <c r="B119" i="29"/>
  <c r="Q392" i="15"/>
  <c r="Q393" i="15" s="1"/>
  <c r="G390" i="15" s="1"/>
  <c r="P392" i="15"/>
  <c r="P393" i="15" s="1"/>
  <c r="H390" i="15"/>
  <c r="C390" i="15"/>
  <c r="B394" i="15"/>
  <c r="B391" i="15"/>
  <c r="D118" i="29"/>
  <c r="B118" i="29"/>
  <c r="X387" i="15"/>
  <c r="X388" i="15" s="1"/>
  <c r="W387" i="15"/>
  <c r="W388" i="15" s="1"/>
  <c r="S387" i="15"/>
  <c r="S388" i="15" s="1"/>
  <c r="P387" i="15"/>
  <c r="H385" i="15"/>
  <c r="C385" i="15"/>
  <c r="B389" i="15"/>
  <c r="B386" i="15"/>
  <c r="D117" i="29"/>
  <c r="B117" i="29"/>
  <c r="AF382" i="15"/>
  <c r="AF383" i="15" s="1"/>
  <c r="AB382" i="15"/>
  <c r="AB383" i="15" s="1"/>
  <c r="AA382" i="15"/>
  <c r="AA383" i="15" s="1"/>
  <c r="Z382" i="15"/>
  <c r="Z383" i="15" s="1"/>
  <c r="V382" i="15"/>
  <c r="V383" i="15" s="1"/>
  <c r="U382" i="15"/>
  <c r="U383" i="15" s="1"/>
  <c r="T382" i="15"/>
  <c r="T383" i="15" s="1"/>
  <c r="R382" i="15"/>
  <c r="R383" i="15" s="1"/>
  <c r="P382" i="15"/>
  <c r="H380" i="15"/>
  <c r="C380" i="15"/>
  <c r="B384" i="15"/>
  <c r="B381" i="15"/>
  <c r="D116" i="29"/>
  <c r="B116" i="29"/>
  <c r="AC377" i="15"/>
  <c r="AC378" i="15" s="1"/>
  <c r="AB377" i="15"/>
  <c r="AB378" i="15" s="1"/>
  <c r="AA377" i="15"/>
  <c r="AA378" i="15" s="1"/>
  <c r="Z377" i="15"/>
  <c r="Z378" i="15" s="1"/>
  <c r="V377" i="15"/>
  <c r="V378" i="15" s="1"/>
  <c r="U377" i="15"/>
  <c r="U378" i="15" s="1"/>
  <c r="T377" i="15"/>
  <c r="T378" i="15" s="1"/>
  <c r="R377" i="15"/>
  <c r="R378" i="15" s="1"/>
  <c r="P377" i="15"/>
  <c r="H375" i="15"/>
  <c r="C375" i="15"/>
  <c r="B379" i="15"/>
  <c r="B376" i="15"/>
  <c r="D115" i="29"/>
  <c r="B115" i="29"/>
  <c r="AK372" i="15"/>
  <c r="AK373" i="15" s="1"/>
  <c r="AJ372" i="15"/>
  <c r="AJ373" i="15" s="1"/>
  <c r="AH372" i="15"/>
  <c r="AH373" i="15" s="1"/>
  <c r="AG372" i="15"/>
  <c r="AG373" i="15" s="1"/>
  <c r="AF372" i="15"/>
  <c r="AF373" i="15" s="1"/>
  <c r="AD372" i="15"/>
  <c r="AD373" i="15" s="1"/>
  <c r="AC372" i="15"/>
  <c r="AC373" i="15" s="1"/>
  <c r="AB372" i="15"/>
  <c r="AB373" i="15" s="1"/>
  <c r="Z372" i="15"/>
  <c r="Z373" i="15" s="1"/>
  <c r="Y372" i="15"/>
  <c r="Y373" i="15" s="1"/>
  <c r="X372" i="15"/>
  <c r="X373" i="15" s="1"/>
  <c r="V372" i="15"/>
  <c r="V373" i="15" s="1"/>
  <c r="U372" i="15"/>
  <c r="U373" i="15" s="1"/>
  <c r="T372" i="15"/>
  <c r="T373" i="15" s="1"/>
  <c r="R372" i="15"/>
  <c r="R373" i="15" s="1"/>
  <c r="Q372" i="15"/>
  <c r="Q373" i="15" s="1"/>
  <c r="P372" i="15"/>
  <c r="P373" i="15" s="1"/>
  <c r="H370" i="15"/>
  <c r="C370" i="15"/>
  <c r="B374" i="15"/>
  <c r="B371" i="15"/>
  <c r="D114" i="29"/>
  <c r="B114" i="29"/>
  <c r="AK367" i="15"/>
  <c r="AK368" i="15" s="1"/>
  <c r="AJ367" i="15"/>
  <c r="AJ368" i="15" s="1"/>
  <c r="AH367" i="15"/>
  <c r="AH368" i="15" s="1"/>
  <c r="AD367" i="15"/>
  <c r="AD368" i="15" s="1"/>
  <c r="AC367" i="15"/>
  <c r="AC368" i="15" s="1"/>
  <c r="AB367" i="15"/>
  <c r="AB368" i="15" s="1"/>
  <c r="Z367" i="15"/>
  <c r="Z368" i="15" s="1"/>
  <c r="V367" i="15"/>
  <c r="V368" i="15" s="1"/>
  <c r="U367" i="15"/>
  <c r="U368" i="15" s="1"/>
  <c r="T367" i="15"/>
  <c r="T368" i="15" s="1"/>
  <c r="R367" i="15"/>
  <c r="R368" i="15" s="1"/>
  <c r="P367" i="15"/>
  <c r="H365" i="15"/>
  <c r="C365" i="15"/>
  <c r="B369" i="15"/>
  <c r="B366" i="15"/>
  <c r="B113" i="29"/>
  <c r="D112" i="29"/>
  <c r="B112" i="29"/>
  <c r="Q362" i="15"/>
  <c r="Q363" i="15" s="1"/>
  <c r="O362" i="15"/>
  <c r="O363" i="15" s="1"/>
  <c r="C360" i="15"/>
  <c r="B364" i="15"/>
  <c r="B361" i="15"/>
  <c r="D111" i="29"/>
  <c r="B111" i="29"/>
  <c r="R357" i="15"/>
  <c r="R358" i="15" s="1"/>
  <c r="Q357" i="15"/>
  <c r="Q358" i="15" s="1"/>
  <c r="O357" i="15"/>
  <c r="O358" i="15" s="1"/>
  <c r="H355" i="15"/>
  <c r="C355" i="15"/>
  <c r="B359" i="15"/>
  <c r="B356" i="15"/>
  <c r="D110" i="29"/>
  <c r="B110" i="29"/>
  <c r="S352" i="15"/>
  <c r="S353" i="15" s="1"/>
  <c r="R352" i="15"/>
  <c r="R353" i="15" s="1"/>
  <c r="O352" i="15"/>
  <c r="H350" i="15"/>
  <c r="C350" i="15"/>
  <c r="B354" i="15"/>
  <c r="B351" i="15"/>
  <c r="B109" i="29"/>
  <c r="D108" i="29"/>
  <c r="B108" i="29"/>
  <c r="W347" i="15"/>
  <c r="V347" i="15"/>
  <c r="V348" i="15" s="1"/>
  <c r="U347" i="15"/>
  <c r="U348" i="15" s="1"/>
  <c r="S347" i="15"/>
  <c r="S348" i="15" s="1"/>
  <c r="R347" i="15"/>
  <c r="R348" i="15" s="1"/>
  <c r="P347" i="15"/>
  <c r="O347" i="15"/>
  <c r="C345" i="15"/>
  <c r="B349" i="15"/>
  <c r="B346" i="15"/>
  <c r="B107" i="29"/>
  <c r="D106" i="29"/>
  <c r="B106" i="29"/>
  <c r="Q342" i="15"/>
  <c r="Q343" i="15" s="1"/>
  <c r="G340" i="15" s="1"/>
  <c r="P342" i="15"/>
  <c r="H340" i="15"/>
  <c r="C340" i="15"/>
  <c r="B344" i="15"/>
  <c r="B341" i="15"/>
  <c r="B105" i="29"/>
  <c r="D104" i="29"/>
  <c r="B104" i="29"/>
  <c r="O337" i="15"/>
  <c r="O338" i="15" s="1"/>
  <c r="E335" i="15" s="1"/>
  <c r="F104" i="29" s="1"/>
  <c r="G104" i="29" s="1"/>
  <c r="H335" i="15"/>
  <c r="G335" i="15"/>
  <c r="F335" i="15"/>
  <c r="C335" i="15"/>
  <c r="B339" i="15"/>
  <c r="B336" i="15"/>
  <c r="D103" i="29"/>
  <c r="B103" i="29"/>
  <c r="H330" i="15"/>
  <c r="G330" i="15"/>
  <c r="F330" i="15"/>
  <c r="C330" i="15"/>
  <c r="B334" i="15"/>
  <c r="B331" i="15"/>
  <c r="D102" i="29"/>
  <c r="B102" i="29"/>
  <c r="O327" i="15"/>
  <c r="O328" i="15" s="1"/>
  <c r="E325" i="15" s="1"/>
  <c r="F102" i="29" s="1"/>
  <c r="G102" i="29" s="1"/>
  <c r="G101" i="29" s="1"/>
  <c r="H325" i="15"/>
  <c r="G325" i="15"/>
  <c r="F325" i="15"/>
  <c r="C325" i="15"/>
  <c r="B329" i="15"/>
  <c r="B326" i="15"/>
  <c r="B101" i="29"/>
  <c r="D100" i="29"/>
  <c r="B100" i="29"/>
  <c r="H320" i="15"/>
  <c r="G320" i="15"/>
  <c r="F320" i="15"/>
  <c r="C320" i="15"/>
  <c r="B324" i="15"/>
  <c r="B321" i="15"/>
  <c r="B99" i="29"/>
  <c r="D98" i="29"/>
  <c r="B98" i="29"/>
  <c r="O317" i="15"/>
  <c r="O318" i="15" s="1"/>
  <c r="H315" i="15"/>
  <c r="F315" i="15"/>
  <c r="C315" i="15"/>
  <c r="B319" i="15"/>
  <c r="B316" i="15"/>
  <c r="D97" i="29"/>
  <c r="B97" i="29"/>
  <c r="Q312" i="15"/>
  <c r="Q313" i="15" s="1"/>
  <c r="P312" i="15"/>
  <c r="P313" i="15" s="1"/>
  <c r="O312" i="15"/>
  <c r="O313" i="15" s="1"/>
  <c r="H310" i="15"/>
  <c r="F310" i="15"/>
  <c r="C310" i="15"/>
  <c r="B314" i="15"/>
  <c r="B311" i="15"/>
  <c r="D96" i="29"/>
  <c r="B96" i="29"/>
  <c r="P307" i="15"/>
  <c r="P308" i="15" s="1"/>
  <c r="H305" i="15"/>
  <c r="F305" i="15"/>
  <c r="C305" i="15"/>
  <c r="B309" i="15"/>
  <c r="B306" i="15"/>
  <c r="B95" i="29"/>
  <c r="B94" i="29"/>
  <c r="D93" i="29"/>
  <c r="B93" i="29"/>
  <c r="P302" i="15"/>
  <c r="P303" i="15" s="1"/>
  <c r="O302" i="15"/>
  <c r="O303" i="15" s="1"/>
  <c r="H300" i="15"/>
  <c r="C300" i="15"/>
  <c r="B304" i="15"/>
  <c r="B301" i="15"/>
  <c r="B92" i="29"/>
  <c r="D91" i="29"/>
  <c r="B91" i="29"/>
  <c r="U297" i="15"/>
  <c r="U298" i="15" s="1"/>
  <c r="Q297" i="15"/>
  <c r="Q298" i="15" s="1"/>
  <c r="P297" i="15"/>
  <c r="H295" i="15"/>
  <c r="C295" i="15"/>
  <c r="B299" i="15"/>
  <c r="B296" i="15"/>
  <c r="D90" i="29"/>
  <c r="B90" i="29"/>
  <c r="B89" i="29"/>
  <c r="D88" i="29"/>
  <c r="B88" i="29"/>
  <c r="R292" i="15"/>
  <c r="R293" i="15" s="1"/>
  <c r="Q292" i="15"/>
  <c r="Q293" i="15" s="1"/>
  <c r="P292" i="15"/>
  <c r="H290" i="15"/>
  <c r="C290" i="15"/>
  <c r="B294" i="15"/>
  <c r="B291" i="15"/>
  <c r="B87" i="29"/>
  <c r="D86" i="29"/>
  <c r="B86" i="29"/>
  <c r="S287" i="15"/>
  <c r="S288" i="15" s="1"/>
  <c r="Q287" i="15"/>
  <c r="Q288" i="15" s="1"/>
  <c r="P287" i="15"/>
  <c r="H285" i="15"/>
  <c r="C285" i="15"/>
  <c r="B289" i="15"/>
  <c r="B286" i="15"/>
  <c r="O282" i="15"/>
  <c r="H280" i="15"/>
  <c r="C280" i="15"/>
  <c r="B284" i="15"/>
  <c r="B281" i="15"/>
  <c r="B85" i="29"/>
  <c r="D84" i="29"/>
  <c r="B84" i="29"/>
  <c r="V277" i="15"/>
  <c r="U277" i="15"/>
  <c r="U278" i="15" s="1"/>
  <c r="T277" i="15"/>
  <c r="T278" i="15" s="1"/>
  <c r="S277" i="15"/>
  <c r="S278" i="15" s="1"/>
  <c r="R277" i="15"/>
  <c r="R278" i="15" s="1"/>
  <c r="Q277" i="15"/>
  <c r="P277" i="15"/>
  <c r="C275" i="15"/>
  <c r="B279" i="15"/>
  <c r="B276" i="15"/>
  <c r="S272" i="15"/>
  <c r="S273" i="15" s="1"/>
  <c r="R272" i="15"/>
  <c r="R273" i="15" s="1"/>
  <c r="P272" i="15"/>
  <c r="C270" i="15"/>
  <c r="B274" i="15"/>
  <c r="B271" i="15"/>
  <c r="B83" i="29"/>
  <c r="D82" i="29"/>
  <c r="B82" i="29"/>
  <c r="X267" i="15"/>
  <c r="W267" i="15"/>
  <c r="W268" i="15" s="1"/>
  <c r="U267" i="15"/>
  <c r="U268" i="15" s="1"/>
  <c r="T267" i="15"/>
  <c r="T268" i="15" s="1"/>
  <c r="R267" i="15"/>
  <c r="R268" i="15" s="1"/>
  <c r="Q267" i="15"/>
  <c r="P267" i="15"/>
  <c r="C265" i="15"/>
  <c r="B269" i="15"/>
  <c r="B266" i="15"/>
  <c r="D81" i="29"/>
  <c r="B81" i="29"/>
  <c r="S262" i="15"/>
  <c r="S263" i="15" s="1"/>
  <c r="Q262" i="15"/>
  <c r="Q263" i="15" s="1"/>
  <c r="P262" i="15"/>
  <c r="P263" i="15" s="1"/>
  <c r="H260" i="15"/>
  <c r="C260" i="15"/>
  <c r="B264" i="15"/>
  <c r="B261" i="15"/>
  <c r="O257" i="15"/>
  <c r="O258" i="15" s="1"/>
  <c r="H255" i="15"/>
  <c r="C255" i="15"/>
  <c r="B259" i="15"/>
  <c r="B256" i="15"/>
  <c r="D80" i="29"/>
  <c r="B80" i="29"/>
  <c r="R252" i="15"/>
  <c r="R253" i="15" s="1"/>
  <c r="Q252" i="15"/>
  <c r="Q253" i="15" s="1"/>
  <c r="P252" i="15"/>
  <c r="P253" i="15" s="1"/>
  <c r="H250" i="15"/>
  <c r="C250" i="15"/>
  <c r="B254" i="15"/>
  <c r="B251" i="15"/>
  <c r="D79" i="29"/>
  <c r="B79" i="29"/>
  <c r="W247" i="15"/>
  <c r="W248" i="15" s="1"/>
  <c r="H245" i="15" s="1"/>
  <c r="U247" i="15"/>
  <c r="U248" i="15" s="1"/>
  <c r="T247" i="15"/>
  <c r="T248" i="15" s="1"/>
  <c r="R247" i="15"/>
  <c r="R248" i="15" s="1"/>
  <c r="Q247" i="15"/>
  <c r="P247" i="15"/>
  <c r="P248" i="15" s="1"/>
  <c r="O247" i="15"/>
  <c r="O248" i="15" s="1"/>
  <c r="C245" i="15"/>
  <c r="B249" i="15"/>
  <c r="B246" i="15"/>
  <c r="B78" i="29"/>
  <c r="D77" i="29"/>
  <c r="B77" i="29"/>
  <c r="U242" i="15"/>
  <c r="U243" i="15" s="1"/>
  <c r="Q242" i="15"/>
  <c r="Q243" i="15" s="1"/>
  <c r="P242" i="15"/>
  <c r="H240" i="15"/>
  <c r="C240" i="15"/>
  <c r="B244" i="15"/>
  <c r="B241" i="15"/>
  <c r="D76" i="29"/>
  <c r="B76" i="29"/>
  <c r="U237" i="15"/>
  <c r="U238" i="15" s="1"/>
  <c r="T237" i="15"/>
  <c r="T238" i="15" s="1"/>
  <c r="S237" i="15"/>
  <c r="S238" i="15" s="1"/>
  <c r="Q237" i="15"/>
  <c r="Q238" i="15" s="1"/>
  <c r="P237" i="15"/>
  <c r="P238" i="15" s="1"/>
  <c r="H235" i="15"/>
  <c r="C235" i="15"/>
  <c r="B239" i="15"/>
  <c r="B236" i="15"/>
  <c r="B75" i="29"/>
  <c r="D74" i="29"/>
  <c r="B74" i="29"/>
  <c r="T232" i="15"/>
  <c r="S232" i="15"/>
  <c r="S233" i="15" s="1"/>
  <c r="P232" i="15"/>
  <c r="C230" i="15"/>
  <c r="B234" i="15"/>
  <c r="B231" i="15"/>
  <c r="O227" i="15"/>
  <c r="O228" i="15" s="1"/>
  <c r="H225" i="15"/>
  <c r="F225" i="15"/>
  <c r="C225" i="15"/>
  <c r="B229" i="15"/>
  <c r="B226" i="15"/>
  <c r="D73" i="29"/>
  <c r="B73" i="29"/>
  <c r="Q222" i="15"/>
  <c r="Q223" i="15" s="1"/>
  <c r="P222" i="15"/>
  <c r="P223" i="15" s="1"/>
  <c r="O222" i="15"/>
  <c r="O223" i="15" s="1"/>
  <c r="H220" i="15"/>
  <c r="C220" i="15"/>
  <c r="B224" i="15"/>
  <c r="B221" i="15"/>
  <c r="D72" i="29"/>
  <c r="B72" i="29"/>
  <c r="V217" i="15"/>
  <c r="V218" i="15" s="1"/>
  <c r="H215" i="15" s="1"/>
  <c r="U217" i="15"/>
  <c r="U218" i="15" s="1"/>
  <c r="Q217" i="15"/>
  <c r="Q218" i="15" s="1"/>
  <c r="P217" i="15"/>
  <c r="C215" i="15"/>
  <c r="B219" i="15"/>
  <c r="B216" i="15"/>
  <c r="D71" i="29"/>
  <c r="B71" i="29"/>
  <c r="V212" i="15"/>
  <c r="U212" i="15"/>
  <c r="U213" i="15" s="1"/>
  <c r="R212" i="15"/>
  <c r="R213" i="15" s="1"/>
  <c r="Q212" i="15"/>
  <c r="Q213" i="15" s="1"/>
  <c r="P212" i="15"/>
  <c r="P213" i="15" s="1"/>
  <c r="C210" i="15"/>
  <c r="B214" i="15"/>
  <c r="B211" i="15"/>
  <c r="D70" i="29"/>
  <c r="B70" i="29"/>
  <c r="V207" i="15"/>
  <c r="U207" i="15"/>
  <c r="U208" i="15" s="1"/>
  <c r="Q207" i="15"/>
  <c r="Q208" i="15" s="1"/>
  <c r="P207" i="15"/>
  <c r="P208" i="15" s="1"/>
  <c r="O207" i="15"/>
  <c r="O208" i="15" s="1"/>
  <c r="C205" i="15"/>
  <c r="B209" i="15"/>
  <c r="B206" i="15"/>
  <c r="D69" i="29"/>
  <c r="B69" i="29"/>
  <c r="U202" i="15"/>
  <c r="U203" i="15" s="1"/>
  <c r="S202" i="15"/>
  <c r="S203" i="15" s="1"/>
  <c r="Q202" i="15"/>
  <c r="Q203" i="15" s="1"/>
  <c r="P202" i="15"/>
  <c r="H200" i="15"/>
  <c r="C200" i="15"/>
  <c r="B204" i="15"/>
  <c r="B201" i="15"/>
  <c r="B68" i="29"/>
  <c r="D67" i="29"/>
  <c r="B67" i="29"/>
  <c r="T197" i="15"/>
  <c r="T198" i="15" s="1"/>
  <c r="R197" i="15"/>
  <c r="R198" i="15" s="1"/>
  <c r="Q197" i="15"/>
  <c r="Q198" i="15" s="1"/>
  <c r="P197" i="15"/>
  <c r="P198" i="15" s="1"/>
  <c r="H195" i="15"/>
  <c r="C195" i="15"/>
  <c r="B199" i="15"/>
  <c r="B196" i="15"/>
  <c r="D66" i="29"/>
  <c r="B66" i="29"/>
  <c r="T192" i="15"/>
  <c r="T193" i="15" s="1"/>
  <c r="Q192" i="15"/>
  <c r="Q193" i="15" s="1"/>
  <c r="P192" i="15"/>
  <c r="P193" i="15" s="1"/>
  <c r="H190" i="15"/>
  <c r="C190" i="15"/>
  <c r="B194" i="15"/>
  <c r="B191" i="15"/>
  <c r="B65" i="29"/>
  <c r="B64" i="29"/>
  <c r="D63" i="29"/>
  <c r="B63" i="29"/>
  <c r="P187" i="15"/>
  <c r="O187" i="15"/>
  <c r="H185" i="15"/>
  <c r="C185" i="15"/>
  <c r="B189" i="15"/>
  <c r="B186" i="15"/>
  <c r="D62" i="29"/>
  <c r="B62" i="29"/>
  <c r="U182" i="15"/>
  <c r="U183" i="15" s="1"/>
  <c r="R182" i="15"/>
  <c r="R183" i="15" s="1"/>
  <c r="Q182" i="15"/>
  <c r="Q183" i="15" s="1"/>
  <c r="P182" i="15"/>
  <c r="P183" i="15" s="1"/>
  <c r="H180" i="15"/>
  <c r="C180" i="15"/>
  <c r="B184" i="15"/>
  <c r="B181" i="15"/>
  <c r="D61" i="29"/>
  <c r="B61" i="29"/>
  <c r="Y177" i="15"/>
  <c r="Y178" i="15" s="1"/>
  <c r="X177" i="15"/>
  <c r="X178" i="15" s="1"/>
  <c r="W177" i="15"/>
  <c r="V177" i="15"/>
  <c r="V178" i="15" s="1"/>
  <c r="U177" i="15"/>
  <c r="U178" i="15" s="1"/>
  <c r="S177" i="15"/>
  <c r="S178" i="15" s="1"/>
  <c r="Q177" i="15"/>
  <c r="Q178" i="15" s="1"/>
  <c r="P177" i="15"/>
  <c r="P178" i="15" s="1"/>
  <c r="C175" i="15"/>
  <c r="B179" i="15"/>
  <c r="B176" i="15"/>
  <c r="B60" i="29"/>
  <c r="D59" i="29"/>
  <c r="B59" i="29"/>
  <c r="P172" i="15"/>
  <c r="O172" i="15"/>
  <c r="H170" i="15"/>
  <c r="C170" i="15"/>
  <c r="B174" i="15"/>
  <c r="B171" i="15"/>
  <c r="D58" i="29"/>
  <c r="B58" i="29"/>
  <c r="Q167" i="15"/>
  <c r="Q168" i="15" s="1"/>
  <c r="G165" i="15" s="1"/>
  <c r="P167" i="15"/>
  <c r="H165" i="15"/>
  <c r="C165" i="15"/>
  <c r="B169" i="15"/>
  <c r="B166" i="15"/>
  <c r="D57" i="29"/>
  <c r="B57" i="29"/>
  <c r="V162" i="15"/>
  <c r="V163" i="15" s="1"/>
  <c r="U162" i="15"/>
  <c r="U163" i="15" s="1"/>
  <c r="S162" i="15"/>
  <c r="S163" i="15" s="1"/>
  <c r="Q162" i="15"/>
  <c r="P162" i="15"/>
  <c r="H160" i="15"/>
  <c r="C160" i="15"/>
  <c r="B164" i="15"/>
  <c r="B161" i="15"/>
  <c r="D56" i="29"/>
  <c r="B56" i="29"/>
  <c r="Y157" i="15"/>
  <c r="X157" i="15"/>
  <c r="W157" i="15"/>
  <c r="V157" i="15"/>
  <c r="V158" i="15" s="1"/>
  <c r="U157" i="15"/>
  <c r="U158" i="15" s="1"/>
  <c r="T157" i="15"/>
  <c r="T158" i="15" s="1"/>
  <c r="S157" i="15"/>
  <c r="S158" i="15" s="1"/>
  <c r="Q157" i="15"/>
  <c r="P157" i="15"/>
  <c r="C155" i="15"/>
  <c r="B159" i="15"/>
  <c r="B156" i="15"/>
  <c r="B55" i="29"/>
  <c r="D54" i="29"/>
  <c r="B54" i="29"/>
  <c r="P152" i="15"/>
  <c r="O152" i="15"/>
  <c r="O153" i="15" s="1"/>
  <c r="H150" i="15"/>
  <c r="C150" i="15"/>
  <c r="B154" i="15"/>
  <c r="B151" i="15"/>
  <c r="D53" i="29"/>
  <c r="B53" i="29"/>
  <c r="X147" i="15"/>
  <c r="X148" i="15" s="1"/>
  <c r="V147" i="15"/>
  <c r="V148" i="15" s="1"/>
  <c r="S147" i="15"/>
  <c r="S148" i="15" s="1"/>
  <c r="Q147" i="15"/>
  <c r="P147" i="15"/>
  <c r="H145" i="15"/>
  <c r="C145" i="15"/>
  <c r="B149" i="15"/>
  <c r="B146" i="15"/>
  <c r="D52" i="29"/>
  <c r="B52" i="29"/>
  <c r="Z142" i="15"/>
  <c r="Z143" i="15" s="1"/>
  <c r="Y142" i="15"/>
  <c r="Y143" i="15" s="1"/>
  <c r="X142" i="15"/>
  <c r="X143" i="15" s="1"/>
  <c r="W142" i="15"/>
  <c r="W143" i="15" s="1"/>
  <c r="V142" i="15"/>
  <c r="V143" i="15" s="1"/>
  <c r="U142" i="15"/>
  <c r="U143" i="15" s="1"/>
  <c r="T142" i="15"/>
  <c r="T143" i="15" s="1"/>
  <c r="S142" i="15"/>
  <c r="S143" i="15" s="1"/>
  <c r="Q142" i="15"/>
  <c r="Q143" i="15" s="1"/>
  <c r="P142" i="15"/>
  <c r="P143" i="15" s="1"/>
  <c r="C140" i="15"/>
  <c r="B144" i="15"/>
  <c r="B141" i="15"/>
  <c r="B51" i="29"/>
  <c r="D50" i="29"/>
  <c r="B50" i="29"/>
  <c r="R137" i="15"/>
  <c r="R138" i="15" s="1"/>
  <c r="P137" i="15"/>
  <c r="O137" i="15"/>
  <c r="H135" i="15"/>
  <c r="C135" i="15"/>
  <c r="B139" i="15"/>
  <c r="B136" i="15"/>
  <c r="D49" i="29"/>
  <c r="B49" i="29"/>
  <c r="U132" i="15"/>
  <c r="U133" i="15" s="1"/>
  <c r="R132" i="15"/>
  <c r="R133" i="15" s="1"/>
  <c r="P132" i="15"/>
  <c r="P133" i="15" s="1"/>
  <c r="O132" i="15"/>
  <c r="O133" i="15" s="1"/>
  <c r="H130" i="15"/>
  <c r="C130" i="15"/>
  <c r="B134" i="15"/>
  <c r="B131" i="15"/>
  <c r="D48" i="29"/>
  <c r="B48" i="29"/>
  <c r="Z127" i="15"/>
  <c r="Z128" i="15" s="1"/>
  <c r="Y127" i="15"/>
  <c r="Y128" i="15" s="1"/>
  <c r="X127" i="15"/>
  <c r="X128" i="15" s="1"/>
  <c r="W127" i="15"/>
  <c r="W128" i="15" s="1"/>
  <c r="V127" i="15"/>
  <c r="V128" i="15" s="1"/>
  <c r="U127" i="15"/>
  <c r="U128" i="15" s="1"/>
  <c r="S127" i="15"/>
  <c r="S128" i="15" s="1"/>
  <c r="Q127" i="15"/>
  <c r="Q128" i="15" s="1"/>
  <c r="P127" i="15"/>
  <c r="P128" i="15" s="1"/>
  <c r="C125" i="15"/>
  <c r="B129" i="15"/>
  <c r="B126" i="15"/>
  <c r="B47" i="29"/>
  <c r="D46" i="29"/>
  <c r="B46" i="29"/>
  <c r="P122" i="15"/>
  <c r="O122" i="15"/>
  <c r="H120" i="15"/>
  <c r="C120" i="15"/>
  <c r="B124" i="15"/>
  <c r="B121" i="15"/>
  <c r="D45" i="29"/>
  <c r="B45" i="29"/>
  <c r="U117" i="15"/>
  <c r="U118" i="15" s="1"/>
  <c r="R117" i="15"/>
  <c r="R118" i="15" s="1"/>
  <c r="Q117" i="15"/>
  <c r="Q118" i="15" s="1"/>
  <c r="P117" i="15"/>
  <c r="P118" i="15" s="1"/>
  <c r="H115" i="15"/>
  <c r="C115" i="15"/>
  <c r="B119" i="15"/>
  <c r="B116" i="15"/>
  <c r="D44" i="29"/>
  <c r="B44" i="29"/>
  <c r="X112" i="15"/>
  <c r="X113" i="15" s="1"/>
  <c r="W112" i="15"/>
  <c r="W113" i="15" s="1"/>
  <c r="V112" i="15"/>
  <c r="V113" i="15" s="1"/>
  <c r="U112" i="15"/>
  <c r="U113" i="15" s="1"/>
  <c r="S112" i="15"/>
  <c r="S113" i="15" s="1"/>
  <c r="Q112" i="15"/>
  <c r="Q113" i="15" s="1"/>
  <c r="P112" i="15"/>
  <c r="P113" i="15" s="1"/>
  <c r="C110" i="15"/>
  <c r="B114" i="15"/>
  <c r="B111" i="15"/>
  <c r="B43" i="29"/>
  <c r="B42" i="29"/>
  <c r="D41" i="29"/>
  <c r="B41" i="29"/>
  <c r="W107" i="15"/>
  <c r="W108" i="15" s="1"/>
  <c r="H105" i="15" s="1"/>
  <c r="U107" i="15"/>
  <c r="U108" i="15" s="1"/>
  <c r="T107" i="15"/>
  <c r="T108" i="15" s="1"/>
  <c r="R107" i="15"/>
  <c r="R108" i="15" s="1"/>
  <c r="Q107" i="15"/>
  <c r="Q108" i="15" s="1"/>
  <c r="P107" i="15"/>
  <c r="P108" i="15" s="1"/>
  <c r="C105" i="15"/>
  <c r="B109" i="15"/>
  <c r="B106" i="15"/>
  <c r="B40" i="29"/>
  <c r="D39" i="29"/>
  <c r="B39" i="29"/>
  <c r="V102" i="15"/>
  <c r="V103" i="15" s="1"/>
  <c r="S102" i="15"/>
  <c r="S103" i="15" s="1"/>
  <c r="Q102" i="15"/>
  <c r="Q103" i="15" s="1"/>
  <c r="P102" i="15"/>
  <c r="P103" i="15" s="1"/>
  <c r="O102" i="15"/>
  <c r="O103" i="15" s="1"/>
  <c r="H100" i="15"/>
  <c r="C100" i="15"/>
  <c r="B104" i="15"/>
  <c r="B101" i="15"/>
  <c r="D38" i="29"/>
  <c r="B38" i="29"/>
  <c r="W97" i="15"/>
  <c r="U97" i="15"/>
  <c r="U98" i="15" s="1"/>
  <c r="S97" i="15"/>
  <c r="S98" i="15" s="1"/>
  <c r="Q97" i="15"/>
  <c r="P97" i="15"/>
  <c r="C95" i="15"/>
  <c r="B99" i="15"/>
  <c r="B96" i="15"/>
  <c r="B37" i="29"/>
  <c r="D36" i="29"/>
  <c r="B36" i="29"/>
  <c r="W92" i="15"/>
  <c r="V92" i="15"/>
  <c r="V93" i="15" s="1"/>
  <c r="S92" i="15"/>
  <c r="S93" i="15" s="1"/>
  <c r="Q92" i="15"/>
  <c r="P92" i="15"/>
  <c r="C90" i="15"/>
  <c r="B94" i="15"/>
  <c r="B91" i="15"/>
  <c r="B35" i="29"/>
  <c r="D34" i="29"/>
  <c r="B34" i="29"/>
  <c r="V87" i="15"/>
  <c r="U87" i="15"/>
  <c r="U88" i="15" s="1"/>
  <c r="R87" i="15"/>
  <c r="R88" i="15" s="1"/>
  <c r="Q87" i="15"/>
  <c r="Q88" i="15" s="1"/>
  <c r="P87" i="15"/>
  <c r="C85" i="15"/>
  <c r="B89" i="15"/>
  <c r="B86" i="15"/>
  <c r="B33" i="29"/>
  <c r="B32" i="29"/>
  <c r="D31" i="29"/>
  <c r="B31" i="29"/>
  <c r="V82" i="15"/>
  <c r="S82" i="15"/>
  <c r="S83" i="15" s="1"/>
  <c r="R82" i="15"/>
  <c r="R83" i="15" s="1"/>
  <c r="P82" i="15"/>
  <c r="P83" i="15" s="1"/>
  <c r="C80" i="15"/>
  <c r="B84" i="15"/>
  <c r="B81" i="15"/>
  <c r="D30" i="29"/>
  <c r="B30" i="29"/>
  <c r="Q77" i="15"/>
  <c r="Q78" i="15" s="1"/>
  <c r="G75" i="15" s="1"/>
  <c r="P77" i="15"/>
  <c r="P78" i="15" s="1"/>
  <c r="H75" i="15"/>
  <c r="C75" i="15"/>
  <c r="B79" i="15"/>
  <c r="B76" i="15"/>
  <c r="D29" i="29"/>
  <c r="B29" i="29"/>
  <c r="H70" i="15"/>
  <c r="G70" i="15"/>
  <c r="F70" i="15"/>
  <c r="C70" i="15"/>
  <c r="B74" i="15"/>
  <c r="B71" i="15"/>
  <c r="D28" i="29"/>
  <c r="B28" i="29"/>
  <c r="R67" i="15"/>
  <c r="P67" i="15"/>
  <c r="C65" i="15"/>
  <c r="B69" i="15"/>
  <c r="B66" i="15"/>
  <c r="D27" i="29"/>
  <c r="B27" i="29"/>
  <c r="H60" i="15"/>
  <c r="G60" i="15"/>
  <c r="C60" i="15"/>
  <c r="B64" i="15"/>
  <c r="B61" i="15"/>
  <c r="D26" i="29"/>
  <c r="B26" i="29"/>
  <c r="G55" i="15"/>
  <c r="C55" i="15"/>
  <c r="B59" i="15"/>
  <c r="B56" i="15"/>
  <c r="D25" i="29"/>
  <c r="B25" i="29"/>
  <c r="H50" i="15"/>
  <c r="G50" i="15"/>
  <c r="C50" i="15"/>
  <c r="B54" i="15"/>
  <c r="B51" i="15"/>
  <c r="D24" i="29"/>
  <c r="B24" i="29"/>
  <c r="P47" i="15"/>
  <c r="G45" i="15"/>
  <c r="C45" i="15"/>
  <c r="B49" i="15"/>
  <c r="B46" i="15"/>
  <c r="B23" i="29"/>
  <c r="D22" i="29"/>
  <c r="B22" i="29"/>
  <c r="P42" i="15"/>
  <c r="G40" i="15"/>
  <c r="C40" i="15"/>
  <c r="B44" i="15"/>
  <c r="B41" i="15"/>
  <c r="B21" i="29"/>
  <c r="D20" i="29"/>
  <c r="B20" i="29"/>
  <c r="O37" i="15"/>
  <c r="O38" i="15" s="1"/>
  <c r="E35" i="15" s="1"/>
  <c r="F20" i="29" s="1"/>
  <c r="G20" i="29" s="1"/>
  <c r="H35" i="15"/>
  <c r="F35" i="15"/>
  <c r="C35" i="15"/>
  <c r="B39" i="15"/>
  <c r="B36" i="15"/>
  <c r="D19" i="29"/>
  <c r="B19" i="29"/>
  <c r="T32" i="15"/>
  <c r="T33" i="15" s="1"/>
  <c r="S32" i="15"/>
  <c r="S33" i="15" s="1"/>
  <c r="R32" i="15"/>
  <c r="R33" i="15" s="1"/>
  <c r="Q32" i="15"/>
  <c r="P32" i="15"/>
  <c r="H30" i="15"/>
  <c r="C30" i="15"/>
  <c r="B34" i="15"/>
  <c r="B31" i="15"/>
  <c r="D18" i="29"/>
  <c r="B18" i="29"/>
  <c r="R27" i="15"/>
  <c r="R28" i="15" s="1"/>
  <c r="Q27" i="15"/>
  <c r="Q28" i="15" s="1"/>
  <c r="P27" i="15"/>
  <c r="P28" i="15" s="1"/>
  <c r="H25" i="15"/>
  <c r="F25" i="15"/>
  <c r="C25" i="15"/>
  <c r="B29" i="15"/>
  <c r="B26" i="15"/>
  <c r="B17" i="29"/>
  <c r="D16" i="29"/>
  <c r="B16" i="29"/>
  <c r="T22" i="15"/>
  <c r="T23" i="15" s="1"/>
  <c r="Q22" i="15"/>
  <c r="P22" i="15"/>
  <c r="H20" i="15"/>
  <c r="C20" i="15"/>
  <c r="B24" i="15"/>
  <c r="B21" i="15"/>
  <c r="D15" i="29"/>
  <c r="B15" i="29"/>
  <c r="O17" i="15"/>
  <c r="O18" i="15" s="1"/>
  <c r="E15" i="15" s="1"/>
  <c r="F15" i="29" s="1"/>
  <c r="G15" i="29" s="1"/>
  <c r="H15" i="15"/>
  <c r="G15" i="15"/>
  <c r="F15" i="15"/>
  <c r="C15" i="15"/>
  <c r="B19" i="15"/>
  <c r="B16" i="15"/>
  <c r="D14" i="29"/>
  <c r="B14" i="29"/>
  <c r="S12" i="15"/>
  <c r="S13" i="15" s="1"/>
  <c r="R12" i="15"/>
  <c r="R13" i="15" s="1"/>
  <c r="Q12" i="15"/>
  <c r="Q13" i="15" s="1"/>
  <c r="H10" i="15"/>
  <c r="C10" i="15"/>
  <c r="B14" i="15"/>
  <c r="B11" i="15"/>
  <c r="D13" i="29"/>
  <c r="B13" i="29"/>
  <c r="X7" i="15"/>
  <c r="X8" i="15" s="1"/>
  <c r="U7" i="15"/>
  <c r="U8" i="15" s="1"/>
  <c r="T7" i="15"/>
  <c r="T8" i="15" s="1"/>
  <c r="S7" i="15"/>
  <c r="S8" i="15" s="1"/>
  <c r="Q7" i="15"/>
  <c r="Q8" i="15" s="1"/>
  <c r="C5" i="15"/>
  <c r="B9" i="15"/>
  <c r="B6" i="15"/>
  <c r="B12" i="29"/>
  <c r="B11" i="29"/>
  <c r="T212" i="15" l="1"/>
  <c r="T213" i="15" s="1"/>
  <c r="Q67" i="15"/>
  <c r="Q68" i="15" s="1"/>
  <c r="G65" i="15" s="1"/>
  <c r="Q82" i="15"/>
  <c r="Q83" i="15" s="1"/>
  <c r="S197" i="15"/>
  <c r="S198" i="15" s="1"/>
  <c r="T202" i="15"/>
  <c r="T203" i="15" s="1"/>
  <c r="P12" i="15"/>
  <c r="T87" i="15"/>
  <c r="T88" i="15" s="1"/>
  <c r="U92" i="15"/>
  <c r="U93" i="15" s="1"/>
  <c r="U102" i="15"/>
  <c r="U103" i="15" s="1"/>
  <c r="T112" i="15"/>
  <c r="T113" i="15" s="1"/>
  <c r="T132" i="15"/>
  <c r="T133" i="15" s="1"/>
  <c r="U147" i="15"/>
  <c r="U148" i="15" s="1"/>
  <c r="T297" i="15"/>
  <c r="T298" i="15" s="1"/>
  <c r="T117" i="15"/>
  <c r="T118" i="15" s="1"/>
  <c r="T177" i="15"/>
  <c r="T178" i="15" s="1"/>
  <c r="S242" i="15"/>
  <c r="S243" i="15" s="1"/>
  <c r="T242" i="15"/>
  <c r="T243" i="15" s="1"/>
  <c r="T217" i="15"/>
  <c r="T218" i="15" s="1"/>
  <c r="S212" i="15"/>
  <c r="S213" i="15" s="1"/>
  <c r="Q347" i="15"/>
  <c r="Q348" i="15" s="1"/>
  <c r="R22" i="15"/>
  <c r="R23" i="15" s="1"/>
  <c r="R157" i="15"/>
  <c r="R158" i="15" s="1"/>
  <c r="R92" i="15"/>
  <c r="R93" i="15" s="1"/>
  <c r="R97" i="15"/>
  <c r="R98" i="15" s="1"/>
  <c r="R177" i="15"/>
  <c r="R178" i="15" s="1"/>
  <c r="R142" i="15"/>
  <c r="R143" i="15" s="1"/>
  <c r="R127" i="15"/>
  <c r="R128" i="15" s="1"/>
  <c r="R112" i="15"/>
  <c r="R113" i="15" s="1"/>
  <c r="U192" i="15"/>
  <c r="U193" i="15" s="1"/>
  <c r="U197" i="15"/>
  <c r="U198" i="15" s="1"/>
  <c r="V247" i="15"/>
  <c r="V248" i="15" s="1"/>
  <c r="V267" i="15"/>
  <c r="V268" i="15" s="1"/>
  <c r="P362" i="15"/>
  <c r="P363" i="15" s="1"/>
  <c r="P357" i="15"/>
  <c r="P358" i="15" s="1"/>
  <c r="Q352" i="15"/>
  <c r="Q353" i="15" s="1"/>
  <c r="G350" i="15" s="1"/>
  <c r="R387" i="15"/>
  <c r="R388" i="15" s="1"/>
  <c r="S367" i="15"/>
  <c r="S368" i="15" s="1"/>
  <c r="S377" i="15"/>
  <c r="S378" i="15" s="1"/>
  <c r="S372" i="15"/>
  <c r="S373" i="15" s="1"/>
  <c r="S382" i="15"/>
  <c r="S383" i="15" s="1"/>
  <c r="AE372" i="15"/>
  <c r="AE373" i="15" s="1"/>
  <c r="AE367" i="15"/>
  <c r="AE368" i="15" s="1"/>
  <c r="AD377" i="15"/>
  <c r="AD378" i="15" s="1"/>
  <c r="AC382" i="15"/>
  <c r="AC383" i="15" s="1"/>
  <c r="T92" i="15"/>
  <c r="T93" i="15" s="1"/>
  <c r="R7" i="15"/>
  <c r="R8" i="15" s="1"/>
  <c r="T97" i="15"/>
  <c r="T98" i="15" s="1"/>
  <c r="S87" i="15"/>
  <c r="S88" i="15" s="1"/>
  <c r="S107" i="15"/>
  <c r="S108" i="15" s="1"/>
  <c r="G105" i="15" s="1"/>
  <c r="W372" i="15"/>
  <c r="W373" i="15" s="1"/>
  <c r="W382" i="15"/>
  <c r="W383" i="15" s="1"/>
  <c r="W377" i="15"/>
  <c r="W378" i="15" s="1"/>
  <c r="W367" i="15"/>
  <c r="W368" i="15" s="1"/>
  <c r="T387" i="15"/>
  <c r="T388" i="15" s="1"/>
  <c r="S422" i="15"/>
  <c r="S423" i="15" s="1"/>
  <c r="S442" i="15"/>
  <c r="S443" i="15" s="1"/>
  <c r="AA367" i="15"/>
  <c r="AA368" i="15" s="1"/>
  <c r="AA372" i="15"/>
  <c r="AA373" i="15" s="1"/>
  <c r="T272" i="15"/>
  <c r="T273" i="15" s="1"/>
  <c r="T82" i="15"/>
  <c r="T83" i="15" s="1"/>
  <c r="H80" i="15" s="1"/>
  <c r="Q137" i="15"/>
  <c r="Q138" i="15" s="1"/>
  <c r="Q122" i="15"/>
  <c r="Q123" i="15" s="1"/>
  <c r="Q187" i="15"/>
  <c r="Q188" i="15" s="1"/>
  <c r="Q172" i="15"/>
  <c r="Q173" i="15" s="1"/>
  <c r="V117" i="15"/>
  <c r="V118" i="15" s="1"/>
  <c r="Q152" i="15"/>
  <c r="Q153" i="15" s="1"/>
  <c r="AI367" i="15"/>
  <c r="AI368" i="15" s="1"/>
  <c r="AI372" i="15"/>
  <c r="AI373" i="15" s="1"/>
  <c r="R437" i="15"/>
  <c r="R438" i="15" s="1"/>
  <c r="S417" i="15"/>
  <c r="S418" i="15" s="1"/>
  <c r="R432" i="15"/>
  <c r="R433" i="15" s="1"/>
  <c r="S427" i="15"/>
  <c r="S428" i="15" s="1"/>
  <c r="O422" i="15"/>
  <c r="O423" i="15" s="1"/>
  <c r="F420" i="15" s="1"/>
  <c r="U422" i="15" s="1"/>
  <c r="U423" i="15" s="1"/>
  <c r="O432" i="15"/>
  <c r="O433" i="15" s="1"/>
  <c r="F430" i="15" s="1"/>
  <c r="T432" i="15" s="1"/>
  <c r="T433" i="15" s="1"/>
  <c r="Q442" i="15"/>
  <c r="Q443" i="15" s="1"/>
  <c r="G440" i="15" s="1"/>
  <c r="O462" i="15"/>
  <c r="O463" i="15" s="1"/>
  <c r="W98" i="15"/>
  <c r="H95" i="15" s="1"/>
  <c r="R237" i="15"/>
  <c r="R238" i="15" s="1"/>
  <c r="O272" i="15"/>
  <c r="O273" i="15" s="1"/>
  <c r="P43" i="15"/>
  <c r="H40" i="15" s="1"/>
  <c r="O67" i="15"/>
  <c r="O68" i="15" s="1"/>
  <c r="O92" i="15"/>
  <c r="O93" i="15" s="1"/>
  <c r="S117" i="15"/>
  <c r="S118" i="15" s="1"/>
  <c r="G115" i="15" s="1"/>
  <c r="Q132" i="15"/>
  <c r="Q133" i="15" s="1"/>
  <c r="G130" i="15" s="1"/>
  <c r="P148" i="15"/>
  <c r="P153" i="15"/>
  <c r="O167" i="15"/>
  <c r="O168" i="15" s="1"/>
  <c r="S182" i="15"/>
  <c r="S183" i="15" s="1"/>
  <c r="R192" i="15"/>
  <c r="R193" i="15" s="1"/>
  <c r="O217" i="15"/>
  <c r="O218" i="15" s="1"/>
  <c r="P233" i="15"/>
  <c r="Q248" i="15"/>
  <c r="R262" i="15"/>
  <c r="R263" i="15" s="1"/>
  <c r="P268" i="15"/>
  <c r="X268" i="15"/>
  <c r="H265" i="15" s="1"/>
  <c r="P273" i="15"/>
  <c r="V278" i="15"/>
  <c r="P288" i="15"/>
  <c r="O297" i="15"/>
  <c r="O298" i="15" s="1"/>
  <c r="P343" i="15"/>
  <c r="O348" i="15"/>
  <c r="W348" i="15"/>
  <c r="O353" i="15"/>
  <c r="O367" i="15"/>
  <c r="O368" i="15" s="1"/>
  <c r="U387" i="15"/>
  <c r="U388" i="15" s="1"/>
  <c r="Q462" i="15"/>
  <c r="Q463" i="15" s="1"/>
  <c r="G460" i="15" s="1"/>
  <c r="O467" i="15"/>
  <c r="O468" i="15" s="1"/>
  <c r="F465" i="15" s="1"/>
  <c r="S467" i="15" s="1"/>
  <c r="S468" i="15" s="1"/>
  <c r="E465" i="15" s="1"/>
  <c r="F137" i="29" s="1"/>
  <c r="G137" i="29" s="1"/>
  <c r="O342" i="15"/>
  <c r="O343" i="15" s="1"/>
  <c r="F340" i="15" s="1"/>
  <c r="R342" i="15" s="1"/>
  <c r="R343" i="15" s="1"/>
  <c r="E340" i="15" s="1"/>
  <c r="F106" i="29" s="1"/>
  <c r="G106" i="29" s="1"/>
  <c r="G105" i="29" s="1"/>
  <c r="O57" i="15"/>
  <c r="O58" i="15" s="1"/>
  <c r="F55" i="15" s="1"/>
  <c r="R57" i="15" s="1"/>
  <c r="R58" i="15" s="1"/>
  <c r="P98" i="15"/>
  <c r="Q23" i="15"/>
  <c r="O32" i="15"/>
  <c r="O33" i="15" s="1"/>
  <c r="P48" i="15"/>
  <c r="H45" i="15" s="1"/>
  <c r="O52" i="15"/>
  <c r="O53" i="15" s="1"/>
  <c r="F50" i="15" s="1"/>
  <c r="P52" i="15" s="1"/>
  <c r="P53" i="15" s="1"/>
  <c r="P68" i="15"/>
  <c r="U82" i="15"/>
  <c r="U83" i="15" s="1"/>
  <c r="V88" i="15"/>
  <c r="H85" i="15" s="1"/>
  <c r="P93" i="15"/>
  <c r="Q98" i="15"/>
  <c r="R102" i="15"/>
  <c r="R103" i="15" s="1"/>
  <c r="G100" i="15" s="1"/>
  <c r="T127" i="15"/>
  <c r="T128" i="15" s="1"/>
  <c r="G125" i="15" s="1"/>
  <c r="Q148" i="15"/>
  <c r="O157" i="15"/>
  <c r="O158" i="15" s="1"/>
  <c r="W158" i="15"/>
  <c r="P168" i="15"/>
  <c r="O173" i="15"/>
  <c r="O188" i="15"/>
  <c r="S192" i="15"/>
  <c r="S193" i="15" s="1"/>
  <c r="R207" i="15"/>
  <c r="R208" i="15" s="1"/>
  <c r="P218" i="15"/>
  <c r="R222" i="15"/>
  <c r="R223" i="15" s="1"/>
  <c r="E220" i="15" s="1"/>
  <c r="F73" i="29" s="1"/>
  <c r="G73" i="29" s="1"/>
  <c r="Q232" i="15"/>
  <c r="Q233" i="15" s="1"/>
  <c r="O242" i="15"/>
  <c r="O243" i="15" s="1"/>
  <c r="Q268" i="15"/>
  <c r="Q272" i="15"/>
  <c r="Q273" i="15" s="1"/>
  <c r="O277" i="15"/>
  <c r="O278" i="15" s="1"/>
  <c r="O283" i="15"/>
  <c r="E280" i="15" s="1"/>
  <c r="F96" i="1" s="1"/>
  <c r="P298" i="15"/>
  <c r="P348" i="15"/>
  <c r="F345" i="15" s="1"/>
  <c r="X347" i="15" s="1"/>
  <c r="X348" i="15" s="1"/>
  <c r="E345" i="15" s="1"/>
  <c r="F108" i="29" s="1"/>
  <c r="G108" i="29" s="1"/>
  <c r="G107" i="29" s="1"/>
  <c r="P352" i="15"/>
  <c r="P353" i="15" s="1"/>
  <c r="P368" i="15"/>
  <c r="X367" i="15"/>
  <c r="X368" i="15" s="1"/>
  <c r="AD382" i="15"/>
  <c r="AD383" i="15" s="1"/>
  <c r="Q422" i="15"/>
  <c r="Q423" i="15" s="1"/>
  <c r="G420" i="15" s="1"/>
  <c r="O447" i="15"/>
  <c r="O448" i="15" s="1"/>
  <c r="E445" i="15" s="1"/>
  <c r="F132" i="29" s="1"/>
  <c r="G132" i="29" s="1"/>
  <c r="P468" i="15"/>
  <c r="O267" i="15"/>
  <c r="O268" i="15" s="1"/>
  <c r="W93" i="15"/>
  <c r="H90" i="15" s="1"/>
  <c r="O7" i="15"/>
  <c r="O8" i="15" s="1"/>
  <c r="O12" i="15"/>
  <c r="O13" i="15" s="1"/>
  <c r="P33" i="15"/>
  <c r="O62" i="15"/>
  <c r="O63" i="15" s="1"/>
  <c r="F60" i="15" s="1"/>
  <c r="P62" i="15" s="1"/>
  <c r="P63" i="15" s="1"/>
  <c r="V83" i="15"/>
  <c r="O87" i="15"/>
  <c r="O88" i="15" s="1"/>
  <c r="Q93" i="15"/>
  <c r="O123" i="15"/>
  <c r="F120" i="15" s="1"/>
  <c r="S122" i="15" s="1"/>
  <c r="S123" i="15" s="1"/>
  <c r="E120" i="15" s="1"/>
  <c r="F46" i="29" s="1"/>
  <c r="G46" i="29" s="1"/>
  <c r="S132" i="15"/>
  <c r="S133" i="15" s="1"/>
  <c r="R147" i="15"/>
  <c r="R148" i="15" s="1"/>
  <c r="R152" i="15"/>
  <c r="R153" i="15" s="1"/>
  <c r="P158" i="15"/>
  <c r="X158" i="15"/>
  <c r="O162" i="15"/>
  <c r="O163" i="15" s="1"/>
  <c r="P173" i="15"/>
  <c r="F170" i="15" s="1"/>
  <c r="S172" i="15" s="1"/>
  <c r="S173" i="15" s="1"/>
  <c r="P188" i="15"/>
  <c r="V197" i="15"/>
  <c r="V198" i="15" s="1"/>
  <c r="O202" i="15"/>
  <c r="O203" i="15" s="1"/>
  <c r="S207" i="15"/>
  <c r="S208" i="15" s="1"/>
  <c r="V213" i="15"/>
  <c r="H210" i="15" s="1"/>
  <c r="S222" i="15"/>
  <c r="S223" i="15" s="1"/>
  <c r="R232" i="15"/>
  <c r="R233" i="15" s="1"/>
  <c r="P243" i="15"/>
  <c r="F240" i="15" s="1"/>
  <c r="S247" i="15"/>
  <c r="S248" i="15" s="1"/>
  <c r="P278" i="15"/>
  <c r="Q367" i="15"/>
  <c r="Q368" i="15" s="1"/>
  <c r="Y367" i="15"/>
  <c r="Y368" i="15" s="1"/>
  <c r="O377" i="15"/>
  <c r="O378" i="15" s="1"/>
  <c r="O382" i="15"/>
  <c r="O383" i="15" s="1"/>
  <c r="AE382" i="15"/>
  <c r="AE383" i="15" s="1"/>
  <c r="O387" i="15"/>
  <c r="O388" i="15" s="1"/>
  <c r="F385" i="15" s="1"/>
  <c r="Z387" i="15" s="1"/>
  <c r="Z388" i="15" s="1"/>
  <c r="E385" i="15" s="1"/>
  <c r="F118" i="29" s="1"/>
  <c r="G118" i="29" s="1"/>
  <c r="O417" i="15"/>
  <c r="O418" i="15" s="1"/>
  <c r="O437" i="15"/>
  <c r="O438" i="15" s="1"/>
  <c r="P448" i="15"/>
  <c r="O452" i="15"/>
  <c r="O453" i="15" s="1"/>
  <c r="Q467" i="15"/>
  <c r="Q468" i="15" s="1"/>
  <c r="O472" i="15"/>
  <c r="O473" i="15" s="1"/>
  <c r="O97" i="15"/>
  <c r="O98" i="15" s="1"/>
  <c r="P23" i="15"/>
  <c r="O47" i="15"/>
  <c r="O48" i="15" s="1"/>
  <c r="P13" i="15"/>
  <c r="S22" i="15"/>
  <c r="S23" i="15" s="1"/>
  <c r="Q33" i="15"/>
  <c r="F30" i="15" s="1"/>
  <c r="V32" i="15" s="1"/>
  <c r="V33" i="15" s="1"/>
  <c r="E30" i="15" s="1"/>
  <c r="F19" i="29" s="1"/>
  <c r="G19" i="29" s="1"/>
  <c r="R68" i="15"/>
  <c r="H65" i="15" s="1"/>
  <c r="O77" i="15"/>
  <c r="O78" i="15" s="1"/>
  <c r="F75" i="15" s="1"/>
  <c r="R77" i="15" s="1"/>
  <c r="R78" i="15" s="1"/>
  <c r="E75" i="15" s="1"/>
  <c r="F30" i="29" s="1"/>
  <c r="G30" i="29" s="1"/>
  <c r="O82" i="15"/>
  <c r="O83" i="15" s="1"/>
  <c r="P88" i="15"/>
  <c r="T102" i="15"/>
  <c r="T103" i="15" s="1"/>
  <c r="P123" i="15"/>
  <c r="O138" i="15"/>
  <c r="Q158" i="15"/>
  <c r="Y158" i="15"/>
  <c r="P163" i="15"/>
  <c r="O177" i="15"/>
  <c r="O178" i="15" s="1"/>
  <c r="W178" i="15"/>
  <c r="H175" i="15" s="1"/>
  <c r="O197" i="15"/>
  <c r="O198" i="15" s="1"/>
  <c r="F195" i="15" s="1"/>
  <c r="P203" i="15"/>
  <c r="T207" i="15"/>
  <c r="T208" i="15" s="1"/>
  <c r="O212" i="15"/>
  <c r="O213" i="15" s="1"/>
  <c r="R217" i="15"/>
  <c r="R218" i="15" s="1"/>
  <c r="S267" i="15"/>
  <c r="S268" i="15" s="1"/>
  <c r="G265" i="15" s="1"/>
  <c r="Q278" i="15"/>
  <c r="F275" i="15" s="1"/>
  <c r="O292" i="15"/>
  <c r="O293" i="15" s="1"/>
  <c r="R297" i="15"/>
  <c r="R298" i="15" s="1"/>
  <c r="P378" i="15"/>
  <c r="X377" i="15"/>
  <c r="X378" i="15" s="1"/>
  <c r="P383" i="15"/>
  <c r="F380" i="15" s="1"/>
  <c r="AG382" i="15" s="1"/>
  <c r="AG383" i="15" s="1"/>
  <c r="X382" i="15"/>
  <c r="X383" i="15" s="1"/>
  <c r="P388" i="15"/>
  <c r="O392" i="15"/>
  <c r="O393" i="15" s="1"/>
  <c r="F390" i="15" s="1"/>
  <c r="R392" i="15" s="1"/>
  <c r="R393" i="15" s="1"/>
  <c r="E390" i="15" s="1"/>
  <c r="F119" i="29" s="1"/>
  <c r="G119" i="29" s="1"/>
  <c r="P418" i="15"/>
  <c r="O427" i="15"/>
  <c r="O428" i="15" s="1"/>
  <c r="S432" i="15"/>
  <c r="S433" i="15" s="1"/>
  <c r="P438" i="15"/>
  <c r="P453" i="15"/>
  <c r="O22" i="15"/>
  <c r="O23" i="15" s="1"/>
  <c r="O42" i="15"/>
  <c r="O43" i="15" s="1"/>
  <c r="F40" i="15" s="1"/>
  <c r="O147" i="15"/>
  <c r="O148" i="15" s="1"/>
  <c r="F145" i="15" s="1"/>
  <c r="Y147" i="15" s="1"/>
  <c r="Y148" i="15" s="1"/>
  <c r="T162" i="15"/>
  <c r="T163" i="15" s="1"/>
  <c r="O232" i="15"/>
  <c r="O233" i="15" s="1"/>
  <c r="O287" i="15"/>
  <c r="O288" i="15" s="1"/>
  <c r="F285" i="15" s="1"/>
  <c r="O107" i="15"/>
  <c r="O108" i="15" s="1"/>
  <c r="F105" i="15" s="1"/>
  <c r="X107" i="15" s="1"/>
  <c r="X108" i="15" s="1"/>
  <c r="E105" i="15" s="1"/>
  <c r="F41" i="29" s="1"/>
  <c r="G41" i="29" s="1"/>
  <c r="G40" i="29" s="1"/>
  <c r="O112" i="15"/>
  <c r="O113" i="15" s="1"/>
  <c r="O117" i="15"/>
  <c r="O118" i="15" s="1"/>
  <c r="O127" i="15"/>
  <c r="O128" i="15" s="1"/>
  <c r="E125" i="15" s="1"/>
  <c r="F48" i="29" s="1"/>
  <c r="G48" i="29" s="1"/>
  <c r="P138" i="15"/>
  <c r="Q163" i="15"/>
  <c r="R172" i="15"/>
  <c r="R173" i="15" s="1"/>
  <c r="O182" i="15"/>
  <c r="O183" i="15" s="1"/>
  <c r="R187" i="15"/>
  <c r="R188" i="15" s="1"/>
  <c r="G185" i="15" s="1"/>
  <c r="S217" i="15"/>
  <c r="S218" i="15" s="1"/>
  <c r="G215" i="15" s="1"/>
  <c r="T233" i="15"/>
  <c r="H230" i="15" s="1"/>
  <c r="O237" i="15"/>
  <c r="O238" i="15" s="1"/>
  <c r="F235" i="15" s="1"/>
  <c r="V237" i="15" s="1"/>
  <c r="V238" i="15" s="1"/>
  <c r="E235" i="15" s="1"/>
  <c r="F76" i="29" s="1"/>
  <c r="G76" i="29" s="1"/>
  <c r="R242" i="15"/>
  <c r="R243" i="15" s="1"/>
  <c r="G240" i="15" s="1"/>
  <c r="P293" i="15"/>
  <c r="Q377" i="15"/>
  <c r="Q378" i="15" s="1"/>
  <c r="Y377" i="15"/>
  <c r="Y378" i="15" s="1"/>
  <c r="Q382" i="15"/>
  <c r="Q383" i="15" s="1"/>
  <c r="O397" i="15"/>
  <c r="O398" i="15" s="1"/>
  <c r="Q417" i="15"/>
  <c r="Q418" i="15" s="1"/>
  <c r="P488" i="15"/>
  <c r="O142" i="15"/>
  <c r="O143" i="15" s="1"/>
  <c r="E140" i="15" s="1"/>
  <c r="F52" i="29" s="1"/>
  <c r="G52" i="29" s="1"/>
  <c r="R162" i="15"/>
  <c r="R163" i="15" s="1"/>
  <c r="G160" i="15" s="1"/>
  <c r="O192" i="15"/>
  <c r="O193" i="15" s="1"/>
  <c r="F190" i="15" s="1"/>
  <c r="V208" i="15"/>
  <c r="H205" i="15" s="1"/>
  <c r="O252" i="15"/>
  <c r="O253" i="15" s="1"/>
  <c r="E250" i="15" s="1"/>
  <c r="F80" i="29" s="1"/>
  <c r="G80" i="29" s="1"/>
  <c r="O262" i="15"/>
  <c r="O263" i="15" s="1"/>
  <c r="O372" i="15"/>
  <c r="O373" i="15" s="1"/>
  <c r="F370" i="15" s="1"/>
  <c r="AL372" i="15" s="1"/>
  <c r="AL373" i="15" s="1"/>
  <c r="E370" i="15" s="1"/>
  <c r="F115" i="29" s="1"/>
  <c r="G115" i="29" s="1"/>
  <c r="O402" i="15"/>
  <c r="O403" i="15" s="1"/>
  <c r="F400" i="15" s="1"/>
  <c r="R402" i="15" s="1"/>
  <c r="R403" i="15" s="1"/>
  <c r="E400" i="15" s="1"/>
  <c r="F121" i="29" s="1"/>
  <c r="G121" i="29" s="1"/>
  <c r="O442" i="15"/>
  <c r="O443" i="15" s="1"/>
  <c r="F440" i="15" s="1"/>
  <c r="U442" i="15" s="1"/>
  <c r="U443" i="15" s="1"/>
  <c r="E440" i="15" s="1"/>
  <c r="F131" i="29" s="1"/>
  <c r="G131" i="29" s="1"/>
  <c r="P472" i="15"/>
  <c r="P473" i="15" s="1"/>
  <c r="P462" i="15"/>
  <c r="P463" i="15" s="1"/>
  <c r="F460" i="15" s="1"/>
  <c r="S462" i="15" s="1"/>
  <c r="S463" i="15" s="1"/>
  <c r="O482" i="15"/>
  <c r="O483" i="15" s="1"/>
  <c r="F480" i="15" s="1"/>
  <c r="U482" i="15" s="1"/>
  <c r="U483" i="15" s="1"/>
  <c r="E480" i="15" s="1"/>
  <c r="F140" i="29" s="1"/>
  <c r="G140" i="29" s="1"/>
  <c r="G485" i="15"/>
  <c r="G480" i="15"/>
  <c r="F485" i="15"/>
  <c r="U487" i="15" s="1"/>
  <c r="U488" i="15" s="1"/>
  <c r="E485" i="15" s="1"/>
  <c r="F141" i="29" s="1"/>
  <c r="G141" i="29" s="1"/>
  <c r="G470" i="15"/>
  <c r="E475" i="15"/>
  <c r="F139" i="29" s="1"/>
  <c r="G139" i="29" s="1"/>
  <c r="G475" i="15"/>
  <c r="G465" i="15"/>
  <c r="E455" i="15"/>
  <c r="F134" i="29" s="1"/>
  <c r="G134" i="29" s="1"/>
  <c r="G455" i="15"/>
  <c r="G450" i="15"/>
  <c r="E450" i="15"/>
  <c r="F133" i="29" s="1"/>
  <c r="G133" i="29" s="1"/>
  <c r="F450" i="15"/>
  <c r="G435" i="15"/>
  <c r="G425" i="15"/>
  <c r="F435" i="15"/>
  <c r="T437" i="15" s="1"/>
  <c r="T438" i="15" s="1"/>
  <c r="E435" i="15" s="1"/>
  <c r="F130" i="29" s="1"/>
  <c r="G130" i="29" s="1"/>
  <c r="G430" i="15"/>
  <c r="F425" i="15"/>
  <c r="U427" i="15" s="1"/>
  <c r="U428" i="15" s="1"/>
  <c r="G415" i="15"/>
  <c r="E405" i="15"/>
  <c r="F122" i="29" s="1"/>
  <c r="G122" i="29" s="1"/>
  <c r="F395" i="15"/>
  <c r="R397" i="15" s="1"/>
  <c r="R398" i="15" s="1"/>
  <c r="E395" i="15" s="1"/>
  <c r="F120" i="29" s="1"/>
  <c r="G120" i="29" s="1"/>
  <c r="G375" i="15"/>
  <c r="F375" i="15"/>
  <c r="AG377" i="15" s="1"/>
  <c r="AG378" i="15" s="1"/>
  <c r="F365" i="15"/>
  <c r="AL367" i="15" s="1"/>
  <c r="AL368" i="15" s="1"/>
  <c r="G360" i="15"/>
  <c r="F360" i="15"/>
  <c r="T362" i="15" s="1"/>
  <c r="T363" i="15" s="1"/>
  <c r="E360" i="15" s="1"/>
  <c r="F112" i="29" s="1"/>
  <c r="G112" i="29" s="1"/>
  <c r="G355" i="15"/>
  <c r="F355" i="15"/>
  <c r="S357" i="15" s="1"/>
  <c r="S358" i="15" s="1"/>
  <c r="H345" i="15"/>
  <c r="F350" i="15"/>
  <c r="T352" i="15" s="1"/>
  <c r="T353" i="15" s="1"/>
  <c r="G345" i="15"/>
  <c r="E315" i="15"/>
  <c r="F98" i="29" s="1"/>
  <c r="G98" i="29" s="1"/>
  <c r="G315" i="15"/>
  <c r="E310" i="15"/>
  <c r="F97" i="29" s="1"/>
  <c r="G97" i="29" s="1"/>
  <c r="G310" i="15"/>
  <c r="G305" i="15"/>
  <c r="E305" i="15"/>
  <c r="F96" i="29" s="1"/>
  <c r="G96" i="29" s="1"/>
  <c r="G300" i="15"/>
  <c r="G290" i="15"/>
  <c r="E300" i="15"/>
  <c r="F93" i="29" s="1"/>
  <c r="G93" i="29" s="1"/>
  <c r="G92" i="29" s="1"/>
  <c r="G295" i="15"/>
  <c r="F300" i="15"/>
  <c r="G285" i="15"/>
  <c r="H275" i="15"/>
  <c r="G275" i="15"/>
  <c r="G270" i="15"/>
  <c r="F270" i="15"/>
  <c r="G260" i="15"/>
  <c r="F260" i="15"/>
  <c r="G250" i="15"/>
  <c r="E255" i="15"/>
  <c r="F255" i="15"/>
  <c r="G245" i="15"/>
  <c r="E245" i="15"/>
  <c r="F79" i="29" s="1"/>
  <c r="G79" i="29" s="1"/>
  <c r="F245" i="15"/>
  <c r="E240" i="15"/>
  <c r="F77" i="29" s="1"/>
  <c r="G77" i="29" s="1"/>
  <c r="G235" i="15"/>
  <c r="F205" i="15"/>
  <c r="G205" i="15"/>
  <c r="G210" i="15"/>
  <c r="E225" i="15"/>
  <c r="G225" i="15"/>
  <c r="F220" i="15"/>
  <c r="F215" i="15"/>
  <c r="F210" i="15"/>
  <c r="G200" i="15"/>
  <c r="E200" i="15"/>
  <c r="F69" i="29" s="1"/>
  <c r="G69" i="29" s="1"/>
  <c r="G195" i="15"/>
  <c r="E195" i="15"/>
  <c r="F67" i="29" s="1"/>
  <c r="G67" i="29" s="1"/>
  <c r="G170" i="15"/>
  <c r="F185" i="15"/>
  <c r="S187" i="15" s="1"/>
  <c r="S188" i="15" s="1"/>
  <c r="E185" i="15" s="1"/>
  <c r="F63" i="29" s="1"/>
  <c r="G63" i="29" s="1"/>
  <c r="G180" i="15"/>
  <c r="F180" i="15"/>
  <c r="V182" i="15" s="1"/>
  <c r="V183" i="15" s="1"/>
  <c r="E180" i="15" s="1"/>
  <c r="F62" i="29" s="1"/>
  <c r="G62" i="29" s="1"/>
  <c r="G175" i="15"/>
  <c r="H155" i="15"/>
  <c r="F165" i="15"/>
  <c r="R167" i="15" s="1"/>
  <c r="R168" i="15" s="1"/>
  <c r="E165" i="15" s="1"/>
  <c r="F58" i="29" s="1"/>
  <c r="G58" i="29" s="1"/>
  <c r="G155" i="15"/>
  <c r="F150" i="15"/>
  <c r="S152" i="15" s="1"/>
  <c r="S153" i="15" s="1"/>
  <c r="G145" i="15"/>
  <c r="H125" i="15"/>
  <c r="G135" i="15"/>
  <c r="H140" i="15"/>
  <c r="G140" i="15"/>
  <c r="F135" i="15"/>
  <c r="S137" i="15" s="1"/>
  <c r="S138" i="15" s="1"/>
  <c r="E135" i="15" s="1"/>
  <c r="F50" i="29" s="1"/>
  <c r="G50" i="29" s="1"/>
  <c r="F130" i="15"/>
  <c r="V132" i="15" s="1"/>
  <c r="V133" i="15" s="1"/>
  <c r="G120" i="15"/>
  <c r="F115" i="15"/>
  <c r="W117" i="15" s="1"/>
  <c r="W118" i="15" s="1"/>
  <c r="H110" i="15"/>
  <c r="G110" i="15"/>
  <c r="F110" i="15"/>
  <c r="Y112" i="15" s="1"/>
  <c r="Y113" i="15" s="1"/>
  <c r="E110" i="15" s="1"/>
  <c r="F44" i="29" s="1"/>
  <c r="G44" i="29" s="1"/>
  <c r="F100" i="15"/>
  <c r="W102" i="15" s="1"/>
  <c r="W103" i="15" s="1"/>
  <c r="G95" i="15"/>
  <c r="G90" i="15"/>
  <c r="G85" i="15"/>
  <c r="G80" i="15"/>
  <c r="H55" i="15"/>
  <c r="E60" i="15"/>
  <c r="F27" i="29" s="1"/>
  <c r="G27" i="29" s="1"/>
  <c r="E55" i="15"/>
  <c r="F26" i="29" s="1"/>
  <c r="G26" i="29" s="1"/>
  <c r="E50" i="15"/>
  <c r="F25" i="29" s="1"/>
  <c r="G25" i="29" s="1"/>
  <c r="F45" i="15"/>
  <c r="G35" i="15"/>
  <c r="G30" i="15"/>
  <c r="G25" i="15"/>
  <c r="G20" i="15"/>
  <c r="E25" i="15"/>
  <c r="F18" i="29" s="1"/>
  <c r="G18" i="29" s="1"/>
  <c r="G17" i="29" s="1"/>
  <c r="G10" i="15"/>
  <c r="E10" i="15"/>
  <c r="F14" i="29" s="1"/>
  <c r="G14" i="29" s="1"/>
  <c r="H5" i="15"/>
  <c r="F10" i="15"/>
  <c r="G5" i="15"/>
  <c r="E5" i="15"/>
  <c r="F13" i="29" s="1"/>
  <c r="G13" i="29" s="1"/>
  <c r="F5" i="15"/>
  <c r="G94" i="29" l="1"/>
  <c r="G95" i="29"/>
  <c r="G43" i="29"/>
  <c r="G75" i="29"/>
  <c r="E270" i="15"/>
  <c r="E145" i="15"/>
  <c r="F53" i="29" s="1"/>
  <c r="G53" i="29" s="1"/>
  <c r="G51" i="29" s="1"/>
  <c r="E175" i="15"/>
  <c r="F61" i="29" s="1"/>
  <c r="G61" i="29" s="1"/>
  <c r="G60" i="29" s="1"/>
  <c r="F200" i="15"/>
  <c r="F85" i="15"/>
  <c r="F90" i="15"/>
  <c r="X92" i="15" s="1"/>
  <c r="X93" i="15" s="1"/>
  <c r="E90" i="15" s="1"/>
  <c r="F36" i="29" s="1"/>
  <c r="G36" i="29" s="1"/>
  <c r="G35" i="29" s="1"/>
  <c r="E205" i="15"/>
  <c r="F70" i="29" s="1"/>
  <c r="G70" i="29" s="1"/>
  <c r="G68" i="29" s="1"/>
  <c r="G385" i="15"/>
  <c r="F65" i="15"/>
  <c r="S67" i="15" s="1"/>
  <c r="S68" i="15" s="1"/>
  <c r="E65" i="15" s="1"/>
  <c r="F28" i="29" s="1"/>
  <c r="G28" i="29" s="1"/>
  <c r="E130" i="15"/>
  <c r="F49" i="29" s="1"/>
  <c r="G49" i="29" s="1"/>
  <c r="G47" i="29" s="1"/>
  <c r="F290" i="15"/>
  <c r="F20" i="15"/>
  <c r="U22" i="15" s="1"/>
  <c r="U23" i="15" s="1"/>
  <c r="E20" i="15" s="1"/>
  <c r="F16" i="29" s="1"/>
  <c r="G16" i="29" s="1"/>
  <c r="G12" i="29" s="1"/>
  <c r="E170" i="15"/>
  <c r="F59" i="29" s="1"/>
  <c r="G59" i="29" s="1"/>
  <c r="F230" i="15"/>
  <c r="E210" i="15"/>
  <c r="F71" i="29" s="1"/>
  <c r="G71" i="29" s="1"/>
  <c r="F95" i="15"/>
  <c r="X97" i="15" s="1"/>
  <c r="X98" i="15" s="1"/>
  <c r="E95" i="15" s="1"/>
  <c r="F38" i="29" s="1"/>
  <c r="G38" i="29" s="1"/>
  <c r="G37" i="29" s="1"/>
  <c r="G365" i="15"/>
  <c r="F160" i="15"/>
  <c r="W162" i="15" s="1"/>
  <c r="W163" i="15" s="1"/>
  <c r="E160" i="15" s="1"/>
  <c r="F57" i="29" s="1"/>
  <c r="G57" i="29" s="1"/>
  <c r="E215" i="15"/>
  <c r="F72" i="29" s="1"/>
  <c r="G72" i="29" s="1"/>
  <c r="G150" i="15"/>
  <c r="G190" i="15"/>
  <c r="E100" i="15"/>
  <c r="F39" i="29" s="1"/>
  <c r="G39" i="29" s="1"/>
  <c r="E425" i="15"/>
  <c r="F128" i="29" s="1"/>
  <c r="G128" i="29" s="1"/>
  <c r="F415" i="15"/>
  <c r="V417" i="15" s="1"/>
  <c r="V418" i="15" s="1"/>
  <c r="E415" i="15" s="1"/>
  <c r="F126" i="29" s="1"/>
  <c r="G126" i="29" s="1"/>
  <c r="E265" i="15"/>
  <c r="E155" i="15"/>
  <c r="F56" i="29" s="1"/>
  <c r="G56" i="29" s="1"/>
  <c r="F295" i="15"/>
  <c r="G380" i="15"/>
  <c r="E80" i="15"/>
  <c r="F31" i="29" s="1"/>
  <c r="G31" i="29" s="1"/>
  <c r="G230" i="15"/>
  <c r="E430" i="15"/>
  <c r="F129" i="29" s="1"/>
  <c r="G129" i="29" s="1"/>
  <c r="G370" i="15"/>
  <c r="E420" i="15"/>
  <c r="F127" i="29" s="1"/>
  <c r="G127" i="29" s="1"/>
  <c r="E115" i="15"/>
  <c r="F45" i="29" s="1"/>
  <c r="G45" i="29" s="1"/>
  <c r="G42" i="29" s="1"/>
  <c r="F140" i="15"/>
  <c r="G220" i="15"/>
  <c r="E85" i="15"/>
  <c r="F34" i="29" s="1"/>
  <c r="G34" i="29" s="1"/>
  <c r="F125" i="15"/>
  <c r="F155" i="15"/>
  <c r="E190" i="15"/>
  <c r="F66" i="29" s="1"/>
  <c r="G66" i="29" s="1"/>
  <c r="H270" i="15"/>
  <c r="E365" i="15"/>
  <c r="F114" i="29" s="1"/>
  <c r="G114" i="29" s="1"/>
  <c r="F175" i="15"/>
  <c r="F265" i="15"/>
  <c r="E295" i="15"/>
  <c r="F91" i="29" s="1"/>
  <c r="G91" i="29" s="1"/>
  <c r="E350" i="15"/>
  <c r="F110" i="29" s="1"/>
  <c r="G110" i="29" s="1"/>
  <c r="G109" i="29" s="1"/>
  <c r="E150" i="15"/>
  <c r="F54" i="29" s="1"/>
  <c r="G54" i="29" s="1"/>
  <c r="E40" i="15"/>
  <c r="F22" i="29" s="1"/>
  <c r="G22" i="29" s="1"/>
  <c r="G21" i="29" s="1"/>
  <c r="F445" i="15"/>
  <c r="F80" i="15"/>
  <c r="F250" i="15"/>
  <c r="F280" i="15"/>
  <c r="E460" i="15"/>
  <c r="F136" i="29" s="1"/>
  <c r="G136" i="29" s="1"/>
  <c r="G135" i="29" s="1"/>
  <c r="E380" i="15"/>
  <c r="F117" i="29" s="1"/>
  <c r="G117" i="29" s="1"/>
  <c r="E45" i="15"/>
  <c r="F24" i="29" s="1"/>
  <c r="G24" i="29" s="1"/>
  <c r="G23" i="29" s="1"/>
  <c r="E355" i="15"/>
  <c r="F111" i="29" s="1"/>
  <c r="G111" i="29" s="1"/>
  <c r="E375" i="15"/>
  <c r="F116" i="29" s="1"/>
  <c r="G116" i="29" s="1"/>
  <c r="F470" i="15"/>
  <c r="S472" i="15" s="1"/>
  <c r="S473" i="15" s="1"/>
  <c r="E470" i="15" s="1"/>
  <c r="F138" i="29" s="1"/>
  <c r="G138" i="29" s="1"/>
  <c r="F94" i="1"/>
  <c r="X277" i="15" s="1"/>
  <c r="X278" i="15" s="1"/>
  <c r="E275" i="15" s="1"/>
  <c r="F84" i="29" s="1"/>
  <c r="G84" i="29" s="1"/>
  <c r="G83" i="29" s="1"/>
  <c r="F90" i="1"/>
  <c r="T262" i="15" s="1"/>
  <c r="T263" i="15" s="1"/>
  <c r="E260" i="15" s="1"/>
  <c r="F81" i="29" s="1"/>
  <c r="G81" i="29" s="1"/>
  <c r="U232" i="15"/>
  <c r="U233" i="15" s="1"/>
  <c r="E230" i="15" s="1"/>
  <c r="F74" i="29" s="1"/>
  <c r="G74" i="29" s="1"/>
  <c r="F83" i="1"/>
  <c r="T287" i="15"/>
  <c r="T288" i="15" s="1"/>
  <c r="E285" i="15" s="1"/>
  <c r="F86" i="29" s="1"/>
  <c r="G86" i="29" s="1"/>
  <c r="G85" i="29" s="1"/>
  <c r="S292" i="15"/>
  <c r="S293" i="15" s="1"/>
  <c r="E290" i="15" s="1"/>
  <c r="F88" i="29" s="1"/>
  <c r="G88" i="29" s="1"/>
  <c r="G87" i="29" s="1"/>
  <c r="F82" i="29"/>
  <c r="G82" i="29" s="1"/>
  <c r="G78" i="29" s="1"/>
  <c r="F90" i="29"/>
  <c r="G90" i="29" s="1"/>
  <c r="G89" i="29" s="1"/>
  <c r="G55" i="29" l="1"/>
  <c r="G124" i="29"/>
  <c r="G125" i="29"/>
  <c r="G64" i="29"/>
  <c r="G65" i="29"/>
  <c r="G113" i="29"/>
  <c r="G142" i="29"/>
  <c r="G32" i="29"/>
  <c r="G33" i="29"/>
  <c r="G11" i="29"/>
  <c r="Q18" i="1"/>
  <c r="Q96" i="1"/>
  <c r="Q168" i="1"/>
  <c r="Q61" i="1"/>
  <c r="Q133" i="1"/>
  <c r="Q26" i="1"/>
  <c r="Q98" i="1"/>
  <c r="Q170" i="1"/>
  <c r="Q63" i="1"/>
  <c r="Q135" i="1"/>
  <c r="Q28" i="1"/>
  <c r="Q100" i="1"/>
  <c r="Q172" i="1"/>
  <c r="Q77" i="1"/>
  <c r="Q149" i="1"/>
  <c r="Q24" i="1"/>
  <c r="Q102" i="1"/>
  <c r="Q174" i="1"/>
  <c r="Q67" i="1"/>
  <c r="Q139" i="1"/>
  <c r="Q32" i="1"/>
  <c r="Q104" i="1"/>
  <c r="Q176" i="1"/>
  <c r="Q69" i="1"/>
  <c r="Q141" i="1"/>
  <c r="Q34" i="1"/>
  <c r="Q106" i="1"/>
  <c r="Q178" i="1"/>
  <c r="Q83" i="1"/>
  <c r="Q155" i="1"/>
  <c r="Q36" i="1"/>
  <c r="Q108" i="1"/>
  <c r="Q180" i="1"/>
  <c r="Q73" i="1"/>
  <c r="Q145" i="1"/>
  <c r="Q38" i="1"/>
  <c r="Q110" i="1"/>
  <c r="Q182" i="1"/>
  <c r="Q75" i="1"/>
  <c r="Q147" i="1"/>
  <c r="Q40" i="1"/>
  <c r="Q112" i="1"/>
  <c r="Q184" i="1"/>
  <c r="Q89" i="1"/>
  <c r="Q161" i="1"/>
  <c r="Q42" i="1"/>
  <c r="Q114" i="1"/>
  <c r="Q186" i="1"/>
  <c r="Q79" i="1"/>
  <c r="Q151" i="1"/>
  <c r="Q44" i="1"/>
  <c r="Q116" i="1"/>
  <c r="Q188" i="1"/>
  <c r="Q81" i="1"/>
  <c r="Q153" i="1"/>
  <c r="Q46" i="1"/>
  <c r="Q118" i="1"/>
  <c r="Q190" i="1"/>
  <c r="Q95" i="1"/>
  <c r="Q167" i="1"/>
  <c r="Q48" i="1"/>
  <c r="Q120" i="1"/>
  <c r="Q192" i="1"/>
  <c r="Q85" i="1"/>
  <c r="Q157" i="1"/>
  <c r="Q50" i="1"/>
  <c r="Q122" i="1"/>
  <c r="Q194" i="1"/>
  <c r="Q87" i="1"/>
  <c r="Q159" i="1"/>
  <c r="Q52" i="1"/>
  <c r="Q124" i="1"/>
  <c r="Q196" i="1"/>
  <c r="Q101" i="1"/>
  <c r="Q173" i="1"/>
  <c r="Q54" i="1"/>
  <c r="Q126" i="1"/>
  <c r="Q19" i="1"/>
  <c r="Q91" i="1"/>
  <c r="Q163" i="1"/>
  <c r="Q56" i="1"/>
  <c r="Q128" i="1"/>
  <c r="Q21" i="1"/>
  <c r="Q93" i="1"/>
  <c r="Q165" i="1"/>
  <c r="Q58" i="1"/>
  <c r="Q130" i="1"/>
  <c r="Q23" i="1"/>
  <c r="Q107" i="1"/>
  <c r="Q179" i="1"/>
  <c r="Q60" i="1"/>
  <c r="Q132" i="1"/>
  <c r="Q25" i="1"/>
  <c r="Q97" i="1"/>
  <c r="Q169" i="1"/>
  <c r="Q62" i="1"/>
  <c r="Q134" i="1"/>
  <c r="Q27" i="1"/>
  <c r="Q99" i="1"/>
  <c r="Q171" i="1"/>
  <c r="Q64" i="1"/>
  <c r="Q136" i="1"/>
  <c r="Q35" i="1"/>
  <c r="Q113" i="1"/>
  <c r="Q185" i="1"/>
  <c r="Q66" i="1"/>
  <c r="Q138" i="1"/>
  <c r="Q31" i="1"/>
  <c r="Q103" i="1"/>
  <c r="Q175" i="1"/>
  <c r="Q68" i="1"/>
  <c r="Q140" i="1"/>
  <c r="Q33" i="1"/>
  <c r="Q105" i="1"/>
  <c r="Q177" i="1"/>
  <c r="Q70" i="1"/>
  <c r="Q142" i="1"/>
  <c r="Q41" i="1"/>
  <c r="Q119" i="1"/>
  <c r="Q191" i="1"/>
  <c r="Q72" i="1"/>
  <c r="Q144" i="1"/>
  <c r="Q37" i="1"/>
  <c r="Q109" i="1"/>
  <c r="Q181" i="1"/>
  <c r="Q74" i="1"/>
  <c r="Q146" i="1"/>
  <c r="Q39" i="1"/>
  <c r="Q111" i="1"/>
  <c r="Q183" i="1"/>
  <c r="Q76" i="1"/>
  <c r="Q148" i="1"/>
  <c r="Q47" i="1"/>
  <c r="Q125" i="1"/>
  <c r="Q197" i="1"/>
  <c r="Q78" i="1"/>
  <c r="Q150" i="1"/>
  <c r="Q43" i="1"/>
  <c r="Q115" i="1"/>
  <c r="Q187" i="1"/>
  <c r="Q80" i="1"/>
  <c r="Q152" i="1"/>
  <c r="Q45" i="1"/>
  <c r="Q117" i="1"/>
  <c r="Q189" i="1"/>
  <c r="Q82" i="1"/>
  <c r="Q154" i="1"/>
  <c r="Q53" i="1"/>
  <c r="Q131" i="1"/>
  <c r="Q84" i="1"/>
  <c r="Q156" i="1"/>
  <c r="Q49" i="1"/>
  <c r="Q121" i="1"/>
  <c r="Q193" i="1"/>
  <c r="Q86" i="1"/>
  <c r="Q158" i="1"/>
  <c r="Q51" i="1"/>
  <c r="Q123" i="1"/>
  <c r="Q195" i="1"/>
  <c r="Q88" i="1"/>
  <c r="Q160" i="1"/>
  <c r="Q65" i="1"/>
  <c r="Q137" i="1"/>
  <c r="Q90" i="1"/>
  <c r="Q162" i="1"/>
  <c r="Q55" i="1"/>
  <c r="Q127" i="1"/>
  <c r="Q20" i="1"/>
  <c r="Q92" i="1"/>
  <c r="Q164" i="1"/>
  <c r="Q57" i="1"/>
  <c r="Q129" i="1"/>
  <c r="Q22" i="1"/>
  <c r="Q94" i="1"/>
  <c r="Q166" i="1"/>
  <c r="Q71" i="1"/>
  <c r="Q143" i="1"/>
  <c r="D11" i="24" l="1"/>
  <c r="G145" i="29"/>
  <c r="G144" i="29"/>
  <c r="G143" i="29"/>
  <c r="C6" i="29"/>
  <c r="C5" i="29"/>
  <c r="C4" i="29"/>
  <c r="C3" i="29"/>
  <c r="B1" i="29"/>
  <c r="G146" i="29" l="1"/>
  <c r="G147" i="29" s="1"/>
  <c r="C3" i="15"/>
  <c r="G148" i="29" l="1"/>
  <c r="G149" i="29" s="1"/>
  <c r="C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Luffi</author>
    <author>Walter Wilfredo Rios Espinoza</author>
    <author>WRE</author>
    <author>Toshiba-User</author>
  </authors>
  <commentList>
    <comment ref="A8" authorId="0" shapeId="0" xr:uid="{00000000-0006-0000-0100-000001000000}">
      <text>
        <r>
          <rPr>
            <sz val="9"/>
            <color indexed="81"/>
            <rFont val="Tahoma"/>
            <family val="2"/>
          </rPr>
          <t>SERVICIOS Y SP</t>
        </r>
      </text>
    </comment>
    <comment ref="B8" authorId="0" shapeId="0" xr:uid="{00000000-0006-0000-0100-000002000000}">
      <text>
        <r>
          <rPr>
            <b/>
            <sz val="9"/>
            <color indexed="81"/>
            <rFont val="Tahoma"/>
            <family val="2"/>
          </rPr>
          <t>MA de %MA</t>
        </r>
        <r>
          <rPr>
            <sz val="9"/>
            <color indexed="81"/>
            <rFont val="Tahoma"/>
            <family val="2"/>
          </rPr>
          <t xml:space="preserve">
</t>
        </r>
      </text>
    </comment>
    <comment ref="A9" authorId="0" shapeId="0" xr:uid="{00000000-0006-0000-0100-000003000000}">
      <text>
        <r>
          <rPr>
            <b/>
            <sz val="9"/>
            <color indexed="81"/>
            <rFont val="Tahoma"/>
            <family val="2"/>
          </rPr>
          <t>EQ2</t>
        </r>
        <r>
          <rPr>
            <sz val="9"/>
            <color indexed="81"/>
            <rFont val="Tahoma"/>
            <family val="2"/>
          </rPr>
          <t xml:space="preserve">
</t>
        </r>
      </text>
    </comment>
    <comment ref="B9" authorId="0" shapeId="0" xr:uid="{00000000-0006-0000-0100-000004000000}">
      <text>
        <r>
          <rPr>
            <b/>
            <sz val="9"/>
            <color indexed="81"/>
            <rFont val="Tahoma"/>
            <family val="2"/>
          </rPr>
          <t>MA de %MO</t>
        </r>
        <r>
          <rPr>
            <sz val="9"/>
            <color indexed="81"/>
            <rFont val="Tahoma"/>
            <family val="2"/>
          </rPr>
          <t xml:space="preserve">
</t>
        </r>
      </text>
    </comment>
    <comment ref="C9" authorId="0" shapeId="0" xr:uid="{00000000-0006-0000-0100-000005000000}">
      <text>
        <r>
          <rPr>
            <b/>
            <sz val="9"/>
            <color indexed="81"/>
            <rFont val="Tahoma"/>
            <family val="2"/>
          </rPr>
          <t>EQ de %EQ</t>
        </r>
      </text>
    </comment>
    <comment ref="A10" authorId="0" shapeId="0" xr:uid="{00000000-0006-0000-0100-000006000000}">
      <text>
        <r>
          <rPr>
            <b/>
            <sz val="9"/>
            <color indexed="81"/>
            <rFont val="Tahoma"/>
            <family val="2"/>
          </rPr>
          <t>EQ1</t>
        </r>
        <r>
          <rPr>
            <sz val="9"/>
            <color indexed="81"/>
            <rFont val="Tahoma"/>
            <family val="2"/>
          </rPr>
          <t xml:space="preserve">
</t>
        </r>
      </text>
    </comment>
    <comment ref="B10" authorId="0" shapeId="0" xr:uid="{00000000-0006-0000-0100-000007000000}">
      <text>
        <r>
          <rPr>
            <b/>
            <sz val="9"/>
            <color indexed="81"/>
            <rFont val="Tahoma"/>
            <family val="2"/>
          </rPr>
          <t>MO de %EQ</t>
        </r>
        <r>
          <rPr>
            <sz val="9"/>
            <color indexed="81"/>
            <rFont val="Tahoma"/>
            <family val="2"/>
          </rPr>
          <t xml:space="preserve">
</t>
        </r>
      </text>
    </comment>
    <comment ref="C10" authorId="0" shapeId="0" xr:uid="{00000000-0006-0000-0100-000008000000}">
      <text>
        <r>
          <rPr>
            <b/>
            <sz val="9"/>
            <color indexed="81"/>
            <rFont val="Tahoma"/>
            <family val="2"/>
          </rPr>
          <t>EQ %MA</t>
        </r>
      </text>
    </comment>
    <comment ref="A11" authorId="0" shapeId="0" xr:uid="{00000000-0006-0000-0100-000009000000}">
      <text>
        <r>
          <rPr>
            <b/>
            <sz val="9"/>
            <color indexed="81"/>
            <rFont val="Tahoma"/>
            <family val="2"/>
          </rPr>
          <t>MA</t>
        </r>
        <r>
          <rPr>
            <sz val="9"/>
            <color indexed="81"/>
            <rFont val="Tahoma"/>
            <family val="2"/>
          </rPr>
          <t xml:space="preserve">
</t>
        </r>
      </text>
    </comment>
    <comment ref="B11" authorId="0" shapeId="0" xr:uid="{00000000-0006-0000-0100-00000A000000}">
      <text>
        <r>
          <rPr>
            <b/>
            <sz val="9"/>
            <color indexed="81"/>
            <rFont val="Tahoma"/>
            <family val="2"/>
          </rPr>
          <t>MO de %MA</t>
        </r>
        <r>
          <rPr>
            <sz val="9"/>
            <color indexed="81"/>
            <rFont val="Tahoma"/>
            <family val="2"/>
          </rPr>
          <t xml:space="preserve">
</t>
        </r>
      </text>
    </comment>
    <comment ref="C11" authorId="0" shapeId="0" xr:uid="{00000000-0006-0000-0100-00000B000000}">
      <text>
        <r>
          <rPr>
            <b/>
            <sz val="9"/>
            <color indexed="81"/>
            <rFont val="Tahoma"/>
            <family val="2"/>
          </rPr>
          <t>EQ de %MO</t>
        </r>
      </text>
    </comment>
    <comment ref="A12" authorId="0" shapeId="0" xr:uid="{00000000-0006-0000-0100-00000C000000}">
      <text>
        <r>
          <rPr>
            <b/>
            <sz val="9"/>
            <color indexed="81"/>
            <rFont val="Tahoma"/>
            <family val="2"/>
          </rPr>
          <t>MO</t>
        </r>
        <r>
          <rPr>
            <sz val="9"/>
            <color indexed="81"/>
            <rFont val="Tahoma"/>
            <family val="2"/>
          </rPr>
          <t xml:space="preserve">
</t>
        </r>
      </text>
    </comment>
    <comment ref="B12" authorId="0" shapeId="0" xr:uid="{00000000-0006-0000-0100-00000D000000}">
      <text>
        <r>
          <rPr>
            <b/>
            <sz val="9"/>
            <color indexed="81"/>
            <rFont val="Tahoma"/>
            <family val="2"/>
          </rPr>
          <t>MO de %MO</t>
        </r>
        <r>
          <rPr>
            <sz val="9"/>
            <color indexed="81"/>
            <rFont val="Tahoma"/>
            <family val="2"/>
          </rPr>
          <t xml:space="preserve">
</t>
        </r>
      </text>
    </comment>
    <comment ref="C12" authorId="0" shapeId="0" xr:uid="{00000000-0006-0000-0100-00000E000000}">
      <text>
        <r>
          <rPr>
            <b/>
            <sz val="9"/>
            <color indexed="81"/>
            <rFont val="Tahoma"/>
            <family val="2"/>
          </rPr>
          <t>MA de %EQ</t>
        </r>
        <r>
          <rPr>
            <sz val="9"/>
            <color indexed="81"/>
            <rFont val="Tahoma"/>
            <family val="2"/>
          </rPr>
          <t xml:space="preserve">
</t>
        </r>
      </text>
    </comment>
    <comment ref="G15" authorId="1" shapeId="0" xr:uid="{00000000-0006-0000-0100-00000F000000}">
      <text>
        <r>
          <rPr>
            <sz val="8"/>
            <color indexed="81"/>
            <rFont val="Tahoma"/>
            <family val="2"/>
          </rPr>
          <t>Peso unitario en Kg de la unidad de medida
Esta columna se usa para hallar el flete.
De aquellos insumos que no requieren flete, no se pone el peso, para que el programa no considere en el cálculo del flete</t>
        </r>
      </text>
    </comment>
    <comment ref="H15" authorId="1" shapeId="0" xr:uid="{00000000-0006-0000-0100-000010000000}">
      <text>
        <r>
          <rPr>
            <b/>
            <sz val="8"/>
            <color indexed="81"/>
            <rFont val="Tahoma"/>
            <family val="2"/>
          </rPr>
          <t>Esta columna es utilizada sólo para tuberías.
El programa requiere la longitud del tubo para determinar el número de tubos, para el cálculo del  volumen de carga con fines de determinar el flete</t>
        </r>
      </text>
    </comment>
    <comment ref="I15" authorId="2" shapeId="0" xr:uid="{00000000-0006-0000-0100-000011000000}">
      <text>
        <r>
          <rPr>
            <b/>
            <sz val="8"/>
            <color indexed="81"/>
            <rFont val="Tahoma"/>
            <family val="2"/>
          </rPr>
          <t>Esta columna se utiliza sólo para tuberías</t>
        </r>
      </text>
    </comment>
    <comment ref="J15" authorId="2" shapeId="0" xr:uid="{00000000-0006-0000-0100-000012000000}">
      <text>
        <r>
          <rPr>
            <b/>
            <sz val="8"/>
            <color indexed="81"/>
            <rFont val="Tahoma"/>
            <family val="2"/>
          </rPr>
          <t>Esta columna se utiliza sólo para tuberías</t>
        </r>
      </text>
    </comment>
    <comment ref="N15" authorId="3" shapeId="0" xr:uid="{00000000-0006-0000-0100-000013000000}">
      <text>
        <r>
          <rPr>
            <b/>
            <sz val="9"/>
            <color indexed="81"/>
            <rFont val="Tahoma"/>
            <family val="2"/>
          </rPr>
          <t>Los precios de los insumos se ingresa y edita en esta columna</t>
        </r>
      </text>
    </comment>
  </commentList>
</comments>
</file>

<file path=xl/sharedStrings.xml><?xml version="1.0" encoding="utf-8"?>
<sst xmlns="http://schemas.openxmlformats.org/spreadsheetml/2006/main" count="1149" uniqueCount="629">
  <si>
    <t>Cod.</t>
  </si>
  <si>
    <t>Tipo</t>
  </si>
  <si>
    <t>Insumo</t>
  </si>
  <si>
    <t>Und</t>
  </si>
  <si>
    <t>Peso unitario (kg)</t>
  </si>
  <si>
    <t>Específica de Gastos</t>
  </si>
  <si>
    <t>MA</t>
  </si>
  <si>
    <t>UND</t>
  </si>
  <si>
    <t>MO</t>
  </si>
  <si>
    <t>MATERIALES</t>
  </si>
  <si>
    <t>P.U.</t>
  </si>
  <si>
    <t>P A R T I D A S</t>
  </si>
  <si>
    <t>METRADO</t>
  </si>
  <si>
    <t>PARCIAL</t>
  </si>
  <si>
    <t>INSUMOS</t>
  </si>
  <si>
    <t>IU</t>
  </si>
  <si>
    <t>Factor</t>
  </si>
  <si>
    <t>AGREGADOS</t>
  </si>
  <si>
    <t>TUBERIAS</t>
  </si>
  <si>
    <t>ORIGEN - DESTINO</t>
  </si>
  <si>
    <t>FLETE CON VEHICULO</t>
  </si>
  <si>
    <t>FLETE CON ACEMILA Y PEON</t>
  </si>
  <si>
    <t>DATOS NECESARIOS PARA EL CALCULO DE FLETES</t>
  </si>
  <si>
    <t>Prec. U.</t>
  </si>
  <si>
    <t/>
  </si>
  <si>
    <t>Denominación</t>
  </si>
  <si>
    <t>Cod</t>
  </si>
  <si>
    <t>EQ</t>
  </si>
  <si>
    <t>%MO</t>
  </si>
  <si>
    <t>HERRAMIENTAS MANUALES</t>
  </si>
  <si>
    <t>OPERARIO</t>
  </si>
  <si>
    <t>HH</t>
  </si>
  <si>
    <t>PEON</t>
  </si>
  <si>
    <t>HM</t>
  </si>
  <si>
    <t>OFICIAL</t>
  </si>
  <si>
    <t>SOLO TUBERIA</t>
  </si>
  <si>
    <t>Long. (m)</t>
  </si>
  <si>
    <t>Ø ext.    (mm)</t>
  </si>
  <si>
    <t>espesor (mm)</t>
  </si>
  <si>
    <t>p.u.Cemento</t>
  </si>
  <si>
    <t>L</t>
  </si>
  <si>
    <t>A</t>
  </si>
  <si>
    <t>H</t>
  </si>
  <si>
    <t>OPERADOR DE EQUIPO LIVIANO</t>
  </si>
  <si>
    <t xml:space="preserve">PRESUPUESTO GENERAL DEL PROYECTO   </t>
  </si>
  <si>
    <t>CONTRATA</t>
  </si>
  <si>
    <t>ADMINISTRACION DIRECTA</t>
  </si>
  <si>
    <t>GASTOS GENERALES</t>
  </si>
  <si>
    <t>UTILIDAD</t>
  </si>
  <si>
    <t>IMPUESTO (IGV)</t>
  </si>
  <si>
    <t>SI</t>
  </si>
  <si>
    <t>NO</t>
  </si>
  <si>
    <t>Igualar el monto total de relación de insumos al CD</t>
  </si>
  <si>
    <t>TODOS</t>
  </si>
  <si>
    <t>Al generar E.T. en  Word procesar FORMA DE PAGO</t>
  </si>
  <si>
    <t>HUARAZ- HUARI</t>
  </si>
  <si>
    <t>HUARI - OBRA(YUPAN)</t>
  </si>
  <si>
    <t>Dólares</t>
  </si>
  <si>
    <t>Procesar el presupuesto utilizando la moneda en</t>
  </si>
  <si>
    <t>Adm. Directa</t>
  </si>
  <si>
    <t>Contrata</t>
  </si>
  <si>
    <t>MONEDAS</t>
  </si>
  <si>
    <t>Soles</t>
  </si>
  <si>
    <t>Cifra de redondeo decimal del parcial</t>
  </si>
  <si>
    <t xml:space="preserve"> </t>
  </si>
  <si>
    <t>Al generar E.T. en  Word usar IDEM en partidas repetidas</t>
  </si>
  <si>
    <t>CODIGO</t>
  </si>
  <si>
    <t>Título</t>
  </si>
  <si>
    <t>Sub título de orden 1</t>
  </si>
  <si>
    <t>Sub título de orden 2</t>
  </si>
  <si>
    <t>Sub título de orden 3</t>
  </si>
  <si>
    <t>Sub título de orden 4</t>
  </si>
  <si>
    <t>Sub título de orden 5</t>
  </si>
  <si>
    <t>Sub título de orden 6</t>
  </si>
  <si>
    <t>Sub título de orden 7</t>
  </si>
  <si>
    <t>Sub título de orden 8</t>
  </si>
  <si>
    <t>Sub título de orden 9</t>
  </si>
  <si>
    <t>MONEDA</t>
  </si>
  <si>
    <t>Factor costo mano de obra</t>
  </si>
  <si>
    <t>Jornada laboral</t>
  </si>
  <si>
    <t>Factor para rendimiento</t>
  </si>
  <si>
    <t>EQ %MO</t>
  </si>
  <si>
    <t>Al generar E. T. en  Word procesar UNIDAD</t>
  </si>
  <si>
    <t>Parcial de los insumos en los APUs</t>
  </si>
  <si>
    <t>Cantidad de MO y EQ en los APUs</t>
  </si>
  <si>
    <t>Precio de los insumos</t>
  </si>
  <si>
    <t>ET</t>
  </si>
  <si>
    <t>Total de los metrados en cada partida</t>
  </si>
  <si>
    <t>ARENA GRUESA</t>
  </si>
  <si>
    <t>SERVICIO</t>
  </si>
  <si>
    <t>ITEM</t>
  </si>
  <si>
    <t>RTOf</t>
  </si>
  <si>
    <t>PU</t>
  </si>
  <si>
    <t>nINS</t>
  </si>
  <si>
    <t>RTOi</t>
  </si>
  <si>
    <t>P.EST.</t>
  </si>
  <si>
    <t>SP</t>
  </si>
  <si>
    <t>Proyecto:</t>
  </si>
  <si>
    <t>Cliente:</t>
  </si>
  <si>
    <t>Fecha:</t>
  </si>
  <si>
    <t>Lugar :</t>
  </si>
  <si>
    <t>OTRAS OPCIONES</t>
  </si>
  <si>
    <t>S/</t>
  </si>
  <si>
    <t>$</t>
  </si>
  <si>
    <t>CALENDARIO</t>
  </si>
  <si>
    <t>Lunes</t>
  </si>
  <si>
    <t>Laborable</t>
  </si>
  <si>
    <t>Martes</t>
  </si>
  <si>
    <t>Miercoles</t>
  </si>
  <si>
    <t>Jueves</t>
  </si>
  <si>
    <t>Viernes</t>
  </si>
  <si>
    <t>Sábado</t>
  </si>
  <si>
    <t>Domingo</t>
  </si>
  <si>
    <t>No laborable</t>
  </si>
  <si>
    <t>Feriados</t>
  </si>
  <si>
    <t>Comienzo</t>
  </si>
  <si>
    <t>Fin</t>
  </si>
  <si>
    <t>Descripcion</t>
  </si>
  <si>
    <t>MO1</t>
  </si>
  <si>
    <t>EQ1</t>
  </si>
  <si>
    <t>TITULOS</t>
  </si>
  <si>
    <t>PIE DEL PRESUPUESTO</t>
  </si>
  <si>
    <t>VALOR FIJO</t>
  </si>
  <si>
    <t>% COSTO DIRECTO</t>
  </si>
  <si>
    <t>VALOR REFERENCIAL</t>
  </si>
  <si>
    <t>PROYECTO</t>
  </si>
  <si>
    <t>UBICACIÓN</t>
  </si>
  <si>
    <t>CLIENTE</t>
  </si>
  <si>
    <t>FECHA</t>
  </si>
  <si>
    <t>LOGO</t>
  </si>
  <si>
    <t>SUPERVISIÓN</t>
  </si>
  <si>
    <t>EXPEDIENTE TÉCNICO</t>
  </si>
  <si>
    <t>MODALIDAD DE E.</t>
  </si>
  <si>
    <t>LIQUIDACIÓN</t>
  </si>
  <si>
    <t>VALOR</t>
  </si>
  <si>
    <t>TIPO</t>
  </si>
  <si>
    <t>SUBTOTAL</t>
  </si>
  <si>
    <t>MO1 y EQ1</t>
  </si>
  <si>
    <t>Calend. Adq. insumos de MO1 en DH y EQ1 en DM</t>
  </si>
  <si>
    <t>SUBTOTAL 1</t>
  </si>
  <si>
    <t>% SUBTOTAL 1</t>
  </si>
  <si>
    <t>SUBTOTAL 2</t>
  </si>
  <si>
    <t>% SUBTOTAL 2</t>
  </si>
  <si>
    <t>% FILA ANTERIOR</t>
  </si>
  <si>
    <t>GESTION DEL PROYECTO</t>
  </si>
  <si>
    <t>CONTROL CONCURRENTE</t>
  </si>
  <si>
    <t>RW7o</t>
  </si>
  <si>
    <t>Codigo de APU de SP</t>
  </si>
  <si>
    <t>Codigo insumo referido</t>
  </si>
  <si>
    <t>PIE DE PRESUPUESTO</t>
  </si>
  <si>
    <t>Parcial</t>
  </si>
  <si>
    <t>Cantidad</t>
  </si>
  <si>
    <t>T</t>
  </si>
  <si>
    <t>01</t>
  </si>
  <si>
    <t>ESTRUCTURAS</t>
  </si>
  <si>
    <t>ST1</t>
  </si>
  <si>
    <t>01.01</t>
  </si>
  <si>
    <t>OBRAS PRELIMINARES</t>
  </si>
  <si>
    <t>01.01.01</t>
  </si>
  <si>
    <t>TRAZO Y REPLANTEO INICIAL</t>
  </si>
  <si>
    <t>m2</t>
  </si>
  <si>
    <t>OPERARIO TOPOGRAFO</t>
  </si>
  <si>
    <t>CEMENTO PORTLAND TIPO I (42.5 kg)</t>
  </si>
  <si>
    <t>bol</t>
  </si>
  <si>
    <t>HORMIGON</t>
  </si>
  <si>
    <t>m3</t>
  </si>
  <si>
    <t>TIZA BOLSA DE 40 kg</t>
  </si>
  <si>
    <t>und</t>
  </si>
  <si>
    <t>OCRE ROJO</t>
  </si>
  <si>
    <t>kg</t>
  </si>
  <si>
    <t>PINTURA ESMALTE</t>
  </si>
  <si>
    <t>gal</t>
  </si>
  <si>
    <t>CORDEL</t>
  </si>
  <si>
    <t>rll</t>
  </si>
  <si>
    <t>NIVEL TOPOGRAFICO</t>
  </si>
  <si>
    <t>TEODOLITO</t>
  </si>
  <si>
    <t>01.01.02</t>
  </si>
  <si>
    <t>TRAZO DURANTE LA EJECUCION DE LA OBRA (casco)</t>
  </si>
  <si>
    <t>mes</t>
  </si>
  <si>
    <t>día</t>
  </si>
  <si>
    <t>01.01.03</t>
  </si>
  <si>
    <t>CARTEL DE OBRA</t>
  </si>
  <si>
    <t>01.01.04</t>
  </si>
  <si>
    <t>INSTALACIONES DE OFICINA Y ALMACEN PROVISIONALES</t>
  </si>
  <si>
    <t>glb</t>
  </si>
  <si>
    <t>CLAVOS PARA MADERA CON CABEZA DE 2"</t>
  </si>
  <si>
    <t>MADERA TORNILLO</t>
  </si>
  <si>
    <t>p2</t>
  </si>
  <si>
    <t>TRIPLAY</t>
  </si>
  <si>
    <t>pln</t>
  </si>
  <si>
    <t>01.02</t>
  </si>
  <si>
    <t>EQUIPOS DE PROTECCION PERSONAL, SEÑALIZACION Y CHARLAS DE SEGURIDAD</t>
  </si>
  <si>
    <t>01.02.01</t>
  </si>
  <si>
    <t>EQUIPOS DE PROTECCION PERSONAL (EPP'S)</t>
  </si>
  <si>
    <t>CASCO DE SEGURIDAD</t>
  </si>
  <si>
    <t>ZAPATO DE CUERO CON PUNTA DE ACERO</t>
  </si>
  <si>
    <t>par</t>
  </si>
  <si>
    <t>LENTES DE POLICARBONA LUNA CLARA</t>
  </si>
  <si>
    <t>GUANTES DE CUERO</t>
  </si>
  <si>
    <t>GUANTES DE JEBE</t>
  </si>
  <si>
    <t>BOTAS DE CAUCHO</t>
  </si>
  <si>
    <t>01.02.02</t>
  </si>
  <si>
    <t>SEÑALIZACION</t>
  </si>
  <si>
    <t>FIBRA DE VIDRIO DE 4 mm ACABADO</t>
  </si>
  <si>
    <t>PERNO HEXAGONAL  ROSCA CORRIENTE 5/16" X 6" CON TUERCA Y ARANDELA</t>
  </si>
  <si>
    <t>jgo</t>
  </si>
  <si>
    <t>SEÑALES REGLAMENTARIAS 75 X 75 cm</t>
  </si>
  <si>
    <t>01.02.03</t>
  </si>
  <si>
    <t>CHARLAS DE SEGURIDAD</t>
  </si>
  <si>
    <t>sem</t>
  </si>
  <si>
    <t>JEFE DE SEGURIDAD</t>
  </si>
  <si>
    <t>01.03</t>
  </si>
  <si>
    <t>DEMOLICIONES</t>
  </si>
  <si>
    <t>01.03.01</t>
  </si>
  <si>
    <t>DEMOLICION CONSTRUCCION EXISTENTE</t>
  </si>
  <si>
    <t>TALADRO CINCELADOR TE 504</t>
  </si>
  <si>
    <t>01.04</t>
  </si>
  <si>
    <t>MOVIMIENTO DE TIERRAS</t>
  </si>
  <si>
    <t>01.04.01</t>
  </si>
  <si>
    <t>EXCAVACION MASIVA</t>
  </si>
  <si>
    <t>EXCAVADORA CASE POCLAIN 1188LC</t>
  </si>
  <si>
    <t>01.04.02</t>
  </si>
  <si>
    <t>EXCAVACION PARA ZAPATAS EN TERRENO NORMAL</t>
  </si>
  <si>
    <t>01.04.03</t>
  </si>
  <si>
    <t>EXCAVACION PARA ESTRUCTURA EN ROCA FIJA EQUIPO</t>
  </si>
  <si>
    <t>MARTILLO HIDRAULICO</t>
  </si>
  <si>
    <t>RETROEXCAVADORA SOBRE ORUGAS 115 - 165 HP</t>
  </si>
  <si>
    <t>01.04.04</t>
  </si>
  <si>
    <t>EXCAVACION PARA CIMIENTOS Y ZANJAS EN TERRENO NORMAL</t>
  </si>
  <si>
    <t>01.04.05</t>
  </si>
  <si>
    <t>RELLENO DE ESTRUCTURAS CON MATERIAL PROPIO MANUAL</t>
  </si>
  <si>
    <t>AGUA PUESTA EN OBRA</t>
  </si>
  <si>
    <t>COMPACTADORA VIBRATORIA TIPO PLANCHA 7 HP</t>
  </si>
  <si>
    <t>01.04.06</t>
  </si>
  <si>
    <t>ELIMINACION DE MATERIAL EXCEDENTE CON VOLQUETES (SUBCONTRATO)</t>
  </si>
  <si>
    <t>ELIMINACION DE MATERIAL EXCEDENTE CON VOLQUETES</t>
  </si>
  <si>
    <t>01.04.07</t>
  </si>
  <si>
    <t>NIVELACION INTERIOR Y APISONADO</t>
  </si>
  <si>
    <t>MADERA PINO</t>
  </si>
  <si>
    <t>01.04.08</t>
  </si>
  <si>
    <t>BASE GRANULAR E=0.15 m.COMPACTADA</t>
  </si>
  <si>
    <t>GASOLINA</t>
  </si>
  <si>
    <t>MATERIAL GRANULAR</t>
  </si>
  <si>
    <t>RODILLO DE VEREDA (1 ROLA)</t>
  </si>
  <si>
    <t>MINI CARGADOR CASE UNI LOADER 1840</t>
  </si>
  <si>
    <t>COMPACTADORA DE PLANCHA</t>
  </si>
  <si>
    <t>01.05</t>
  </si>
  <si>
    <t>CONCRETO SIMPLE</t>
  </si>
  <si>
    <t>ST2</t>
  </si>
  <si>
    <t>01.05.01</t>
  </si>
  <si>
    <t>SOLADOS</t>
  </si>
  <si>
    <t>01.05.01.01</t>
  </si>
  <si>
    <t>SOLADO e=3"</t>
  </si>
  <si>
    <t>MEZCLADORA DE CONCRETO</t>
  </si>
  <si>
    <t>01.05.02</t>
  </si>
  <si>
    <t>CIMIENTOS</t>
  </si>
  <si>
    <t>01.05.02.01</t>
  </si>
  <si>
    <t>CIMIENTOS CORRIDOS MEZCLA 1:10 CEMENTO-HORMIGON 30% PIEDRA</t>
  </si>
  <si>
    <t>PIEDRA GRANDE DE 8"</t>
  </si>
  <si>
    <t>MEZCLADORA DE CONCRETO 11 P3 (23 HP)</t>
  </si>
  <si>
    <t>01.05.03</t>
  </si>
  <si>
    <t>SOBRECIMIENTOS</t>
  </si>
  <si>
    <t>01.05.03.01</t>
  </si>
  <si>
    <t>CONCRETO 1:8+25% PM PARA SOBRECIMIENTOS</t>
  </si>
  <si>
    <t>PETROLEO D-2</t>
  </si>
  <si>
    <t>PIEDRA MEDIANA</t>
  </si>
  <si>
    <t>01.05.03.02</t>
  </si>
  <si>
    <t>ENCOFRADO Y DESENCOFRADO NORMAL PARA SOBRECIMIENTO HASTA 0.30 m</t>
  </si>
  <si>
    <t>ALAMBRE NEGRO RECOCIDO N° 8</t>
  </si>
  <si>
    <t>CLAVOS PARA MADERA CON CABEZA DE 3"</t>
  </si>
  <si>
    <t>CLAVOS PARA MADERA CON CABEZA DE 4"</t>
  </si>
  <si>
    <t>01.05.04</t>
  </si>
  <si>
    <t>PISOS</t>
  </si>
  <si>
    <t>01.05.04.01</t>
  </si>
  <si>
    <t>CONCRETO EN FALSOPISO MEZCLA  1:8 CEMENTO-HORMIGON E=4"</t>
  </si>
  <si>
    <t>REGLA DE MADERA PINO 2" X 6" X 10'</t>
  </si>
  <si>
    <t>01.06</t>
  </si>
  <si>
    <t>CONCRETO ARMADO</t>
  </si>
  <si>
    <t>01.06.01</t>
  </si>
  <si>
    <t>ZAPATAS</t>
  </si>
  <si>
    <t>01.06.01.01</t>
  </si>
  <si>
    <t>CONCRETO PARA ZAPATAS f'c=280 kg/cm2</t>
  </si>
  <si>
    <t>PIEDRA CHANCADA 1/2"</t>
  </si>
  <si>
    <t>VIBRADOR DE CONCRETO 4 HP 1.25"</t>
  </si>
  <si>
    <t>01.06.01.02</t>
  </si>
  <si>
    <t>ENCOFRADO DE ZAPATAS</t>
  </si>
  <si>
    <t>ACERO CORRUGADO fy = 4200 kg/cm2 GRADO 60</t>
  </si>
  <si>
    <t>01.06.01.03</t>
  </si>
  <si>
    <t>ACERO fy=4200 kg/cm2 GRADO 60 en ZAPATAS</t>
  </si>
  <si>
    <t>ALAMBRE NEGRO RECOCIDO N° 16</t>
  </si>
  <si>
    <t>01.06.02</t>
  </si>
  <si>
    <t>COLUMNAS</t>
  </si>
  <si>
    <t>01.06.02.01</t>
  </si>
  <si>
    <t>CONCRETO EN COLUMNAS f'c=280 kg/cm2</t>
  </si>
  <si>
    <t>VIBRADOR A GASOLINA</t>
  </si>
  <si>
    <t>ANDAMIO METALICO</t>
  </si>
  <si>
    <t>01.06.02.02</t>
  </si>
  <si>
    <t>ENCOFRADO Y DESENCOFRADO NORMAL EN COLUMNAS</t>
  </si>
  <si>
    <t>01.06.02.03</t>
  </si>
  <si>
    <t>ACERO fy=4200 kg/cm2 GRADO 60 en COLUMNAS</t>
  </si>
  <si>
    <t>01.06.03</t>
  </si>
  <si>
    <t>VIGAS</t>
  </si>
  <si>
    <t>01.06.03.01</t>
  </si>
  <si>
    <t>CONCRETO EN VIGAS f'c=280 kg/cm2</t>
  </si>
  <si>
    <t>01.06.03.02</t>
  </si>
  <si>
    <t>ENCOFRADO Y DESENCOFRADO NORMAL EN VIGAS</t>
  </si>
  <si>
    <t>ESCANTILLON DE CONCRETO 0.05x0.05x0.40 m</t>
  </si>
  <si>
    <t>SEPARADORES PLASTICOS (3 cm.) EN FIERRO DE VIGAS</t>
  </si>
  <si>
    <t>mll</t>
  </si>
  <si>
    <t>01.06.03.03</t>
  </si>
  <si>
    <t>ACERO fy=4200 kg/cm2 GRADO 60 en VIGAS</t>
  </si>
  <si>
    <t>01.06.04</t>
  </si>
  <si>
    <t>LOSAS ALIGERADAS</t>
  </si>
  <si>
    <t>01.06.04.01</t>
  </si>
  <si>
    <t>CONCRETO EN LOSAS ALIGERADA f'c= 280 kg/cm2</t>
  </si>
  <si>
    <t>WINCHE ELECTRICO 3.6 HP DE DOS BALDES</t>
  </si>
  <si>
    <t>01.06.04.02</t>
  </si>
  <si>
    <t>ENCOFRADO Y DESENCOFRADO NORMAL EN LOSAS ALIGERADAS</t>
  </si>
  <si>
    <t>01.06.04.03</t>
  </si>
  <si>
    <t>LADRILLO HUECO DE ARCILLA h=15 cm PARA TECHO ALIGERADO</t>
  </si>
  <si>
    <t>pza</t>
  </si>
  <si>
    <t>LADRILLO PARA TECHO 8H DE 15X30X30 cm</t>
  </si>
  <si>
    <t>01.06.04.04</t>
  </si>
  <si>
    <t>ACERO fy=4200 kg/cm2 GRADO 60 en LOSAS ALIGERADAS</t>
  </si>
  <si>
    <t>01.06.05</t>
  </si>
  <si>
    <t>ESCALERAS y RAMPAS</t>
  </si>
  <si>
    <t>01.06.05.01</t>
  </si>
  <si>
    <t>CONCRETO EN ESCALERAS Y RAMPAS f'c=210 kg/cm2</t>
  </si>
  <si>
    <t>01.06.05.02</t>
  </si>
  <si>
    <t>ENCOFRADO Y DESENCOFRADO NORMAL EN ESCALERAS Y RAMPAS</t>
  </si>
  <si>
    <t>01.06.05.03</t>
  </si>
  <si>
    <t>ACERO fy=4200 kg/cm2 GRADO 60 en ESCALERAS Y RAMPAS</t>
  </si>
  <si>
    <t>02</t>
  </si>
  <si>
    <t>ARQUITECTURA Y ACABADOS</t>
  </si>
  <si>
    <t>02.01</t>
  </si>
  <si>
    <t>MUROS Y TABIQUES</t>
  </si>
  <si>
    <t>02.01.01</t>
  </si>
  <si>
    <t>MURO LADRILLO K.K DE ARCILLA 18H ( 09x013x0.24) AMARRE DE CABEZA, JUNTA 1.5 cm. MORTERO 1:1:5</t>
  </si>
  <si>
    <t>CAL HIDRATADA BOLSA 30 kg</t>
  </si>
  <si>
    <t>LADRILLO KK 18 HUECOS 9X13X24 cm</t>
  </si>
  <si>
    <t>02.01.02</t>
  </si>
  <si>
    <t>MURO LADRILLO K.K.DE ARCILLA 18 H ( 0.09x0.13x0.24) AMARRE DE SOGA JUNTA 1.5 cm. MORTERO 1:1:5</t>
  </si>
  <si>
    <t>02.02</t>
  </si>
  <si>
    <t>REVOQUES</t>
  </si>
  <si>
    <t>02.02.01</t>
  </si>
  <si>
    <t>TARRAJEO MUROS INTERIORES</t>
  </si>
  <si>
    <t>ARENA</t>
  </si>
  <si>
    <t>REGLA DE ALUMINIO 1" X 4" X 8"</t>
  </si>
  <si>
    <t>02.02.02</t>
  </si>
  <si>
    <t>TARRAJEO MUROS EXTERIORES</t>
  </si>
  <si>
    <t>02.02.03</t>
  </si>
  <si>
    <t>TARRAJEO COLUMNAS</t>
  </si>
  <si>
    <t>02.02.04</t>
  </si>
  <si>
    <t>TARRAJEO DE VIGAS</t>
  </si>
  <si>
    <t>02.02.05</t>
  </si>
  <si>
    <t>DERRAMES A=0.15 m.MORTERO 1:3</t>
  </si>
  <si>
    <t>m</t>
  </si>
  <si>
    <t>02.02.06</t>
  </si>
  <si>
    <t>MORTERO 1:4 (cemento - arena)</t>
  </si>
  <si>
    <t>BRUÑAS DE 1 X 1 cm</t>
  </si>
  <si>
    <t>02.03</t>
  </si>
  <si>
    <t>CIELO RASOS</t>
  </si>
  <si>
    <t>02.03.01</t>
  </si>
  <si>
    <t>CIELO RASO DE MADERA MACHIHEMBRADA</t>
  </si>
  <si>
    <t>CLAVOS PARA MADERA CON CABEZA DE 1"</t>
  </si>
  <si>
    <t>AGUARRAS MINERAL</t>
  </si>
  <si>
    <t>BARNIZ MARINO</t>
  </si>
  <si>
    <t>02.03.02</t>
  </si>
  <si>
    <t>TARRAJEO DE CIELORASO</t>
  </si>
  <si>
    <t>02.04</t>
  </si>
  <si>
    <t>02.04.01</t>
  </si>
  <si>
    <t>CONTRAPISO DE 2"</t>
  </si>
  <si>
    <t>REGLA DE ALUMINIO 1½" X 4" X 10"</t>
  </si>
  <si>
    <t>02.04.02</t>
  </si>
  <si>
    <t>ENCHAPE DE PORCELANATO 30 X 30 cm EN PISO</t>
  </si>
  <si>
    <t>PORCELANATO VULCANO DE ZANNON 30 X 30 cm</t>
  </si>
  <si>
    <t>02.04.03</t>
  </si>
  <si>
    <t>FRAGUA CON POLVO NOVACEL</t>
  </si>
  <si>
    <t>FRAGUA NOVACEL COLOR GRIS</t>
  </si>
  <si>
    <t>PISO CERAMICO ANTIDESLIZANTE CELIMA 30x30 (MOSAICO BLANCO Y/O CUPIRITA)</t>
  </si>
  <si>
    <t>PEGAMENTO EN POLVO NOVACEL</t>
  </si>
  <si>
    <t>CERAMICA CELIMA SERIE ANTIDESLIZANTE MOSAICO PISO/PARED 0.30X0.30</t>
  </si>
  <si>
    <t>02.04.04</t>
  </si>
  <si>
    <t>PISO DE CEMENTO BARRIDO Y BRUÑADO E=0.04 m</t>
  </si>
  <si>
    <t>ESCOBAS DE PAJA</t>
  </si>
  <si>
    <t>02.05</t>
  </si>
  <si>
    <t>SARDINELES Y VEREDAS</t>
  </si>
  <si>
    <t>02.05.01</t>
  </si>
  <si>
    <t>BASE GRANULAR E=0.10 m.COMPACTADA CON EQUIPO LIVIANO</t>
  </si>
  <si>
    <t>CONCRETO VEREDAS f'c=175 kg/cm2 UN SARDINEL INCORPORADO A=1.00 m. INCLUYE BASE DE AFIRMADO E=0.10 m.</t>
  </si>
  <si>
    <t>02.06</t>
  </si>
  <si>
    <t>CONTRAZOCALOS</t>
  </si>
  <si>
    <t>02.06.01</t>
  </si>
  <si>
    <t>FRAGUA CON PORCELANA DE COLOR</t>
  </si>
  <si>
    <t>PORCELANA NOVACEL COLOR</t>
  </si>
  <si>
    <t>CONTRAZOCALO CERAMICO 30X30 H=0.10 m. FRAGUA CON PORCELANA COLOR</t>
  </si>
  <si>
    <t>CERAMICA CELIMA 0.30X0.30 cm</t>
  </si>
  <si>
    <t>02.07</t>
  </si>
  <si>
    <t>ZOCALOS</t>
  </si>
  <si>
    <t>02.07.01</t>
  </si>
  <si>
    <t>ZOCALO DE CERAMICA 30 X 30 EN BAÑO O SIMILAR</t>
  </si>
  <si>
    <t>PEGAMENTO CELIMA EN POLVO</t>
  </si>
  <si>
    <t>02.08</t>
  </si>
  <si>
    <t>ESCALERAS Y RAMPAS</t>
  </si>
  <si>
    <t>02.08.01</t>
  </si>
  <si>
    <t>02.08.02</t>
  </si>
  <si>
    <t>TARRAJEO DE FONDO DE ESCALERAS Y RAMPAS MORTERO 1:5</t>
  </si>
  <si>
    <t>02.09</t>
  </si>
  <si>
    <t>COBERTURAS</t>
  </si>
  <si>
    <t>02.09.01</t>
  </si>
  <si>
    <t>COBERTURA DE TEJA ANDINA</t>
  </si>
  <si>
    <t>TEJA ANDINA (1.16x0.70 m.)</t>
  </si>
  <si>
    <t>PERNOS DE ANCLAJE DE FIERRO GALVANIZADO CON CAPUCHON PLASTICO</t>
  </si>
  <si>
    <t>02.10</t>
  </si>
  <si>
    <t>CARPINTERIA DE MADERA</t>
  </si>
  <si>
    <t>02.10.01</t>
  </si>
  <si>
    <t>PUERTAS DE MADERA</t>
  </si>
  <si>
    <t>02.10.01.01</t>
  </si>
  <si>
    <t>PUERTA PRINCIPAL DE MADERA TORNILLO APANELADA</t>
  </si>
  <si>
    <t>CERRADURA PARA PUERTA PRINCIPAL</t>
  </si>
  <si>
    <t>BISAGRA CAPUCHINA DE BRONCE  3" x 3"</t>
  </si>
  <si>
    <t>PUERTA APANELADA P-02</t>
  </si>
  <si>
    <t>02.10.01.02</t>
  </si>
  <si>
    <t>PUERTA APANELADA DE MADERA TORNILLO</t>
  </si>
  <si>
    <t>CERRADURA YALE PRINCIPAL</t>
  </si>
  <si>
    <t>PUERTA APANELADA P-01</t>
  </si>
  <si>
    <t>02.10.01.03</t>
  </si>
  <si>
    <t>PUERTA CONTRAPLACADA MOLDEADA  P-04'</t>
  </si>
  <si>
    <t>BISAGRA CAPUCHINA DE BRONCE</t>
  </si>
  <si>
    <t>CERRADURA PARA PUERTA INTERIOR</t>
  </si>
  <si>
    <t>PUERTA CONTRAPLACADA P-01 A TODO COSTO</t>
  </si>
  <si>
    <t>02.10.02</t>
  </si>
  <si>
    <t>02.10.02.01</t>
  </si>
  <si>
    <t>MUEBLE DE COCINA CON MELAMINE Y GRANITO (Area de usos multiples)</t>
  </si>
  <si>
    <t>MUEBLE DE COCINA</t>
  </si>
  <si>
    <t>02.11</t>
  </si>
  <si>
    <t>CARPINTERIA METALICA</t>
  </si>
  <si>
    <t>02.11.01</t>
  </si>
  <si>
    <t>BARANDA DE FIERRO</t>
  </si>
  <si>
    <t>BARANDA METALICA</t>
  </si>
  <si>
    <t>02.11.02</t>
  </si>
  <si>
    <t>PUERTA METALICA</t>
  </si>
  <si>
    <t>PUERTA METALICA A TODO COSTO</t>
  </si>
  <si>
    <t>02.11.03</t>
  </si>
  <si>
    <t>REJA METALICA</t>
  </si>
  <si>
    <t>REJA METALICA TIPO A</t>
  </si>
  <si>
    <t>02.12</t>
  </si>
  <si>
    <t>VIDRIOS</t>
  </si>
  <si>
    <t>02.12.01</t>
  </si>
  <si>
    <t>VIDRIO SEMIDOBLE INCOLORO CRUDO</t>
  </si>
  <si>
    <t>VIDRIO TRANSPARENTE CRUDO MEDIO DOBLE</t>
  </si>
  <si>
    <t>02.13</t>
  </si>
  <si>
    <t>VENTANAS</t>
  </si>
  <si>
    <t>02.13.01</t>
  </si>
  <si>
    <t>VENTANA DE MADERA CEDRO CON HOJAS</t>
  </si>
  <si>
    <t>COLA SINTETICA</t>
  </si>
  <si>
    <t>MADERA CEDRO</t>
  </si>
  <si>
    <t>LIJA PARA MADERA #100</t>
  </si>
  <si>
    <t>plg</t>
  </si>
  <si>
    <t>CEPILLADORA ELECTRICA</t>
  </si>
  <si>
    <t>SIERRA CIRCULAR</t>
  </si>
  <si>
    <t>02.14</t>
  </si>
  <si>
    <t>PINTURAS</t>
  </si>
  <si>
    <t>02.14.01</t>
  </si>
  <si>
    <t>PINTURA LATEX EN CIELO RASO</t>
  </si>
  <si>
    <t>LIJA PARA PARED</t>
  </si>
  <si>
    <t>PINTURA LATEX LAVABLE</t>
  </si>
  <si>
    <t>IMPRIMANTE</t>
  </si>
  <si>
    <t>02.14.02</t>
  </si>
  <si>
    <t>PINTURA LATEX EN MUROS INTERIORES</t>
  </si>
  <si>
    <t>02.14.03</t>
  </si>
  <si>
    <t>PINTURA LATEX EN MUROS EXTERIORES</t>
  </si>
  <si>
    <t>PINTURA LATEX SUPERMATE</t>
  </si>
  <si>
    <t>ANDAMIO DE FACHADA</t>
  </si>
  <si>
    <t>03</t>
  </si>
  <si>
    <t>INSTALACIONES ELECTRICAS</t>
  </si>
  <si>
    <t>03.01</t>
  </si>
  <si>
    <t>SALIDA PARA CENTRO DE LUZ</t>
  </si>
  <si>
    <t>pto</t>
  </si>
  <si>
    <t>TUBERIA PVC-SAP ELECTRICA DE 3/4" X 3 m (20 mm)</t>
  </si>
  <si>
    <t>CURVAS PVC-SAP ELECTRICAS 1/2"</t>
  </si>
  <si>
    <t>CURVAS PVC-SAP ELECTRICAS 3/4" (20 mm)</t>
  </si>
  <si>
    <t>UNIONES PVC-SAP 1/2" ELECTRICAS</t>
  </si>
  <si>
    <t>UNIONES PVC-SAP 3/4" ELECTRICAS (20 mm)</t>
  </si>
  <si>
    <t>CONEXIONES PVC-SAP 1/2" ELECTRICAS</t>
  </si>
  <si>
    <t>CONEXIONES PVC-SAP 3/4" ELECTRICAS (20 mm)</t>
  </si>
  <si>
    <t>PEGAMENTO PARA PVC</t>
  </si>
  <si>
    <t>STOVE-BOLTS</t>
  </si>
  <si>
    <t>DADO CONMUTADOR</t>
  </si>
  <si>
    <t>DADO INTERRUPTOR</t>
  </si>
  <si>
    <t>DADO PULSADOR</t>
  </si>
  <si>
    <t>PLACA ALUMINIO DOBLE</t>
  </si>
  <si>
    <t>PLACA ALUMINIO SIMPLE</t>
  </si>
  <si>
    <t>PLACA ALUMINIO TRIPLE</t>
  </si>
  <si>
    <t>PLACA CIEGA DE ALUMINIO ANODIZADO</t>
  </si>
  <si>
    <t>CAJA DE PASE OCTOGONAL SAP 100 X 40 mm</t>
  </si>
  <si>
    <t>CAJA RECTANGULAR FIERRO GALVANIZADO DE 100 x 50 x 40 mm (6" X 2" X 1½")</t>
  </si>
  <si>
    <t>TAPA CIEGA</t>
  </si>
  <si>
    <t>ALAMBRE TW 2.5 mm2</t>
  </si>
  <si>
    <t>ALAMBRE TW 4 mm2</t>
  </si>
  <si>
    <t>03.02</t>
  </si>
  <si>
    <t>SALIDA PARA BRAQUETE</t>
  </si>
  <si>
    <t>03.03</t>
  </si>
  <si>
    <t>SALIDA PARA INTERRUPTOR BIPOLAR DOBLE</t>
  </si>
  <si>
    <t>INTERRUPTOR DOBLE TICINO</t>
  </si>
  <si>
    <t>PLACA A PRUEBA DE AGUA IDROBOX- MAGIC TICINO</t>
  </si>
  <si>
    <t>CAJA DE PASE CUADRADA DE FIERRO GALVANIZADO 4X4X 1 1/2"</t>
  </si>
  <si>
    <t>TAPA 1 GANG</t>
  </si>
  <si>
    <t>03.04</t>
  </si>
  <si>
    <t>SALIDA PARA TOMACORRIENTE BIPOLAR DOBLE + L.T. A PRUEBA DE AGUA</t>
  </si>
  <si>
    <t>TOMACORRIENTE UNIVERSAL DOBLE + L.T.</t>
  </si>
  <si>
    <t>03.05</t>
  </si>
  <si>
    <t>SALIDA PARA LUZ DE EMERGENCIA</t>
  </si>
  <si>
    <t>CINTA AISLANTE</t>
  </si>
  <si>
    <t>03.06</t>
  </si>
  <si>
    <t>ALAMBRE TW 6 mm2</t>
  </si>
  <si>
    <t>ALAMBRE DE CU. 6 mm2 TW</t>
  </si>
  <si>
    <t>03.07</t>
  </si>
  <si>
    <t>ALAMBRE DE CU. 4 mm2 TW</t>
  </si>
  <si>
    <t>03.08</t>
  </si>
  <si>
    <t>ALAMBRE DE CU. 2.5 mm2 TW</t>
  </si>
  <si>
    <t>03.09</t>
  </si>
  <si>
    <t>TABLEROS DISTRIBUCION CAJA METALICA CON 12 POLOS</t>
  </si>
  <si>
    <t>TABLERO GABINETE METAL BARRA BRONCE 12 POLOS</t>
  </si>
  <si>
    <t>M. DE O. PARA COLOCACION DE TABLEROS ELECTRICOS VIVIENDA UNIFAMILIAR</t>
  </si>
  <si>
    <t>03.10</t>
  </si>
  <si>
    <t>POZO A TIERRA</t>
  </si>
  <si>
    <t>04</t>
  </si>
  <si>
    <t>INSTALACIONES SANITARIAS</t>
  </si>
  <si>
    <t>04.01</t>
  </si>
  <si>
    <t>SISTEMA DE DESAGUE</t>
  </si>
  <si>
    <t>04.01.01</t>
  </si>
  <si>
    <t>SALIDA DESAGUE DE PVC SAL 2"</t>
  </si>
  <si>
    <t>TUBERIA PVC-SAL 2" X 3 m</t>
  </si>
  <si>
    <t>CODO PVC-SAL 2" X 90°</t>
  </si>
  <si>
    <t>TEE SANITARIA PVC-SAL DE 2"</t>
  </si>
  <si>
    <t>YEE PVC SAL SIMPLE DE 2"</t>
  </si>
  <si>
    <t>04.01.02</t>
  </si>
  <si>
    <t>SALIDA DESAGUE DE PVC-SAL 4"</t>
  </si>
  <si>
    <t>TUBERIA PVC-SAL 4" X 3 m</t>
  </si>
  <si>
    <t>TEE SANITARIA PVC-SAL DE 4"</t>
  </si>
  <si>
    <t>REDUCCION PVC-SAL DE 4" A 2"</t>
  </si>
  <si>
    <t>04.01.03</t>
  </si>
  <si>
    <t>SALIDA VENTILACION DE PVC-SAL 2"</t>
  </si>
  <si>
    <t>04.01.04</t>
  </si>
  <si>
    <t>SUMINISTRO Y COLOCACION DE TUBERIA PVC SAL DE 2"</t>
  </si>
  <si>
    <t>PEGAMENTO PARA PVC DE 1/4 GLN</t>
  </si>
  <si>
    <t>04.01.05</t>
  </si>
  <si>
    <t>SUMINISTRO Y COLOCACION DE TUBERIA PVC SAL DE 4"</t>
  </si>
  <si>
    <t>04.01.06</t>
  </si>
  <si>
    <t>MONTANTE DE TUBERIA PVC SAL 4"</t>
  </si>
  <si>
    <t>CODO PVC-SAL 4" X 45°</t>
  </si>
  <si>
    <t>04.01.07</t>
  </si>
  <si>
    <t>REGISTRO DE BRONCE  4"</t>
  </si>
  <si>
    <t>REGISTRO DE BRONCE DE 4"</t>
  </si>
  <si>
    <t>04.01.08</t>
  </si>
  <si>
    <t>CAJAS DE REGISTRO DE DESAGUE 12" x 24"</t>
  </si>
  <si>
    <t>CAJA DE CONCRETO PREFABRICADA DE DESAGUE DE 12" X 24"</t>
  </si>
  <si>
    <t>TUBERIA DE FIERRO GALVANIZADO DE 2"</t>
  </si>
  <si>
    <t>CODO FIERRO GALVANIZADO DE 2" X 90°</t>
  </si>
  <si>
    <t>REJILLA METALICA T-9</t>
  </si>
  <si>
    <t>04.01.09</t>
  </si>
  <si>
    <t>ACCESORIOS VARIOS PARA TUB. PVC.</t>
  </si>
  <si>
    <t>CODO 90°   DE  4" CON VENTILACIÓN DE 2"</t>
  </si>
  <si>
    <t>CODO 90° DE 2" SAL</t>
  </si>
  <si>
    <t>CODO 90° DE 4" SAL</t>
  </si>
  <si>
    <t>YEE PVC-SAL 2"</t>
  </si>
  <si>
    <t>YEE PVC-SAL 4"</t>
  </si>
  <si>
    <t>YEE DOBLE PVC-SAL DE 2"</t>
  </si>
  <si>
    <t>YEE PVC SAL 4" x 2"</t>
  </si>
  <si>
    <t>TEE DE 4"</t>
  </si>
  <si>
    <t>TEE DE 2"</t>
  </si>
  <si>
    <t>SUMIDERO CROMADO ROSCADO DE 2"</t>
  </si>
  <si>
    <t>REGISTRO CROMADOS ROSCADO DE 2"</t>
  </si>
  <si>
    <t>04.02</t>
  </si>
  <si>
    <t>SISTEMA DE AGUA FRIA</t>
  </si>
  <si>
    <t>04.02.01</t>
  </si>
  <si>
    <t>SUMINISTRO E INSTALACION DE TUBERIA PVC UF C-10 DE 1/2"</t>
  </si>
  <si>
    <t>TUBERIA PVC-SAP C-10 S/P DE 1/2" X 5 m</t>
  </si>
  <si>
    <t>04.02.02</t>
  </si>
  <si>
    <t>SUMINISTRO E INSTALACION DE TUBERIA PVC UF C-10 DE 3/4"</t>
  </si>
  <si>
    <t>TUBERIA PVC-SAP C-10 C/R DE 3/4" X 5 m</t>
  </si>
  <si>
    <t>04.02.03</t>
  </si>
  <si>
    <t>SUMINISTRO E INSTALACION DE TUBERIA PVC UF C-10 DE 1"</t>
  </si>
  <si>
    <t>TUBERIA PVC-SAP C-10 C/R DE 1" X 5 m</t>
  </si>
  <si>
    <t>04.02.04</t>
  </si>
  <si>
    <t>ACCESORIOS VARIOS PARA TUB. AGUA PVC UF.</t>
  </si>
  <si>
    <t>CODO PVC SAP S/P 1/2" X 90°</t>
  </si>
  <si>
    <t>CODO PVC SAP C/R 3/4" X 90°</t>
  </si>
  <si>
    <t>TEE PVC-SAP C/R 1/2"</t>
  </si>
  <si>
    <t>TEE PVC-SAP C/R 3/4"</t>
  </si>
  <si>
    <t>04.02.05</t>
  </si>
  <si>
    <t>VALVULA COMPUERTA DE 1/2"</t>
  </si>
  <si>
    <t>CINTA TEFLON</t>
  </si>
  <si>
    <t>NIPLE DE FIERRO GALVANIZADO DE  1/2" x 1 1/2"</t>
  </si>
  <si>
    <t>UNION UNIVERSAL DE FIERRO GALVANIZADO DE 1/2"</t>
  </si>
  <si>
    <t>04.02.06</t>
  </si>
  <si>
    <t>VALVULA COMPUERTA DE 1"</t>
  </si>
  <si>
    <t>ADAPTADOR PVC-SAP S/P 1"</t>
  </si>
  <si>
    <t>NIPLE DE FIERRO GALVANIZADO DE 1" x 2"</t>
  </si>
  <si>
    <t>UNION UNIVERSAL DE FIERRO GALVANIZADO DE 1"</t>
  </si>
  <si>
    <t>TOTAL</t>
  </si>
  <si>
    <t>EL PRESUPUESTO FUE PROCESADO PARA LA EJECUCIÓN POR CONTRATA</t>
  </si>
  <si>
    <t>TEXTO EN PANEL DE APUS</t>
  </si>
  <si>
    <t>Arial</t>
  </si>
  <si>
    <t>NÚMERO DE DECIMALES PARA REDONDEO</t>
  </si>
  <si>
    <t>Parciales de las partidas en la hoja de presupuesto</t>
  </si>
  <si>
    <t>SUBTOTAL 3</t>
  </si>
  <si>
    <t>% SUBTOTAL 3</t>
  </si>
  <si>
    <t>SUBTOTAL 4</t>
  </si>
  <si>
    <t>% SUBTOTAL 4</t>
  </si>
  <si>
    <t>Generar el gráfico de utilización de recursos para</t>
  </si>
  <si>
    <t>Al consolidar los insumos de las partidas calcular en base a</t>
  </si>
  <si>
    <t>DESCRIPCIÓN</t>
  </si>
  <si>
    <t>SIM.</t>
  </si>
  <si>
    <t>GG</t>
  </si>
  <si>
    <t>UT</t>
  </si>
  <si>
    <t>ST</t>
  </si>
  <si>
    <t>IM</t>
  </si>
  <si>
    <t>VR</t>
  </si>
  <si>
    <t>SU</t>
  </si>
  <si>
    <t>COSTO DIRECTO (CD)</t>
  </si>
  <si>
    <t xml:space="preserve">   COLOR DE TEXTOS:</t>
  </si>
  <si>
    <t>Subpresupuesto</t>
  </si>
  <si>
    <t>Tamaño ET</t>
  </si>
  <si>
    <t>Fuente ET</t>
  </si>
  <si>
    <t>Tamaño DG</t>
  </si>
  <si>
    <t>Fuente DG</t>
  </si>
  <si>
    <t>Pie de 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</si>
</sst>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quot;/kg&quot;"/>
    <numFmt numFmtId="165" formatCode="0.00&quot; /&quot;"/>
    <numFmt numFmtId="166" formatCode="\ 0.00&quot;/UC&quot;"/>
    <numFmt numFmtId="167" formatCode="0.0000"/>
    <numFmt numFmtId="168" formatCode="#\ ###\ ##0.00"/>
    <numFmt numFmtId="169" formatCode="&quot;S/ &quot;0.00&quot; /&quot;"/>
    <numFmt numFmtId="170" formatCode="&quot;S/ &quot;0.00&quot; / kg&quot;"/>
    <numFmt numFmtId="171" formatCode="General&quot; Ton&quot;"/>
    <numFmt numFmtId="172" formatCode="General&quot; m3&quot;"/>
    <numFmt numFmtId="173" formatCode="General&quot; h&quot;"/>
  </numFmts>
  <fonts count="38" x14ac:knownFonts="1">
    <font>
      <sz val="10"/>
      <name val="Arial"/>
    </font>
    <font>
      <sz val="10"/>
      <name val="Arial"/>
      <family val="2"/>
    </font>
    <font>
      <sz val="8"/>
      <color indexed="12"/>
      <name val="Arial"/>
      <family val="2"/>
    </font>
    <font>
      <sz val="8"/>
      <name val="Arial"/>
      <family val="2"/>
    </font>
    <font>
      <b/>
      <sz val="10"/>
      <color indexed="10"/>
      <name val="Arial"/>
      <family val="2"/>
    </font>
    <font>
      <b/>
      <sz val="9"/>
      <color indexed="10"/>
      <name val="Arial"/>
      <family val="2"/>
    </font>
    <font>
      <sz val="10"/>
      <color indexed="10"/>
      <name val="Arial"/>
      <family val="2"/>
    </font>
    <font>
      <b/>
      <sz val="8"/>
      <color indexed="81"/>
      <name val="Tahoma"/>
      <family val="2"/>
    </font>
    <font>
      <sz val="8"/>
      <color indexed="81"/>
      <name val="Tahoma"/>
      <family val="2"/>
    </font>
    <font>
      <b/>
      <sz val="10"/>
      <name val="Arial"/>
      <family val="2"/>
    </font>
    <font>
      <b/>
      <sz val="10"/>
      <color indexed="53"/>
      <name val="Arial"/>
      <family val="2"/>
    </font>
    <font>
      <b/>
      <sz val="16"/>
      <color indexed="53"/>
      <name val="Arial"/>
      <family val="2"/>
    </font>
    <font>
      <sz val="10"/>
      <color indexed="8"/>
      <name val="Arial"/>
      <family val="2"/>
    </font>
    <font>
      <sz val="10"/>
      <color indexed="12"/>
      <name val="Arial"/>
      <family val="2"/>
    </font>
    <font>
      <b/>
      <sz val="9"/>
      <color indexed="60"/>
      <name val="Arial"/>
      <family val="2"/>
    </font>
    <font>
      <b/>
      <sz val="10"/>
      <color indexed="60"/>
      <name val="Arial"/>
      <family val="2"/>
    </font>
    <font>
      <sz val="9"/>
      <color indexed="12"/>
      <name val="Arial"/>
      <family val="2"/>
    </font>
    <font>
      <b/>
      <sz val="8"/>
      <color indexed="60"/>
      <name val="Arial"/>
      <family val="2"/>
    </font>
    <font>
      <sz val="10"/>
      <color indexed="10"/>
      <name val="Arial"/>
      <family val="2"/>
    </font>
    <font>
      <sz val="12"/>
      <color indexed="10"/>
      <name val="Arial"/>
      <family val="2"/>
    </font>
    <font>
      <b/>
      <sz val="10"/>
      <color indexed="10"/>
      <name val="Arial"/>
      <family val="2"/>
    </font>
    <font>
      <sz val="10"/>
      <color theme="0"/>
      <name val="Arial"/>
      <family val="2"/>
    </font>
    <font>
      <b/>
      <sz val="10"/>
      <color rgb="FFC00000"/>
      <name val="Arial"/>
      <family val="2"/>
    </font>
    <font>
      <b/>
      <sz val="10"/>
      <color theme="0"/>
      <name val="Arial"/>
      <family val="2"/>
    </font>
    <font>
      <b/>
      <sz val="9"/>
      <color theme="0"/>
      <name val="Arial"/>
      <family val="2"/>
    </font>
    <font>
      <b/>
      <sz val="9"/>
      <color indexed="81"/>
      <name val="Tahoma"/>
      <family val="2"/>
    </font>
    <font>
      <sz val="9"/>
      <color indexed="81"/>
      <name val="Tahoma"/>
      <family val="2"/>
    </font>
    <font>
      <b/>
      <sz val="10"/>
      <color rgb="FFFF0000"/>
      <name val="Arial"/>
      <family val="2"/>
    </font>
    <font>
      <sz val="10"/>
      <color rgb="FF0000FF"/>
      <name val="Arial"/>
      <family val="2"/>
    </font>
    <font>
      <b/>
      <u/>
      <sz val="10"/>
      <name val="Arial"/>
      <family val="2"/>
    </font>
    <font>
      <sz val="10"/>
      <name val="Arial"/>
      <family val="2"/>
    </font>
    <font>
      <sz val="10"/>
      <color rgb="FFFF0000"/>
      <name val="Arial"/>
      <family val="2"/>
    </font>
    <font>
      <b/>
      <sz val="10"/>
      <color indexed="12"/>
      <name val="Arial"/>
      <family val="2"/>
    </font>
    <font>
      <b/>
      <sz val="10"/>
      <color indexed="17"/>
      <name val="Arial"/>
      <family val="2"/>
    </font>
    <font>
      <u/>
      <sz val="10"/>
      <name val="Arial"/>
      <family val="2"/>
    </font>
    <font>
      <b/>
      <sz val="10"/>
      <color rgb="FF0000FF"/>
      <name val="Arial"/>
      <family val="2"/>
    </font>
    <font>
      <b/>
      <sz val="11"/>
      <color rgb="FF0000FF"/>
      <name val="Arial"/>
      <family val="2"/>
    </font>
    <font>
      <b/>
      <u/>
      <sz val="11"/>
      <color rgb="FF0000FF"/>
      <name val="Arial"/>
      <family val="2"/>
    </font>
  </fonts>
  <fills count="19">
    <fill>
      <patternFill patternType="none"/>
    </fill>
    <fill>
      <patternFill patternType="gray125"/>
    </fill>
    <fill>
      <patternFill patternType="solid">
        <fgColor indexed="13"/>
        <bgColor indexed="64"/>
      </patternFill>
    </fill>
    <fill>
      <patternFill patternType="solid">
        <fgColor theme="8" tint="0.79998168889431442"/>
        <bgColor indexed="64"/>
      </patternFill>
    </fill>
    <fill>
      <patternFill patternType="lightGray">
        <fgColor rgb="FFFFFF00"/>
        <bgColor theme="6" tint="0.59996337778862885"/>
      </patternFill>
    </fill>
    <fill>
      <patternFill patternType="solid">
        <fgColor theme="0" tint="-0.14999847407452621"/>
        <bgColor indexed="64"/>
      </patternFill>
    </fill>
    <fill>
      <patternFill patternType="lightGray">
        <fgColor rgb="FFFFFF00"/>
        <bgColor theme="0" tint="-0.14999847407452621"/>
      </patternFill>
    </fill>
    <fill>
      <patternFill patternType="solid">
        <fgColor rgb="FF33CC33"/>
        <bgColor indexed="64"/>
      </patternFill>
    </fill>
    <fill>
      <patternFill patternType="solid">
        <fgColor rgb="FFFF0000"/>
        <bgColor indexed="64"/>
      </patternFill>
    </fill>
    <fill>
      <patternFill patternType="solid">
        <fgColor theme="9" tint="-0.24994659260841701"/>
        <bgColor indexed="64"/>
      </patternFill>
    </fill>
    <fill>
      <patternFill patternType="solid">
        <fgColor rgb="FF0000FF"/>
        <bgColor indexed="64"/>
      </patternFill>
    </fill>
    <fill>
      <patternFill patternType="solid">
        <fgColor rgb="FF008000"/>
        <bgColor indexed="64"/>
      </patternFill>
    </fill>
    <fill>
      <patternFill patternType="solid">
        <fgColor rgb="FF663300"/>
        <bgColor indexed="64"/>
      </patternFill>
    </fill>
    <fill>
      <patternFill patternType="solid">
        <fgColor rgb="FFCC00FF"/>
        <bgColor indexed="64"/>
      </patternFill>
    </fill>
    <fill>
      <patternFill patternType="solid">
        <fgColor rgb="FFFF7C80"/>
        <bgColor indexed="64"/>
      </patternFill>
    </fill>
    <fill>
      <patternFill patternType="solid">
        <fgColor rgb="FF00FF00"/>
        <bgColor indexed="64"/>
      </patternFill>
    </fill>
    <fill>
      <patternFill patternType="solid">
        <fgColor rgb="FF660066"/>
        <bgColor indexed="64"/>
      </patternFill>
    </fill>
    <fill>
      <patternFill patternType="solid">
        <fgColor rgb="FF00B0F0"/>
        <bgColor indexed="64"/>
      </patternFill>
    </fill>
    <fill>
      <patternFill patternType="solid">
        <fgColor rgb="FFFFFF00"/>
        <bgColor indexed="64"/>
      </patternFill>
    </fill>
  </fills>
  <borders count="3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s>
  <cellStyleXfs count="2">
    <xf numFmtId="0" fontId="0" fillId="0" borderId="0"/>
    <xf numFmtId="9" fontId="30" fillId="0" borderId="0" applyFont="0" applyFill="0" applyBorder="0" applyAlignment="0" applyProtection="0"/>
  </cellStyleXfs>
  <cellXfs count="254">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14" fillId="0" borderId="2" xfId="0" applyFont="1" applyBorder="1" applyAlignment="1">
      <alignment horizontal="center" vertical="center"/>
    </xf>
    <xf numFmtId="2" fontId="14" fillId="0" borderId="2" xfId="0" applyNumberFormat="1" applyFont="1" applyBorder="1" applyAlignment="1">
      <alignment horizontal="center" vertical="center" wrapText="1"/>
    </xf>
    <xf numFmtId="0" fontId="14" fillId="0" borderId="2" xfId="0" applyFont="1" applyBorder="1" applyAlignment="1">
      <alignment horizontal="center" vertical="center" wrapText="1"/>
    </xf>
    <xf numFmtId="0" fontId="15" fillId="0" borderId="0" xfId="0" applyFont="1" applyAlignment="1">
      <alignment horizontal="center"/>
    </xf>
    <xf numFmtId="0" fontId="0" fillId="0" borderId="0" xfId="0" applyAlignment="1">
      <alignment horizontal="center" vertical="center"/>
    </xf>
    <xf numFmtId="0" fontId="6" fillId="0" borderId="0" xfId="0" applyFont="1" applyAlignment="1">
      <alignment horizontal="center"/>
    </xf>
    <xf numFmtId="0" fontId="14" fillId="0" borderId="2" xfId="0" applyFont="1" applyBorder="1" applyAlignment="1">
      <alignment horizontal="center"/>
    </xf>
    <xf numFmtId="0" fontId="0" fillId="0" borderId="0" xfId="0" applyAlignment="1">
      <alignment vertical="center"/>
    </xf>
    <xf numFmtId="0" fontId="14" fillId="0" borderId="2" xfId="0" applyFont="1" applyBorder="1" applyAlignment="1">
      <alignment horizontal="left" vertical="center"/>
    </xf>
    <xf numFmtId="0" fontId="18" fillId="0" borderId="0" xfId="0" applyFont="1" applyAlignment="1">
      <alignment horizontal="left"/>
    </xf>
    <xf numFmtId="0" fontId="10" fillId="0" borderId="2" xfId="0" applyFont="1" applyBorder="1" applyAlignment="1">
      <alignment horizontal="centerContinuous"/>
    </xf>
    <xf numFmtId="0" fontId="10" fillId="0" borderId="2" xfId="0" applyFont="1" applyBorder="1"/>
    <xf numFmtId="0" fontId="10" fillId="0" borderId="2" xfId="0" applyFont="1" applyBorder="1" applyAlignment="1">
      <alignment horizontal="center" vertical="center"/>
    </xf>
    <xf numFmtId="2" fontId="2" fillId="0" borderId="2" xfId="0" applyNumberFormat="1" applyFont="1" applyBorder="1" applyAlignment="1">
      <alignment horizontal="center" vertical="center" wrapText="1"/>
    </xf>
    <xf numFmtId="168" fontId="0" fillId="0" borderId="0" xfId="0" applyNumberFormat="1" applyAlignment="1">
      <alignment vertical="center"/>
    </xf>
    <xf numFmtId="0" fontId="14" fillId="0" borderId="3" xfId="0" applyFont="1" applyBorder="1" applyAlignment="1">
      <alignment horizontal="center"/>
    </xf>
    <xf numFmtId="0" fontId="17" fillId="0" borderId="4" xfId="0" applyFont="1" applyBorder="1" applyAlignment="1">
      <alignment horizontal="left"/>
    </xf>
    <xf numFmtId="0" fontId="17" fillId="0" borderId="4" xfId="0" applyFont="1" applyBorder="1" applyAlignment="1">
      <alignment horizontal="center"/>
    </xf>
    <xf numFmtId="164" fontId="2" fillId="0" borderId="3" xfId="0" applyNumberFormat="1" applyFont="1" applyBorder="1" applyAlignment="1">
      <alignment horizontal="left" vertical="center" wrapText="1"/>
    </xf>
    <xf numFmtId="171" fontId="16" fillId="0" borderId="4" xfId="0" applyNumberFormat="1" applyFont="1" applyBorder="1" applyAlignment="1">
      <alignment horizontal="left" vertical="center"/>
    </xf>
    <xf numFmtId="0" fontId="16" fillId="0" borderId="4" xfId="0" applyFont="1" applyBorder="1" applyAlignment="1">
      <alignment horizontal="center" vertical="center"/>
    </xf>
    <xf numFmtId="166" fontId="2" fillId="0" borderId="3" xfId="0" applyNumberFormat="1" applyFont="1" applyBorder="1" applyAlignment="1">
      <alignment horizontal="left" vertical="center" wrapText="1"/>
    </xf>
    <xf numFmtId="172" fontId="16" fillId="0" borderId="4" xfId="0" applyNumberFormat="1" applyFont="1" applyBorder="1" applyAlignment="1">
      <alignment horizontal="left" vertical="center"/>
    </xf>
    <xf numFmtId="0" fontId="4" fillId="0" borderId="3" xfId="0" applyFont="1" applyBorder="1" applyAlignment="1">
      <alignment horizontal="center"/>
    </xf>
    <xf numFmtId="0" fontId="4" fillId="0" borderId="1" xfId="0"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14" fillId="2" borderId="2" xfId="0" applyFont="1" applyFill="1" applyBorder="1" applyAlignment="1">
      <alignment horizontal="center" vertical="center" wrapText="1"/>
    </xf>
    <xf numFmtId="0" fontId="15" fillId="0" borderId="0" xfId="0" applyFont="1" applyAlignment="1">
      <alignment horizontal="left"/>
    </xf>
    <xf numFmtId="0" fontId="18" fillId="0" borderId="0" xfId="0" applyFont="1" applyAlignment="1">
      <alignment vertical="center"/>
    </xf>
    <xf numFmtId="168" fontId="0" fillId="0" borderId="8" xfId="0" applyNumberFormat="1" applyBorder="1" applyAlignment="1">
      <alignment vertical="center"/>
    </xf>
    <xf numFmtId="0" fontId="0" fillId="0" borderId="0" xfId="0" applyAlignment="1">
      <alignment horizontal="left" vertical="center"/>
    </xf>
    <xf numFmtId="0" fontId="19" fillId="0" borderId="0" xfId="0" applyFont="1" applyAlignment="1">
      <alignment vertical="center"/>
    </xf>
    <xf numFmtId="0" fontId="13" fillId="0" borderId="0" xfId="0" applyFont="1" applyAlignment="1">
      <alignment horizontal="center" vertical="center"/>
    </xf>
    <xf numFmtId="0" fontId="20" fillId="0" borderId="8" xfId="0" applyFont="1" applyBorder="1" applyAlignment="1">
      <alignment horizontal="left" vertical="center"/>
    </xf>
    <xf numFmtId="0" fontId="0" fillId="0" borderId="8" xfId="0" applyBorder="1" applyAlignment="1">
      <alignment vertical="center"/>
    </xf>
    <xf numFmtId="0" fontId="4" fillId="0" borderId="8"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21" fillId="0" borderId="0" xfId="0" applyFont="1" applyAlignment="1">
      <alignment horizontal="left" vertical="center"/>
    </xf>
    <xf numFmtId="0" fontId="21" fillId="0" borderId="0" xfId="0" applyFont="1" applyAlignment="1">
      <alignment vertical="center"/>
    </xf>
    <xf numFmtId="0" fontId="21" fillId="0" borderId="0" xfId="0" applyFont="1" applyAlignment="1">
      <alignment horizontal="center" vertical="center"/>
    </xf>
    <xf numFmtId="0" fontId="1" fillId="0" borderId="0" xfId="0" applyFont="1" applyAlignment="1">
      <alignment vertical="center"/>
    </xf>
    <xf numFmtId="0" fontId="10" fillId="0" borderId="13" xfId="0" applyFont="1" applyBorder="1" applyAlignment="1">
      <alignment horizontal="center" vertical="center"/>
    </xf>
    <xf numFmtId="0" fontId="21" fillId="0" borderId="0" xfId="0" applyFont="1" applyAlignment="1">
      <alignment horizontal="center"/>
    </xf>
    <xf numFmtId="167" fontId="21" fillId="0" borderId="0" xfId="0" applyNumberFormat="1" applyFont="1" applyAlignment="1">
      <alignment vertical="center"/>
    </xf>
    <xf numFmtId="167" fontId="0" fillId="0" borderId="0" xfId="0" applyNumberFormat="1" applyAlignment="1">
      <alignment vertical="center"/>
    </xf>
    <xf numFmtId="167" fontId="0" fillId="0" borderId="8" xfId="0" applyNumberFormat="1" applyBorder="1" applyAlignment="1">
      <alignment vertical="center"/>
    </xf>
    <xf numFmtId="0" fontId="1" fillId="0" borderId="0" xfId="0" applyFont="1" applyAlignment="1">
      <alignment horizontal="right"/>
    </xf>
    <xf numFmtId="0" fontId="19" fillId="0" borderId="0" xfId="0" applyFont="1" applyAlignment="1">
      <alignment vertical="top"/>
    </xf>
    <xf numFmtId="0" fontId="0" fillId="0" borderId="13" xfId="0" applyBorder="1" applyAlignment="1">
      <alignment horizontal="center"/>
    </xf>
    <xf numFmtId="0" fontId="0" fillId="0" borderId="13" xfId="0" applyBorder="1" applyAlignment="1">
      <alignment horizontal="center" vertical="center"/>
    </xf>
    <xf numFmtId="0" fontId="1" fillId="0" borderId="13" xfId="0" applyFont="1" applyBorder="1" applyAlignment="1">
      <alignment horizontal="center" vertical="center"/>
    </xf>
    <xf numFmtId="0" fontId="14" fillId="0" borderId="13" xfId="0" applyFont="1" applyBorder="1" applyAlignment="1">
      <alignment horizontal="center" vertical="center" wrapText="1"/>
    </xf>
    <xf numFmtId="0" fontId="10" fillId="0" borderId="0" xfId="0" applyFont="1" applyAlignment="1">
      <alignment horizontal="center" vertical="center"/>
    </xf>
    <xf numFmtId="166" fontId="3" fillId="0" borderId="0" xfId="0" applyNumberFormat="1" applyFont="1" applyAlignment="1">
      <alignment horizontal="center" vertical="center" wrapText="1"/>
    </xf>
    <xf numFmtId="2" fontId="3" fillId="0" borderId="0" xfId="0" quotePrefix="1" applyNumberFormat="1" applyFont="1" applyAlignment="1">
      <alignment horizontal="center" vertical="center" wrapText="1"/>
    </xf>
    <xf numFmtId="165" fontId="3" fillId="0" borderId="0" xfId="0" applyNumberFormat="1" applyFont="1" applyAlignment="1">
      <alignment horizontal="center" vertical="center" wrapText="1"/>
    </xf>
    <xf numFmtId="169" fontId="3" fillId="0" borderId="0" xfId="0" quotePrefix="1" applyNumberFormat="1" applyFont="1" applyAlignment="1">
      <alignment horizontal="center" vertical="center" wrapText="1"/>
    </xf>
    <xf numFmtId="0" fontId="3" fillId="0" borderId="0" xfId="0" quotePrefix="1" applyFont="1" applyAlignment="1">
      <alignment horizontal="center" vertical="center" wrapText="1"/>
    </xf>
    <xf numFmtId="0" fontId="3" fillId="0" borderId="0" xfId="0" applyFont="1" applyAlignment="1">
      <alignment horizontal="center" vertical="center" wrapText="1"/>
    </xf>
    <xf numFmtId="170" fontId="3" fillId="0" borderId="0" xfId="0" applyNumberFormat="1" applyFont="1" applyAlignment="1">
      <alignment horizontal="left" vertical="center" wrapText="1"/>
    </xf>
    <xf numFmtId="0" fontId="3" fillId="0" borderId="0" xfId="0" applyFont="1" applyAlignment="1">
      <alignment horizontal="center" vertical="center"/>
    </xf>
    <xf numFmtId="49" fontId="3" fillId="0" borderId="9" xfId="0" applyNumberFormat="1" applyFont="1" applyBorder="1"/>
    <xf numFmtId="49" fontId="3" fillId="0" borderId="8" xfId="0" applyNumberFormat="1" applyFont="1" applyBorder="1"/>
    <xf numFmtId="0" fontId="3" fillId="0" borderId="0" xfId="0" applyFont="1"/>
    <xf numFmtId="0" fontId="10" fillId="0" borderId="13" xfId="0" applyFont="1" applyBorder="1" applyAlignment="1">
      <alignment horizontal="center"/>
    </xf>
    <xf numFmtId="2" fontId="11" fillId="0" borderId="0" xfId="0" applyNumberFormat="1" applyFont="1" applyAlignment="1">
      <alignment horizontal="centerContinuous" vertical="center"/>
    </xf>
    <xf numFmtId="0" fontId="0" fillId="0" borderId="0" xfId="0" applyAlignment="1">
      <alignment horizontal="centerContinuous"/>
    </xf>
    <xf numFmtId="0" fontId="11" fillId="0" borderId="0" xfId="0" applyFont="1" applyAlignment="1">
      <alignment horizontal="centerContinuous" vertical="center"/>
    </xf>
    <xf numFmtId="168" fontId="11" fillId="0" borderId="0" xfId="0" applyNumberFormat="1" applyFont="1" applyAlignment="1">
      <alignment horizontal="centerContinuous" vertical="center"/>
    </xf>
    <xf numFmtId="14" fontId="0" fillId="0" borderId="0" xfId="0" applyNumberFormat="1" applyAlignment="1">
      <alignment horizontal="left" vertical="center"/>
    </xf>
    <xf numFmtId="0" fontId="12" fillId="0" borderId="0" xfId="0" applyFont="1" applyAlignment="1">
      <alignment horizontal="left" vertical="center"/>
    </xf>
    <xf numFmtId="0" fontId="6"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vertical="center"/>
    </xf>
    <xf numFmtId="0" fontId="9" fillId="0" borderId="14" xfId="0" applyFont="1" applyBorder="1" applyAlignment="1">
      <alignment vertical="center"/>
    </xf>
    <xf numFmtId="0" fontId="9" fillId="0" borderId="4" xfId="0" applyFont="1" applyBorder="1" applyAlignment="1">
      <alignment vertical="center"/>
    </xf>
    <xf numFmtId="0" fontId="0" fillId="0" borderId="8" xfId="0" applyBorder="1"/>
    <xf numFmtId="0" fontId="9" fillId="0" borderId="8" xfId="0" applyFont="1" applyBorder="1" applyAlignment="1">
      <alignment horizontal="left" vertical="center"/>
    </xf>
    <xf numFmtId="0" fontId="24" fillId="7" borderId="0" xfId="0" applyFont="1" applyFill="1" applyAlignment="1">
      <alignment horizontal="center" vertical="center"/>
    </xf>
    <xf numFmtId="0" fontId="0" fillId="0" borderId="0" xfId="0" applyProtection="1">
      <protection locked="0"/>
    </xf>
    <xf numFmtId="0" fontId="1" fillId="0" borderId="0" xfId="0" applyFont="1" applyAlignment="1" applyProtection="1">
      <alignment horizontal="right"/>
      <protection locked="0"/>
    </xf>
    <xf numFmtId="0" fontId="1" fillId="3" borderId="3" xfId="0" applyFont="1" applyFill="1" applyBorder="1" applyProtection="1">
      <protection locked="0"/>
    </xf>
    <xf numFmtId="0" fontId="0" fillId="3" borderId="14" xfId="0" applyFill="1" applyBorder="1" applyProtection="1">
      <protection locked="0"/>
    </xf>
    <xf numFmtId="0" fontId="0" fillId="3" borderId="4" xfId="0" applyFill="1" applyBorder="1" applyProtection="1">
      <protection locked="0"/>
    </xf>
    <xf numFmtId="0" fontId="21" fillId="0" borderId="0" xfId="0" applyFont="1" applyProtection="1">
      <protection locked="0"/>
    </xf>
    <xf numFmtId="0" fontId="1" fillId="3" borderId="13" xfId="0" applyFont="1" applyFill="1" applyBorder="1" applyProtection="1">
      <protection locked="0"/>
    </xf>
    <xf numFmtId="0" fontId="1" fillId="0" borderId="0" xfId="0" applyFont="1" applyProtection="1">
      <protection locked="0"/>
    </xf>
    <xf numFmtId="0" fontId="28" fillId="5" borderId="5" xfId="0" applyFont="1" applyFill="1" applyBorder="1" applyAlignment="1" applyProtection="1">
      <alignment vertical="center"/>
      <protection locked="0"/>
    </xf>
    <xf numFmtId="0" fontId="1" fillId="5" borderId="6" xfId="0" applyFont="1" applyFill="1" applyBorder="1" applyAlignment="1" applyProtection="1">
      <alignment vertical="center"/>
      <protection locked="0"/>
    </xf>
    <xf numFmtId="0" fontId="0" fillId="5" borderId="6" xfId="0" applyFill="1" applyBorder="1" applyAlignment="1" applyProtection="1">
      <alignment vertical="center"/>
      <protection locked="0"/>
    </xf>
    <xf numFmtId="0" fontId="0" fillId="5" borderId="10" xfId="0" applyFill="1" applyBorder="1" applyAlignment="1" applyProtection="1">
      <alignment vertical="center"/>
      <protection locked="0"/>
    </xf>
    <xf numFmtId="0" fontId="1" fillId="0" borderId="0" xfId="0" applyFont="1" applyAlignment="1" applyProtection="1">
      <alignment horizontal="right" vertical="center"/>
      <protection locked="0"/>
    </xf>
    <xf numFmtId="0" fontId="23" fillId="7" borderId="0" xfId="0" applyFont="1" applyFill="1" applyAlignment="1" applyProtection="1">
      <alignment horizontal="center" vertical="center"/>
      <protection locked="0"/>
    </xf>
    <xf numFmtId="0" fontId="28" fillId="5" borderId="11" xfId="0" applyFont="1" applyFill="1" applyBorder="1" applyAlignment="1" applyProtection="1">
      <alignment vertical="center"/>
      <protection locked="0"/>
    </xf>
    <xf numFmtId="0" fontId="1" fillId="5" borderId="0" xfId="0" applyFont="1" applyFill="1" applyAlignment="1" applyProtection="1">
      <alignment vertical="center"/>
      <protection locked="0"/>
    </xf>
    <xf numFmtId="0" fontId="0" fillId="5" borderId="0" xfId="0" applyFill="1" applyAlignment="1" applyProtection="1">
      <alignment vertical="center"/>
      <protection locked="0"/>
    </xf>
    <xf numFmtId="0" fontId="22" fillId="4" borderId="13" xfId="0" applyFont="1" applyFill="1" applyBorder="1" applyAlignment="1" applyProtection="1">
      <alignment horizontal="center" vertical="center" wrapText="1"/>
      <protection locked="0"/>
    </xf>
    <xf numFmtId="0" fontId="0" fillId="5" borderId="7" xfId="0" applyFill="1" applyBorder="1" applyAlignment="1" applyProtection="1">
      <alignment vertical="center"/>
      <protection locked="0"/>
    </xf>
    <xf numFmtId="0" fontId="28" fillId="5" borderId="11" xfId="0" applyFont="1" applyFill="1" applyBorder="1" applyProtection="1">
      <protection locked="0"/>
    </xf>
    <xf numFmtId="0" fontId="0" fillId="5" borderId="0" xfId="0" applyFill="1" applyProtection="1">
      <protection locked="0"/>
    </xf>
    <xf numFmtId="0" fontId="0" fillId="5" borderId="7" xfId="0" applyFill="1" applyBorder="1" applyProtection="1">
      <protection locked="0"/>
    </xf>
    <xf numFmtId="0" fontId="22" fillId="4" borderId="13" xfId="0" applyFont="1" applyFill="1" applyBorder="1" applyAlignment="1" applyProtection="1">
      <alignment horizontal="center" vertical="center"/>
      <protection locked="0"/>
    </xf>
    <xf numFmtId="0" fontId="1" fillId="5" borderId="0" xfId="0" applyFont="1" applyFill="1" applyProtection="1">
      <protection locked="0"/>
    </xf>
    <xf numFmtId="10" fontId="22" fillId="4" borderId="13" xfId="1" applyNumberFormat="1" applyFont="1" applyFill="1" applyBorder="1" applyAlignment="1" applyProtection="1">
      <alignment horizontal="center" vertical="center"/>
      <protection locked="0"/>
    </xf>
    <xf numFmtId="0" fontId="31" fillId="0" borderId="0" xfId="0" applyFont="1" applyProtection="1">
      <protection locked="0"/>
    </xf>
    <xf numFmtId="0" fontId="27" fillId="0" borderId="0" xfId="0" applyFont="1" applyAlignment="1" applyProtection="1">
      <alignment horizontal="right"/>
      <protection locked="0"/>
    </xf>
    <xf numFmtId="0" fontId="0" fillId="0" borderId="0" xfId="0" applyAlignment="1" applyProtection="1">
      <alignment horizontal="center"/>
      <protection locked="0"/>
    </xf>
    <xf numFmtId="0" fontId="0" fillId="5" borderId="0" xfId="0" applyFill="1" applyAlignment="1" applyProtection="1">
      <alignment horizontal="right"/>
      <protection locked="0"/>
    </xf>
    <xf numFmtId="173" fontId="22" fillId="4" borderId="13" xfId="0" applyNumberFormat="1" applyFont="1" applyFill="1" applyBorder="1" applyAlignment="1" applyProtection="1">
      <alignment horizontal="center" vertical="center"/>
      <protection locked="0"/>
    </xf>
    <xf numFmtId="0" fontId="29" fillId="0" borderId="0" xfId="0" applyFont="1" applyProtection="1">
      <protection locked="0"/>
    </xf>
    <xf numFmtId="0" fontId="22" fillId="6" borderId="13" xfId="0" applyFont="1" applyFill="1" applyBorder="1" applyAlignment="1" applyProtection="1">
      <alignment horizontal="center" vertical="center"/>
      <protection locked="0"/>
    </xf>
    <xf numFmtId="0" fontId="28" fillId="5" borderId="9" xfId="0" applyFont="1" applyFill="1" applyBorder="1" applyProtection="1">
      <protection locked="0"/>
    </xf>
    <xf numFmtId="0" fontId="0" fillId="5" borderId="8" xfId="0" applyFill="1" applyBorder="1" applyProtection="1">
      <protection locked="0"/>
    </xf>
    <xf numFmtId="0" fontId="0" fillId="5" borderId="12" xfId="0" applyFill="1" applyBorder="1" applyProtection="1">
      <protection locked="0"/>
    </xf>
    <xf numFmtId="10" fontId="0" fillId="0" borderId="13" xfId="0" applyNumberFormat="1" applyBorder="1" applyAlignment="1">
      <alignment horizontal="center"/>
    </xf>
    <xf numFmtId="10" fontId="0" fillId="0" borderId="13" xfId="0" applyNumberFormat="1" applyBorder="1" applyAlignment="1">
      <alignment horizontal="center" vertical="center"/>
    </xf>
    <xf numFmtId="0" fontId="27" fillId="0" borderId="0" xfId="0" applyFont="1" applyAlignment="1" applyProtection="1">
      <alignment horizontal="centerContinuous"/>
      <protection locked="0"/>
    </xf>
    <xf numFmtId="0" fontId="0" fillId="0" borderId="0" xfId="0" applyAlignment="1" applyProtection="1">
      <alignment horizontal="centerContinuous"/>
      <protection locked="0"/>
    </xf>
    <xf numFmtId="49" fontId="0" fillId="0" borderId="0" xfId="0" applyNumberFormat="1"/>
    <xf numFmtId="49" fontId="10" fillId="0" borderId="0" xfId="0" applyNumberFormat="1" applyFont="1" applyAlignment="1">
      <alignment horizontal="center" vertical="center"/>
    </xf>
    <xf numFmtId="168" fontId="21" fillId="0" borderId="0" xfId="0" applyNumberFormat="1" applyFont="1" applyAlignment="1">
      <alignment vertical="center"/>
    </xf>
    <xf numFmtId="168" fontId="10" fillId="0" borderId="2" xfId="0" applyNumberFormat="1" applyFont="1" applyBorder="1" applyAlignment="1">
      <alignment horizontal="center" vertical="center"/>
    </xf>
    <xf numFmtId="168" fontId="0" fillId="0" borderId="0" xfId="0" applyNumberFormat="1"/>
    <xf numFmtId="0" fontId="1" fillId="0" borderId="0" xfId="0" applyFont="1" applyAlignment="1" applyProtection="1">
      <alignment horizontal="center"/>
      <protection locked="0"/>
    </xf>
    <xf numFmtId="0" fontId="22" fillId="4" borderId="13" xfId="0" applyFont="1" applyFill="1" applyBorder="1" applyAlignment="1" applyProtection="1">
      <alignment horizontal="right" vertical="center"/>
      <protection locked="0"/>
    </xf>
    <xf numFmtId="0" fontId="9" fillId="3" borderId="15" xfId="0" applyFont="1" applyFill="1" applyBorder="1" applyAlignment="1" applyProtection="1">
      <alignment horizontal="center"/>
      <protection locked="0"/>
    </xf>
    <xf numFmtId="0" fontId="9" fillId="3" borderId="16" xfId="0" applyFont="1" applyFill="1" applyBorder="1" applyAlignment="1" applyProtection="1">
      <alignment horizontal="center"/>
      <protection locked="0"/>
    </xf>
    <xf numFmtId="0" fontId="0" fillId="3" borderId="17" xfId="0" applyFill="1" applyBorder="1" applyProtection="1">
      <protection locked="0"/>
    </xf>
    <xf numFmtId="0" fontId="1" fillId="4" borderId="19" xfId="1" applyNumberFormat="1" applyFont="1" applyFill="1" applyBorder="1" applyAlignment="1" applyProtection="1">
      <alignment horizontal="left" vertical="center"/>
      <protection locked="0"/>
    </xf>
    <xf numFmtId="168" fontId="1" fillId="4" borderId="20" xfId="1" applyNumberFormat="1" applyFont="1" applyFill="1" applyBorder="1" applyAlignment="1" applyProtection="1">
      <alignment horizontal="center" vertical="center"/>
      <protection locked="0"/>
    </xf>
    <xf numFmtId="0" fontId="1" fillId="4" borderId="20" xfId="1" applyNumberFormat="1" applyFont="1" applyFill="1" applyBorder="1" applyAlignment="1" applyProtection="1">
      <alignment horizontal="center" vertical="center"/>
      <protection locked="0"/>
    </xf>
    <xf numFmtId="0" fontId="1" fillId="4" borderId="22" xfId="1" applyNumberFormat="1" applyFont="1" applyFill="1" applyBorder="1" applyAlignment="1" applyProtection="1">
      <alignment horizontal="left" vertical="center"/>
      <protection locked="0"/>
    </xf>
    <xf numFmtId="168" fontId="1" fillId="4" borderId="13" xfId="1" applyNumberFormat="1" applyFont="1" applyFill="1" applyBorder="1" applyAlignment="1" applyProtection="1">
      <alignment horizontal="center" vertical="center"/>
      <protection locked="0"/>
    </xf>
    <xf numFmtId="0" fontId="1" fillId="4" borderId="13" xfId="1" applyNumberFormat="1" applyFont="1" applyFill="1" applyBorder="1" applyAlignment="1" applyProtection="1">
      <alignment horizontal="center" vertical="center"/>
      <protection locked="0"/>
    </xf>
    <xf numFmtId="0" fontId="1" fillId="4" borderId="24" xfId="1" applyNumberFormat="1" applyFont="1" applyFill="1" applyBorder="1" applyAlignment="1" applyProtection="1">
      <alignment horizontal="left" vertical="center"/>
      <protection locked="0"/>
    </xf>
    <xf numFmtId="168" fontId="1" fillId="4" borderId="25" xfId="1" applyNumberFormat="1" applyFont="1" applyFill="1" applyBorder="1" applyAlignment="1" applyProtection="1">
      <alignment horizontal="center" vertical="center"/>
      <protection locked="0"/>
    </xf>
    <xf numFmtId="0" fontId="1" fillId="4" borderId="25" xfId="1" applyNumberFormat="1" applyFont="1" applyFill="1" applyBorder="1" applyAlignment="1" applyProtection="1">
      <alignment horizontal="center" vertical="center"/>
      <protection locked="0"/>
    </xf>
    <xf numFmtId="0" fontId="0" fillId="0" borderId="26" xfId="0" applyBorder="1" applyProtection="1">
      <protection locked="0"/>
    </xf>
    <xf numFmtId="0" fontId="0" fillId="0" borderId="0" xfId="0" applyAlignment="1" applyProtection="1">
      <alignment horizontal="right"/>
      <protection locked="0"/>
    </xf>
    <xf numFmtId="0" fontId="1" fillId="8" borderId="28" xfId="0" applyFont="1" applyFill="1" applyBorder="1" applyAlignment="1" applyProtection="1">
      <alignment horizontal="center"/>
      <protection locked="0"/>
    </xf>
    <xf numFmtId="0" fontId="0" fillId="9" borderId="28" xfId="0" applyFill="1" applyBorder="1" applyAlignment="1" applyProtection="1">
      <alignment horizontal="center"/>
      <protection locked="0"/>
    </xf>
    <xf numFmtId="0" fontId="0" fillId="10" borderId="28" xfId="0" applyFill="1" applyBorder="1" applyAlignment="1" applyProtection="1">
      <alignment horizontal="center"/>
      <protection locked="0"/>
    </xf>
    <xf numFmtId="0" fontId="0" fillId="11" borderId="28" xfId="0" applyFill="1" applyBorder="1" applyAlignment="1" applyProtection="1">
      <alignment horizontal="center"/>
      <protection locked="0"/>
    </xf>
    <xf numFmtId="0" fontId="0" fillId="12" borderId="28" xfId="0" applyFill="1" applyBorder="1" applyAlignment="1" applyProtection="1">
      <alignment horizontal="center"/>
      <protection locked="0"/>
    </xf>
    <xf numFmtId="0" fontId="0" fillId="13" borderId="28" xfId="0" applyFill="1" applyBorder="1" applyAlignment="1" applyProtection="1">
      <alignment horizontal="center"/>
      <protection locked="0"/>
    </xf>
    <xf numFmtId="0" fontId="0" fillId="14" borderId="28" xfId="0" applyFill="1" applyBorder="1" applyAlignment="1" applyProtection="1">
      <alignment horizontal="center"/>
      <protection locked="0"/>
    </xf>
    <xf numFmtId="0" fontId="0" fillId="15" borderId="28" xfId="0" applyFill="1" applyBorder="1" applyAlignment="1" applyProtection="1">
      <alignment horizontal="center"/>
      <protection locked="0"/>
    </xf>
    <xf numFmtId="0" fontId="0" fillId="16" borderId="28" xfId="0" applyFill="1" applyBorder="1" applyAlignment="1" applyProtection="1">
      <alignment horizontal="center"/>
      <protection locked="0"/>
    </xf>
    <xf numFmtId="0" fontId="0" fillId="17" borderId="28" xfId="0" applyFill="1" applyBorder="1" applyAlignment="1" applyProtection="1">
      <alignment horizontal="center"/>
      <protection locked="0"/>
    </xf>
    <xf numFmtId="0" fontId="0" fillId="18" borderId="28" xfId="0" applyFill="1" applyBorder="1" applyAlignment="1" applyProtection="1">
      <alignment horizontal="center"/>
      <protection locked="0"/>
    </xf>
    <xf numFmtId="10" fontId="1" fillId="4" borderId="13" xfId="1" applyNumberFormat="1" applyFont="1" applyFill="1" applyBorder="1" applyAlignment="1" applyProtection="1">
      <alignment horizontal="left" vertical="center"/>
      <protection locked="0"/>
    </xf>
    <xf numFmtId="10" fontId="1" fillId="4" borderId="23" xfId="1" applyNumberFormat="1" applyFont="1" applyFill="1" applyBorder="1" applyAlignment="1" applyProtection="1">
      <alignment horizontal="left" vertical="center"/>
      <protection locked="0"/>
    </xf>
    <xf numFmtId="0" fontId="9" fillId="3" borderId="16" xfId="0" applyFont="1" applyFill="1" applyBorder="1" applyAlignment="1" applyProtection="1">
      <alignment horizontal="center"/>
      <protection locked="0"/>
    </xf>
    <xf numFmtId="0" fontId="9" fillId="3" borderId="18" xfId="0" applyFont="1" applyFill="1" applyBorder="1" applyAlignment="1" applyProtection="1">
      <alignment horizontal="center"/>
      <protection locked="0"/>
    </xf>
    <xf numFmtId="10" fontId="1" fillId="4" borderId="20" xfId="1" applyNumberFormat="1" applyFont="1" applyFill="1" applyBorder="1" applyAlignment="1" applyProtection="1">
      <alignment horizontal="left" vertical="center"/>
      <protection locked="0"/>
    </xf>
    <xf numFmtId="10" fontId="1" fillId="4" borderId="21" xfId="1" applyNumberFormat="1" applyFont="1" applyFill="1" applyBorder="1" applyAlignment="1" applyProtection="1">
      <alignment horizontal="left" vertical="center"/>
      <protection locked="0"/>
    </xf>
    <xf numFmtId="10" fontId="1" fillId="4" borderId="25" xfId="1" applyNumberFormat="1" applyFont="1" applyFill="1" applyBorder="1" applyAlignment="1" applyProtection="1">
      <alignment horizontal="left" vertical="center"/>
      <protection locked="0"/>
    </xf>
    <xf numFmtId="10" fontId="1" fillId="4" borderId="27" xfId="1" applyNumberFormat="1" applyFont="1" applyFill="1" applyBorder="1" applyAlignment="1" applyProtection="1">
      <alignment horizontal="left" vertical="center"/>
      <protection locked="0"/>
    </xf>
    <xf numFmtId="0" fontId="0" fillId="0" borderId="13" xfId="0" applyBorder="1" applyAlignment="1">
      <alignment horizontal="center"/>
    </xf>
    <xf numFmtId="0" fontId="0" fillId="0" borderId="13" xfId="0" applyBorder="1" applyAlignment="1">
      <alignment horizontal="center" vertical="center"/>
    </xf>
    <xf numFmtId="49" fontId="4" fillId="2" borderId="2" xfId="0" applyNumberFormat="1" applyFont="1" applyFill="1" applyBorder="1" applyAlignment="1">
      <alignment horizontal="center"/>
    </xf>
    <xf numFmtId="49" fontId="4" fillId="0" borderId="2" xfId="0" applyNumberFormat="1" applyFont="1" applyBorder="1" applyAlignment="1">
      <alignment horizontal="center"/>
    </xf>
    <xf numFmtId="0" fontId="5" fillId="0" borderId="2" xfId="0" applyFont="1" applyBorder="1" applyAlignment="1">
      <alignment horizontal="center" vertical="center" wrapText="1"/>
    </xf>
    <xf numFmtId="0" fontId="14" fillId="0" borderId="3" xfId="0" applyFont="1" applyBorder="1" applyAlignment="1">
      <alignment horizontal="center"/>
    </xf>
    <xf numFmtId="0" fontId="14" fillId="0" borderId="1" xfId="0" applyFont="1" applyBorder="1" applyAlignment="1">
      <alignment horizontal="center"/>
    </xf>
    <xf numFmtId="165" fontId="2" fillId="0" borderId="3" xfId="0" applyNumberFormat="1" applyFont="1" applyBorder="1" applyAlignment="1">
      <alignment horizontal="left" vertical="center" wrapText="1"/>
    </xf>
    <xf numFmtId="165" fontId="2" fillId="0" borderId="1" xfId="0" applyNumberFormat="1" applyFont="1" applyBorder="1" applyAlignment="1">
      <alignment horizontal="left" vertical="center" wrapText="1"/>
    </xf>
    <xf numFmtId="49" fontId="14" fillId="0" borderId="2" xfId="0" applyNumberFormat="1" applyFont="1" applyBorder="1" applyAlignment="1">
      <alignment horizontal="center" vertical="center"/>
    </xf>
    <xf numFmtId="0" fontId="14" fillId="0" borderId="4" xfId="0" applyFont="1" applyBorder="1" applyAlignment="1">
      <alignment horizontal="center"/>
    </xf>
    <xf numFmtId="0" fontId="3" fillId="0" borderId="3" xfId="0" applyFont="1" applyBorder="1" applyAlignment="1">
      <alignment horizontal="center"/>
    </xf>
    <xf numFmtId="0" fontId="3" fillId="0" borderId="14" xfId="0" applyFont="1" applyBorder="1" applyAlignment="1">
      <alignment horizontal="center"/>
    </xf>
    <xf numFmtId="0" fontId="3" fillId="0" borderId="4" xfId="0" applyFont="1" applyBorder="1" applyAlignment="1">
      <alignment horizontal="center"/>
    </xf>
    <xf numFmtId="0" fontId="9" fillId="0" borderId="0" xfId="0" applyFont="1" applyAlignment="1">
      <alignment horizontal="left" vertical="center" wrapText="1"/>
    </xf>
    <xf numFmtId="0" fontId="35" fillId="0" borderId="0" xfId="0" applyFont="1" applyAlignment="1" applyProtection="1">
      <alignment horizontal="right"/>
      <protection locked="0"/>
    </xf>
    <xf numFmtId="0" fontId="0" fillId="0" borderId="0" xfId="0" applyFill="1" applyAlignment="1">
      <alignment vertical="center"/>
    </xf>
    <xf numFmtId="0" fontId="10" fillId="0" borderId="3" xfId="0" applyFont="1" applyFill="1" applyBorder="1" applyAlignment="1">
      <alignment vertical="center"/>
    </xf>
    <xf numFmtId="0" fontId="10" fillId="0" borderId="0" xfId="0" applyFont="1" applyFill="1" applyAlignment="1">
      <alignment vertical="center"/>
    </xf>
    <xf numFmtId="0" fontId="10" fillId="0" borderId="0" xfId="0" applyFont="1" applyFill="1" applyAlignment="1">
      <alignment horizontal="center" vertical="center"/>
    </xf>
    <xf numFmtId="49" fontId="10" fillId="0" borderId="0" xfId="0" applyNumberFormat="1" applyFont="1" applyFill="1" applyAlignment="1">
      <alignment vertical="center"/>
    </xf>
    <xf numFmtId="0" fontId="32" fillId="0" borderId="3" xfId="0" applyFont="1" applyFill="1" applyBorder="1" applyAlignment="1">
      <alignment horizontal="left" vertical="center" indent="1"/>
    </xf>
    <xf numFmtId="0" fontId="32" fillId="0" borderId="0" xfId="0" applyFont="1" applyFill="1" applyAlignment="1">
      <alignment vertical="center"/>
    </xf>
    <xf numFmtId="0" fontId="32" fillId="0" borderId="0" xfId="0" applyFont="1" applyFill="1" applyAlignment="1">
      <alignment horizontal="center" vertical="center"/>
    </xf>
    <xf numFmtId="49" fontId="32" fillId="0" borderId="0" xfId="0" applyNumberFormat="1" applyFont="1" applyFill="1" applyAlignment="1">
      <alignment vertical="center"/>
    </xf>
    <xf numFmtId="0" fontId="0" fillId="0" borderId="3" xfId="0" applyFill="1" applyBorder="1" applyAlignment="1">
      <alignment horizontal="left" vertical="center" indent="2"/>
    </xf>
    <xf numFmtId="0" fontId="0" fillId="0" borderId="0" xfId="0" applyFill="1" applyAlignment="1">
      <alignment horizontal="center" vertical="center"/>
    </xf>
    <xf numFmtId="49" fontId="0" fillId="0" borderId="0" xfId="0" applyNumberFormat="1" applyFill="1" applyAlignment="1">
      <alignment vertical="center"/>
    </xf>
    <xf numFmtId="0" fontId="0" fillId="0" borderId="3" xfId="0" applyFill="1" applyBorder="1" applyAlignment="1">
      <alignment horizontal="left" indent="2"/>
    </xf>
    <xf numFmtId="0" fontId="0" fillId="0" borderId="0" xfId="0" applyFill="1"/>
    <xf numFmtId="0" fontId="0" fillId="0" borderId="0" xfId="0" applyFill="1" applyAlignment="1">
      <alignment horizontal="center"/>
    </xf>
    <xf numFmtId="49" fontId="0" fillId="0" borderId="0" xfId="0" applyNumberFormat="1" applyFill="1"/>
    <xf numFmtId="0" fontId="32" fillId="0" borderId="3" xfId="0" applyFont="1" applyFill="1" applyBorder="1" applyAlignment="1">
      <alignment horizontal="left" indent="1"/>
    </xf>
    <xf numFmtId="0" fontId="32" fillId="0" borderId="0" xfId="0" applyFont="1" applyFill="1"/>
    <xf numFmtId="0" fontId="32" fillId="0" borderId="0" xfId="0" applyFont="1" applyFill="1" applyAlignment="1">
      <alignment horizontal="center"/>
    </xf>
    <xf numFmtId="49" fontId="32" fillId="0" borderId="0" xfId="0" applyNumberFormat="1" applyFont="1" applyFill="1"/>
    <xf numFmtId="0" fontId="33" fillId="0" borderId="3" xfId="0" applyFont="1" applyFill="1" applyBorder="1" applyAlignment="1">
      <alignment horizontal="left" indent="2"/>
    </xf>
    <xf numFmtId="0" fontId="33" fillId="0" borderId="0" xfId="0" applyFont="1" applyFill="1"/>
    <xf numFmtId="0" fontId="33" fillId="0" borderId="0" xfId="0" applyFont="1" applyFill="1" applyAlignment="1">
      <alignment horizontal="center"/>
    </xf>
    <xf numFmtId="49" fontId="33" fillId="0" borderId="0" xfId="0" applyNumberFormat="1" applyFont="1" applyFill="1"/>
    <xf numFmtId="0" fontId="0" fillId="0" borderId="3" xfId="0" applyFill="1" applyBorder="1" applyAlignment="1">
      <alignment horizontal="left" indent="3"/>
    </xf>
    <xf numFmtId="0" fontId="10" fillId="0" borderId="3" xfId="0" applyFont="1" applyFill="1" applyBorder="1"/>
    <xf numFmtId="0" fontId="10" fillId="0" borderId="0" xfId="0" applyFont="1" applyFill="1"/>
    <xf numFmtId="0" fontId="10" fillId="0" borderId="0" xfId="0" applyFont="1" applyFill="1" applyAlignment="1">
      <alignment horizontal="center"/>
    </xf>
    <xf numFmtId="49" fontId="10" fillId="0" borderId="0" xfId="0" applyNumberFormat="1" applyFont="1" applyFill="1"/>
    <xf numFmtId="0" fontId="10" fillId="0" borderId="29" xfId="0" applyFont="1" applyFill="1" applyBorder="1" applyAlignment="1">
      <alignment vertical="center"/>
    </xf>
    <xf numFmtId="168" fontId="10" fillId="0" borderId="29" xfId="0" applyNumberFormat="1" applyFont="1" applyFill="1" applyBorder="1" applyAlignment="1">
      <alignment vertical="center"/>
    </xf>
    <xf numFmtId="168" fontId="10" fillId="0" borderId="30" xfId="0" applyNumberFormat="1" applyFont="1" applyFill="1" applyBorder="1" applyAlignment="1">
      <alignment vertical="center"/>
    </xf>
    <xf numFmtId="0" fontId="32" fillId="0" borderId="29" xfId="0" applyFont="1" applyFill="1" applyBorder="1" applyAlignment="1">
      <alignment vertical="center"/>
    </xf>
    <xf numFmtId="168" fontId="32" fillId="0" borderId="29" xfId="0" applyNumberFormat="1" applyFont="1" applyFill="1" applyBorder="1" applyAlignment="1">
      <alignment vertical="center"/>
    </xf>
    <xf numFmtId="168" fontId="32" fillId="0" borderId="30" xfId="0" applyNumberFormat="1" applyFont="1" applyFill="1" applyBorder="1" applyAlignment="1">
      <alignment vertical="center"/>
    </xf>
    <xf numFmtId="0" fontId="0" fillId="0" borderId="29" xfId="0" applyFill="1" applyBorder="1" applyAlignment="1">
      <alignment vertical="center"/>
    </xf>
    <xf numFmtId="168" fontId="0" fillId="0" borderId="29" xfId="0" applyNumberFormat="1" applyFill="1" applyBorder="1" applyAlignment="1">
      <alignment vertical="center"/>
    </xf>
    <xf numFmtId="168" fontId="0" fillId="0" borderId="30" xfId="0" applyNumberFormat="1" applyFill="1" applyBorder="1" applyAlignment="1">
      <alignment vertical="center"/>
    </xf>
    <xf numFmtId="0" fontId="0" fillId="0" borderId="29" xfId="0" applyFill="1" applyBorder="1"/>
    <xf numFmtId="168" fontId="0" fillId="0" borderId="29" xfId="0" applyNumberFormat="1" applyFill="1" applyBorder="1"/>
    <xf numFmtId="168" fontId="0" fillId="0" borderId="30" xfId="0" applyNumberFormat="1" applyFill="1" applyBorder="1"/>
    <xf numFmtId="0" fontId="32" fillId="0" borderId="29" xfId="0" applyFont="1" applyFill="1" applyBorder="1"/>
    <xf numFmtId="168" fontId="32" fillId="0" borderId="29" xfId="0" applyNumberFormat="1" applyFont="1" applyFill="1" applyBorder="1"/>
    <xf numFmtId="168" fontId="32" fillId="0" borderId="30" xfId="0" applyNumberFormat="1" applyFont="1" applyFill="1" applyBorder="1"/>
    <xf numFmtId="0" fontId="33" fillId="0" borderId="29" xfId="0" applyFont="1" applyFill="1" applyBorder="1"/>
    <xf numFmtId="168" fontId="33" fillId="0" borderId="29" xfId="0" applyNumberFormat="1" applyFont="1" applyFill="1" applyBorder="1"/>
    <xf numFmtId="168" fontId="33" fillId="0" borderId="30" xfId="0" applyNumberFormat="1" applyFont="1" applyFill="1" applyBorder="1"/>
    <xf numFmtId="0" fontId="10" fillId="0" borderId="29" xfId="0" applyFont="1" applyFill="1" applyBorder="1"/>
    <xf numFmtId="168" fontId="10" fillId="0" borderId="29" xfId="0" applyNumberFormat="1" applyFont="1" applyFill="1" applyBorder="1"/>
    <xf numFmtId="168" fontId="10" fillId="0" borderId="30" xfId="0" applyNumberFormat="1" applyFont="1" applyFill="1" applyBorder="1"/>
    <xf numFmtId="0" fontId="10" fillId="0" borderId="31" xfId="0" applyFont="1" applyFill="1" applyBorder="1" applyAlignment="1">
      <alignment vertical="center"/>
    </xf>
    <xf numFmtId="0" fontId="32" fillId="0" borderId="31" xfId="0" applyFont="1" applyFill="1" applyBorder="1" applyAlignment="1">
      <alignment vertical="center"/>
    </xf>
    <xf numFmtId="0" fontId="0" fillId="0" borderId="31" xfId="0" applyFill="1" applyBorder="1" applyAlignment="1">
      <alignment vertical="center"/>
    </xf>
    <xf numFmtId="0" fontId="0" fillId="0" borderId="31" xfId="0" applyFill="1" applyBorder="1"/>
    <xf numFmtId="0" fontId="32" fillId="0" borderId="31" xfId="0" applyFont="1" applyFill="1" applyBorder="1"/>
    <xf numFmtId="0" fontId="33" fillId="0" borderId="31" xfId="0" applyFont="1" applyFill="1" applyBorder="1"/>
    <xf numFmtId="0" fontId="10" fillId="0" borderId="31" xfId="0" applyFont="1" applyFill="1" applyBorder="1"/>
    <xf numFmtId="0" fontId="0" fillId="0" borderId="3" xfId="0" applyFill="1" applyBorder="1" applyAlignment="1">
      <alignment horizontal="left" indent="1"/>
    </xf>
    <xf numFmtId="0" fontId="36" fillId="0" borderId="3" xfId="0" applyFont="1" applyFill="1" applyBorder="1"/>
    <xf numFmtId="0" fontId="36" fillId="0" borderId="14" xfId="0" applyFont="1" applyFill="1" applyBorder="1"/>
    <xf numFmtId="168" fontId="36" fillId="0" borderId="14" xfId="0" applyNumberFormat="1" applyFont="1" applyFill="1" applyBorder="1"/>
    <xf numFmtId="168" fontId="36" fillId="0" borderId="31" xfId="0" applyNumberFormat="1" applyFont="1" applyFill="1" applyBorder="1"/>
    <xf numFmtId="0" fontId="1" fillId="0" borderId="0" xfId="0" applyFont="1" applyFill="1"/>
    <xf numFmtId="0" fontId="1" fillId="0" borderId="0" xfId="0" applyFont="1" applyFill="1" applyAlignment="1">
      <alignment horizontal="center"/>
    </xf>
    <xf numFmtId="49" fontId="1" fillId="0" borderId="0" xfId="0" applyNumberFormat="1" applyFont="1" applyFill="1"/>
    <xf numFmtId="0" fontId="37" fillId="0" borderId="3" xfId="0" applyFont="1" applyFill="1" applyBorder="1"/>
    <xf numFmtId="0" fontId="37" fillId="0" borderId="14" xfId="0" applyFont="1" applyFill="1" applyBorder="1"/>
    <xf numFmtId="168" fontId="37" fillId="0" borderId="14" xfId="0" applyNumberFormat="1" applyFont="1" applyFill="1" applyBorder="1"/>
    <xf numFmtId="168" fontId="37" fillId="0" borderId="31" xfId="0" applyNumberFormat="1" applyFont="1" applyFill="1" applyBorder="1"/>
    <xf numFmtId="0" fontId="34" fillId="0" borderId="0" xfId="0" applyFont="1" applyFill="1"/>
    <xf numFmtId="0" fontId="34" fillId="0" borderId="0" xfId="0" applyFont="1" applyFill="1" applyAlignment="1">
      <alignment horizontal="center"/>
    </xf>
    <xf numFmtId="49" fontId="34" fillId="0" borderId="0" xfId="0" applyNumberFormat="1" applyFont="1" applyFill="1"/>
    <xf numFmtId="168" fontId="0" fillId="0" borderId="0" xfId="0" applyNumberFormat="1" applyFill="1"/>
    <xf numFmtId="168" fontId="0" fillId="0" borderId="0" xfId="0" applyNumberFormat="1" applyFill="1" applyAlignment="1">
      <alignment horizontal="right"/>
    </xf>
  </cellXfs>
  <cellStyles count="2">
    <cellStyle name="Normal" xfId="0" builtinId="0"/>
    <cellStyle name="Porcentaje" xfId="1" builtinId="5"/>
  </cellStyles>
  <dxfs count="14">
    <dxf>
      <font>
        <color rgb="FF990099"/>
      </font>
    </dxf>
    <dxf>
      <font>
        <color rgb="FFFF9999"/>
      </font>
    </dxf>
    <dxf>
      <font>
        <color rgb="FF000099"/>
      </font>
    </dxf>
    <dxf>
      <font>
        <color rgb="FF008000"/>
      </font>
    </dxf>
    <dxf>
      <font>
        <color rgb="FF800000"/>
      </font>
    </dxf>
    <dxf>
      <font>
        <color rgb="FF00FFFF"/>
      </font>
    </dxf>
    <dxf>
      <font>
        <color rgb="FFFF00FF"/>
      </font>
    </dxf>
    <dxf>
      <font>
        <strike val="0"/>
        <color rgb="FFFFFF00"/>
      </font>
    </dxf>
    <dxf>
      <font>
        <color rgb="FF0000FF"/>
      </font>
    </dxf>
    <dxf>
      <font>
        <color rgb="FF00FF00"/>
      </font>
    </dxf>
    <dxf>
      <font>
        <color rgb="FF008080"/>
      </font>
    </dxf>
    <dxf>
      <font>
        <color rgb="FFFF9900"/>
      </font>
    </dxf>
    <dxf>
      <font>
        <color rgb="FFFF0000"/>
      </font>
    </dxf>
    <dxf>
      <font>
        <strike val="0"/>
        <color theme="1"/>
      </font>
    </dxf>
  </dxfs>
  <tableStyles count="0" defaultTableStyle="TableStyleMedium9" defaultPivotStyle="PivotStyleLight16"/>
  <colors>
    <mruColors>
      <color rgb="FF0000FF"/>
      <color rgb="FF0000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4"/>
  <dimension ref="A1:AV55"/>
  <sheetViews>
    <sheetView zoomScale="130" zoomScaleNormal="130" workbookViewId="0">
      <selection activeCell="A10" sqref="A10"/>
    </sheetView>
  </sheetViews>
  <sheetFormatPr baseColWidth="10" defaultRowHeight="12.75" x14ac:dyDescent="0.2"/>
  <cols>
    <col min="1" max="1" width="30.7109375" style="85" customWidth="1"/>
    <col min="2" max="2" width="4" style="85" customWidth="1"/>
    <col min="3" max="3" width="11.42578125" style="85" customWidth="1"/>
    <col min="4" max="4" width="2.140625" style="85" hidden="1" customWidth="1"/>
    <col min="5" max="5" width="1.5703125" style="85" customWidth="1"/>
    <col min="6" max="6" width="2.42578125" style="85" customWidth="1"/>
    <col min="7" max="7" width="13.42578125" style="85" customWidth="1"/>
    <col min="8" max="8" width="6.140625" style="85" customWidth="1"/>
    <col min="9" max="9" width="29.7109375" style="85" customWidth="1"/>
    <col min="10" max="10" width="10.85546875" style="85" customWidth="1"/>
    <col min="11" max="11" width="2.42578125" style="85" customWidth="1"/>
    <col min="12" max="16384" width="11.42578125" style="85"/>
  </cols>
  <sheetData>
    <row r="1" spans="1:48" x14ac:dyDescent="0.2">
      <c r="A1" s="110"/>
      <c r="AQ1" s="85" t="s">
        <v>51</v>
      </c>
      <c r="AT1" s="115" t="s">
        <v>114</v>
      </c>
    </row>
    <row r="2" spans="1:48" x14ac:dyDescent="0.2">
      <c r="B2" s="86" t="s">
        <v>125</v>
      </c>
      <c r="C2" s="87" t="s">
        <v>64</v>
      </c>
      <c r="D2" s="88"/>
      <c r="E2" s="88"/>
      <c r="F2" s="88"/>
      <c r="G2" s="88"/>
      <c r="H2" s="88"/>
      <c r="I2" s="88"/>
      <c r="J2" s="88"/>
      <c r="K2" s="88"/>
      <c r="L2" s="88"/>
      <c r="M2" s="88"/>
      <c r="N2" s="88"/>
      <c r="O2" s="88"/>
      <c r="P2" s="89"/>
      <c r="AQ2" s="85" t="s">
        <v>50</v>
      </c>
      <c r="AT2" s="92" t="s">
        <v>115</v>
      </c>
      <c r="AU2" s="92" t="s">
        <v>116</v>
      </c>
      <c r="AV2" s="92" t="s">
        <v>117</v>
      </c>
    </row>
    <row r="3" spans="1:48" x14ac:dyDescent="0.2">
      <c r="B3" s="86" t="s">
        <v>126</v>
      </c>
      <c r="C3" s="87" t="s">
        <v>64</v>
      </c>
      <c r="D3" s="88"/>
      <c r="E3" s="88"/>
      <c r="F3" s="88"/>
      <c r="G3" s="88"/>
      <c r="H3" s="89"/>
      <c r="AQ3" s="85" t="s">
        <v>50</v>
      </c>
    </row>
    <row r="4" spans="1:48" x14ac:dyDescent="0.2">
      <c r="B4" s="86" t="s">
        <v>127</v>
      </c>
      <c r="C4" s="87" t="s">
        <v>64</v>
      </c>
      <c r="D4" s="88"/>
      <c r="E4" s="88"/>
      <c r="F4" s="88"/>
      <c r="G4" s="89"/>
      <c r="AQ4" s="85" t="s">
        <v>50</v>
      </c>
    </row>
    <row r="5" spans="1:48" x14ac:dyDescent="0.2">
      <c r="B5" s="86" t="s">
        <v>128</v>
      </c>
      <c r="C5" s="91" t="s">
        <v>64</v>
      </c>
      <c r="AI5" s="85" t="s">
        <v>62</v>
      </c>
      <c r="AJ5" s="92" t="s">
        <v>102</v>
      </c>
      <c r="AQ5" s="85" t="s">
        <v>50</v>
      </c>
    </row>
    <row r="6" spans="1:48" x14ac:dyDescent="0.2">
      <c r="F6" s="93" t="s">
        <v>77</v>
      </c>
      <c r="G6" s="94"/>
      <c r="H6" s="95"/>
      <c r="I6" s="95"/>
      <c r="J6" s="95"/>
      <c r="K6" s="96"/>
      <c r="AI6" s="85" t="s">
        <v>57</v>
      </c>
      <c r="AJ6" s="92" t="s">
        <v>103</v>
      </c>
    </row>
    <row r="7" spans="1:48" ht="20.25" customHeight="1" x14ac:dyDescent="0.2">
      <c r="B7" s="97" t="s">
        <v>129</v>
      </c>
      <c r="C7" s="98" t="s">
        <v>146</v>
      </c>
      <c r="D7" s="85" t="str">
        <f>IF(J7=AI5,AJ5,AJ6)</f>
        <v>S/</v>
      </c>
      <c r="F7" s="99"/>
      <c r="G7" s="100" t="s">
        <v>58</v>
      </c>
      <c r="H7" s="101"/>
      <c r="I7" s="101"/>
      <c r="J7" s="102" t="s">
        <v>62</v>
      </c>
      <c r="K7" s="103"/>
    </row>
    <row r="8" spans="1:48" x14ac:dyDescent="0.2">
      <c r="F8" s="104" t="s">
        <v>605</v>
      </c>
      <c r="G8" s="105"/>
      <c r="H8" s="105"/>
      <c r="I8" s="105"/>
      <c r="J8" s="105"/>
      <c r="K8" s="106"/>
    </row>
    <row r="9" spans="1:48" ht="15" customHeight="1" x14ac:dyDescent="0.2">
      <c r="B9" s="97" t="s">
        <v>132</v>
      </c>
      <c r="C9" s="130" t="s">
        <v>45</v>
      </c>
      <c r="F9" s="104"/>
      <c r="G9" s="108" t="s">
        <v>606</v>
      </c>
      <c r="H9" s="105"/>
      <c r="I9" s="105"/>
      <c r="J9" s="107">
        <v>2</v>
      </c>
      <c r="K9" s="106"/>
      <c r="AI9" s="85" t="s">
        <v>45</v>
      </c>
      <c r="AL9" s="92"/>
      <c r="AM9" s="92"/>
      <c r="AQ9" s="85" t="s">
        <v>51</v>
      </c>
    </row>
    <row r="10" spans="1:48" ht="15" customHeight="1" x14ac:dyDescent="0.2">
      <c r="B10" s="86" t="s">
        <v>49</v>
      </c>
      <c r="C10" s="109">
        <v>0.18</v>
      </c>
      <c r="F10" s="104"/>
      <c r="G10" s="108" t="s">
        <v>87</v>
      </c>
      <c r="H10" s="105"/>
      <c r="I10" s="105"/>
      <c r="J10" s="107">
        <v>2</v>
      </c>
      <c r="K10" s="106"/>
      <c r="AI10" s="85" t="s">
        <v>46</v>
      </c>
      <c r="AL10" s="92"/>
      <c r="AO10" s="85" t="s">
        <v>104</v>
      </c>
      <c r="AR10" s="110" t="s">
        <v>121</v>
      </c>
    </row>
    <row r="11" spans="1:48" x14ac:dyDescent="0.2">
      <c r="D11" s="85">
        <f>Pto!G142</f>
        <v>352697.08</v>
      </c>
      <c r="F11" s="104"/>
      <c r="G11" s="108"/>
      <c r="H11" s="105"/>
      <c r="I11" s="105"/>
      <c r="J11" s="105"/>
      <c r="K11" s="106"/>
      <c r="AH11" s="85">
        <v>0</v>
      </c>
      <c r="AI11" s="85">
        <v>0</v>
      </c>
      <c r="AK11" s="85">
        <v>0</v>
      </c>
      <c r="AL11" s="92"/>
      <c r="AO11" s="85" t="s">
        <v>105</v>
      </c>
      <c r="AP11" s="92" t="s">
        <v>106</v>
      </c>
      <c r="AR11" s="92" t="s">
        <v>122</v>
      </c>
    </row>
    <row r="12" spans="1:48" x14ac:dyDescent="0.2">
      <c r="B12" s="111" t="s">
        <v>622</v>
      </c>
      <c r="F12" s="104"/>
      <c r="G12" s="108" t="s">
        <v>83</v>
      </c>
      <c r="H12" s="105"/>
      <c r="I12" s="105"/>
      <c r="J12" s="107">
        <v>2</v>
      </c>
      <c r="K12" s="106"/>
      <c r="AI12" s="85">
        <v>1</v>
      </c>
      <c r="AJ12" s="85">
        <v>6</v>
      </c>
      <c r="AK12" s="85">
        <v>1</v>
      </c>
      <c r="AL12" s="92"/>
      <c r="AO12" s="85" t="s">
        <v>107</v>
      </c>
      <c r="AP12" s="92" t="s">
        <v>106</v>
      </c>
      <c r="AR12" s="92" t="s">
        <v>123</v>
      </c>
    </row>
    <row r="13" spans="1:48" x14ac:dyDescent="0.2">
      <c r="B13" s="144" t="s">
        <v>623</v>
      </c>
      <c r="C13" s="145"/>
      <c r="F13" s="104"/>
      <c r="G13" s="108" t="s">
        <v>84</v>
      </c>
      <c r="H13" s="105"/>
      <c r="I13" s="105"/>
      <c r="J13" s="107">
        <v>4</v>
      </c>
      <c r="K13" s="106"/>
      <c r="AI13" s="85">
        <v>2</v>
      </c>
      <c r="AJ13" s="85">
        <v>5</v>
      </c>
      <c r="AK13" s="85">
        <v>2</v>
      </c>
      <c r="AL13" s="92"/>
      <c r="AO13" s="85" t="s">
        <v>108</v>
      </c>
      <c r="AP13" s="92" t="s">
        <v>106</v>
      </c>
      <c r="AR13" s="92" t="s">
        <v>139</v>
      </c>
    </row>
    <row r="14" spans="1:48" x14ac:dyDescent="0.2">
      <c r="B14" s="86" t="s">
        <v>67</v>
      </c>
      <c r="C14" s="146"/>
      <c r="D14" s="85" t="e">
        <f t="shared" ref="D14:D23" si="0">VLOOKUP(C14,AL$10:AM$23,2,FALSE)</f>
        <v>#N/A</v>
      </c>
      <c r="F14" s="104"/>
      <c r="G14" s="105"/>
      <c r="H14" s="105"/>
      <c r="I14" s="105"/>
      <c r="J14" s="105"/>
      <c r="K14" s="106"/>
      <c r="AI14" s="85">
        <v>3</v>
      </c>
      <c r="AK14" s="85">
        <v>3</v>
      </c>
      <c r="AL14" s="92"/>
      <c r="AO14" s="85" t="s">
        <v>109</v>
      </c>
      <c r="AP14" s="92" t="s">
        <v>106</v>
      </c>
      <c r="AR14" s="92" t="s">
        <v>140</v>
      </c>
    </row>
    <row r="15" spans="1:48" x14ac:dyDescent="0.2">
      <c r="B15" s="86" t="s">
        <v>68</v>
      </c>
      <c r="C15" s="147"/>
      <c r="D15" s="85" t="e">
        <f t="shared" si="0"/>
        <v>#N/A</v>
      </c>
      <c r="F15" s="104"/>
      <c r="G15" s="108" t="s">
        <v>85</v>
      </c>
      <c r="H15" s="105"/>
      <c r="I15" s="105"/>
      <c r="J15" s="107">
        <v>2</v>
      </c>
      <c r="K15" s="106"/>
      <c r="AI15" s="85">
        <v>4</v>
      </c>
      <c r="AK15" s="85">
        <v>4</v>
      </c>
      <c r="AL15" s="92"/>
      <c r="AO15" s="85" t="s">
        <v>110</v>
      </c>
      <c r="AP15" s="92" t="s">
        <v>106</v>
      </c>
      <c r="AR15" s="92" t="s">
        <v>141</v>
      </c>
    </row>
    <row r="16" spans="1:48" x14ac:dyDescent="0.2">
      <c r="B16" s="86" t="s">
        <v>69</v>
      </c>
      <c r="C16" s="148"/>
      <c r="D16" s="85" t="e">
        <f t="shared" si="0"/>
        <v>#N/A</v>
      </c>
      <c r="F16" s="104"/>
      <c r="G16" s="105"/>
      <c r="H16" s="105"/>
      <c r="I16" s="105"/>
      <c r="J16" s="105"/>
      <c r="K16" s="106"/>
      <c r="AI16" s="85">
        <v>5</v>
      </c>
      <c r="AK16" s="85">
        <v>5</v>
      </c>
      <c r="AL16" s="92"/>
      <c r="AO16" s="85" t="s">
        <v>111</v>
      </c>
      <c r="AP16" s="92" t="s">
        <v>106</v>
      </c>
      <c r="AR16" s="92" t="s">
        <v>142</v>
      </c>
    </row>
    <row r="17" spans="1:44" x14ac:dyDescent="0.2">
      <c r="B17" s="86" t="s">
        <v>70</v>
      </c>
      <c r="C17" s="149"/>
      <c r="D17" s="85" t="e">
        <f t="shared" si="0"/>
        <v>#N/A</v>
      </c>
      <c r="F17" s="104" t="s">
        <v>101</v>
      </c>
      <c r="G17" s="105"/>
      <c r="H17" s="105"/>
      <c r="I17" s="105"/>
      <c r="J17" s="105"/>
      <c r="K17" s="106"/>
      <c r="AI17" s="92" t="s">
        <v>50</v>
      </c>
      <c r="AJ17" s="92" t="s">
        <v>150</v>
      </c>
      <c r="AK17" s="85">
        <v>6</v>
      </c>
      <c r="AL17" s="92"/>
      <c r="AO17" s="85" t="s">
        <v>112</v>
      </c>
      <c r="AP17" s="92" t="s">
        <v>113</v>
      </c>
      <c r="AR17" s="92" t="s">
        <v>607</v>
      </c>
    </row>
    <row r="18" spans="1:44" x14ac:dyDescent="0.2">
      <c r="B18" s="86" t="s">
        <v>71</v>
      </c>
      <c r="C18" s="150"/>
      <c r="D18" s="85" t="e">
        <f t="shared" si="0"/>
        <v>#N/A</v>
      </c>
      <c r="F18" s="104"/>
      <c r="G18" s="105"/>
      <c r="H18" s="105"/>
      <c r="I18" s="113" t="s">
        <v>78</v>
      </c>
      <c r="J18" s="107">
        <v>1</v>
      </c>
      <c r="K18" s="106"/>
      <c r="AI18" s="92" t="s">
        <v>51</v>
      </c>
      <c r="AJ18" s="92" t="s">
        <v>151</v>
      </c>
      <c r="AK18" s="85">
        <v>7</v>
      </c>
      <c r="AL18" s="92"/>
      <c r="AR18" s="92" t="s">
        <v>608</v>
      </c>
    </row>
    <row r="19" spans="1:44" x14ac:dyDescent="0.2">
      <c r="B19" s="86" t="s">
        <v>72</v>
      </c>
      <c r="C19" s="151"/>
      <c r="D19" s="85" t="e">
        <f t="shared" si="0"/>
        <v>#N/A</v>
      </c>
      <c r="F19" s="104"/>
      <c r="G19" s="108" t="s">
        <v>79</v>
      </c>
      <c r="H19" s="114">
        <v>8</v>
      </c>
      <c r="I19" s="113" t="s">
        <v>80</v>
      </c>
      <c r="J19" s="107">
        <v>1</v>
      </c>
      <c r="K19" s="106"/>
      <c r="AK19" s="85">
        <v>8</v>
      </c>
      <c r="AL19" s="92"/>
      <c r="AO19" s="92" t="s">
        <v>603</v>
      </c>
      <c r="AP19"/>
      <c r="AR19" s="92" t="s">
        <v>609</v>
      </c>
    </row>
    <row r="20" spans="1:44" x14ac:dyDescent="0.2">
      <c r="B20" s="86" t="s">
        <v>73</v>
      </c>
      <c r="C20" s="152"/>
      <c r="D20" s="85" t="e">
        <f t="shared" si="0"/>
        <v>#N/A</v>
      </c>
      <c r="F20" s="104"/>
      <c r="G20" s="105"/>
      <c r="H20" s="105"/>
      <c r="I20" s="105"/>
      <c r="J20" s="105"/>
      <c r="K20" s="106"/>
      <c r="AI20" s="92" t="s">
        <v>137</v>
      </c>
      <c r="AK20" s="85">
        <v>9</v>
      </c>
      <c r="AL20" s="92"/>
      <c r="AO20" s="85" t="s">
        <v>624</v>
      </c>
      <c r="AP20" s="112">
        <v>10</v>
      </c>
      <c r="AR20" s="92" t="s">
        <v>610</v>
      </c>
    </row>
    <row r="21" spans="1:44" x14ac:dyDescent="0.2">
      <c r="B21" s="86" t="s">
        <v>74</v>
      </c>
      <c r="C21" s="153"/>
      <c r="D21" s="85" t="e">
        <f t="shared" si="0"/>
        <v>#N/A</v>
      </c>
      <c r="F21" s="104"/>
      <c r="G21" s="108" t="s">
        <v>52</v>
      </c>
      <c r="H21" s="105"/>
      <c r="I21" s="105"/>
      <c r="J21" s="116" t="s">
        <v>50</v>
      </c>
      <c r="K21" s="106"/>
      <c r="AI21" s="92" t="s">
        <v>53</v>
      </c>
      <c r="AJ21" s="85">
        <v>1</v>
      </c>
      <c r="AL21" s="92"/>
      <c r="AO21" s="85" t="s">
        <v>625</v>
      </c>
      <c r="AP21" s="129" t="s">
        <v>604</v>
      </c>
      <c r="AR21" s="92" t="s">
        <v>143</v>
      </c>
    </row>
    <row r="22" spans="1:44" x14ac:dyDescent="0.2">
      <c r="B22" s="86" t="s">
        <v>75</v>
      </c>
      <c r="C22" s="154"/>
      <c r="D22" s="85" t="e">
        <f t="shared" si="0"/>
        <v>#N/A</v>
      </c>
      <c r="F22" s="104"/>
      <c r="G22" s="105"/>
      <c r="H22" s="105"/>
      <c r="I22" s="105"/>
      <c r="J22" s="105"/>
      <c r="K22" s="106"/>
      <c r="AL22" s="92"/>
      <c r="AO22" s="85" t="s">
        <v>626</v>
      </c>
      <c r="AP22" s="112">
        <v>9</v>
      </c>
    </row>
    <row r="23" spans="1:44" x14ac:dyDescent="0.2">
      <c r="B23" s="86" t="s">
        <v>76</v>
      </c>
      <c r="C23" s="155"/>
      <c r="D23" s="85" t="e">
        <f t="shared" si="0"/>
        <v>#N/A</v>
      </c>
      <c r="F23" s="104"/>
      <c r="G23" s="108" t="s">
        <v>611</v>
      </c>
      <c r="H23" s="105"/>
      <c r="I23" s="105"/>
      <c r="J23" s="116" t="s">
        <v>137</v>
      </c>
      <c r="K23" s="106"/>
      <c r="AI23" s="92"/>
      <c r="AL23" s="92"/>
      <c r="AO23" s="85" t="s">
        <v>627</v>
      </c>
      <c r="AP23" s="129" t="s">
        <v>604</v>
      </c>
    </row>
    <row r="24" spans="1:44" x14ac:dyDescent="0.2">
      <c r="F24" s="104"/>
      <c r="G24" s="105"/>
      <c r="H24" s="105"/>
      <c r="I24" s="105"/>
      <c r="J24" s="105"/>
      <c r="K24" s="106"/>
      <c r="AI24" s="92"/>
    </row>
    <row r="25" spans="1:44" x14ac:dyDescent="0.2">
      <c r="B25" s="179" t="s">
        <v>628</v>
      </c>
      <c r="C25" s="147"/>
      <c r="F25" s="104"/>
      <c r="G25" s="105" t="s">
        <v>65</v>
      </c>
      <c r="H25" s="105"/>
      <c r="I25" s="105"/>
      <c r="J25" s="116" t="s">
        <v>50</v>
      </c>
      <c r="K25" s="106"/>
      <c r="AI25" s="92"/>
    </row>
    <row r="26" spans="1:44" x14ac:dyDescent="0.2">
      <c r="A26" s="90" t="s">
        <v>145</v>
      </c>
      <c r="F26" s="104"/>
      <c r="G26" s="105"/>
      <c r="H26" s="105"/>
      <c r="I26" s="105"/>
      <c r="J26" s="105"/>
      <c r="K26" s="106"/>
      <c r="AI26" s="92"/>
    </row>
    <row r="27" spans="1:44" x14ac:dyDescent="0.2">
      <c r="A27" s="90" t="s">
        <v>144</v>
      </c>
      <c r="F27" s="104"/>
      <c r="G27" s="108" t="s">
        <v>82</v>
      </c>
      <c r="H27" s="105"/>
      <c r="I27" s="105"/>
      <c r="J27" s="116" t="s">
        <v>50</v>
      </c>
      <c r="K27" s="106"/>
    </row>
    <row r="28" spans="1:44" x14ac:dyDescent="0.2">
      <c r="A28" s="90" t="s">
        <v>47</v>
      </c>
      <c r="F28" s="104"/>
      <c r="G28" s="105"/>
      <c r="H28" s="105"/>
      <c r="I28" s="105"/>
      <c r="J28" s="105"/>
      <c r="K28" s="106"/>
    </row>
    <row r="29" spans="1:44" x14ac:dyDescent="0.2">
      <c r="A29" s="90" t="s">
        <v>48</v>
      </c>
      <c r="F29" s="104"/>
      <c r="G29" s="108" t="s">
        <v>54</v>
      </c>
      <c r="H29" s="105"/>
      <c r="I29" s="105"/>
      <c r="J29" s="116" t="s">
        <v>50</v>
      </c>
      <c r="K29" s="106"/>
    </row>
    <row r="30" spans="1:44" x14ac:dyDescent="0.2">
      <c r="A30" s="90" t="s">
        <v>136</v>
      </c>
      <c r="F30" s="104"/>
      <c r="G30" s="108"/>
      <c r="H30" s="105"/>
      <c r="I30" s="105"/>
      <c r="J30" s="105"/>
      <c r="K30" s="106"/>
    </row>
    <row r="31" spans="1:44" x14ac:dyDescent="0.2">
      <c r="A31" s="90" t="s">
        <v>49</v>
      </c>
      <c r="F31" s="104"/>
      <c r="G31" s="108" t="s">
        <v>138</v>
      </c>
      <c r="H31" s="105"/>
      <c r="I31" s="105"/>
      <c r="J31" s="116" t="s">
        <v>51</v>
      </c>
      <c r="K31" s="106"/>
    </row>
    <row r="32" spans="1:44" x14ac:dyDescent="0.2">
      <c r="A32" s="90" t="s">
        <v>124</v>
      </c>
      <c r="F32" s="104"/>
      <c r="G32" s="108"/>
      <c r="H32" s="105"/>
      <c r="I32" s="105"/>
      <c r="J32" s="105"/>
      <c r="K32" s="106"/>
    </row>
    <row r="33" spans="1:11" x14ac:dyDescent="0.2">
      <c r="A33" s="90" t="s">
        <v>130</v>
      </c>
      <c r="F33" s="104"/>
      <c r="G33" s="108" t="s">
        <v>612</v>
      </c>
      <c r="H33" s="105"/>
      <c r="I33" s="105"/>
      <c r="J33" s="116" t="s">
        <v>150</v>
      </c>
      <c r="K33" s="106"/>
    </row>
    <row r="34" spans="1:11" x14ac:dyDescent="0.2">
      <c r="A34" s="90" t="s">
        <v>131</v>
      </c>
      <c r="F34" s="117"/>
      <c r="G34" s="118"/>
      <c r="H34" s="118"/>
      <c r="I34" s="118"/>
      <c r="J34" s="118"/>
      <c r="K34" s="119"/>
    </row>
    <row r="35" spans="1:11" ht="6" customHeight="1" x14ac:dyDescent="0.2">
      <c r="A35" s="90" t="s">
        <v>133</v>
      </c>
    </row>
    <row r="36" spans="1:11" ht="13.5" thickBot="1" x14ac:dyDescent="0.25">
      <c r="A36" s="122" t="s">
        <v>149</v>
      </c>
      <c r="B36" s="123"/>
      <c r="C36" s="123"/>
    </row>
    <row r="37" spans="1:11" ht="13.5" thickBot="1" x14ac:dyDescent="0.25">
      <c r="A37" s="131" t="s">
        <v>613</v>
      </c>
      <c r="B37" s="132" t="s">
        <v>614</v>
      </c>
      <c r="C37" s="132" t="s">
        <v>134</v>
      </c>
      <c r="D37" s="133"/>
      <c r="E37" s="158" t="s">
        <v>135</v>
      </c>
      <c r="F37" s="158"/>
      <c r="G37" s="159"/>
    </row>
    <row r="38" spans="1:11" x14ac:dyDescent="0.2">
      <c r="A38" s="134" t="s">
        <v>47</v>
      </c>
      <c r="B38" s="135" t="s">
        <v>615</v>
      </c>
      <c r="C38" s="136">
        <v>15</v>
      </c>
      <c r="E38" s="160" t="s">
        <v>123</v>
      </c>
      <c r="F38" s="160"/>
      <c r="G38" s="161"/>
    </row>
    <row r="39" spans="1:11" x14ac:dyDescent="0.2">
      <c r="A39" s="137" t="s">
        <v>48</v>
      </c>
      <c r="B39" s="138" t="s">
        <v>616</v>
      </c>
      <c r="C39" s="139">
        <v>10</v>
      </c>
      <c r="E39" s="156" t="s">
        <v>123</v>
      </c>
      <c r="F39" s="156"/>
      <c r="G39" s="157"/>
    </row>
    <row r="40" spans="1:11" x14ac:dyDescent="0.2">
      <c r="A40" s="137" t="s">
        <v>136</v>
      </c>
      <c r="B40" s="138" t="s">
        <v>617</v>
      </c>
      <c r="C40" s="139"/>
      <c r="E40" s="156" t="s">
        <v>139</v>
      </c>
      <c r="F40" s="156"/>
      <c r="G40" s="157"/>
    </row>
    <row r="41" spans="1:11" x14ac:dyDescent="0.2">
      <c r="A41" s="137" t="s">
        <v>49</v>
      </c>
      <c r="B41" s="138" t="s">
        <v>618</v>
      </c>
      <c r="C41" s="139">
        <v>18</v>
      </c>
      <c r="E41" s="156" t="s">
        <v>140</v>
      </c>
      <c r="F41" s="156"/>
      <c r="G41" s="157"/>
    </row>
    <row r="42" spans="1:11" x14ac:dyDescent="0.2">
      <c r="A42" s="137" t="s">
        <v>124</v>
      </c>
      <c r="B42" s="138" t="s">
        <v>619</v>
      </c>
      <c r="C42" s="139"/>
      <c r="E42" s="156" t="s">
        <v>141</v>
      </c>
      <c r="F42" s="156"/>
      <c r="G42" s="157"/>
    </row>
    <row r="43" spans="1:11" x14ac:dyDescent="0.2">
      <c r="A43" s="137" t="s">
        <v>130</v>
      </c>
      <c r="B43" s="138" t="s">
        <v>620</v>
      </c>
      <c r="C43" s="139">
        <v>2.5</v>
      </c>
      <c r="E43" s="156" t="s">
        <v>142</v>
      </c>
      <c r="F43" s="156"/>
      <c r="G43" s="157"/>
    </row>
    <row r="44" spans="1:11" x14ac:dyDescent="0.2">
      <c r="A44" s="137"/>
      <c r="B44" s="138"/>
      <c r="C44" s="139"/>
      <c r="D44" s="112"/>
      <c r="E44" s="156"/>
      <c r="F44" s="156"/>
      <c r="G44" s="157"/>
    </row>
    <row r="45" spans="1:11" x14ac:dyDescent="0.2">
      <c r="A45" s="137"/>
      <c r="B45" s="138"/>
      <c r="C45" s="139"/>
      <c r="D45" s="112"/>
      <c r="E45" s="156"/>
      <c r="F45" s="156"/>
      <c r="G45" s="157"/>
    </row>
    <row r="46" spans="1:11" x14ac:dyDescent="0.2">
      <c r="A46" s="137"/>
      <c r="B46" s="138"/>
      <c r="C46" s="139"/>
      <c r="D46" s="112"/>
      <c r="E46" s="156"/>
      <c r="F46" s="156"/>
      <c r="G46" s="157"/>
    </row>
    <row r="47" spans="1:11" x14ac:dyDescent="0.2">
      <c r="A47" s="137"/>
      <c r="B47" s="138"/>
      <c r="C47" s="139"/>
      <c r="D47" s="112"/>
      <c r="E47" s="156"/>
      <c r="F47" s="156"/>
      <c r="G47" s="157"/>
    </row>
    <row r="48" spans="1:11" x14ac:dyDescent="0.2">
      <c r="A48" s="137"/>
      <c r="B48" s="138"/>
      <c r="C48" s="139"/>
      <c r="D48" s="112"/>
      <c r="E48" s="156"/>
      <c r="F48" s="156"/>
      <c r="G48" s="157"/>
    </row>
    <row r="49" spans="1:7" x14ac:dyDescent="0.2">
      <c r="A49" s="137"/>
      <c r="B49" s="138"/>
      <c r="C49" s="139"/>
      <c r="D49" s="112"/>
      <c r="E49" s="156"/>
      <c r="F49" s="156"/>
      <c r="G49" s="157"/>
    </row>
    <row r="50" spans="1:7" x14ac:dyDescent="0.2">
      <c r="A50" s="137"/>
      <c r="B50" s="138"/>
      <c r="C50" s="139"/>
      <c r="D50" s="112"/>
      <c r="E50" s="156"/>
      <c r="F50" s="156"/>
      <c r="G50" s="157"/>
    </row>
    <row r="51" spans="1:7" x14ac:dyDescent="0.2">
      <c r="A51" s="137"/>
      <c r="B51" s="138"/>
      <c r="C51" s="139"/>
      <c r="E51" s="156"/>
      <c r="F51" s="156"/>
      <c r="G51" s="157"/>
    </row>
    <row r="52" spans="1:7" x14ac:dyDescent="0.2">
      <c r="A52" s="137"/>
      <c r="B52" s="138"/>
      <c r="C52" s="139"/>
      <c r="E52" s="156"/>
      <c r="F52" s="156"/>
      <c r="G52" s="157"/>
    </row>
    <row r="53" spans="1:7" x14ac:dyDescent="0.2">
      <c r="A53" s="137"/>
      <c r="B53" s="138"/>
      <c r="C53" s="139"/>
      <c r="E53" s="156"/>
      <c r="F53" s="156"/>
      <c r="G53" s="157"/>
    </row>
    <row r="54" spans="1:7" x14ac:dyDescent="0.2">
      <c r="A54" s="137"/>
      <c r="B54" s="138"/>
      <c r="C54" s="139"/>
      <c r="E54" s="156"/>
      <c r="F54" s="156"/>
      <c r="G54" s="157"/>
    </row>
    <row r="55" spans="1:7" ht="13.5" thickBot="1" x14ac:dyDescent="0.25">
      <c r="A55" s="140"/>
      <c r="B55" s="141"/>
      <c r="C55" s="142"/>
      <c r="D55" s="143"/>
      <c r="E55" s="162"/>
      <c r="F55" s="162"/>
      <c r="G55" s="163"/>
    </row>
  </sheetData>
  <mergeCells count="19">
    <mergeCell ref="E55:G55"/>
    <mergeCell ref="E49:G49"/>
    <mergeCell ref="E50:G50"/>
    <mergeCell ref="E51:G51"/>
    <mergeCell ref="E52:G52"/>
    <mergeCell ref="E53:G53"/>
    <mergeCell ref="E54:G54"/>
    <mergeCell ref="E48:G48"/>
    <mergeCell ref="E37:G37"/>
    <mergeCell ref="E38:G38"/>
    <mergeCell ref="E39:G39"/>
    <mergeCell ref="E40:G40"/>
    <mergeCell ref="E41:G41"/>
    <mergeCell ref="E42:G42"/>
    <mergeCell ref="E43:G43"/>
    <mergeCell ref="E44:G44"/>
    <mergeCell ref="E45:G45"/>
    <mergeCell ref="E46:G46"/>
    <mergeCell ref="E47:G47"/>
  </mergeCells>
  <dataValidations count="8">
    <dataValidation type="list" allowBlank="1" showInputMessage="1" showErrorMessage="1" prompt="Seleccione de la lista desplegable" sqref="J23" xr:uid="{4E6BB563-39E8-42E7-AE70-20013D2DFE31}">
      <formula1>$AI$20:$AI$21</formula1>
    </dataValidation>
    <dataValidation type="list" allowBlank="1" showInputMessage="1" showErrorMessage="1" prompt="Seleccione de la lista desplegable" sqref="J21 J27 J29 J31 J25" xr:uid="{236A5E89-25BE-49D9-A088-849FB1E56661}">
      <formula1>$AI$17:$AI$18</formula1>
    </dataValidation>
    <dataValidation type="list" allowBlank="1" showInputMessage="1" showErrorMessage="1" prompt="Seleccione de la lista desplegable" sqref="C9" xr:uid="{7B22878F-6CEC-42EF-96E7-649FD827EEF1}">
      <formula1>$AI$9:$AI$10</formula1>
    </dataValidation>
    <dataValidation type="list" allowBlank="1" showInputMessage="1" showErrorMessage="1" prompt="Seleccione de la lista desplegable" sqref="J15 J9:J10 J12" xr:uid="{5F1DE8DE-F7C5-464A-B03B-ED57FCD8A339}">
      <formula1>$AI$11:$AI$16</formula1>
    </dataValidation>
    <dataValidation type="list" allowBlank="1" showInputMessage="1" showErrorMessage="1" prompt="Seleccione de la lista desplegable" sqref="J13" xr:uid="{24A3A80F-C830-48FF-952D-BB82353A2E03}">
      <formula1>$AK$11:$AK$20</formula1>
    </dataValidation>
    <dataValidation type="list" showInputMessage="1" showErrorMessage="1" sqref="E38:E55" xr:uid="{E55F3AD6-F7E3-49CC-8028-59DCBBB50728}">
      <formula1>$AR$11:$AR$21</formula1>
    </dataValidation>
    <dataValidation type="list" allowBlank="1" showInputMessage="1" showErrorMessage="1" prompt="Seleccione de la lista desplegable" sqref="J33" xr:uid="{7881E811-DFB1-4720-85D8-C7F64F14B0F4}">
      <formula1>$AJ$17:$AJ$18</formula1>
    </dataValidation>
    <dataValidation type="list" allowBlank="1" showInputMessage="1" showErrorMessage="1" prompt="Seleccione de la lista desplegable" sqref="J7" xr:uid="{B68AA17C-79BC-43DC-9373-570A368BF4F3}">
      <formula1>$AI$5:$AI$6</formula1>
    </dataValidation>
  </dataValidations>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1" stopIfTrue="1" operator="containsText" id="{F76F8F7D-E53F-4665-B3A6-27C85E4DEF95}">
            <xm:f>NOT(ISERROR(SEARCH($AL$19,C16)))</xm:f>
            <xm:f>$AL$19</xm:f>
            <x14:dxf>
              <font>
                <strike val="0"/>
                <color theme="1"/>
              </font>
            </x14:dxf>
          </x14:cfRule>
          <x14:cfRule type="containsText" priority="2" stopIfTrue="1" operator="containsText" id="{6761B11C-228F-47C1-8017-9AA2B17577B3}">
            <xm:f>NOT(ISERROR(SEARCH($AL$20,C16)))</xm:f>
            <xm:f>$AL$20</xm:f>
            <x14:dxf>
              <font>
                <color rgb="FFFF0000"/>
              </font>
            </x14:dxf>
          </x14:cfRule>
          <x14:cfRule type="containsText" priority="3" stopIfTrue="1" operator="containsText" id="{1F0E4A08-EC66-4313-885F-FADDD3471603}">
            <xm:f>NOT(ISERROR(SEARCH($AL$11,C16)))</xm:f>
            <xm:f>$AL$11</xm:f>
            <x14:dxf>
              <font>
                <color rgb="FFFF9900"/>
              </font>
            </x14:dxf>
          </x14:cfRule>
          <x14:cfRule type="containsText" priority="4" stopIfTrue="1" operator="containsText" id="{61D75216-F470-4702-8C3A-939369C121F0}">
            <xm:f>NOT(ISERROR(SEARCH($AL$22,C16)))</xm:f>
            <xm:f>$AL$22</xm:f>
            <x14:dxf>
              <font>
                <color rgb="FF008080"/>
              </font>
            </x14:dxf>
          </x14:cfRule>
          <x14:cfRule type="containsText" priority="5" stopIfTrue="1" operator="containsText" id="{1A48795D-9711-480E-8C96-30BA5F3FA3CD}">
            <xm:f>NOT(ISERROR(SEARCH($AL$23,C16)))</xm:f>
            <xm:f>$AL$23</xm:f>
            <x14:dxf>
              <font>
                <color rgb="FF00FF00"/>
              </font>
            </x14:dxf>
          </x14:cfRule>
          <x14:cfRule type="containsText" priority="6" stopIfTrue="1" operator="containsText" id="{7CBFF036-23DC-4ECA-B161-9F34144185E5}">
            <xm:f>NOT(ISERROR(SEARCH($AL$12,C16)))</xm:f>
            <xm:f>$AL$12</xm:f>
            <x14:dxf>
              <font>
                <color rgb="FF0000FF"/>
              </font>
            </x14:dxf>
          </x14:cfRule>
          <x14:cfRule type="containsText" priority="7" stopIfTrue="1" operator="containsText" id="{D0728290-E631-484F-BF7F-8B39859E4363}">
            <xm:f>NOT(ISERROR(SEARCH($AL$10,C16)))</xm:f>
            <xm:f>$AL$10</xm:f>
            <x14:dxf>
              <font>
                <strike val="0"/>
                <color rgb="FFFFFF00"/>
              </font>
            </x14:dxf>
          </x14:cfRule>
          <x14:cfRule type="containsText" priority="8" stopIfTrue="1" operator="containsText" id="{55FF25AD-2C1D-41CB-933B-AF8DC2203FD7}">
            <xm:f>NOT(ISERROR(SEARCH($AL$16,C16)))</xm:f>
            <xm:f>$AL$16</xm:f>
            <x14:dxf>
              <font>
                <color rgb="FFFF00FF"/>
              </font>
            </x14:dxf>
          </x14:cfRule>
          <x14:cfRule type="containsText" priority="9" stopIfTrue="1" operator="containsText" id="{304F656A-4400-4B00-A1B1-3C2F7BA8D642}">
            <xm:f>NOT(ISERROR(SEARCH($AL$14,C16)))</xm:f>
            <xm:f>$AL$14</xm:f>
            <x14:dxf>
              <font>
                <color rgb="FF00FFFF"/>
              </font>
            </x14:dxf>
          </x14:cfRule>
          <x14:cfRule type="containsText" priority="10" stopIfTrue="1" operator="containsText" id="{F506B413-FE8E-4A91-BA6C-6F203D3E6531}">
            <xm:f>NOT(ISERROR(SEARCH($AL$17,C16)))</xm:f>
            <xm:f>$AL$17</xm:f>
            <x14:dxf>
              <font>
                <color rgb="FF800000"/>
              </font>
            </x14:dxf>
          </x14:cfRule>
          <x14:cfRule type="containsText" priority="11" stopIfTrue="1" operator="containsText" id="{BC51FE91-7E8D-477A-9101-D2200F769023}">
            <xm:f>NOT(ISERROR(SEARCH($AL$21,C16)))</xm:f>
            <xm:f>$AL$21</xm:f>
            <x14:dxf>
              <font>
                <color rgb="FF008000"/>
              </font>
            </x14:dxf>
          </x14:cfRule>
          <x14:cfRule type="containsText" priority="12" stopIfTrue="1" operator="containsText" id="{07AA3E90-50E0-442B-8994-79BCA134BA89}">
            <xm:f>NOT(ISERROR(SEARCH($AL$13,C16)))</xm:f>
            <xm:f>$AL$13</xm:f>
            <x14:dxf>
              <font>
                <color rgb="FF000099"/>
              </font>
            </x14:dxf>
          </x14:cfRule>
          <x14:cfRule type="containsText" priority="13" stopIfTrue="1" operator="containsText" id="{54FD5008-3155-4507-A052-E3993DE6E34C}">
            <xm:f>NOT(ISERROR(SEARCH($AL$15,C16)))</xm:f>
            <xm:f>$AL$15</xm:f>
            <x14:dxf>
              <font>
                <color rgb="FFFF9999"/>
              </font>
            </x14:dxf>
          </x14:cfRule>
          <x14:cfRule type="containsText" priority="14" stopIfTrue="1" operator="containsText" id="{2910CE28-E0B0-4A6E-96C8-FBB0790F439A}">
            <xm:f>NOT(ISERROR(SEARCH($AL$18,C16)))</xm:f>
            <xm:f>$AL$18</xm:f>
            <x14:dxf>
              <font>
                <color rgb="FF990099"/>
              </font>
            </x14:dxf>
          </x14:cfRule>
          <xm:sqref>C16:C25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W197"/>
  <sheetViews>
    <sheetView zoomScale="130" zoomScaleNormal="130" workbookViewId="0">
      <selection activeCell="N16" sqref="N16:N197"/>
    </sheetView>
  </sheetViews>
  <sheetFormatPr baseColWidth="10" defaultRowHeight="12.75" x14ac:dyDescent="0.2"/>
  <cols>
    <col min="1" max="1" width="6.140625" customWidth="1"/>
    <col min="2" max="3" width="4.5703125" customWidth="1"/>
    <col min="4" max="4" width="54.5703125" customWidth="1"/>
    <col min="5" max="5" width="6.85546875" style="3" customWidth="1"/>
    <col min="6" max="6" width="9.5703125" customWidth="1"/>
    <col min="7" max="7" width="7.5703125" customWidth="1"/>
    <col min="8" max="8" width="8.5703125" customWidth="1"/>
    <col min="9" max="9" width="11.28515625" customWidth="1"/>
    <col min="10" max="10" width="10.28515625" customWidth="1"/>
    <col min="11" max="11" width="9.140625" style="9" customWidth="1"/>
    <col min="12" max="12" width="7.28515625" customWidth="1"/>
    <col min="13" max="13" width="8.28515625" customWidth="1"/>
    <col min="14" max="14" width="11.5703125" bestFit="1" customWidth="1"/>
  </cols>
  <sheetData>
    <row r="1" spans="1:23" ht="9.75" customHeight="1" x14ac:dyDescent="0.2"/>
    <row r="2" spans="1:23" ht="15" customHeight="1" x14ac:dyDescent="0.2">
      <c r="A2" s="167" t="s">
        <v>22</v>
      </c>
      <c r="B2" s="167"/>
      <c r="C2" s="167"/>
      <c r="D2" s="167"/>
      <c r="E2" s="167"/>
      <c r="F2" s="167"/>
      <c r="G2" s="167"/>
      <c r="H2" s="167"/>
      <c r="I2" s="167"/>
      <c r="J2" s="167"/>
      <c r="K2" s="167"/>
    </row>
    <row r="3" spans="1:23" s="1" customFormat="1" x14ac:dyDescent="0.2">
      <c r="A3" s="173" t="s">
        <v>14</v>
      </c>
      <c r="B3" s="173"/>
      <c r="C3" s="173"/>
      <c r="D3" s="169" t="s">
        <v>20</v>
      </c>
      <c r="E3" s="170"/>
      <c r="F3" s="174"/>
      <c r="G3" s="169" t="s">
        <v>21</v>
      </c>
      <c r="H3" s="170"/>
      <c r="I3" s="170"/>
      <c r="J3" s="170"/>
      <c r="K3" s="174"/>
    </row>
    <row r="4" spans="1:23" s="7" customFormat="1" x14ac:dyDescent="0.2">
      <c r="A4" s="173"/>
      <c r="B4" s="173"/>
      <c r="C4" s="173"/>
      <c r="D4" s="19" t="s">
        <v>19</v>
      </c>
      <c r="E4" s="20"/>
      <c r="F4" s="10" t="s">
        <v>23</v>
      </c>
      <c r="G4" s="169" t="s">
        <v>19</v>
      </c>
      <c r="H4" s="170"/>
      <c r="I4" s="170"/>
      <c r="J4" s="21"/>
      <c r="K4" s="10" t="s">
        <v>23</v>
      </c>
      <c r="L4" s="32" t="s">
        <v>39</v>
      </c>
    </row>
    <row r="5" spans="1:23" s="8" customFormat="1" ht="15" customHeight="1" x14ac:dyDescent="0.2">
      <c r="A5" s="168" t="s">
        <v>9</v>
      </c>
      <c r="B5" s="168"/>
      <c r="C5" s="168"/>
      <c r="D5" s="22" t="s">
        <v>55</v>
      </c>
      <c r="E5" s="23"/>
      <c r="F5" s="17">
        <v>0.15</v>
      </c>
      <c r="G5" s="171" t="s">
        <v>56</v>
      </c>
      <c r="H5" s="172"/>
      <c r="I5" s="172"/>
      <c r="J5" s="24"/>
      <c r="K5" s="17">
        <v>0.06</v>
      </c>
      <c r="L5" s="8">
        <v>2.5</v>
      </c>
    </row>
    <row r="6" spans="1:23" s="8" customFormat="1" ht="15" customHeight="1" x14ac:dyDescent="0.2">
      <c r="A6" s="168" t="s">
        <v>17</v>
      </c>
      <c r="B6" s="168"/>
      <c r="C6" s="168"/>
      <c r="D6" s="25" t="s">
        <v>24</v>
      </c>
      <c r="E6" s="26"/>
      <c r="F6" s="17">
        <v>0</v>
      </c>
      <c r="G6" s="171" t="s">
        <v>56</v>
      </c>
      <c r="H6" s="172"/>
      <c r="I6" s="172"/>
      <c r="J6" s="24"/>
      <c r="K6" s="17">
        <v>1.2</v>
      </c>
      <c r="L6" s="8" t="s">
        <v>40</v>
      </c>
      <c r="M6" s="8" t="s">
        <v>41</v>
      </c>
      <c r="N6" s="8" t="s">
        <v>42</v>
      </c>
    </row>
    <row r="7" spans="1:23" s="8" customFormat="1" ht="12" customHeight="1" x14ac:dyDescent="0.2">
      <c r="A7" s="168" t="s">
        <v>18</v>
      </c>
      <c r="B7" s="168"/>
      <c r="C7" s="168"/>
      <c r="D7" s="25" t="s">
        <v>24</v>
      </c>
      <c r="E7" s="23"/>
      <c r="F7" s="17">
        <v>0</v>
      </c>
      <c r="G7" s="171" t="s">
        <v>24</v>
      </c>
      <c r="H7" s="172"/>
      <c r="I7" s="172"/>
      <c r="J7" s="24"/>
      <c r="K7" s="17">
        <v>0</v>
      </c>
      <c r="L7" s="8">
        <v>6</v>
      </c>
      <c r="M7" s="8">
        <v>2.2000000000000002</v>
      </c>
      <c r="N7" s="8">
        <v>1.5</v>
      </c>
    </row>
    <row r="8" spans="1:23" s="66" customFormat="1" ht="4.5" customHeight="1" x14ac:dyDescent="0.2">
      <c r="A8" s="64">
        <f t="array" ref="A8">MAX(IF(BDcodINS&lt;90001,BDcodINS,80000))</f>
        <v>80012</v>
      </c>
      <c r="B8" s="64">
        <f t="array" ref="B8">MAX(IF(BDcodINS&lt;57001,BDcodINS,53500))</f>
        <v>53500</v>
      </c>
      <c r="C8" s="59">
        <f t="array" ref="C8">MAX(IF(BDcodINS&lt;22501,BDcodINS,20000))</f>
        <v>20000</v>
      </c>
      <c r="D8" s="59"/>
      <c r="E8" s="65"/>
      <c r="F8" s="60"/>
      <c r="H8" s="61"/>
      <c r="I8" s="62"/>
      <c r="J8" s="63"/>
    </row>
    <row r="9" spans="1:23" s="66" customFormat="1" ht="4.5" customHeight="1" x14ac:dyDescent="0.2">
      <c r="A9" s="64">
        <f t="array" ref="A9">MAX(IF(BDcodINS&lt;80001,BDcodINS,77500))</f>
        <v>77500</v>
      </c>
      <c r="B9" s="64">
        <f t="array" ref="B9">MAX(IF(BDcodINS&lt;53501,BDcodINS,50000))</f>
        <v>50000</v>
      </c>
      <c r="C9" s="64">
        <f t="array" ref="C9">MAX(IF(BDcodINS&lt;77501,BDcodINS,75000))</f>
        <v>75000</v>
      </c>
      <c r="D9" s="59"/>
      <c r="E9" s="65"/>
      <c r="F9" s="60"/>
      <c r="H9" s="61"/>
      <c r="I9" s="62"/>
      <c r="J9" s="63"/>
    </row>
    <row r="10" spans="1:23" s="66" customFormat="1" ht="4.5" customHeight="1" x14ac:dyDescent="0.2">
      <c r="A10" s="64">
        <f t="array" ref="A10">MAX(IF(BDcodINS&lt;70001,BDcodINS,60000))</f>
        <v>60019</v>
      </c>
      <c r="B10" s="64">
        <f t="array" ref="B10">MAX(IF(BDcodINS&lt;30001,BDcodINS,27500))</f>
        <v>27500</v>
      </c>
      <c r="C10" s="64">
        <f t="array" ref="C10">MAX(IF(BDcodINS&lt;75001,BDcodINS,72500))</f>
        <v>72500</v>
      </c>
      <c r="D10" s="59"/>
      <c r="E10" s="65"/>
      <c r="F10" s="60"/>
      <c r="H10" s="61"/>
      <c r="I10" s="62"/>
      <c r="J10" s="63"/>
    </row>
    <row r="11" spans="1:23" s="66" customFormat="1" ht="4.5" customHeight="1" x14ac:dyDescent="0.2">
      <c r="A11" s="64">
        <f t="array" ref="A11">MAX(IF(BDcodINS&lt;50001,BDcodINS,30000))</f>
        <v>30141</v>
      </c>
      <c r="B11" s="64">
        <f t="array" ref="B11">MAX(IF(BDcodINS&lt;27501,BDcodINS,25000))</f>
        <v>25000</v>
      </c>
      <c r="C11" s="64">
        <f t="array" ref="C11">MAX(IF(BDcodINS&lt;72501,BDcodINS,70000))</f>
        <v>70001</v>
      </c>
      <c r="D11" s="59"/>
      <c r="E11" s="65"/>
      <c r="F11" s="60"/>
      <c r="H11" s="61"/>
      <c r="I11" s="62"/>
      <c r="J11" s="63"/>
    </row>
    <row r="12" spans="1:23" s="66" customFormat="1" ht="9" customHeight="1" x14ac:dyDescent="0.2">
      <c r="A12" s="64">
        <f t="array" ref="A12">MAX(IF(BDcodINS&lt;20001,BDcodINS,10000))</f>
        <v>10005</v>
      </c>
      <c r="B12" s="64">
        <f t="array" ref="B12">MAX(IF(BDcodINS&lt;25001,BDcodINS,22500))</f>
        <v>22500</v>
      </c>
      <c r="C12" s="64">
        <f t="array" ref="C12">MAX(IF(BDcodINS&lt;60001,BDcodINS,57000))</f>
        <v>57000</v>
      </c>
      <c r="D12" s="67"/>
      <c r="E12" s="68"/>
      <c r="F12" s="68"/>
      <c r="G12" s="68"/>
      <c r="H12" s="68"/>
      <c r="I12" s="68"/>
      <c r="J12" s="68"/>
      <c r="K12" s="68"/>
      <c r="L12" s="68"/>
      <c r="M12" s="69"/>
      <c r="N12" s="175" t="s">
        <v>61</v>
      </c>
      <c r="O12" s="176"/>
      <c r="P12" s="176"/>
      <c r="Q12" s="177"/>
    </row>
    <row r="13" spans="1:23" s="8" customFormat="1" x14ac:dyDescent="0.2">
      <c r="A13" s="27">
        <v>60002</v>
      </c>
      <c r="B13" s="28">
        <f>MATCH($A$13,BDcodINS,0)+15</f>
        <v>25</v>
      </c>
      <c r="C13" s="28">
        <f t="array" ref="C13">MAX(IF(BDcodINS&lt;95001,BDcodINS,90000))</f>
        <v>90004</v>
      </c>
      <c r="D13" s="28"/>
      <c r="E13" s="28"/>
      <c r="F13" s="28"/>
      <c r="G13" s="28"/>
      <c r="H13" s="28"/>
      <c r="I13" s="28"/>
      <c r="J13" s="28"/>
      <c r="K13" s="28"/>
      <c r="L13" s="29"/>
      <c r="N13" s="164" t="str">
        <f>Datos!AI5</f>
        <v>Soles</v>
      </c>
      <c r="O13" s="164"/>
      <c r="P13" s="165" t="str">
        <f>Datos!AI6</f>
        <v>Dólares</v>
      </c>
      <c r="Q13" s="165"/>
    </row>
    <row r="14" spans="1:23" s="8" customFormat="1" x14ac:dyDescent="0.2">
      <c r="A14" s="30">
        <f>COUNT(BDcodINS)+16</f>
        <v>198</v>
      </c>
      <c r="B14" s="30"/>
      <c r="C14" s="30">
        <f t="array" ref="C14">MAX(IF(BDcodINS&lt;100000,BDcodINS,95000))</f>
        <v>90004</v>
      </c>
      <c r="D14" s="30"/>
      <c r="E14" s="30"/>
      <c r="F14" s="30"/>
      <c r="G14" s="30"/>
      <c r="H14" s="166" t="s">
        <v>35</v>
      </c>
      <c r="I14" s="166"/>
      <c r="J14" s="166"/>
      <c r="K14" s="30"/>
      <c r="L14" s="30"/>
      <c r="N14" s="54" t="s">
        <v>16</v>
      </c>
      <c r="O14" s="120">
        <f>1+Datos!$C$10</f>
        <v>1.18</v>
      </c>
      <c r="P14" s="55">
        <v>3.75</v>
      </c>
      <c r="Q14" s="121">
        <f>O14</f>
        <v>1.18</v>
      </c>
    </row>
    <row r="15" spans="1:23" ht="40.5" customHeight="1" x14ac:dyDescent="0.2">
      <c r="A15" s="4" t="s">
        <v>0</v>
      </c>
      <c r="B15" s="4" t="s">
        <v>15</v>
      </c>
      <c r="C15" s="4" t="s">
        <v>1</v>
      </c>
      <c r="D15" s="4" t="s">
        <v>2</v>
      </c>
      <c r="E15" s="12" t="s">
        <v>3</v>
      </c>
      <c r="F15" s="5" t="str">
        <f>Datos!J7</f>
        <v>Soles</v>
      </c>
      <c r="G15" s="6" t="s">
        <v>4</v>
      </c>
      <c r="H15" s="31" t="s">
        <v>36</v>
      </c>
      <c r="I15" s="31" t="s">
        <v>37</v>
      </c>
      <c r="J15" s="31" t="s">
        <v>38</v>
      </c>
      <c r="K15" s="6" t="s">
        <v>5</v>
      </c>
      <c r="L15" s="57" t="s">
        <v>147</v>
      </c>
      <c r="M15" s="57" t="s">
        <v>148</v>
      </c>
      <c r="N15" s="56" t="s">
        <v>59</v>
      </c>
      <c r="O15" s="55" t="s">
        <v>60</v>
      </c>
      <c r="P15" s="55" t="s">
        <v>59</v>
      </c>
      <c r="Q15" s="55" t="s">
        <v>60</v>
      </c>
    </row>
    <row r="16" spans="1:23" s="2" customFormat="1" x14ac:dyDescent="0.2">
      <c r="A16">
        <v>10001</v>
      </c>
      <c r="B16">
        <v>47</v>
      </c>
      <c r="C16" t="s">
        <v>118</v>
      </c>
      <c r="D16" t="s">
        <v>32</v>
      </c>
      <c r="E16" t="s">
        <v>31</v>
      </c>
      <c r="F16">
        <f>IF(AND($F$15=Datos!$AI$5,Datos!$C$9=Datos!$AI$10),IF(A16&gt;30000,N16,ROUND(N16*Datos!$J$18,Dins)),IF(AND($F$15=Datos!$AI$5,Datos!$C$9=Datos!$AI$9),IF(A16&gt;30000,O16,ROUND(O16*Datos!$J$18,Dins)),IF(AND($F$15=Datos!$AI$6,Datos!$C$9=Datos!$AI$10),IF(A16&gt;30000,P16,ROUND(P16*Datos!$J$18,Dins)),IF(AND($F$15=Datos!$AI$6,Datos!$C$9=Datos!$AI$9),IF(A16&gt;30000,Q16,ROUND(Q16*Datos!$J$18,Dins))))))</f>
        <v>12.64</v>
      </c>
      <c r="G16"/>
      <c r="H16"/>
      <c r="I16"/>
      <c r="J16"/>
      <c r="K16"/>
      <c r="L16"/>
      <c r="M16"/>
      <c r="N16">
        <v>12.64</v>
      </c>
      <c r="O16">
        <f t="shared" ref="O16:O47" si="0">IF(A16&gt;30000,ROUND(N16/$O$14,Dins),ROUND(N16,Dins))</f>
        <v>12.64</v>
      </c>
      <c r="P16">
        <f t="shared" ref="P16:P47" si="1">ROUND(N16/$P$14,Dins)</f>
        <v>3.37</v>
      </c>
      <c r="Q16">
        <f t="shared" ref="Q16:Q47" si="2">IF(A16&gt;30000,ROUND(P16/$Q$14,Dins),ROUND(P16,Dins))</f>
        <v>3.37</v>
      </c>
      <c r="R16"/>
      <c r="S16"/>
      <c r="T16"/>
      <c r="U16"/>
      <c r="V16"/>
      <c r="W16"/>
    </row>
    <row r="17" spans="1:23" s="2" customFormat="1" x14ac:dyDescent="0.2">
      <c r="A17">
        <v>10002</v>
      </c>
      <c r="B17">
        <v>47</v>
      </c>
      <c r="C17" t="s">
        <v>118</v>
      </c>
      <c r="D17" t="s">
        <v>161</v>
      </c>
      <c r="E17" t="s">
        <v>31</v>
      </c>
      <c r="F17">
        <f>IF(AND($F$15=Datos!$AI$5,Datos!$C$9=Datos!$AI$10),IF(A17&gt;30000,N17,ROUND(N17*Datos!$J$18,Dins)),IF(AND($F$15=Datos!$AI$5,Datos!$C$9=Datos!$AI$9),IF(A17&gt;30000,O17,ROUND(O17*Datos!$J$18,Dins)),IF(AND($F$15=Datos!$AI$6,Datos!$C$9=Datos!$AI$10),IF(A17&gt;30000,P17,ROUND(P17*Datos!$J$18,Dins)),IF(AND($F$15=Datos!$AI$6,Datos!$C$9=Datos!$AI$9),IF(A17&gt;30000,Q17,ROUND(Q17*Datos!$J$18,Dins))))))</f>
        <v>17.59</v>
      </c>
      <c r="G17"/>
      <c r="H17"/>
      <c r="I17"/>
      <c r="J17"/>
      <c r="K17"/>
      <c r="L17"/>
      <c r="M17"/>
      <c r="N17">
        <v>17.59</v>
      </c>
      <c r="O17">
        <f t="shared" si="0"/>
        <v>17.59</v>
      </c>
      <c r="P17">
        <f t="shared" si="1"/>
        <v>4.6900000000000004</v>
      </c>
      <c r="Q17">
        <f t="shared" si="2"/>
        <v>4.6900000000000004</v>
      </c>
      <c r="R17"/>
      <c r="S17"/>
      <c r="T17"/>
      <c r="U17"/>
      <c r="V17"/>
      <c r="W17"/>
    </row>
    <row r="18" spans="1:23" s="2" customFormat="1" x14ac:dyDescent="0.2">
      <c r="A18">
        <v>30001</v>
      </c>
      <c r="B18">
        <v>21</v>
      </c>
      <c r="C18" t="s">
        <v>6</v>
      </c>
      <c r="D18" t="s">
        <v>162</v>
      </c>
      <c r="E18" t="s">
        <v>163</v>
      </c>
      <c r="F18">
        <f>IF(AND($F$15=Datos!$AI$5,Datos!$C$9=Datos!$AI$10),IF(A18&gt;30000,N18,ROUND(N18*Datos!$J$18,Dins)),IF(AND($F$15=Datos!$AI$5,Datos!$C$9=Datos!$AI$9),IF(A18&gt;30000,O18,ROUND(O18*Datos!$J$18,Dins)),IF(AND($F$15=Datos!$AI$6,Datos!$C$9=Datos!$AI$10),IF(A18&gt;30000,P18,ROUND(P18*Datos!$J$18,Dins)),IF(AND($F$15=Datos!$AI$6,Datos!$C$9=Datos!$AI$9),IF(A18&gt;30000,Q18,ROUND(Q18*Datos!$J$18,Dins))))))</f>
        <v>27</v>
      </c>
      <c r="G18"/>
      <c r="H18"/>
      <c r="I18"/>
      <c r="J18"/>
      <c r="K18"/>
      <c r="L18"/>
      <c r="M18"/>
      <c r="N18">
        <v>31.86</v>
      </c>
      <c r="O18">
        <f t="shared" si="0"/>
        <v>27</v>
      </c>
      <c r="P18">
        <f t="shared" si="1"/>
        <v>8.5</v>
      </c>
      <c r="Q18">
        <f t="shared" si="2"/>
        <v>7.2</v>
      </c>
      <c r="R18"/>
      <c r="S18"/>
      <c r="T18"/>
      <c r="U18"/>
      <c r="V18"/>
      <c r="W18"/>
    </row>
    <row r="19" spans="1:23" s="2" customFormat="1" x14ac:dyDescent="0.2">
      <c r="A19">
        <v>30002</v>
      </c>
      <c r="B19">
        <v>38</v>
      </c>
      <c r="C19" t="s">
        <v>6</v>
      </c>
      <c r="D19" t="s">
        <v>164</v>
      </c>
      <c r="E19" t="s">
        <v>165</v>
      </c>
      <c r="F19">
        <f>IF(AND($F$15=Datos!$AI$5,Datos!$C$9=Datos!$AI$10),IF(A19&gt;30000,N19,ROUND(N19*Datos!$J$18,Dins)),IF(AND($F$15=Datos!$AI$5,Datos!$C$9=Datos!$AI$9),IF(A19&gt;30000,O19,ROUND(O19*Datos!$J$18,Dins)),IF(AND($F$15=Datos!$AI$6,Datos!$C$9=Datos!$AI$10),IF(A19&gt;30000,P19,ROUND(P19*Datos!$J$18,Dins)),IF(AND($F$15=Datos!$AI$6,Datos!$C$9=Datos!$AI$9),IF(A19&gt;30000,Q19,ROUND(Q19*Datos!$J$18,Dins))))))</f>
        <v>41.3</v>
      </c>
      <c r="G19"/>
      <c r="H19"/>
      <c r="I19"/>
      <c r="J19"/>
      <c r="K19"/>
      <c r="L19"/>
      <c r="M19"/>
      <c r="N19">
        <v>48.73</v>
      </c>
      <c r="O19">
        <f t="shared" si="0"/>
        <v>41.3</v>
      </c>
      <c r="P19">
        <f t="shared" si="1"/>
        <v>12.99</v>
      </c>
      <c r="Q19">
        <f t="shared" si="2"/>
        <v>11.01</v>
      </c>
      <c r="R19"/>
      <c r="S19"/>
      <c r="T19"/>
      <c r="U19"/>
      <c r="V19"/>
      <c r="W19"/>
    </row>
    <row r="20" spans="1:23" s="2" customFormat="1" x14ac:dyDescent="0.2">
      <c r="A20">
        <v>30003</v>
      </c>
      <c r="B20">
        <v>39</v>
      </c>
      <c r="C20" t="s">
        <v>6</v>
      </c>
      <c r="D20" t="s">
        <v>166</v>
      </c>
      <c r="E20" t="s">
        <v>167</v>
      </c>
      <c r="F20">
        <f>IF(AND($F$15=Datos!$AI$5,Datos!$C$9=Datos!$AI$10),IF(A20&gt;30000,N20,ROUND(N20*Datos!$J$18,Dins)),IF(AND($F$15=Datos!$AI$5,Datos!$C$9=Datos!$AI$9),IF(A20&gt;30000,O20,ROUND(O20*Datos!$J$18,Dins)),IF(AND($F$15=Datos!$AI$6,Datos!$C$9=Datos!$AI$10),IF(A20&gt;30000,P20,ROUND(P20*Datos!$J$18,Dins)),IF(AND($F$15=Datos!$AI$6,Datos!$C$9=Datos!$AI$9),IF(A20&gt;30000,Q20,ROUND(Q20*Datos!$J$18,Dins))))))</f>
        <v>20</v>
      </c>
      <c r="G20"/>
      <c r="H20"/>
      <c r="I20"/>
      <c r="J20"/>
      <c r="K20"/>
      <c r="L20"/>
      <c r="M20"/>
      <c r="N20">
        <v>23.6</v>
      </c>
      <c r="O20">
        <f t="shared" si="0"/>
        <v>20</v>
      </c>
      <c r="P20">
        <f t="shared" si="1"/>
        <v>6.29</v>
      </c>
      <c r="Q20">
        <f t="shared" si="2"/>
        <v>5.33</v>
      </c>
      <c r="R20"/>
      <c r="S20"/>
      <c r="T20"/>
      <c r="U20"/>
      <c r="V20"/>
      <c r="W20"/>
    </row>
    <row r="21" spans="1:23" s="2" customFormat="1" x14ac:dyDescent="0.2">
      <c r="A21">
        <v>30004</v>
      </c>
      <c r="B21">
        <v>30</v>
      </c>
      <c r="C21" t="s">
        <v>6</v>
      </c>
      <c r="D21" t="s">
        <v>168</v>
      </c>
      <c r="E21" t="s">
        <v>169</v>
      </c>
      <c r="F21">
        <f>IF(AND($F$15=Datos!$AI$5,Datos!$C$9=Datos!$AI$10),IF(A21&gt;30000,N21,ROUND(N21*Datos!$J$18,Dins)),IF(AND($F$15=Datos!$AI$5,Datos!$C$9=Datos!$AI$9),IF(A21&gt;30000,O21,ROUND(O21*Datos!$J$18,Dins)),IF(AND($F$15=Datos!$AI$6,Datos!$C$9=Datos!$AI$10),IF(A21&gt;30000,P21,ROUND(P21*Datos!$J$18,Dins)),IF(AND($F$15=Datos!$AI$6,Datos!$C$9=Datos!$AI$9),IF(A21&gt;30000,Q21,ROUND(Q21*Datos!$J$18,Dins))))))</f>
        <v>8</v>
      </c>
      <c r="G21"/>
      <c r="H21"/>
      <c r="I21"/>
      <c r="J21"/>
      <c r="K21"/>
      <c r="L21"/>
      <c r="M21"/>
      <c r="N21">
        <v>9.44</v>
      </c>
      <c r="O21">
        <f t="shared" si="0"/>
        <v>8</v>
      </c>
      <c r="P21">
        <f t="shared" si="1"/>
        <v>2.52</v>
      </c>
      <c r="Q21">
        <f t="shared" si="2"/>
        <v>2.14</v>
      </c>
      <c r="R21"/>
      <c r="S21"/>
      <c r="T21"/>
      <c r="U21"/>
      <c r="V21"/>
      <c r="W21"/>
    </row>
    <row r="22" spans="1:23" s="2" customFormat="1" x14ac:dyDescent="0.2">
      <c r="A22">
        <v>30005</v>
      </c>
      <c r="B22">
        <v>54</v>
      </c>
      <c r="C22" t="s">
        <v>6</v>
      </c>
      <c r="D22" t="s">
        <v>170</v>
      </c>
      <c r="E22" t="s">
        <v>171</v>
      </c>
      <c r="F22">
        <f>IF(AND($F$15=Datos!$AI$5,Datos!$C$9=Datos!$AI$10),IF(A22&gt;30000,N22,ROUND(N22*Datos!$J$18,Dins)),IF(AND($F$15=Datos!$AI$5,Datos!$C$9=Datos!$AI$9),IF(A22&gt;30000,O22,ROUND(O22*Datos!$J$18,Dins)),IF(AND($F$15=Datos!$AI$6,Datos!$C$9=Datos!$AI$10),IF(A22&gt;30000,P22,ROUND(P22*Datos!$J$18,Dins)),IF(AND($F$15=Datos!$AI$6,Datos!$C$9=Datos!$AI$9),IF(A22&gt;30000,Q22,ROUND(Q22*Datos!$J$18,Dins))))))</f>
        <v>28</v>
      </c>
      <c r="G22"/>
      <c r="H22"/>
      <c r="I22"/>
      <c r="J22"/>
      <c r="K22"/>
      <c r="L22"/>
      <c r="M22"/>
      <c r="N22">
        <v>33.04</v>
      </c>
      <c r="O22">
        <f t="shared" si="0"/>
        <v>28</v>
      </c>
      <c r="P22">
        <f t="shared" si="1"/>
        <v>8.81</v>
      </c>
      <c r="Q22">
        <f t="shared" si="2"/>
        <v>7.47</v>
      </c>
      <c r="R22"/>
      <c r="S22"/>
      <c r="T22"/>
      <c r="U22"/>
      <c r="V22"/>
      <c r="W22"/>
    </row>
    <row r="23" spans="1:23" s="2" customFormat="1" x14ac:dyDescent="0.2">
      <c r="A23">
        <v>30006</v>
      </c>
      <c r="B23">
        <v>39</v>
      </c>
      <c r="C23" t="s">
        <v>6</v>
      </c>
      <c r="D23" t="s">
        <v>172</v>
      </c>
      <c r="E23" t="s">
        <v>173</v>
      </c>
      <c r="F23">
        <f>IF(AND($F$15=Datos!$AI$5,Datos!$C$9=Datos!$AI$10),IF(A23&gt;30000,N23,ROUND(N23*Datos!$J$18,Dins)),IF(AND($F$15=Datos!$AI$5,Datos!$C$9=Datos!$AI$9),IF(A23&gt;30000,O23,ROUND(O23*Datos!$J$18,Dins)),IF(AND($F$15=Datos!$AI$6,Datos!$C$9=Datos!$AI$10),IF(A23&gt;30000,P23,ROUND(P23*Datos!$J$18,Dins)),IF(AND($F$15=Datos!$AI$6,Datos!$C$9=Datos!$AI$9),IF(A23&gt;30000,Q23,ROUND(Q23*Datos!$J$18,Dins))))))</f>
        <v>23.8</v>
      </c>
      <c r="G23"/>
      <c r="H23"/>
      <c r="I23"/>
      <c r="J23"/>
      <c r="K23"/>
      <c r="L23"/>
      <c r="M23"/>
      <c r="N23">
        <v>28.08</v>
      </c>
      <c r="O23">
        <f t="shared" si="0"/>
        <v>23.8</v>
      </c>
      <c r="P23">
        <f t="shared" si="1"/>
        <v>7.49</v>
      </c>
      <c r="Q23">
        <f t="shared" si="2"/>
        <v>6.35</v>
      </c>
      <c r="R23"/>
      <c r="S23"/>
      <c r="T23"/>
      <c r="U23"/>
      <c r="V23"/>
      <c r="W23"/>
    </row>
    <row r="24" spans="1:23" s="2" customFormat="1" x14ac:dyDescent="0.2">
      <c r="A24">
        <v>60001</v>
      </c>
      <c r="B24">
        <v>49</v>
      </c>
      <c r="C24" t="s">
        <v>119</v>
      </c>
      <c r="D24" t="s">
        <v>174</v>
      </c>
      <c r="E24" t="s">
        <v>33</v>
      </c>
      <c r="F24">
        <f>IF(AND($F$15=Datos!$AI$5,Datos!$C$9=Datos!$AI$10),IF(A24&gt;30000,N24,ROUND(N24*Datos!$J$18,Dins)),IF(AND($F$15=Datos!$AI$5,Datos!$C$9=Datos!$AI$9),IF(A24&gt;30000,O24,ROUND(O24*Datos!$J$18,Dins)),IF(AND($F$15=Datos!$AI$6,Datos!$C$9=Datos!$AI$10),IF(A24&gt;30000,P24,ROUND(P24*Datos!$J$18,Dins)),IF(AND($F$15=Datos!$AI$6,Datos!$C$9=Datos!$AI$9),IF(A24&gt;30000,Q24,ROUND(Q24*Datos!$J$18,Dins))))))</f>
        <v>3.75</v>
      </c>
      <c r="G24"/>
      <c r="H24"/>
      <c r="I24"/>
      <c r="J24"/>
      <c r="K24"/>
      <c r="L24"/>
      <c r="M24"/>
      <c r="N24">
        <v>4.42</v>
      </c>
      <c r="O24">
        <f t="shared" si="0"/>
        <v>3.75</v>
      </c>
      <c r="P24">
        <f t="shared" si="1"/>
        <v>1.18</v>
      </c>
      <c r="Q24">
        <f t="shared" si="2"/>
        <v>1</v>
      </c>
      <c r="R24"/>
      <c r="S24"/>
      <c r="T24"/>
      <c r="U24"/>
      <c r="V24"/>
      <c r="W24"/>
    </row>
    <row r="25" spans="1:23" s="2" customFormat="1" x14ac:dyDescent="0.2">
      <c r="A25">
        <v>60002</v>
      </c>
      <c r="B25">
        <v>49</v>
      </c>
      <c r="C25" t="s">
        <v>119</v>
      </c>
      <c r="D25" t="s">
        <v>175</v>
      </c>
      <c r="E25" t="s">
        <v>33</v>
      </c>
      <c r="F25">
        <f>IF(AND($F$15=Datos!$AI$5,Datos!$C$9=Datos!$AI$10),IF(A25&gt;30000,N25,ROUND(N25*Datos!$J$18,Dins)),IF(AND($F$15=Datos!$AI$5,Datos!$C$9=Datos!$AI$9),IF(A25&gt;30000,O25,ROUND(O25*Datos!$J$18,Dins)),IF(AND($F$15=Datos!$AI$6,Datos!$C$9=Datos!$AI$10),IF(A25&gt;30000,P25,ROUND(P25*Datos!$J$18,Dins)),IF(AND($F$15=Datos!$AI$6,Datos!$C$9=Datos!$AI$9),IF(A25&gt;30000,Q25,ROUND(Q25*Datos!$J$18,Dins))))))</f>
        <v>6.25</v>
      </c>
      <c r="G25"/>
      <c r="H25"/>
      <c r="I25"/>
      <c r="J25"/>
      <c r="K25"/>
      <c r="L25"/>
      <c r="M25"/>
      <c r="N25">
        <v>7.38</v>
      </c>
      <c r="O25">
        <f t="shared" si="0"/>
        <v>6.25</v>
      </c>
      <c r="P25">
        <f t="shared" si="1"/>
        <v>1.97</v>
      </c>
      <c r="Q25">
        <f t="shared" si="2"/>
        <v>1.67</v>
      </c>
      <c r="R25"/>
      <c r="S25"/>
      <c r="T25"/>
      <c r="U25"/>
      <c r="V25"/>
      <c r="W25"/>
    </row>
    <row r="26" spans="1:23" s="2" customFormat="1" x14ac:dyDescent="0.2">
      <c r="A26">
        <v>30007</v>
      </c>
      <c r="B26">
        <v>49</v>
      </c>
      <c r="C26" t="s">
        <v>6</v>
      </c>
      <c r="D26" t="s">
        <v>174</v>
      </c>
      <c r="E26" t="s">
        <v>179</v>
      </c>
      <c r="F26">
        <f>IF(AND($F$15=Datos!$AI$5,Datos!$C$9=Datos!$AI$10),IF(A26&gt;30000,N26,ROUND(N26*Datos!$J$18,Dins)),IF(AND($F$15=Datos!$AI$5,Datos!$C$9=Datos!$AI$9),IF(A26&gt;30000,O26,ROUND(O26*Datos!$J$18,Dins)),IF(AND($F$15=Datos!$AI$6,Datos!$C$9=Datos!$AI$10),IF(A26&gt;30000,P26,ROUND(P26*Datos!$J$18,Dins)),IF(AND($F$15=Datos!$AI$6,Datos!$C$9=Datos!$AI$9),IF(A26&gt;30000,Q26,ROUND(Q26*Datos!$J$18,Dins))))))</f>
        <v>30</v>
      </c>
      <c r="G26"/>
      <c r="H26"/>
      <c r="I26"/>
      <c r="J26"/>
      <c r="K26"/>
      <c r="L26"/>
      <c r="M26"/>
      <c r="N26">
        <v>35.4</v>
      </c>
      <c r="O26">
        <f t="shared" si="0"/>
        <v>30</v>
      </c>
      <c r="P26">
        <f t="shared" si="1"/>
        <v>9.44</v>
      </c>
      <c r="Q26">
        <f t="shared" si="2"/>
        <v>8</v>
      </c>
      <c r="R26"/>
      <c r="S26"/>
      <c r="T26"/>
      <c r="U26"/>
      <c r="V26"/>
      <c r="W26"/>
    </row>
    <row r="27" spans="1:23" s="2" customFormat="1" x14ac:dyDescent="0.2">
      <c r="A27">
        <v>30008</v>
      </c>
      <c r="B27">
        <v>30</v>
      </c>
      <c r="C27" t="s">
        <v>6</v>
      </c>
      <c r="D27" t="s">
        <v>175</v>
      </c>
      <c r="E27" t="s">
        <v>179</v>
      </c>
      <c r="F27">
        <f>IF(AND($F$15=Datos!$AI$5,Datos!$C$9=Datos!$AI$10),IF(A27&gt;30000,N27,ROUND(N27*Datos!$J$18,Dins)),IF(AND($F$15=Datos!$AI$5,Datos!$C$9=Datos!$AI$9),IF(A27&gt;30000,O27,ROUND(O27*Datos!$J$18,Dins)),IF(AND($F$15=Datos!$AI$6,Datos!$C$9=Datos!$AI$10),IF(A27&gt;30000,P27,ROUND(P27*Datos!$J$18,Dins)),IF(AND($F$15=Datos!$AI$6,Datos!$C$9=Datos!$AI$9),IF(A27&gt;30000,Q27,ROUND(Q27*Datos!$J$18,Dins))))))</f>
        <v>50</v>
      </c>
      <c r="G27"/>
      <c r="H27"/>
      <c r="I27"/>
      <c r="J27"/>
      <c r="K27"/>
      <c r="L27"/>
      <c r="M27"/>
      <c r="N27">
        <v>59</v>
      </c>
      <c r="O27">
        <f t="shared" si="0"/>
        <v>50</v>
      </c>
      <c r="P27">
        <f t="shared" si="1"/>
        <v>15.73</v>
      </c>
      <c r="Q27">
        <f t="shared" si="2"/>
        <v>13.33</v>
      </c>
      <c r="R27"/>
      <c r="S27"/>
      <c r="T27"/>
      <c r="U27"/>
      <c r="V27"/>
      <c r="W27"/>
    </row>
    <row r="28" spans="1:23" s="2" customFormat="1" x14ac:dyDescent="0.2">
      <c r="A28">
        <v>80001</v>
      </c>
      <c r="B28">
        <v>39</v>
      </c>
      <c r="C28" t="s">
        <v>89</v>
      </c>
      <c r="D28" t="s">
        <v>181</v>
      </c>
      <c r="E28" t="s">
        <v>167</v>
      </c>
      <c r="F28">
        <f>IF(AND($F$15=Datos!$AI$5,Datos!$C$9=Datos!$AI$10),IF(A28&gt;30000,N28,ROUND(N28*Datos!$J$18,Dins)),IF(AND($F$15=Datos!$AI$5,Datos!$C$9=Datos!$AI$9),IF(A28&gt;30000,O28,ROUND(O28*Datos!$J$18,Dins)),IF(AND($F$15=Datos!$AI$6,Datos!$C$9=Datos!$AI$10),IF(A28&gt;30000,P28,ROUND(P28*Datos!$J$18,Dins)),IF(AND($F$15=Datos!$AI$6,Datos!$C$9=Datos!$AI$9),IF(A28&gt;30000,Q28,ROUND(Q28*Datos!$J$18,Dins))))))</f>
        <v>500</v>
      </c>
      <c r="G28"/>
      <c r="H28"/>
      <c r="I28"/>
      <c r="J28"/>
      <c r="K28"/>
      <c r="L28"/>
      <c r="M28"/>
      <c r="N28">
        <v>590</v>
      </c>
      <c r="O28">
        <f t="shared" si="0"/>
        <v>500</v>
      </c>
      <c r="P28">
        <f t="shared" si="1"/>
        <v>157.33000000000001</v>
      </c>
      <c r="Q28">
        <f t="shared" si="2"/>
        <v>133.33000000000001</v>
      </c>
      <c r="R28"/>
      <c r="S28"/>
      <c r="T28"/>
      <c r="U28"/>
      <c r="V28"/>
      <c r="W28"/>
    </row>
    <row r="29" spans="1:23" s="2" customFormat="1" x14ac:dyDescent="0.2">
      <c r="A29">
        <v>10003</v>
      </c>
      <c r="B29">
        <v>47</v>
      </c>
      <c r="C29" t="s">
        <v>118</v>
      </c>
      <c r="D29" t="s">
        <v>34</v>
      </c>
      <c r="E29" t="s">
        <v>31</v>
      </c>
      <c r="F29">
        <f>IF(AND($F$15=Datos!$AI$5,Datos!$C$9=Datos!$AI$10),IF(A29&gt;30000,N29,ROUND(N29*Datos!$J$18,Dins)),IF(AND($F$15=Datos!$AI$5,Datos!$C$9=Datos!$AI$9),IF(A29&gt;30000,O29,ROUND(O29*Datos!$J$18,Dins)),IF(AND($F$15=Datos!$AI$6,Datos!$C$9=Datos!$AI$10),IF(A29&gt;30000,P29,ROUND(P29*Datos!$J$18,Dins)),IF(AND($F$15=Datos!$AI$6,Datos!$C$9=Datos!$AI$9),IF(A29&gt;30000,Q29,ROUND(Q29*Datos!$J$18,Dins))))))</f>
        <v>14.12</v>
      </c>
      <c r="G29"/>
      <c r="H29"/>
      <c r="I29"/>
      <c r="J29"/>
      <c r="K29"/>
      <c r="L29"/>
      <c r="M29"/>
      <c r="N29">
        <v>14.12</v>
      </c>
      <c r="O29">
        <f t="shared" si="0"/>
        <v>14.12</v>
      </c>
      <c r="P29">
        <f t="shared" si="1"/>
        <v>3.77</v>
      </c>
      <c r="Q29">
        <f t="shared" si="2"/>
        <v>3.77</v>
      </c>
      <c r="R29"/>
      <c r="S29"/>
      <c r="T29"/>
      <c r="U29"/>
      <c r="V29"/>
      <c r="W29"/>
    </row>
    <row r="30" spans="1:23" s="2" customFormat="1" x14ac:dyDescent="0.2">
      <c r="A30">
        <v>10004</v>
      </c>
      <c r="B30">
        <v>47</v>
      </c>
      <c r="C30" t="s">
        <v>118</v>
      </c>
      <c r="D30" t="s">
        <v>30</v>
      </c>
      <c r="E30" t="s">
        <v>31</v>
      </c>
      <c r="F30">
        <f>IF(AND($F$15=Datos!$AI$5,Datos!$C$9=Datos!$AI$10),IF(A30&gt;30000,N30,ROUND(N30*Datos!$J$18,Dins)),IF(AND($F$15=Datos!$AI$5,Datos!$C$9=Datos!$AI$9),IF(A30&gt;30000,O30,ROUND(O30*Datos!$J$18,Dins)),IF(AND($F$15=Datos!$AI$6,Datos!$C$9=Datos!$AI$10),IF(A30&gt;30000,P30,ROUND(P30*Datos!$J$18,Dins)),IF(AND($F$15=Datos!$AI$6,Datos!$C$9=Datos!$AI$9),IF(A30&gt;30000,Q30,ROUND(Q30*Datos!$J$18,Dins))))))</f>
        <v>17.59</v>
      </c>
      <c r="G30"/>
      <c r="H30"/>
      <c r="I30"/>
      <c r="J30"/>
      <c r="K30"/>
      <c r="L30"/>
      <c r="M30"/>
      <c r="N30">
        <v>17.59</v>
      </c>
      <c r="O30">
        <f t="shared" si="0"/>
        <v>17.59</v>
      </c>
      <c r="P30">
        <f t="shared" si="1"/>
        <v>4.6900000000000004</v>
      </c>
      <c r="Q30">
        <f t="shared" si="2"/>
        <v>4.6900000000000004</v>
      </c>
      <c r="R30"/>
      <c r="S30"/>
      <c r="T30"/>
      <c r="U30"/>
      <c r="V30"/>
      <c r="W30"/>
    </row>
    <row r="31" spans="1:23" s="2" customFormat="1" x14ac:dyDescent="0.2">
      <c r="A31">
        <v>30009</v>
      </c>
      <c r="B31">
        <v>2</v>
      </c>
      <c r="C31" t="s">
        <v>6</v>
      </c>
      <c r="D31" t="s">
        <v>185</v>
      </c>
      <c r="E31" t="s">
        <v>169</v>
      </c>
      <c r="F31">
        <f>IF(AND($F$15=Datos!$AI$5,Datos!$C$9=Datos!$AI$10),IF(A31&gt;30000,N31,ROUND(N31*Datos!$J$18,Dins)),IF(AND($F$15=Datos!$AI$5,Datos!$C$9=Datos!$AI$9),IF(A31&gt;30000,O31,ROUND(O31*Datos!$J$18,Dins)),IF(AND($F$15=Datos!$AI$6,Datos!$C$9=Datos!$AI$10),IF(A31&gt;30000,P31,ROUND(P31*Datos!$J$18,Dins)),IF(AND($F$15=Datos!$AI$6,Datos!$C$9=Datos!$AI$9),IF(A31&gt;30000,Q31,ROUND(Q31*Datos!$J$18,Dins))))))</f>
        <v>4.5</v>
      </c>
      <c r="G31"/>
      <c r="H31"/>
      <c r="I31"/>
      <c r="J31"/>
      <c r="K31"/>
      <c r="L31"/>
      <c r="M31"/>
      <c r="N31">
        <v>5.31</v>
      </c>
      <c r="O31">
        <f t="shared" si="0"/>
        <v>4.5</v>
      </c>
      <c r="P31">
        <f t="shared" si="1"/>
        <v>1.42</v>
      </c>
      <c r="Q31">
        <f t="shared" si="2"/>
        <v>1.2</v>
      </c>
      <c r="R31"/>
      <c r="S31"/>
      <c r="T31"/>
      <c r="U31"/>
      <c r="V31"/>
      <c r="W31"/>
    </row>
    <row r="32" spans="1:23" s="2" customFormat="1" x14ac:dyDescent="0.2">
      <c r="A32">
        <v>30010</v>
      </c>
      <c r="B32">
        <v>43</v>
      </c>
      <c r="C32" t="s">
        <v>6</v>
      </c>
      <c r="D32" t="s">
        <v>186</v>
      </c>
      <c r="E32" t="s">
        <v>187</v>
      </c>
      <c r="F32">
        <f>IF(AND($F$15=Datos!$AI$5,Datos!$C$9=Datos!$AI$10),IF(A32&gt;30000,N32,ROUND(N32*Datos!$J$18,Dins)),IF(AND($F$15=Datos!$AI$5,Datos!$C$9=Datos!$AI$9),IF(A32&gt;30000,O32,ROUND(O32*Datos!$J$18,Dins)),IF(AND($F$15=Datos!$AI$6,Datos!$C$9=Datos!$AI$10),IF(A32&gt;30000,P32,ROUND(P32*Datos!$J$18,Dins)),IF(AND($F$15=Datos!$AI$6,Datos!$C$9=Datos!$AI$9),IF(A32&gt;30000,Q32,ROUND(Q32*Datos!$J$18,Dins))))))</f>
        <v>7.5</v>
      </c>
      <c r="G32"/>
      <c r="H32"/>
      <c r="I32"/>
      <c r="J32"/>
      <c r="K32"/>
      <c r="L32"/>
      <c r="M32"/>
      <c r="N32">
        <v>8.85</v>
      </c>
      <c r="O32">
        <f t="shared" si="0"/>
        <v>7.5</v>
      </c>
      <c r="P32">
        <f t="shared" si="1"/>
        <v>2.36</v>
      </c>
      <c r="Q32">
        <f t="shared" si="2"/>
        <v>2</v>
      </c>
      <c r="R32"/>
      <c r="S32"/>
      <c r="T32"/>
      <c r="U32"/>
      <c r="V32"/>
      <c r="W32"/>
    </row>
    <row r="33" spans="1:23" s="2" customFormat="1" x14ac:dyDescent="0.2">
      <c r="A33">
        <v>30011</v>
      </c>
      <c r="B33">
        <v>45</v>
      </c>
      <c r="C33" t="s">
        <v>6</v>
      </c>
      <c r="D33" t="s">
        <v>188</v>
      </c>
      <c r="E33" t="s">
        <v>189</v>
      </c>
      <c r="F33">
        <f>IF(AND($F$15=Datos!$AI$5,Datos!$C$9=Datos!$AI$10),IF(A33&gt;30000,N33,ROUND(N33*Datos!$J$18,Dins)),IF(AND($F$15=Datos!$AI$5,Datos!$C$9=Datos!$AI$9),IF(A33&gt;30000,O33,ROUND(O33*Datos!$J$18,Dins)),IF(AND($F$15=Datos!$AI$6,Datos!$C$9=Datos!$AI$10),IF(A33&gt;30000,P33,ROUND(P33*Datos!$J$18,Dins)),IF(AND($F$15=Datos!$AI$6,Datos!$C$9=Datos!$AI$9),IF(A33&gt;30000,Q33,ROUND(Q33*Datos!$J$18,Dins))))))</f>
        <v>18</v>
      </c>
      <c r="G33"/>
      <c r="H33"/>
      <c r="I33"/>
      <c r="J33"/>
      <c r="K33"/>
      <c r="L33"/>
      <c r="M33"/>
      <c r="N33">
        <v>21.24</v>
      </c>
      <c r="O33">
        <f t="shared" si="0"/>
        <v>18</v>
      </c>
      <c r="P33">
        <f t="shared" si="1"/>
        <v>5.66</v>
      </c>
      <c r="Q33">
        <f t="shared" si="2"/>
        <v>4.8</v>
      </c>
      <c r="R33"/>
      <c r="S33"/>
      <c r="T33"/>
      <c r="U33"/>
      <c r="V33"/>
      <c r="W33"/>
    </row>
    <row r="34" spans="1:23" s="2" customFormat="1" x14ac:dyDescent="0.2">
      <c r="A34">
        <v>70001</v>
      </c>
      <c r="B34">
        <v>37</v>
      </c>
      <c r="C34" t="s">
        <v>81</v>
      </c>
      <c r="D34" t="s">
        <v>29</v>
      </c>
      <c r="E34" t="s">
        <v>28</v>
      </c>
      <c r="F34">
        <f>IF(AND($F$15=Datos!$AI$5,Datos!$C$9=Datos!$AI$10),IF(A34&gt;30000,N34,ROUND(N34*Datos!$J$18,Dins)),IF(AND($F$15=Datos!$AI$5,Datos!$C$9=Datos!$AI$9),IF(A34&gt;30000,O34,ROUND(O34*Datos!$J$18,Dins)),IF(AND($F$15=Datos!$AI$6,Datos!$C$9=Datos!$AI$10),IF(A34&gt;30000,P34,ROUND(P34*Datos!$J$18,Dins)),IF(AND($F$15=Datos!$AI$6,Datos!$C$9=Datos!$AI$9),IF(A34&gt;30000,Q34,ROUND(Q34*Datos!$J$18,Dins))))))</f>
        <v>2038.69</v>
      </c>
      <c r="G34"/>
      <c r="H34"/>
      <c r="I34"/>
      <c r="J34"/>
      <c r="K34"/>
      <c r="L34"/>
      <c r="M34"/>
      <c r="N34">
        <v>2405.65</v>
      </c>
      <c r="O34">
        <f t="shared" si="0"/>
        <v>2038.69</v>
      </c>
      <c r="P34">
        <f t="shared" si="1"/>
        <v>641.51</v>
      </c>
      <c r="Q34">
        <f t="shared" si="2"/>
        <v>543.65</v>
      </c>
      <c r="R34"/>
      <c r="S34"/>
      <c r="T34"/>
      <c r="U34"/>
      <c r="V34"/>
      <c r="W34"/>
    </row>
    <row r="35" spans="1:23" s="2" customFormat="1" x14ac:dyDescent="0.2">
      <c r="A35">
        <v>30012</v>
      </c>
      <c r="B35">
        <v>37</v>
      </c>
      <c r="C35" t="s">
        <v>6</v>
      </c>
      <c r="D35" t="s">
        <v>194</v>
      </c>
      <c r="E35" t="s">
        <v>167</v>
      </c>
      <c r="F35">
        <f>IF(AND($F$15=Datos!$AI$5,Datos!$C$9=Datos!$AI$10),IF(A35&gt;30000,N35,ROUND(N35*Datos!$J$18,Dins)),IF(AND($F$15=Datos!$AI$5,Datos!$C$9=Datos!$AI$9),IF(A35&gt;30000,O35,ROUND(O35*Datos!$J$18,Dins)),IF(AND($F$15=Datos!$AI$6,Datos!$C$9=Datos!$AI$10),IF(A35&gt;30000,P35,ROUND(P35*Datos!$J$18,Dins)),IF(AND($F$15=Datos!$AI$6,Datos!$C$9=Datos!$AI$9),IF(A35&gt;30000,Q35,ROUND(Q35*Datos!$J$18,Dins))))))</f>
        <v>18.5</v>
      </c>
      <c r="G35"/>
      <c r="H35"/>
      <c r="I35"/>
      <c r="J35"/>
      <c r="K35"/>
      <c r="L35"/>
      <c r="M35"/>
      <c r="N35">
        <v>21.83</v>
      </c>
      <c r="O35">
        <f t="shared" si="0"/>
        <v>18.5</v>
      </c>
      <c r="P35">
        <f t="shared" si="1"/>
        <v>5.82</v>
      </c>
      <c r="Q35">
        <f t="shared" si="2"/>
        <v>4.93</v>
      </c>
      <c r="R35"/>
      <c r="S35"/>
      <c r="T35"/>
      <c r="U35"/>
      <c r="V35"/>
      <c r="W35"/>
    </row>
    <row r="36" spans="1:23" s="2" customFormat="1" x14ac:dyDescent="0.2">
      <c r="A36">
        <v>30013</v>
      </c>
      <c r="B36">
        <v>39</v>
      </c>
      <c r="C36" t="s">
        <v>6</v>
      </c>
      <c r="D36" t="s">
        <v>195</v>
      </c>
      <c r="E36" t="s">
        <v>196</v>
      </c>
      <c r="F36">
        <f>IF(AND($F$15=Datos!$AI$5,Datos!$C$9=Datos!$AI$10),IF(A36&gt;30000,N36,ROUND(N36*Datos!$J$18,Dins)),IF(AND($F$15=Datos!$AI$5,Datos!$C$9=Datos!$AI$9),IF(A36&gt;30000,O36,ROUND(O36*Datos!$J$18,Dins)),IF(AND($F$15=Datos!$AI$6,Datos!$C$9=Datos!$AI$10),IF(A36&gt;30000,P36,ROUND(P36*Datos!$J$18,Dins)),IF(AND($F$15=Datos!$AI$6,Datos!$C$9=Datos!$AI$9),IF(A36&gt;30000,Q36,ROUND(Q36*Datos!$J$18,Dins))))))</f>
        <v>48.5</v>
      </c>
      <c r="G36"/>
      <c r="H36"/>
      <c r="I36"/>
      <c r="J36"/>
      <c r="K36"/>
      <c r="L36"/>
      <c r="M36"/>
      <c r="N36">
        <v>57.23</v>
      </c>
      <c r="O36">
        <f t="shared" si="0"/>
        <v>48.5</v>
      </c>
      <c r="P36">
        <f t="shared" si="1"/>
        <v>15.26</v>
      </c>
      <c r="Q36">
        <f t="shared" si="2"/>
        <v>12.93</v>
      </c>
      <c r="R36"/>
      <c r="S36"/>
      <c r="T36"/>
      <c r="U36"/>
      <c r="V36"/>
      <c r="W36"/>
    </row>
    <row r="37" spans="1:23" s="2" customFormat="1" x14ac:dyDescent="0.2">
      <c r="A37">
        <v>30014</v>
      </c>
      <c r="B37">
        <v>39</v>
      </c>
      <c r="C37" t="s">
        <v>6</v>
      </c>
      <c r="D37" t="s">
        <v>197</v>
      </c>
      <c r="E37" t="s">
        <v>167</v>
      </c>
      <c r="F37">
        <f>IF(AND($F$15=Datos!$AI$5,Datos!$C$9=Datos!$AI$10),IF(A37&gt;30000,N37,ROUND(N37*Datos!$J$18,Dins)),IF(AND($F$15=Datos!$AI$5,Datos!$C$9=Datos!$AI$9),IF(A37&gt;30000,O37,ROUND(O37*Datos!$J$18,Dins)),IF(AND($F$15=Datos!$AI$6,Datos!$C$9=Datos!$AI$10),IF(A37&gt;30000,P37,ROUND(P37*Datos!$J$18,Dins)),IF(AND($F$15=Datos!$AI$6,Datos!$C$9=Datos!$AI$9),IF(A37&gt;30000,Q37,ROUND(Q37*Datos!$J$18,Dins))))))</f>
        <v>12</v>
      </c>
      <c r="G37"/>
      <c r="H37"/>
      <c r="I37"/>
      <c r="J37"/>
      <c r="K37"/>
      <c r="L37"/>
      <c r="M37"/>
      <c r="N37">
        <v>14.16</v>
      </c>
      <c r="O37">
        <f t="shared" si="0"/>
        <v>12</v>
      </c>
      <c r="P37">
        <f t="shared" si="1"/>
        <v>3.78</v>
      </c>
      <c r="Q37">
        <f t="shared" si="2"/>
        <v>3.2</v>
      </c>
      <c r="R37"/>
      <c r="S37"/>
      <c r="T37"/>
      <c r="U37"/>
      <c r="V37"/>
      <c r="W37"/>
    </row>
    <row r="38" spans="1:23" s="2" customFormat="1" x14ac:dyDescent="0.2">
      <c r="A38">
        <v>30015</v>
      </c>
      <c r="B38">
        <v>39</v>
      </c>
      <c r="C38" t="s">
        <v>6</v>
      </c>
      <c r="D38" t="s">
        <v>198</v>
      </c>
      <c r="E38" t="s">
        <v>196</v>
      </c>
      <c r="F38">
        <f>IF(AND($F$15=Datos!$AI$5,Datos!$C$9=Datos!$AI$10),IF(A38&gt;30000,N38,ROUND(N38*Datos!$J$18,Dins)),IF(AND($F$15=Datos!$AI$5,Datos!$C$9=Datos!$AI$9),IF(A38&gt;30000,O38,ROUND(O38*Datos!$J$18,Dins)),IF(AND($F$15=Datos!$AI$6,Datos!$C$9=Datos!$AI$10),IF(A38&gt;30000,P38,ROUND(P38*Datos!$J$18,Dins)),IF(AND($F$15=Datos!$AI$6,Datos!$C$9=Datos!$AI$9),IF(A38&gt;30000,Q38,ROUND(Q38*Datos!$J$18,Dins))))))</f>
        <v>12.5</v>
      </c>
      <c r="G38"/>
      <c r="H38"/>
      <c r="I38"/>
      <c r="J38"/>
      <c r="K38"/>
      <c r="L38"/>
      <c r="M38"/>
      <c r="N38">
        <v>14.75</v>
      </c>
      <c r="O38">
        <f t="shared" si="0"/>
        <v>12.5</v>
      </c>
      <c r="P38">
        <f t="shared" si="1"/>
        <v>3.93</v>
      </c>
      <c r="Q38">
        <f t="shared" si="2"/>
        <v>3.33</v>
      </c>
      <c r="R38"/>
      <c r="S38"/>
      <c r="T38"/>
      <c r="U38"/>
      <c r="V38"/>
      <c r="W38"/>
    </row>
    <row r="39" spans="1:23" s="2" customFormat="1" x14ac:dyDescent="0.2">
      <c r="A39" s="2">
        <v>30016</v>
      </c>
      <c r="B39" s="2">
        <v>39</v>
      </c>
      <c r="C39" s="2" t="s">
        <v>6</v>
      </c>
      <c r="D39" s="2" t="s">
        <v>199</v>
      </c>
      <c r="E39" s="42" t="s">
        <v>196</v>
      </c>
      <c r="F39">
        <f>IF(AND($F$15=Datos!$AI$5,Datos!$C$9=Datos!$AI$10),IF(A39&gt;30000,N39,ROUND(N39*Datos!$J$18,Dins)),IF(AND($F$15=Datos!$AI$5,Datos!$C$9=Datos!$AI$9),IF(A39&gt;30000,O39,ROUND(O39*Datos!$J$18,Dins)),IF(AND($F$15=Datos!$AI$6,Datos!$C$9=Datos!$AI$10),IF(A39&gt;30000,P39,ROUND(P39*Datos!$J$18,Dins)),IF(AND($F$15=Datos!$AI$6,Datos!$C$9=Datos!$AI$9),IF(A39&gt;30000,Q39,ROUND(Q39*Datos!$J$18,Dins))))))</f>
        <v>11.45</v>
      </c>
      <c r="L39" s="41"/>
      <c r="N39" s="2">
        <v>13.51</v>
      </c>
      <c r="O39">
        <f t="shared" si="0"/>
        <v>11.45</v>
      </c>
      <c r="P39">
        <f t="shared" si="1"/>
        <v>3.6</v>
      </c>
      <c r="Q39">
        <f t="shared" si="2"/>
        <v>3.05</v>
      </c>
    </row>
    <row r="40" spans="1:23" s="2" customFormat="1" x14ac:dyDescent="0.2">
      <c r="A40" s="2">
        <v>30017</v>
      </c>
      <c r="B40" s="2">
        <v>39</v>
      </c>
      <c r="C40" s="2" t="s">
        <v>6</v>
      </c>
      <c r="D40" s="2" t="s">
        <v>200</v>
      </c>
      <c r="E40" s="42" t="s">
        <v>196</v>
      </c>
      <c r="F40">
        <f>IF(AND($F$15=Datos!$AI$5,Datos!$C$9=Datos!$AI$10),IF(A40&gt;30000,N40,ROUND(N40*Datos!$J$18,Dins)),IF(AND($F$15=Datos!$AI$5,Datos!$C$9=Datos!$AI$9),IF(A40&gt;30000,O40,ROUND(O40*Datos!$J$18,Dins)),IF(AND($F$15=Datos!$AI$6,Datos!$C$9=Datos!$AI$10),IF(A40&gt;30000,P40,ROUND(P40*Datos!$J$18,Dins)),IF(AND($F$15=Datos!$AI$6,Datos!$C$9=Datos!$AI$9),IF(A40&gt;30000,Q40,ROUND(Q40*Datos!$J$18,Dins))))))</f>
        <v>29.5</v>
      </c>
      <c r="L40" s="41"/>
      <c r="N40" s="2">
        <v>34.81</v>
      </c>
      <c r="O40">
        <f t="shared" si="0"/>
        <v>29.5</v>
      </c>
      <c r="P40">
        <f t="shared" si="1"/>
        <v>9.2799999999999994</v>
      </c>
      <c r="Q40">
        <f t="shared" si="2"/>
        <v>7.86</v>
      </c>
    </row>
    <row r="41" spans="1:23" s="2" customFormat="1" x14ac:dyDescent="0.2">
      <c r="A41" s="2">
        <v>30018</v>
      </c>
      <c r="B41" s="2">
        <v>30</v>
      </c>
      <c r="C41" s="2" t="s">
        <v>6</v>
      </c>
      <c r="D41" s="2" t="s">
        <v>203</v>
      </c>
      <c r="E41" s="42" t="s">
        <v>160</v>
      </c>
      <c r="F41">
        <f>IF(AND($F$15=Datos!$AI$5,Datos!$C$9=Datos!$AI$10),IF(A41&gt;30000,N41,ROUND(N41*Datos!$J$18,Dins)),IF(AND($F$15=Datos!$AI$5,Datos!$C$9=Datos!$AI$9),IF(A41&gt;30000,O41,ROUND(O41*Datos!$J$18,Dins)),IF(AND($F$15=Datos!$AI$6,Datos!$C$9=Datos!$AI$10),IF(A41&gt;30000,P41,ROUND(P41*Datos!$J$18,Dins)),IF(AND($F$15=Datos!$AI$6,Datos!$C$9=Datos!$AI$9),IF(A41&gt;30000,Q41,ROUND(Q41*Datos!$J$18,Dins))))))</f>
        <v>11.45</v>
      </c>
      <c r="L41" s="41"/>
      <c r="N41" s="2">
        <v>13.51</v>
      </c>
      <c r="O41">
        <f t="shared" si="0"/>
        <v>11.45</v>
      </c>
      <c r="P41">
        <f t="shared" si="1"/>
        <v>3.6</v>
      </c>
      <c r="Q41">
        <f t="shared" si="2"/>
        <v>3.05</v>
      </c>
    </row>
    <row r="42" spans="1:23" s="2" customFormat="1" x14ac:dyDescent="0.2">
      <c r="A42" s="2">
        <v>30019</v>
      </c>
      <c r="B42" s="2">
        <v>2</v>
      </c>
      <c r="C42" s="2" t="s">
        <v>6</v>
      </c>
      <c r="D42" s="2" t="s">
        <v>204</v>
      </c>
      <c r="E42" s="42" t="s">
        <v>205</v>
      </c>
      <c r="F42">
        <f>IF(AND($F$15=Datos!$AI$5,Datos!$C$9=Datos!$AI$10),IF(A42&gt;30000,N42,ROUND(N42*Datos!$J$18,Dins)),IF(AND($F$15=Datos!$AI$5,Datos!$C$9=Datos!$AI$9),IF(A42&gt;30000,O42,ROUND(O42*Datos!$J$18,Dins)),IF(AND($F$15=Datos!$AI$6,Datos!$C$9=Datos!$AI$10),IF(A42&gt;30000,P42,ROUND(P42*Datos!$J$18,Dins)),IF(AND($F$15=Datos!$AI$6,Datos!$C$9=Datos!$AI$9),IF(A42&gt;30000,Q42,ROUND(Q42*Datos!$J$18,Dins))))))</f>
        <v>2.5</v>
      </c>
      <c r="L42" s="41"/>
      <c r="N42" s="2">
        <v>2.95</v>
      </c>
      <c r="O42">
        <f t="shared" si="0"/>
        <v>2.5</v>
      </c>
      <c r="P42">
        <f t="shared" si="1"/>
        <v>0.79</v>
      </c>
      <c r="Q42">
        <f t="shared" si="2"/>
        <v>0.67</v>
      </c>
    </row>
    <row r="43" spans="1:23" s="2" customFormat="1" x14ac:dyDescent="0.2">
      <c r="A43" s="2">
        <v>30020</v>
      </c>
      <c r="B43" s="2">
        <v>39</v>
      </c>
      <c r="C43" s="2" t="s">
        <v>6</v>
      </c>
      <c r="D43" s="2" t="s">
        <v>206</v>
      </c>
      <c r="E43" s="42" t="s">
        <v>167</v>
      </c>
      <c r="F43">
        <f>IF(AND($F$15=Datos!$AI$5,Datos!$C$9=Datos!$AI$10),IF(A43&gt;30000,N43,ROUND(N43*Datos!$J$18,Dins)),IF(AND($F$15=Datos!$AI$5,Datos!$C$9=Datos!$AI$9),IF(A43&gt;30000,O43,ROUND(O43*Datos!$J$18,Dins)),IF(AND($F$15=Datos!$AI$6,Datos!$C$9=Datos!$AI$10),IF(A43&gt;30000,P43,ROUND(P43*Datos!$J$18,Dins)),IF(AND($F$15=Datos!$AI$6,Datos!$C$9=Datos!$AI$9),IF(A43&gt;30000,Q43,ROUND(Q43*Datos!$J$18,Dins))))))</f>
        <v>15.5</v>
      </c>
      <c r="L43" s="41"/>
      <c r="N43" s="2">
        <v>18.29</v>
      </c>
      <c r="O43">
        <f t="shared" si="0"/>
        <v>15.5</v>
      </c>
      <c r="P43">
        <f t="shared" si="1"/>
        <v>4.88</v>
      </c>
      <c r="Q43">
        <f t="shared" si="2"/>
        <v>4.1399999999999997</v>
      </c>
    </row>
    <row r="44" spans="1:23" s="2" customFormat="1" x14ac:dyDescent="0.2">
      <c r="A44" s="2">
        <v>30021</v>
      </c>
      <c r="B44" s="2">
        <v>39</v>
      </c>
      <c r="C44" s="2" t="s">
        <v>6</v>
      </c>
      <c r="D44" s="2" t="s">
        <v>210</v>
      </c>
      <c r="E44" s="42" t="s">
        <v>209</v>
      </c>
      <c r="F44">
        <f>IF(AND($F$15=Datos!$AI$5,Datos!$C$9=Datos!$AI$10),IF(A44&gt;30000,N44,ROUND(N44*Datos!$J$18,Dins)),IF(AND($F$15=Datos!$AI$5,Datos!$C$9=Datos!$AI$9),IF(A44&gt;30000,O44,ROUND(O44*Datos!$J$18,Dins)),IF(AND($F$15=Datos!$AI$6,Datos!$C$9=Datos!$AI$10),IF(A44&gt;30000,P44,ROUND(P44*Datos!$J$18,Dins)),IF(AND($F$15=Datos!$AI$6,Datos!$C$9=Datos!$AI$9),IF(A44&gt;30000,Q44,ROUND(Q44*Datos!$J$18,Dins))))))</f>
        <v>350</v>
      </c>
      <c r="L44" s="41"/>
      <c r="N44" s="2">
        <v>413</v>
      </c>
      <c r="O44">
        <f t="shared" si="0"/>
        <v>350</v>
      </c>
      <c r="P44">
        <f t="shared" si="1"/>
        <v>110.13</v>
      </c>
      <c r="Q44">
        <f t="shared" si="2"/>
        <v>93.33</v>
      </c>
    </row>
    <row r="45" spans="1:23" s="2" customFormat="1" x14ac:dyDescent="0.2">
      <c r="A45" s="2">
        <v>60003</v>
      </c>
      <c r="B45" s="2">
        <v>49</v>
      </c>
      <c r="C45" s="2" t="s">
        <v>119</v>
      </c>
      <c r="D45" s="2" t="s">
        <v>215</v>
      </c>
      <c r="E45" s="42" t="s">
        <v>33</v>
      </c>
      <c r="F45">
        <f>IF(AND($F$15=Datos!$AI$5,Datos!$C$9=Datos!$AI$10),IF(A45&gt;30000,N45,ROUND(N45*Datos!$J$18,Dins)),IF(AND($F$15=Datos!$AI$5,Datos!$C$9=Datos!$AI$9),IF(A45&gt;30000,O45,ROUND(O45*Datos!$J$18,Dins)),IF(AND($F$15=Datos!$AI$6,Datos!$C$9=Datos!$AI$10),IF(A45&gt;30000,P45,ROUND(P45*Datos!$J$18,Dins)),IF(AND($F$15=Datos!$AI$6,Datos!$C$9=Datos!$AI$9),IF(A45&gt;30000,Q45,ROUND(Q45*Datos!$J$18,Dins))))))</f>
        <v>9.8000000000000007</v>
      </c>
      <c r="L45" s="41"/>
      <c r="N45" s="2">
        <v>11.56</v>
      </c>
      <c r="O45">
        <f t="shared" si="0"/>
        <v>9.8000000000000007</v>
      </c>
      <c r="P45">
        <f t="shared" si="1"/>
        <v>3.08</v>
      </c>
      <c r="Q45">
        <f t="shared" si="2"/>
        <v>2.61</v>
      </c>
    </row>
    <row r="46" spans="1:23" s="2" customFormat="1" x14ac:dyDescent="0.2">
      <c r="A46" s="2">
        <v>60004</v>
      </c>
      <c r="B46" s="2">
        <v>49</v>
      </c>
      <c r="C46" s="2" t="s">
        <v>119</v>
      </c>
      <c r="D46" s="2" t="s">
        <v>220</v>
      </c>
      <c r="E46" s="42" t="s">
        <v>33</v>
      </c>
      <c r="F46">
        <f>IF(AND($F$15=Datos!$AI$5,Datos!$C$9=Datos!$AI$10),IF(A46&gt;30000,N46,ROUND(N46*Datos!$J$18,Dins)),IF(AND($F$15=Datos!$AI$5,Datos!$C$9=Datos!$AI$9),IF(A46&gt;30000,O46,ROUND(O46*Datos!$J$18,Dins)),IF(AND($F$15=Datos!$AI$6,Datos!$C$9=Datos!$AI$10),IF(A46&gt;30000,P46,ROUND(P46*Datos!$J$18,Dins)),IF(AND($F$15=Datos!$AI$6,Datos!$C$9=Datos!$AI$9),IF(A46&gt;30000,Q46,ROUND(Q46*Datos!$J$18,Dins))))))</f>
        <v>175</v>
      </c>
      <c r="L46" s="41"/>
      <c r="N46" s="2">
        <v>206.5</v>
      </c>
      <c r="O46">
        <f t="shared" si="0"/>
        <v>175</v>
      </c>
      <c r="P46">
        <f t="shared" si="1"/>
        <v>55.07</v>
      </c>
      <c r="Q46">
        <f t="shared" si="2"/>
        <v>46.67</v>
      </c>
    </row>
    <row r="47" spans="1:23" s="2" customFormat="1" x14ac:dyDescent="0.2">
      <c r="A47" s="2">
        <v>60005</v>
      </c>
      <c r="B47" s="2">
        <v>49</v>
      </c>
      <c r="C47" s="2" t="s">
        <v>119</v>
      </c>
      <c r="D47" s="2" t="s">
        <v>225</v>
      </c>
      <c r="E47" s="42" t="s">
        <v>33</v>
      </c>
      <c r="F47">
        <f>IF(AND($F$15=Datos!$AI$5,Datos!$C$9=Datos!$AI$10),IF(A47&gt;30000,N47,ROUND(N47*Datos!$J$18,Dins)),IF(AND($F$15=Datos!$AI$5,Datos!$C$9=Datos!$AI$9),IF(A47&gt;30000,O47,ROUND(O47*Datos!$J$18,Dins)),IF(AND($F$15=Datos!$AI$6,Datos!$C$9=Datos!$AI$10),IF(A47&gt;30000,P47,ROUND(P47*Datos!$J$18,Dins)),IF(AND($F$15=Datos!$AI$6,Datos!$C$9=Datos!$AI$9),IF(A47&gt;30000,Q47,ROUND(Q47*Datos!$J$18,Dins))))))</f>
        <v>80</v>
      </c>
      <c r="L47" s="41"/>
      <c r="N47" s="2">
        <v>94.4</v>
      </c>
      <c r="O47">
        <f t="shared" si="0"/>
        <v>80</v>
      </c>
      <c r="P47">
        <f t="shared" si="1"/>
        <v>25.17</v>
      </c>
      <c r="Q47">
        <f t="shared" si="2"/>
        <v>21.33</v>
      </c>
    </row>
    <row r="48" spans="1:23" s="2" customFormat="1" x14ac:dyDescent="0.2">
      <c r="A48" s="2">
        <v>60006</v>
      </c>
      <c r="B48" s="2">
        <v>49</v>
      </c>
      <c r="C48" s="2" t="s">
        <v>119</v>
      </c>
      <c r="D48" s="2" t="s">
        <v>226</v>
      </c>
      <c r="E48" s="42" t="s">
        <v>33</v>
      </c>
      <c r="F48">
        <f>IF(AND($F$15=Datos!$AI$5,Datos!$C$9=Datos!$AI$10),IF(A48&gt;30000,N48,ROUND(N48*Datos!$J$18,Dins)),IF(AND($F$15=Datos!$AI$5,Datos!$C$9=Datos!$AI$9),IF(A48&gt;30000,O48,ROUND(O48*Datos!$J$18,Dins)),IF(AND($F$15=Datos!$AI$6,Datos!$C$9=Datos!$AI$10),IF(A48&gt;30000,P48,ROUND(P48*Datos!$J$18,Dins)),IF(AND($F$15=Datos!$AI$6,Datos!$C$9=Datos!$AI$9),IF(A48&gt;30000,Q48,ROUND(Q48*Datos!$J$18,Dins))))))</f>
        <v>120</v>
      </c>
      <c r="L48" s="41"/>
      <c r="N48" s="2">
        <v>141.6</v>
      </c>
      <c r="O48">
        <f t="shared" ref="O48:O79" si="3">IF(A48&gt;30000,ROUND(N48/$O$14,Dins),ROUND(N48,Dins))</f>
        <v>120</v>
      </c>
      <c r="P48">
        <f t="shared" ref="P48:P79" si="4">ROUND(N48/$P$14,Dins)</f>
        <v>37.76</v>
      </c>
      <c r="Q48">
        <f t="shared" ref="Q48:Q79" si="5">IF(A48&gt;30000,ROUND(P48/$Q$14,Dins),ROUND(P48,Dins))</f>
        <v>32</v>
      </c>
    </row>
    <row r="49" spans="1:17" s="2" customFormat="1" x14ac:dyDescent="0.2">
      <c r="A49" s="2">
        <v>30022</v>
      </c>
      <c r="B49" s="2">
        <v>39</v>
      </c>
      <c r="C49" s="2" t="s">
        <v>6</v>
      </c>
      <c r="D49" s="2" t="s">
        <v>231</v>
      </c>
      <c r="E49" s="42" t="s">
        <v>165</v>
      </c>
      <c r="F49">
        <f>IF(AND($F$15=Datos!$AI$5,Datos!$C$9=Datos!$AI$10),IF(A49&gt;30000,N49,ROUND(N49*Datos!$J$18,Dins)),IF(AND($F$15=Datos!$AI$5,Datos!$C$9=Datos!$AI$9),IF(A49&gt;30000,O49,ROUND(O49*Datos!$J$18,Dins)),IF(AND($F$15=Datos!$AI$6,Datos!$C$9=Datos!$AI$10),IF(A49&gt;30000,P49,ROUND(P49*Datos!$J$18,Dins)),IF(AND($F$15=Datos!$AI$6,Datos!$C$9=Datos!$AI$9),IF(A49&gt;30000,Q49,ROUND(Q49*Datos!$J$18,Dins))))))</f>
        <v>3.5</v>
      </c>
      <c r="L49" s="41"/>
      <c r="N49" s="2">
        <v>4.13</v>
      </c>
      <c r="O49">
        <f t="shared" si="3"/>
        <v>3.5</v>
      </c>
      <c r="P49">
        <f t="shared" si="4"/>
        <v>1.1000000000000001</v>
      </c>
      <c r="Q49">
        <f t="shared" si="5"/>
        <v>0.93</v>
      </c>
    </row>
    <row r="50" spans="1:17" s="2" customFormat="1" x14ac:dyDescent="0.2">
      <c r="A50" s="2">
        <v>60007</v>
      </c>
      <c r="B50" s="2">
        <v>49</v>
      </c>
      <c r="C50" s="2" t="s">
        <v>119</v>
      </c>
      <c r="D50" s="2" t="s">
        <v>232</v>
      </c>
      <c r="E50" s="42" t="s">
        <v>33</v>
      </c>
      <c r="F50">
        <f>IF(AND($F$15=Datos!$AI$5,Datos!$C$9=Datos!$AI$10),IF(A50&gt;30000,N50,ROUND(N50*Datos!$J$18,Dins)),IF(AND($F$15=Datos!$AI$5,Datos!$C$9=Datos!$AI$9),IF(A50&gt;30000,O50,ROUND(O50*Datos!$J$18,Dins)),IF(AND($F$15=Datos!$AI$6,Datos!$C$9=Datos!$AI$10),IF(A50&gt;30000,P50,ROUND(P50*Datos!$J$18,Dins)),IF(AND($F$15=Datos!$AI$6,Datos!$C$9=Datos!$AI$9),IF(A50&gt;30000,Q50,ROUND(Q50*Datos!$J$18,Dins))))))</f>
        <v>30</v>
      </c>
      <c r="L50" s="41"/>
      <c r="N50" s="2">
        <v>35.4</v>
      </c>
      <c r="O50">
        <f t="shared" si="3"/>
        <v>30</v>
      </c>
      <c r="P50">
        <f t="shared" si="4"/>
        <v>9.44</v>
      </c>
      <c r="Q50">
        <f t="shared" si="5"/>
        <v>8</v>
      </c>
    </row>
    <row r="51" spans="1:17" s="2" customFormat="1" x14ac:dyDescent="0.2">
      <c r="A51" s="2">
        <v>80002</v>
      </c>
      <c r="B51" s="2">
        <v>32</v>
      </c>
      <c r="C51" s="2" t="s">
        <v>89</v>
      </c>
      <c r="D51" s="2" t="s">
        <v>235</v>
      </c>
      <c r="E51" s="42" t="s">
        <v>165</v>
      </c>
      <c r="F51">
        <f>IF(AND($F$15=Datos!$AI$5,Datos!$C$9=Datos!$AI$10),IF(A51&gt;30000,N51,ROUND(N51*Datos!$J$18,Dins)),IF(AND($F$15=Datos!$AI$5,Datos!$C$9=Datos!$AI$9),IF(A51&gt;30000,O51,ROUND(O51*Datos!$J$18,Dins)),IF(AND($F$15=Datos!$AI$6,Datos!$C$9=Datos!$AI$10),IF(A51&gt;30000,P51,ROUND(P51*Datos!$J$18,Dins)),IF(AND($F$15=Datos!$AI$6,Datos!$C$9=Datos!$AI$9),IF(A51&gt;30000,Q51,ROUND(Q51*Datos!$J$18,Dins))))))</f>
        <v>19.3</v>
      </c>
      <c r="L51" s="41"/>
      <c r="N51" s="2">
        <v>22.77</v>
      </c>
      <c r="O51">
        <f t="shared" si="3"/>
        <v>19.3</v>
      </c>
      <c r="P51">
        <f t="shared" si="4"/>
        <v>6.07</v>
      </c>
      <c r="Q51">
        <f t="shared" si="5"/>
        <v>5.14</v>
      </c>
    </row>
    <row r="52" spans="1:17" s="2" customFormat="1" x14ac:dyDescent="0.2">
      <c r="A52" s="2">
        <v>30023</v>
      </c>
      <c r="B52" s="2">
        <v>43</v>
      </c>
      <c r="C52" s="2" t="s">
        <v>6</v>
      </c>
      <c r="D52" s="2" t="s">
        <v>238</v>
      </c>
      <c r="E52" s="42" t="s">
        <v>187</v>
      </c>
      <c r="F52">
        <f>IF(AND($F$15=Datos!$AI$5,Datos!$C$9=Datos!$AI$10),IF(A52&gt;30000,N52,ROUND(N52*Datos!$J$18,Dins)),IF(AND($F$15=Datos!$AI$5,Datos!$C$9=Datos!$AI$9),IF(A52&gt;30000,O52,ROUND(O52*Datos!$J$18,Dins)),IF(AND($F$15=Datos!$AI$6,Datos!$C$9=Datos!$AI$10),IF(A52&gt;30000,P52,ROUND(P52*Datos!$J$18,Dins)),IF(AND($F$15=Datos!$AI$6,Datos!$C$9=Datos!$AI$9),IF(A52&gt;30000,Q52,ROUND(Q52*Datos!$J$18,Dins))))))</f>
        <v>4.5</v>
      </c>
      <c r="L52" s="41"/>
      <c r="N52" s="2">
        <v>5.31</v>
      </c>
      <c r="O52">
        <f t="shared" si="3"/>
        <v>4.5</v>
      </c>
      <c r="P52">
        <f t="shared" si="4"/>
        <v>1.42</v>
      </c>
      <c r="Q52">
        <f t="shared" si="5"/>
        <v>1.2</v>
      </c>
    </row>
    <row r="53" spans="1:17" s="2" customFormat="1" x14ac:dyDescent="0.2">
      <c r="A53" s="2">
        <v>30024</v>
      </c>
      <c r="B53" s="2">
        <v>34</v>
      </c>
      <c r="C53" s="2" t="s">
        <v>6</v>
      </c>
      <c r="D53" s="2" t="s">
        <v>241</v>
      </c>
      <c r="E53" s="42" t="s">
        <v>171</v>
      </c>
      <c r="F53">
        <f>IF(AND($F$15=Datos!$AI$5,Datos!$C$9=Datos!$AI$10),IF(A53&gt;30000,N53,ROUND(N53*Datos!$J$18,Dins)),IF(AND($F$15=Datos!$AI$5,Datos!$C$9=Datos!$AI$9),IF(A53&gt;30000,O53,ROUND(O53*Datos!$J$18,Dins)),IF(AND($F$15=Datos!$AI$6,Datos!$C$9=Datos!$AI$10),IF(A53&gt;30000,P53,ROUND(P53*Datos!$J$18,Dins)),IF(AND($F$15=Datos!$AI$6,Datos!$C$9=Datos!$AI$9),IF(A53&gt;30000,Q53,ROUND(Q53*Datos!$J$18,Dins))))))</f>
        <v>13.2</v>
      </c>
      <c r="L53" s="41"/>
      <c r="N53" s="2">
        <v>15.58</v>
      </c>
      <c r="O53">
        <f t="shared" si="3"/>
        <v>13.2</v>
      </c>
      <c r="P53">
        <f t="shared" si="4"/>
        <v>4.1500000000000004</v>
      </c>
      <c r="Q53">
        <f t="shared" si="5"/>
        <v>3.52</v>
      </c>
    </row>
    <row r="54" spans="1:17" s="2" customFormat="1" x14ac:dyDescent="0.2">
      <c r="A54" s="2">
        <v>30025</v>
      </c>
      <c r="B54" s="2">
        <v>5</v>
      </c>
      <c r="C54" s="2" t="s">
        <v>6</v>
      </c>
      <c r="D54" s="2" t="s">
        <v>242</v>
      </c>
      <c r="E54" s="42" t="s">
        <v>165</v>
      </c>
      <c r="F54">
        <f>IF(AND($F$15=Datos!$AI$5,Datos!$C$9=Datos!$AI$10),IF(A54&gt;30000,N54,ROUND(N54*Datos!$J$18,Dins)),IF(AND($F$15=Datos!$AI$5,Datos!$C$9=Datos!$AI$9),IF(A54&gt;30000,O54,ROUND(O54*Datos!$J$18,Dins)),IF(AND($F$15=Datos!$AI$6,Datos!$C$9=Datos!$AI$10),IF(A54&gt;30000,P54,ROUND(P54*Datos!$J$18,Dins)),IF(AND($F$15=Datos!$AI$6,Datos!$C$9=Datos!$AI$9),IF(A54&gt;30000,Q54,ROUND(Q54*Datos!$J$18,Dins))))))</f>
        <v>38.94</v>
      </c>
      <c r="L54" s="41"/>
      <c r="N54" s="2">
        <v>45.95</v>
      </c>
      <c r="O54">
        <f t="shared" si="3"/>
        <v>38.94</v>
      </c>
      <c r="P54">
        <f t="shared" si="4"/>
        <v>12.25</v>
      </c>
      <c r="Q54">
        <f t="shared" si="5"/>
        <v>10.38</v>
      </c>
    </row>
    <row r="55" spans="1:17" s="2" customFormat="1" x14ac:dyDescent="0.2">
      <c r="A55" s="2">
        <v>60008</v>
      </c>
      <c r="B55" s="2">
        <v>49</v>
      </c>
      <c r="C55" s="2" t="s">
        <v>119</v>
      </c>
      <c r="D55" s="2" t="s">
        <v>243</v>
      </c>
      <c r="E55" s="42" t="s">
        <v>33</v>
      </c>
      <c r="F55">
        <f>IF(AND($F$15=Datos!$AI$5,Datos!$C$9=Datos!$AI$10),IF(A55&gt;30000,N55,ROUND(N55*Datos!$J$18,Dins)),IF(AND($F$15=Datos!$AI$5,Datos!$C$9=Datos!$AI$9),IF(A55&gt;30000,O55,ROUND(O55*Datos!$J$18,Dins)),IF(AND($F$15=Datos!$AI$6,Datos!$C$9=Datos!$AI$10),IF(A55&gt;30000,P55,ROUND(P55*Datos!$J$18,Dins)),IF(AND($F$15=Datos!$AI$6,Datos!$C$9=Datos!$AI$9),IF(A55&gt;30000,Q55,ROUND(Q55*Datos!$J$18,Dins))))))</f>
        <v>15</v>
      </c>
      <c r="L55" s="41"/>
      <c r="N55" s="2">
        <v>17.7</v>
      </c>
      <c r="O55">
        <f t="shared" si="3"/>
        <v>15</v>
      </c>
      <c r="P55">
        <f t="shared" si="4"/>
        <v>4.72</v>
      </c>
      <c r="Q55">
        <f t="shared" si="5"/>
        <v>4</v>
      </c>
    </row>
    <row r="56" spans="1:17" s="2" customFormat="1" x14ac:dyDescent="0.2">
      <c r="A56" s="2">
        <v>60009</v>
      </c>
      <c r="B56" s="2">
        <v>49</v>
      </c>
      <c r="C56" s="2" t="s">
        <v>119</v>
      </c>
      <c r="D56" s="2" t="s">
        <v>244</v>
      </c>
      <c r="E56" s="42" t="s">
        <v>33</v>
      </c>
      <c r="F56">
        <f>IF(AND($F$15=Datos!$AI$5,Datos!$C$9=Datos!$AI$10),IF(A56&gt;30000,N56,ROUND(N56*Datos!$J$18,Dins)),IF(AND($F$15=Datos!$AI$5,Datos!$C$9=Datos!$AI$9),IF(A56&gt;30000,O56,ROUND(O56*Datos!$J$18,Dins)),IF(AND($F$15=Datos!$AI$6,Datos!$C$9=Datos!$AI$10),IF(A56&gt;30000,P56,ROUND(P56*Datos!$J$18,Dins)),IF(AND($F$15=Datos!$AI$6,Datos!$C$9=Datos!$AI$9),IF(A56&gt;30000,Q56,ROUND(Q56*Datos!$J$18,Dins))))))</f>
        <v>115</v>
      </c>
      <c r="L56" s="41"/>
      <c r="N56" s="2">
        <v>135.69999999999999</v>
      </c>
      <c r="O56">
        <f t="shared" si="3"/>
        <v>115</v>
      </c>
      <c r="P56">
        <f t="shared" si="4"/>
        <v>36.19</v>
      </c>
      <c r="Q56">
        <f t="shared" si="5"/>
        <v>30.67</v>
      </c>
    </row>
    <row r="57" spans="1:17" s="2" customFormat="1" x14ac:dyDescent="0.2">
      <c r="A57" s="2">
        <v>60010</v>
      </c>
      <c r="B57" s="2">
        <v>49</v>
      </c>
      <c r="C57" s="2" t="s">
        <v>119</v>
      </c>
      <c r="D57" s="2" t="s">
        <v>245</v>
      </c>
      <c r="E57" s="42" t="s">
        <v>33</v>
      </c>
      <c r="F57">
        <f>IF(AND($F$15=Datos!$AI$5,Datos!$C$9=Datos!$AI$10),IF(A57&gt;30000,N57,ROUND(N57*Datos!$J$18,Dins)),IF(AND($F$15=Datos!$AI$5,Datos!$C$9=Datos!$AI$9),IF(A57&gt;30000,O57,ROUND(O57*Datos!$J$18,Dins)),IF(AND($F$15=Datos!$AI$6,Datos!$C$9=Datos!$AI$10),IF(A57&gt;30000,P57,ROUND(P57*Datos!$J$18,Dins)),IF(AND($F$15=Datos!$AI$6,Datos!$C$9=Datos!$AI$9),IF(A57&gt;30000,Q57,ROUND(Q57*Datos!$J$18,Dins))))))</f>
        <v>4.37</v>
      </c>
      <c r="L57" s="41"/>
      <c r="N57" s="2">
        <v>5.16</v>
      </c>
      <c r="O57">
        <f t="shared" si="3"/>
        <v>4.37</v>
      </c>
      <c r="P57">
        <f t="shared" si="4"/>
        <v>1.38</v>
      </c>
      <c r="Q57">
        <f t="shared" si="5"/>
        <v>1.17</v>
      </c>
    </row>
    <row r="58" spans="1:17" s="2" customFormat="1" x14ac:dyDescent="0.2">
      <c r="A58" s="2">
        <v>60011</v>
      </c>
      <c r="B58" s="2">
        <v>49</v>
      </c>
      <c r="C58" s="2" t="s">
        <v>119</v>
      </c>
      <c r="D58" s="2" t="s">
        <v>253</v>
      </c>
      <c r="E58" s="42" t="s">
        <v>33</v>
      </c>
      <c r="F58">
        <f>IF(AND($F$15=Datos!$AI$5,Datos!$C$9=Datos!$AI$10),IF(A58&gt;30000,N58,ROUND(N58*Datos!$J$18,Dins)),IF(AND($F$15=Datos!$AI$5,Datos!$C$9=Datos!$AI$9),IF(A58&gt;30000,O58,ROUND(O58*Datos!$J$18,Dins)),IF(AND($F$15=Datos!$AI$6,Datos!$C$9=Datos!$AI$10),IF(A58&gt;30000,P58,ROUND(P58*Datos!$J$18,Dins)),IF(AND($F$15=Datos!$AI$6,Datos!$C$9=Datos!$AI$9),IF(A58&gt;30000,Q58,ROUND(Q58*Datos!$J$18,Dins))))))</f>
        <v>25</v>
      </c>
      <c r="L58" s="41"/>
      <c r="N58" s="2">
        <v>29.5</v>
      </c>
      <c r="O58">
        <f t="shared" si="3"/>
        <v>25</v>
      </c>
      <c r="P58">
        <f t="shared" si="4"/>
        <v>7.87</v>
      </c>
      <c r="Q58">
        <f t="shared" si="5"/>
        <v>6.67</v>
      </c>
    </row>
    <row r="59" spans="1:17" s="2" customFormat="1" x14ac:dyDescent="0.2">
      <c r="A59" s="2">
        <v>10005</v>
      </c>
      <c r="B59" s="2">
        <v>47</v>
      </c>
      <c r="C59" s="2" t="s">
        <v>118</v>
      </c>
      <c r="D59" s="2" t="s">
        <v>43</v>
      </c>
      <c r="E59" s="42" t="s">
        <v>31</v>
      </c>
      <c r="F59">
        <f>IF(AND($F$15=Datos!$AI$5,Datos!$C$9=Datos!$AI$10),IF(A59&gt;30000,N59,ROUND(N59*Datos!$J$18,Dins)),IF(AND($F$15=Datos!$AI$5,Datos!$C$9=Datos!$AI$9),IF(A59&gt;30000,O59,ROUND(O59*Datos!$J$18,Dins)),IF(AND($F$15=Datos!$AI$6,Datos!$C$9=Datos!$AI$10),IF(A59&gt;30000,P59,ROUND(P59*Datos!$J$18,Dins)),IF(AND($F$15=Datos!$AI$6,Datos!$C$9=Datos!$AI$9),IF(A59&gt;30000,Q59,ROUND(Q59*Datos!$J$18,Dins))))))</f>
        <v>17.59</v>
      </c>
      <c r="L59" s="41"/>
      <c r="N59" s="2">
        <v>17.59</v>
      </c>
      <c r="O59">
        <f t="shared" si="3"/>
        <v>17.59</v>
      </c>
      <c r="P59">
        <f t="shared" si="4"/>
        <v>4.6900000000000004</v>
      </c>
      <c r="Q59">
        <f t="shared" si="5"/>
        <v>4.6900000000000004</v>
      </c>
    </row>
    <row r="60" spans="1:17" s="2" customFormat="1" x14ac:dyDescent="0.2">
      <c r="A60" s="2">
        <v>30026</v>
      </c>
      <c r="B60" s="2">
        <v>5</v>
      </c>
      <c r="C60" s="2" t="s">
        <v>6</v>
      </c>
      <c r="D60" s="2" t="s">
        <v>258</v>
      </c>
      <c r="E60" s="42" t="s">
        <v>165</v>
      </c>
      <c r="F60">
        <f>IF(AND($F$15=Datos!$AI$5,Datos!$C$9=Datos!$AI$10),IF(A60&gt;30000,N60,ROUND(N60*Datos!$J$18,Dins)),IF(AND($F$15=Datos!$AI$5,Datos!$C$9=Datos!$AI$9),IF(A60&gt;30000,O60,ROUND(O60*Datos!$J$18,Dins)),IF(AND($F$15=Datos!$AI$6,Datos!$C$9=Datos!$AI$10),IF(A60&gt;30000,P60,ROUND(P60*Datos!$J$18,Dins)),IF(AND($F$15=Datos!$AI$6,Datos!$C$9=Datos!$AI$9),IF(A60&gt;30000,Q60,ROUND(Q60*Datos!$J$18,Dins))))))</f>
        <v>60</v>
      </c>
      <c r="L60" s="41"/>
      <c r="N60" s="2">
        <v>70.8</v>
      </c>
      <c r="O60">
        <f t="shared" si="3"/>
        <v>60</v>
      </c>
      <c r="P60">
        <f t="shared" si="4"/>
        <v>18.88</v>
      </c>
      <c r="Q60">
        <f t="shared" si="5"/>
        <v>16</v>
      </c>
    </row>
    <row r="61" spans="1:17" s="2" customFormat="1" x14ac:dyDescent="0.2">
      <c r="A61" s="2">
        <v>60012</v>
      </c>
      <c r="B61" s="2">
        <v>49</v>
      </c>
      <c r="C61" s="2" t="s">
        <v>119</v>
      </c>
      <c r="D61" s="2" t="s">
        <v>259</v>
      </c>
      <c r="E61" s="42" t="s">
        <v>33</v>
      </c>
      <c r="F61">
        <f>IF(AND($F$15=Datos!$AI$5,Datos!$C$9=Datos!$AI$10),IF(A61&gt;30000,N61,ROUND(N61*Datos!$J$18,Dins)),IF(AND($F$15=Datos!$AI$5,Datos!$C$9=Datos!$AI$9),IF(A61&gt;30000,O61,ROUND(O61*Datos!$J$18,Dins)),IF(AND($F$15=Datos!$AI$6,Datos!$C$9=Datos!$AI$10),IF(A61&gt;30000,P61,ROUND(P61*Datos!$J$18,Dins)),IF(AND($F$15=Datos!$AI$6,Datos!$C$9=Datos!$AI$9),IF(A61&gt;30000,Q61,ROUND(Q61*Datos!$J$18,Dins))))))</f>
        <v>25</v>
      </c>
      <c r="L61" s="41"/>
      <c r="N61" s="2">
        <v>29.5</v>
      </c>
      <c r="O61">
        <f t="shared" si="3"/>
        <v>25</v>
      </c>
      <c r="P61">
        <f t="shared" si="4"/>
        <v>7.87</v>
      </c>
      <c r="Q61">
        <f t="shared" si="5"/>
        <v>6.67</v>
      </c>
    </row>
    <row r="62" spans="1:17" s="2" customFormat="1" x14ac:dyDescent="0.2">
      <c r="A62" s="2">
        <v>30027</v>
      </c>
      <c r="B62" s="2">
        <v>53</v>
      </c>
      <c r="C62" s="2" t="s">
        <v>6</v>
      </c>
      <c r="D62" s="2" t="s">
        <v>264</v>
      </c>
      <c r="E62" s="42" t="s">
        <v>171</v>
      </c>
      <c r="F62">
        <f>IF(AND($F$15=Datos!$AI$5,Datos!$C$9=Datos!$AI$10),IF(A62&gt;30000,N62,ROUND(N62*Datos!$J$18,Dins)),IF(AND($F$15=Datos!$AI$5,Datos!$C$9=Datos!$AI$9),IF(A62&gt;30000,O62,ROUND(O62*Datos!$J$18,Dins)),IF(AND($F$15=Datos!$AI$6,Datos!$C$9=Datos!$AI$10),IF(A62&gt;30000,P62,ROUND(P62*Datos!$J$18,Dins)),IF(AND($F$15=Datos!$AI$6,Datos!$C$9=Datos!$AI$9),IF(A62&gt;30000,Q62,ROUND(Q62*Datos!$J$18,Dins))))))</f>
        <v>11.3</v>
      </c>
      <c r="L62" s="41"/>
      <c r="N62" s="2">
        <v>13.33</v>
      </c>
      <c r="O62">
        <f t="shared" si="3"/>
        <v>11.3</v>
      </c>
      <c r="P62">
        <f t="shared" si="4"/>
        <v>3.55</v>
      </c>
      <c r="Q62">
        <f t="shared" si="5"/>
        <v>3.01</v>
      </c>
    </row>
    <row r="63" spans="1:17" s="2" customFormat="1" x14ac:dyDescent="0.2">
      <c r="A63" s="2">
        <v>30028</v>
      </c>
      <c r="B63" s="2">
        <v>5</v>
      </c>
      <c r="C63" s="2" t="s">
        <v>6</v>
      </c>
      <c r="D63" s="2" t="s">
        <v>265</v>
      </c>
      <c r="E63" s="42" t="s">
        <v>165</v>
      </c>
      <c r="F63">
        <f>IF(AND($F$15=Datos!$AI$5,Datos!$C$9=Datos!$AI$10),IF(A63&gt;30000,N63,ROUND(N63*Datos!$J$18,Dins)),IF(AND($F$15=Datos!$AI$5,Datos!$C$9=Datos!$AI$9),IF(A63&gt;30000,O63,ROUND(O63*Datos!$J$18,Dins)),IF(AND($F$15=Datos!$AI$6,Datos!$C$9=Datos!$AI$10),IF(A63&gt;30000,P63,ROUND(P63*Datos!$J$18,Dins)),IF(AND($F$15=Datos!$AI$6,Datos!$C$9=Datos!$AI$9),IF(A63&gt;30000,Q63,ROUND(Q63*Datos!$J$18,Dins))))))</f>
        <v>60</v>
      </c>
      <c r="N63" s="2">
        <v>70.8</v>
      </c>
      <c r="O63">
        <f t="shared" si="3"/>
        <v>60</v>
      </c>
      <c r="P63">
        <f t="shared" si="4"/>
        <v>18.88</v>
      </c>
      <c r="Q63">
        <f t="shared" si="5"/>
        <v>16</v>
      </c>
    </row>
    <row r="64" spans="1:17" s="2" customFormat="1" x14ac:dyDescent="0.2">
      <c r="A64" s="2">
        <v>30029</v>
      </c>
      <c r="B64" s="2">
        <v>2</v>
      </c>
      <c r="C64" s="2" t="s">
        <v>6</v>
      </c>
      <c r="D64" s="2" t="s">
        <v>268</v>
      </c>
      <c r="E64" s="42" t="s">
        <v>169</v>
      </c>
      <c r="F64">
        <f>IF(AND($F$15=Datos!$AI$5,Datos!$C$9=Datos!$AI$10),IF(A64&gt;30000,N64,ROUND(N64*Datos!$J$18,Dins)),IF(AND($F$15=Datos!$AI$5,Datos!$C$9=Datos!$AI$9),IF(A64&gt;30000,O64,ROUND(O64*Datos!$J$18,Dins)),IF(AND($F$15=Datos!$AI$6,Datos!$C$9=Datos!$AI$10),IF(A64&gt;30000,P64,ROUND(P64*Datos!$J$18,Dins)),IF(AND($F$15=Datos!$AI$6,Datos!$C$9=Datos!$AI$9),IF(A64&gt;30000,Q64,ROUND(Q64*Datos!$J$18,Dins))))))</f>
        <v>4.5</v>
      </c>
      <c r="N64" s="2">
        <v>5.31</v>
      </c>
      <c r="O64">
        <f t="shared" si="3"/>
        <v>4.5</v>
      </c>
      <c r="P64">
        <f t="shared" si="4"/>
        <v>1.42</v>
      </c>
      <c r="Q64">
        <f t="shared" si="5"/>
        <v>1.2</v>
      </c>
    </row>
    <row r="65" spans="1:17" s="2" customFormat="1" x14ac:dyDescent="0.2">
      <c r="A65" s="2">
        <v>30030</v>
      </c>
      <c r="B65" s="2">
        <v>2</v>
      </c>
      <c r="C65" s="2" t="s">
        <v>6</v>
      </c>
      <c r="D65" s="2" t="s">
        <v>269</v>
      </c>
      <c r="E65" s="42" t="s">
        <v>169</v>
      </c>
      <c r="F65">
        <f>IF(AND($F$15=Datos!$AI$5,Datos!$C$9=Datos!$AI$10),IF(A65&gt;30000,N65,ROUND(N65*Datos!$J$18,Dins)),IF(AND($F$15=Datos!$AI$5,Datos!$C$9=Datos!$AI$9),IF(A65&gt;30000,O65,ROUND(O65*Datos!$J$18,Dins)),IF(AND($F$15=Datos!$AI$6,Datos!$C$9=Datos!$AI$10),IF(A65&gt;30000,P65,ROUND(P65*Datos!$J$18,Dins)),IF(AND($F$15=Datos!$AI$6,Datos!$C$9=Datos!$AI$9),IF(A65&gt;30000,Q65,ROUND(Q65*Datos!$J$18,Dins))))))</f>
        <v>4.5</v>
      </c>
      <c r="N65" s="2">
        <v>5.31</v>
      </c>
      <c r="O65">
        <f t="shared" si="3"/>
        <v>4.5</v>
      </c>
      <c r="P65">
        <f t="shared" si="4"/>
        <v>1.42</v>
      </c>
      <c r="Q65">
        <f t="shared" si="5"/>
        <v>1.2</v>
      </c>
    </row>
    <row r="66" spans="1:17" s="2" customFormat="1" x14ac:dyDescent="0.2">
      <c r="A66" s="2">
        <v>30031</v>
      </c>
      <c r="B66" s="2">
        <v>2</v>
      </c>
      <c r="C66" s="2" t="s">
        <v>6</v>
      </c>
      <c r="D66" s="2" t="s">
        <v>270</v>
      </c>
      <c r="E66" s="42" t="s">
        <v>169</v>
      </c>
      <c r="F66">
        <f>IF(AND($F$15=Datos!$AI$5,Datos!$C$9=Datos!$AI$10),IF(A66&gt;30000,N66,ROUND(N66*Datos!$J$18,Dins)),IF(AND($F$15=Datos!$AI$5,Datos!$C$9=Datos!$AI$9),IF(A66&gt;30000,O66,ROUND(O66*Datos!$J$18,Dins)),IF(AND($F$15=Datos!$AI$6,Datos!$C$9=Datos!$AI$10),IF(A66&gt;30000,P66,ROUND(P66*Datos!$J$18,Dins)),IF(AND($F$15=Datos!$AI$6,Datos!$C$9=Datos!$AI$9),IF(A66&gt;30000,Q66,ROUND(Q66*Datos!$J$18,Dins))))))</f>
        <v>4.5</v>
      </c>
      <c r="N66" s="2">
        <v>5.31</v>
      </c>
      <c r="O66">
        <f t="shared" si="3"/>
        <v>4.5</v>
      </c>
      <c r="P66">
        <f t="shared" si="4"/>
        <v>1.42</v>
      </c>
      <c r="Q66">
        <f t="shared" si="5"/>
        <v>1.2</v>
      </c>
    </row>
    <row r="67" spans="1:17" s="2" customFormat="1" x14ac:dyDescent="0.2">
      <c r="A67" s="2">
        <v>30032</v>
      </c>
      <c r="B67" s="2">
        <v>37</v>
      </c>
      <c r="C67" s="2" t="s">
        <v>6</v>
      </c>
      <c r="D67" s="2" t="s">
        <v>275</v>
      </c>
      <c r="E67" s="42" t="s">
        <v>167</v>
      </c>
      <c r="F67">
        <f>IF(AND($F$15=Datos!$AI$5,Datos!$C$9=Datos!$AI$10),IF(A67&gt;30000,N67,ROUND(N67*Datos!$J$18,Dins)),IF(AND($F$15=Datos!$AI$5,Datos!$C$9=Datos!$AI$9),IF(A67&gt;30000,O67,ROUND(O67*Datos!$J$18,Dins)),IF(AND($F$15=Datos!$AI$6,Datos!$C$9=Datos!$AI$10),IF(A67&gt;30000,P67,ROUND(P67*Datos!$J$18,Dins)),IF(AND($F$15=Datos!$AI$6,Datos!$C$9=Datos!$AI$9),IF(A67&gt;30000,Q67,ROUND(Q67*Datos!$J$18,Dins))))))</f>
        <v>30</v>
      </c>
      <c r="N67" s="2">
        <v>35.4</v>
      </c>
      <c r="O67">
        <f t="shared" si="3"/>
        <v>30</v>
      </c>
      <c r="P67">
        <f t="shared" si="4"/>
        <v>9.44</v>
      </c>
      <c r="Q67">
        <f t="shared" si="5"/>
        <v>8</v>
      </c>
    </row>
    <row r="68" spans="1:17" s="2" customFormat="1" x14ac:dyDescent="0.2">
      <c r="A68" s="2">
        <v>30033</v>
      </c>
      <c r="B68" s="2">
        <v>5</v>
      </c>
      <c r="C68" s="2" t="s">
        <v>6</v>
      </c>
      <c r="D68" s="2" t="s">
        <v>282</v>
      </c>
      <c r="E68" s="42" t="s">
        <v>165</v>
      </c>
      <c r="F68">
        <f>IF(AND($F$15=Datos!$AI$5,Datos!$C$9=Datos!$AI$10),IF(A68&gt;30000,N68,ROUND(N68*Datos!$J$18,Dins)),IF(AND($F$15=Datos!$AI$5,Datos!$C$9=Datos!$AI$9),IF(A68&gt;30000,O68,ROUND(O68*Datos!$J$18,Dins)),IF(AND($F$15=Datos!$AI$6,Datos!$C$9=Datos!$AI$10),IF(A68&gt;30000,P68,ROUND(P68*Datos!$J$18,Dins)),IF(AND($F$15=Datos!$AI$6,Datos!$C$9=Datos!$AI$9),IF(A68&gt;30000,Q68,ROUND(Q68*Datos!$J$18,Dins))))))</f>
        <v>60.9</v>
      </c>
      <c r="L68" s="41"/>
      <c r="N68" s="2">
        <v>71.86</v>
      </c>
      <c r="O68">
        <f t="shared" si="3"/>
        <v>60.9</v>
      </c>
      <c r="P68">
        <f t="shared" si="4"/>
        <v>19.16</v>
      </c>
      <c r="Q68">
        <f t="shared" si="5"/>
        <v>16.239999999999998</v>
      </c>
    </row>
    <row r="69" spans="1:17" s="2" customFormat="1" x14ac:dyDescent="0.2">
      <c r="A69" s="2">
        <v>30034</v>
      </c>
      <c r="B69" s="2">
        <v>4</v>
      </c>
      <c r="C69" s="2" t="s">
        <v>6</v>
      </c>
      <c r="D69" s="2" t="s">
        <v>88</v>
      </c>
      <c r="E69" s="42" t="s">
        <v>165</v>
      </c>
      <c r="F69">
        <f>IF(AND($F$15=Datos!$AI$5,Datos!$C$9=Datos!$AI$10),IF(A69&gt;30000,N69,ROUND(N69*Datos!$J$18,Dins)),IF(AND($F$15=Datos!$AI$5,Datos!$C$9=Datos!$AI$9),IF(A69&gt;30000,O69,ROUND(O69*Datos!$J$18,Dins)),IF(AND($F$15=Datos!$AI$6,Datos!$C$9=Datos!$AI$10),IF(A69&gt;30000,P69,ROUND(P69*Datos!$J$18,Dins)),IF(AND($F$15=Datos!$AI$6,Datos!$C$9=Datos!$AI$9),IF(A69&gt;30000,Q69,ROUND(Q69*Datos!$J$18,Dins))))))</f>
        <v>49.9</v>
      </c>
      <c r="L69" s="41"/>
      <c r="N69" s="2">
        <v>58.88</v>
      </c>
      <c r="O69">
        <f t="shared" si="3"/>
        <v>49.9</v>
      </c>
      <c r="P69">
        <f t="shared" si="4"/>
        <v>15.7</v>
      </c>
      <c r="Q69">
        <f t="shared" si="5"/>
        <v>13.31</v>
      </c>
    </row>
    <row r="70" spans="1:17" s="2" customFormat="1" x14ac:dyDescent="0.2">
      <c r="A70" s="2">
        <v>60013</v>
      </c>
      <c r="B70" s="2">
        <v>49</v>
      </c>
      <c r="C70" s="2" t="s">
        <v>119</v>
      </c>
      <c r="D70" s="2" t="s">
        <v>283</v>
      </c>
      <c r="E70" s="42" t="s">
        <v>33</v>
      </c>
      <c r="F70">
        <f>IF(AND($F$15=Datos!$AI$5,Datos!$C$9=Datos!$AI$10),IF(A70&gt;30000,N70,ROUND(N70*Datos!$J$18,Dins)),IF(AND($F$15=Datos!$AI$5,Datos!$C$9=Datos!$AI$9),IF(A70&gt;30000,O70,ROUND(O70*Datos!$J$18,Dins)),IF(AND($F$15=Datos!$AI$6,Datos!$C$9=Datos!$AI$10),IF(A70&gt;30000,P70,ROUND(P70*Datos!$J$18,Dins)),IF(AND($F$15=Datos!$AI$6,Datos!$C$9=Datos!$AI$9),IF(A70&gt;30000,Q70,ROUND(Q70*Datos!$J$18,Dins))))))</f>
        <v>4</v>
      </c>
      <c r="L70" s="41"/>
      <c r="N70" s="2">
        <v>4.72</v>
      </c>
      <c r="O70">
        <f t="shared" si="3"/>
        <v>4</v>
      </c>
      <c r="P70">
        <f t="shared" si="4"/>
        <v>1.26</v>
      </c>
      <c r="Q70">
        <f t="shared" si="5"/>
        <v>1.07</v>
      </c>
    </row>
    <row r="71" spans="1:17" s="2" customFormat="1" x14ac:dyDescent="0.2">
      <c r="A71" s="2">
        <v>30035</v>
      </c>
      <c r="B71" s="2">
        <v>3</v>
      </c>
      <c r="C71" s="2" t="s">
        <v>6</v>
      </c>
      <c r="D71" s="2" t="s">
        <v>286</v>
      </c>
      <c r="E71" s="42" t="s">
        <v>169</v>
      </c>
      <c r="F71">
        <f>IF(AND($F$15=Datos!$AI$5,Datos!$C$9=Datos!$AI$10),IF(A71&gt;30000,N71,ROUND(N71*Datos!$J$18,Dins)),IF(AND($F$15=Datos!$AI$5,Datos!$C$9=Datos!$AI$9),IF(A71&gt;30000,O71,ROUND(O71*Datos!$J$18,Dins)),IF(AND($F$15=Datos!$AI$6,Datos!$C$9=Datos!$AI$10),IF(A71&gt;30000,P71,ROUND(P71*Datos!$J$18,Dins)),IF(AND($F$15=Datos!$AI$6,Datos!$C$9=Datos!$AI$9),IF(A71&gt;30000,Q71,ROUND(Q71*Datos!$J$18,Dins))))))</f>
        <v>3.33</v>
      </c>
      <c r="L71" s="41"/>
      <c r="N71" s="2">
        <v>3.93</v>
      </c>
      <c r="O71">
        <f t="shared" si="3"/>
        <v>3.33</v>
      </c>
      <c r="P71">
        <f t="shared" si="4"/>
        <v>1.05</v>
      </c>
      <c r="Q71">
        <f t="shared" si="5"/>
        <v>0.89</v>
      </c>
    </row>
    <row r="72" spans="1:17" s="2" customFormat="1" x14ac:dyDescent="0.2">
      <c r="A72" s="2">
        <v>30036</v>
      </c>
      <c r="B72" s="2">
        <v>2</v>
      </c>
      <c r="C72" s="2" t="s">
        <v>6</v>
      </c>
      <c r="D72" s="2" t="s">
        <v>289</v>
      </c>
      <c r="E72" s="42" t="s">
        <v>169</v>
      </c>
      <c r="F72">
        <f>IF(AND($F$15=Datos!$AI$5,Datos!$C$9=Datos!$AI$10),IF(A72&gt;30000,N72,ROUND(N72*Datos!$J$18,Dins)),IF(AND($F$15=Datos!$AI$5,Datos!$C$9=Datos!$AI$9),IF(A72&gt;30000,O72,ROUND(O72*Datos!$J$18,Dins)),IF(AND($F$15=Datos!$AI$6,Datos!$C$9=Datos!$AI$10),IF(A72&gt;30000,P72,ROUND(P72*Datos!$J$18,Dins)),IF(AND($F$15=Datos!$AI$6,Datos!$C$9=Datos!$AI$9),IF(A72&gt;30000,Q72,ROUND(Q72*Datos!$J$18,Dins))))))</f>
        <v>4.5</v>
      </c>
      <c r="L72" s="41"/>
      <c r="N72" s="2">
        <v>5.31</v>
      </c>
      <c r="O72">
        <f t="shared" si="3"/>
        <v>4.5</v>
      </c>
      <c r="P72">
        <f t="shared" si="4"/>
        <v>1.42</v>
      </c>
      <c r="Q72">
        <f t="shared" si="5"/>
        <v>1.2</v>
      </c>
    </row>
    <row r="73" spans="1:17" s="2" customFormat="1" x14ac:dyDescent="0.2">
      <c r="A73" s="2">
        <v>60014</v>
      </c>
      <c r="B73" s="2">
        <v>49</v>
      </c>
      <c r="C73" s="2" t="s">
        <v>119</v>
      </c>
      <c r="D73" s="2" t="s">
        <v>294</v>
      </c>
      <c r="E73" s="42" t="s">
        <v>33</v>
      </c>
      <c r="F73">
        <f>IF(AND($F$15=Datos!$AI$5,Datos!$C$9=Datos!$AI$10),IF(A73&gt;30000,N73,ROUND(N73*Datos!$J$18,Dins)),IF(AND($F$15=Datos!$AI$5,Datos!$C$9=Datos!$AI$9),IF(A73&gt;30000,O73,ROUND(O73*Datos!$J$18,Dins)),IF(AND($F$15=Datos!$AI$6,Datos!$C$9=Datos!$AI$10),IF(A73&gt;30000,P73,ROUND(P73*Datos!$J$18,Dins)),IF(AND($F$15=Datos!$AI$6,Datos!$C$9=Datos!$AI$9),IF(A73&gt;30000,Q73,ROUND(Q73*Datos!$J$18,Dins))))))</f>
        <v>0.5</v>
      </c>
      <c r="L73" s="41"/>
      <c r="N73" s="2">
        <v>0.59</v>
      </c>
      <c r="O73">
        <f t="shared" si="3"/>
        <v>0.5</v>
      </c>
      <c r="P73">
        <f t="shared" si="4"/>
        <v>0.16</v>
      </c>
      <c r="Q73">
        <f t="shared" si="5"/>
        <v>0.14000000000000001</v>
      </c>
    </row>
    <row r="74" spans="1:17" s="2" customFormat="1" x14ac:dyDescent="0.2">
      <c r="A74" s="2">
        <v>60015</v>
      </c>
      <c r="B74" s="2">
        <v>48</v>
      </c>
      <c r="C74" s="2" t="s">
        <v>119</v>
      </c>
      <c r="D74" s="2" t="s">
        <v>295</v>
      </c>
      <c r="E74" s="42" t="s">
        <v>33</v>
      </c>
      <c r="F74">
        <f>IF(AND($F$15=Datos!$AI$5,Datos!$C$9=Datos!$AI$10),IF(A74&gt;30000,N74,ROUND(N74*Datos!$J$18,Dins)),IF(AND($F$15=Datos!$AI$5,Datos!$C$9=Datos!$AI$9),IF(A74&gt;30000,O74,ROUND(O74*Datos!$J$18,Dins)),IF(AND($F$15=Datos!$AI$6,Datos!$C$9=Datos!$AI$10),IF(A74&gt;30000,P74,ROUND(P74*Datos!$J$18,Dins)),IF(AND($F$15=Datos!$AI$6,Datos!$C$9=Datos!$AI$9),IF(A74&gt;30000,Q74,ROUND(Q74*Datos!$J$18,Dins))))))</f>
        <v>3.75</v>
      </c>
      <c r="L74" s="41"/>
      <c r="N74" s="2">
        <v>4.42</v>
      </c>
      <c r="O74">
        <f t="shared" si="3"/>
        <v>3.75</v>
      </c>
      <c r="P74">
        <f t="shared" si="4"/>
        <v>1.18</v>
      </c>
      <c r="Q74">
        <f t="shared" si="5"/>
        <v>1</v>
      </c>
    </row>
    <row r="75" spans="1:17" s="2" customFormat="1" x14ac:dyDescent="0.2">
      <c r="A75" s="2">
        <v>30037</v>
      </c>
      <c r="B75" s="2">
        <v>31</v>
      </c>
      <c r="C75" s="2" t="s">
        <v>6</v>
      </c>
      <c r="D75" s="2" t="s">
        <v>306</v>
      </c>
      <c r="E75" s="42" t="s">
        <v>167</v>
      </c>
      <c r="F75">
        <f>IF(AND($F$15=Datos!$AI$5,Datos!$C$9=Datos!$AI$10),IF(A75&gt;30000,N75,ROUND(N75*Datos!$J$18,Dins)),IF(AND($F$15=Datos!$AI$5,Datos!$C$9=Datos!$AI$9),IF(A75&gt;30000,O75,ROUND(O75*Datos!$J$18,Dins)),IF(AND($F$15=Datos!$AI$6,Datos!$C$9=Datos!$AI$10),IF(A75&gt;30000,P75,ROUND(P75*Datos!$J$18,Dins)),IF(AND($F$15=Datos!$AI$6,Datos!$C$9=Datos!$AI$9),IF(A75&gt;30000,Q75,ROUND(Q75*Datos!$J$18,Dins))))))</f>
        <v>1.6</v>
      </c>
      <c r="L75" s="41"/>
      <c r="N75" s="2">
        <v>1.89</v>
      </c>
      <c r="O75">
        <f t="shared" si="3"/>
        <v>1.6</v>
      </c>
      <c r="P75">
        <f t="shared" si="4"/>
        <v>0.5</v>
      </c>
      <c r="Q75">
        <f t="shared" si="5"/>
        <v>0.42</v>
      </c>
    </row>
    <row r="76" spans="1:17" s="2" customFormat="1" x14ac:dyDescent="0.2">
      <c r="A76" s="2">
        <v>30038</v>
      </c>
      <c r="B76" s="2">
        <v>39</v>
      </c>
      <c r="C76" s="2" t="s">
        <v>6</v>
      </c>
      <c r="D76" s="2" t="s">
        <v>307</v>
      </c>
      <c r="E76" s="42" t="s">
        <v>308</v>
      </c>
      <c r="F76">
        <f>IF(AND($F$15=Datos!$AI$5,Datos!$C$9=Datos!$AI$10),IF(A76&gt;30000,N76,ROUND(N76*Datos!$J$18,Dins)),IF(AND($F$15=Datos!$AI$5,Datos!$C$9=Datos!$AI$9),IF(A76&gt;30000,O76,ROUND(O76*Datos!$J$18,Dins)),IF(AND($F$15=Datos!$AI$6,Datos!$C$9=Datos!$AI$10),IF(A76&gt;30000,P76,ROUND(P76*Datos!$J$18,Dins)),IF(AND($F$15=Datos!$AI$6,Datos!$C$9=Datos!$AI$9),IF(A76&gt;30000,Q76,ROUND(Q76*Datos!$J$18,Dins))))))</f>
        <v>315</v>
      </c>
      <c r="L76" s="41"/>
      <c r="N76" s="2">
        <v>371.7</v>
      </c>
      <c r="O76">
        <f t="shared" si="3"/>
        <v>315</v>
      </c>
      <c r="P76">
        <f t="shared" si="4"/>
        <v>99.12</v>
      </c>
      <c r="Q76">
        <f t="shared" si="5"/>
        <v>84</v>
      </c>
    </row>
    <row r="77" spans="1:17" s="2" customFormat="1" x14ac:dyDescent="0.2">
      <c r="A77" s="2">
        <v>60016</v>
      </c>
      <c r="B77" s="2">
        <v>49</v>
      </c>
      <c r="C77" s="2" t="s">
        <v>119</v>
      </c>
      <c r="D77" s="2" t="s">
        <v>315</v>
      </c>
      <c r="E77" s="42" t="s">
        <v>33</v>
      </c>
      <c r="F77">
        <f>IF(AND($F$15=Datos!$AI$5,Datos!$C$9=Datos!$AI$10),IF(A77&gt;30000,N77,ROUND(N77*Datos!$J$18,Dins)),IF(AND($F$15=Datos!$AI$5,Datos!$C$9=Datos!$AI$9),IF(A77&gt;30000,O77,ROUND(O77*Datos!$J$18,Dins)),IF(AND($F$15=Datos!$AI$6,Datos!$C$9=Datos!$AI$10),IF(A77&gt;30000,P77,ROUND(P77*Datos!$J$18,Dins)),IF(AND($F$15=Datos!$AI$6,Datos!$C$9=Datos!$AI$9),IF(A77&gt;30000,Q77,ROUND(Q77*Datos!$J$18,Dins))))))</f>
        <v>6</v>
      </c>
      <c r="L77" s="41"/>
      <c r="N77" s="2">
        <v>7.08</v>
      </c>
      <c r="O77">
        <f t="shared" si="3"/>
        <v>6</v>
      </c>
      <c r="P77">
        <f t="shared" si="4"/>
        <v>1.89</v>
      </c>
      <c r="Q77">
        <f t="shared" si="5"/>
        <v>1.6</v>
      </c>
    </row>
    <row r="78" spans="1:17" s="2" customFormat="1" x14ac:dyDescent="0.2">
      <c r="A78" s="2">
        <v>30039</v>
      </c>
      <c r="B78" s="2">
        <v>17</v>
      </c>
      <c r="C78" s="2" t="s">
        <v>6</v>
      </c>
      <c r="D78" s="2" t="s">
        <v>321</v>
      </c>
      <c r="E78" s="42" t="s">
        <v>167</v>
      </c>
      <c r="F78">
        <f>IF(AND($F$15=Datos!$AI$5,Datos!$C$9=Datos!$AI$10),IF(A78&gt;30000,N78,ROUND(N78*Datos!$J$18,Dins)),IF(AND($F$15=Datos!$AI$5,Datos!$C$9=Datos!$AI$9),IF(A78&gt;30000,O78,ROUND(O78*Datos!$J$18,Dins)),IF(AND($F$15=Datos!$AI$6,Datos!$C$9=Datos!$AI$10),IF(A78&gt;30000,P78,ROUND(P78*Datos!$J$18,Dins)),IF(AND($F$15=Datos!$AI$6,Datos!$C$9=Datos!$AI$9),IF(A78&gt;30000,Q78,ROUND(Q78*Datos!$J$18,Dins))))))</f>
        <v>2.1</v>
      </c>
      <c r="L78" s="41"/>
      <c r="N78" s="2">
        <v>2.48</v>
      </c>
      <c r="O78">
        <f t="shared" si="3"/>
        <v>2.1</v>
      </c>
      <c r="P78">
        <f t="shared" si="4"/>
        <v>0.66</v>
      </c>
      <c r="Q78">
        <f t="shared" si="5"/>
        <v>0.56000000000000005</v>
      </c>
    </row>
    <row r="79" spans="1:17" s="2" customFormat="1" x14ac:dyDescent="0.2">
      <c r="A79" s="2">
        <v>30040</v>
      </c>
      <c r="B79" s="2">
        <v>30</v>
      </c>
      <c r="C79" s="2" t="s">
        <v>6</v>
      </c>
      <c r="D79" s="2" t="s">
        <v>338</v>
      </c>
      <c r="E79" s="42" t="s">
        <v>163</v>
      </c>
      <c r="F79">
        <f>IF(AND($F$15=Datos!$AI$5,Datos!$C$9=Datos!$AI$10),IF(A79&gt;30000,N79,ROUND(N79*Datos!$J$18,Dins)),IF(AND($F$15=Datos!$AI$5,Datos!$C$9=Datos!$AI$9),IF(A79&gt;30000,O79,ROUND(O79*Datos!$J$18,Dins)),IF(AND($F$15=Datos!$AI$6,Datos!$C$9=Datos!$AI$10),IF(A79&gt;30000,P79,ROUND(P79*Datos!$J$18,Dins)),IF(AND($F$15=Datos!$AI$6,Datos!$C$9=Datos!$AI$9),IF(A79&gt;30000,Q79,ROUND(Q79*Datos!$J$18,Dins))))))</f>
        <v>12</v>
      </c>
      <c r="L79" s="41"/>
      <c r="N79" s="2">
        <v>14.16</v>
      </c>
      <c r="O79">
        <f t="shared" si="3"/>
        <v>12</v>
      </c>
      <c r="P79">
        <f t="shared" si="4"/>
        <v>3.78</v>
      </c>
      <c r="Q79">
        <f t="shared" si="5"/>
        <v>3.2</v>
      </c>
    </row>
    <row r="80" spans="1:17" s="2" customFormat="1" x14ac:dyDescent="0.2">
      <c r="A80" s="2">
        <v>30041</v>
      </c>
      <c r="B80" s="2">
        <v>17</v>
      </c>
      <c r="C80" s="2" t="s">
        <v>6</v>
      </c>
      <c r="D80" s="2" t="s">
        <v>339</v>
      </c>
      <c r="E80" s="42" t="s">
        <v>308</v>
      </c>
      <c r="F80">
        <f>IF(AND($F$15=Datos!$AI$5,Datos!$C$9=Datos!$AI$10),IF(A80&gt;30000,N80,ROUND(N80*Datos!$J$18,Dins)),IF(AND($F$15=Datos!$AI$5,Datos!$C$9=Datos!$AI$9),IF(A80&gt;30000,O80,ROUND(O80*Datos!$J$18,Dins)),IF(AND($F$15=Datos!$AI$6,Datos!$C$9=Datos!$AI$10),IF(A80&gt;30000,P80,ROUND(P80*Datos!$J$18,Dins)),IF(AND($F$15=Datos!$AI$6,Datos!$C$9=Datos!$AI$9),IF(A80&gt;30000,Q80,ROUND(Q80*Datos!$J$18,Dins))))))</f>
        <v>650</v>
      </c>
      <c r="L80" s="41"/>
      <c r="N80" s="2">
        <v>767</v>
      </c>
      <c r="O80">
        <f t="shared" ref="O80:O111" si="6">IF(A80&gt;30000,ROUND(N80/$O$14,Dins),ROUND(N80,Dins))</f>
        <v>650</v>
      </c>
      <c r="P80">
        <f t="shared" ref="P80:P111" si="7">ROUND(N80/$P$14,Dins)</f>
        <v>204.53</v>
      </c>
      <c r="Q80">
        <f t="shared" ref="Q80:Q111" si="8">IF(A80&gt;30000,ROUND(P80/$Q$14,Dins),ROUND(P80,Dins))</f>
        <v>173.33</v>
      </c>
    </row>
    <row r="81" spans="1:17" x14ac:dyDescent="0.2">
      <c r="A81">
        <v>30042</v>
      </c>
      <c r="B81">
        <v>4</v>
      </c>
      <c r="C81" t="s">
        <v>6</v>
      </c>
      <c r="D81" t="s">
        <v>346</v>
      </c>
      <c r="E81" s="3" t="s">
        <v>165</v>
      </c>
      <c r="F81">
        <f>IF(AND($F$15=Datos!$AI$5,Datos!$C$9=Datos!$AI$10),IF(A81&gt;30000,N81,ROUND(N81*Datos!$J$18,Dins)),IF(AND($F$15=Datos!$AI$5,Datos!$C$9=Datos!$AI$9),IF(A81&gt;30000,O81,ROUND(O81*Datos!$J$18,Dins)),IF(AND($F$15=Datos!$AI$6,Datos!$C$9=Datos!$AI$10),IF(A81&gt;30000,P81,ROUND(P81*Datos!$J$18,Dins)),IF(AND($F$15=Datos!$AI$6,Datos!$C$9=Datos!$AI$9),IF(A81&gt;30000,Q81,ROUND(Q81*Datos!$J$18,Dins))))))</f>
        <v>49.9</v>
      </c>
      <c r="N81">
        <v>58.88</v>
      </c>
      <c r="O81">
        <f t="shared" si="6"/>
        <v>49.9</v>
      </c>
      <c r="P81">
        <f t="shared" si="7"/>
        <v>15.7</v>
      </c>
      <c r="Q81">
        <f t="shared" si="8"/>
        <v>13.31</v>
      </c>
    </row>
    <row r="82" spans="1:17" x14ac:dyDescent="0.2">
      <c r="A82">
        <v>30043</v>
      </c>
      <c r="B82">
        <v>37</v>
      </c>
      <c r="C82" t="s">
        <v>6</v>
      </c>
      <c r="D82" t="s">
        <v>347</v>
      </c>
      <c r="E82" s="3" t="s">
        <v>167</v>
      </c>
      <c r="F82">
        <f>IF(AND($F$15=Datos!$AI$5,Datos!$C$9=Datos!$AI$10),IF(A82&gt;30000,N82,ROUND(N82*Datos!$J$18,Dins)),IF(AND($F$15=Datos!$AI$5,Datos!$C$9=Datos!$AI$9),IF(A82&gt;30000,O82,ROUND(O82*Datos!$J$18,Dins)),IF(AND($F$15=Datos!$AI$6,Datos!$C$9=Datos!$AI$10),IF(A82&gt;30000,P82,ROUND(P82*Datos!$J$18,Dins)),IF(AND($F$15=Datos!$AI$6,Datos!$C$9=Datos!$AI$9),IF(A82&gt;30000,Q82,ROUND(Q82*Datos!$J$18,Dins))))))</f>
        <v>60</v>
      </c>
      <c r="N82">
        <v>70.8</v>
      </c>
      <c r="O82">
        <f t="shared" si="6"/>
        <v>60</v>
      </c>
      <c r="P82">
        <f t="shared" si="7"/>
        <v>18.88</v>
      </c>
      <c r="Q82">
        <f t="shared" si="8"/>
        <v>16</v>
      </c>
    </row>
    <row r="83" spans="1:17" x14ac:dyDescent="0.2">
      <c r="A83">
        <v>90001</v>
      </c>
      <c r="C83" t="s">
        <v>96</v>
      </c>
      <c r="D83" t="str">
        <f>ApuB!B$225</f>
        <v>MORTERO 1:4 (cemento - arena)</v>
      </c>
      <c r="E83" s="3" t="str">
        <f>ApuB!D$225</f>
        <v>m3</v>
      </c>
      <c r="F83">
        <f>ApuB!E$225</f>
        <v>290.2</v>
      </c>
      <c r="L83">
        <f>ApuB!A$225</f>
        <v>10045</v>
      </c>
      <c r="O83">
        <f t="shared" si="6"/>
        <v>0</v>
      </c>
      <c r="P83">
        <f t="shared" si="7"/>
        <v>0</v>
      </c>
      <c r="Q83">
        <f t="shared" si="8"/>
        <v>0</v>
      </c>
    </row>
    <row r="84" spans="1:17" x14ac:dyDescent="0.2">
      <c r="A84">
        <v>30044</v>
      </c>
      <c r="B84">
        <v>2</v>
      </c>
      <c r="C84" t="s">
        <v>6</v>
      </c>
      <c r="D84" t="s">
        <v>364</v>
      </c>
      <c r="E84" s="3" t="s">
        <v>169</v>
      </c>
      <c r="F84">
        <f>IF(AND($F$15=Datos!$AI$5,Datos!$C$9=Datos!$AI$10),IF(A84&gt;30000,N84,ROUND(N84*Datos!$J$18,Dins)),IF(AND($F$15=Datos!$AI$5,Datos!$C$9=Datos!$AI$9),IF(A84&gt;30000,O84,ROUND(O84*Datos!$J$18,Dins)),IF(AND($F$15=Datos!$AI$6,Datos!$C$9=Datos!$AI$10),IF(A84&gt;30000,P84,ROUND(P84*Datos!$J$18,Dins)),IF(AND($F$15=Datos!$AI$6,Datos!$C$9=Datos!$AI$9),IF(A84&gt;30000,Q84,ROUND(Q84*Datos!$J$18,Dins))))))</f>
        <v>4.5</v>
      </c>
      <c r="N84">
        <v>5.31</v>
      </c>
      <c r="O84">
        <f t="shared" si="6"/>
        <v>4.5</v>
      </c>
      <c r="P84">
        <f t="shared" si="7"/>
        <v>1.42</v>
      </c>
      <c r="Q84">
        <f t="shared" si="8"/>
        <v>1.2</v>
      </c>
    </row>
    <row r="85" spans="1:17" x14ac:dyDescent="0.2">
      <c r="A85">
        <v>30045</v>
      </c>
      <c r="B85">
        <v>39</v>
      </c>
      <c r="C85" t="s">
        <v>6</v>
      </c>
      <c r="D85" t="s">
        <v>365</v>
      </c>
      <c r="E85" s="3" t="s">
        <v>171</v>
      </c>
      <c r="F85">
        <f>IF(AND($F$15=Datos!$AI$5,Datos!$C$9=Datos!$AI$10),IF(A85&gt;30000,N85,ROUND(N85*Datos!$J$18,Dins)),IF(AND($F$15=Datos!$AI$5,Datos!$C$9=Datos!$AI$9),IF(A85&gt;30000,O85,ROUND(O85*Datos!$J$18,Dins)),IF(AND($F$15=Datos!$AI$6,Datos!$C$9=Datos!$AI$10),IF(A85&gt;30000,P85,ROUND(P85*Datos!$J$18,Dins)),IF(AND($F$15=Datos!$AI$6,Datos!$C$9=Datos!$AI$9),IF(A85&gt;30000,Q85,ROUND(Q85*Datos!$J$18,Dins))))))</f>
        <v>28</v>
      </c>
      <c r="N85">
        <v>33.04</v>
      </c>
      <c r="O85">
        <f t="shared" si="6"/>
        <v>28</v>
      </c>
      <c r="P85">
        <f t="shared" si="7"/>
        <v>8.81</v>
      </c>
      <c r="Q85">
        <f t="shared" si="8"/>
        <v>7.47</v>
      </c>
    </row>
    <row r="86" spans="1:17" x14ac:dyDescent="0.2">
      <c r="A86">
        <v>30046</v>
      </c>
      <c r="B86">
        <v>54</v>
      </c>
      <c r="C86" t="s">
        <v>6</v>
      </c>
      <c r="D86" t="s">
        <v>366</v>
      </c>
      <c r="E86" s="3" t="s">
        <v>171</v>
      </c>
      <c r="F86">
        <f>IF(AND($F$15=Datos!$AI$5,Datos!$C$9=Datos!$AI$10),IF(A86&gt;30000,N86,ROUND(N86*Datos!$J$18,Dins)),IF(AND($F$15=Datos!$AI$5,Datos!$C$9=Datos!$AI$9),IF(A86&gt;30000,O86,ROUND(O86*Datos!$J$18,Dins)),IF(AND($F$15=Datos!$AI$6,Datos!$C$9=Datos!$AI$10),IF(A86&gt;30000,P86,ROUND(P86*Datos!$J$18,Dins)),IF(AND($F$15=Datos!$AI$6,Datos!$C$9=Datos!$AI$9),IF(A86&gt;30000,Q86,ROUND(Q86*Datos!$J$18,Dins))))))</f>
        <v>60</v>
      </c>
      <c r="N86">
        <v>70.8</v>
      </c>
      <c r="O86">
        <f t="shared" si="6"/>
        <v>60</v>
      </c>
      <c r="P86">
        <f t="shared" si="7"/>
        <v>18.88</v>
      </c>
      <c r="Q86">
        <f t="shared" si="8"/>
        <v>16</v>
      </c>
    </row>
    <row r="87" spans="1:17" x14ac:dyDescent="0.2">
      <c r="A87">
        <v>30047</v>
      </c>
      <c r="B87">
        <v>37</v>
      </c>
      <c r="C87" t="s">
        <v>6</v>
      </c>
      <c r="D87" t="s">
        <v>372</v>
      </c>
      <c r="E87" s="3" t="s">
        <v>167</v>
      </c>
      <c r="F87">
        <f>IF(AND($F$15=Datos!$AI$5,Datos!$C$9=Datos!$AI$10),IF(A87&gt;30000,N87,ROUND(N87*Datos!$J$18,Dins)),IF(AND($F$15=Datos!$AI$5,Datos!$C$9=Datos!$AI$9),IF(A87&gt;30000,O87,ROUND(O87*Datos!$J$18,Dins)),IF(AND($F$15=Datos!$AI$6,Datos!$C$9=Datos!$AI$10),IF(A87&gt;30000,P87,ROUND(P87*Datos!$J$18,Dins)),IF(AND($F$15=Datos!$AI$6,Datos!$C$9=Datos!$AI$9),IF(A87&gt;30000,Q87,ROUND(Q87*Datos!$J$18,Dins))))))</f>
        <v>72</v>
      </c>
      <c r="N87">
        <v>84.96</v>
      </c>
      <c r="O87">
        <f t="shared" si="6"/>
        <v>72</v>
      </c>
      <c r="P87">
        <f t="shared" si="7"/>
        <v>22.66</v>
      </c>
      <c r="Q87">
        <f t="shared" si="8"/>
        <v>19.2</v>
      </c>
    </row>
    <row r="88" spans="1:17" x14ac:dyDescent="0.2">
      <c r="A88">
        <v>30048</v>
      </c>
      <c r="B88">
        <v>30</v>
      </c>
      <c r="C88" t="s">
        <v>6</v>
      </c>
      <c r="D88" t="s">
        <v>375</v>
      </c>
      <c r="E88" s="3" t="s">
        <v>160</v>
      </c>
      <c r="F88">
        <f>IF(AND($F$15=Datos!$AI$5,Datos!$C$9=Datos!$AI$10),IF(A88&gt;30000,N88,ROUND(N88*Datos!$J$18,Dins)),IF(AND($F$15=Datos!$AI$5,Datos!$C$9=Datos!$AI$9),IF(A88&gt;30000,O88,ROUND(O88*Datos!$J$18,Dins)),IF(AND($F$15=Datos!$AI$6,Datos!$C$9=Datos!$AI$10),IF(A88&gt;30000,P88,ROUND(P88*Datos!$J$18,Dins)),IF(AND($F$15=Datos!$AI$6,Datos!$C$9=Datos!$AI$9),IF(A88&gt;30000,Q88,ROUND(Q88*Datos!$J$18,Dins))))))</f>
        <v>16.5</v>
      </c>
      <c r="N88">
        <v>19.47</v>
      </c>
      <c r="O88">
        <f t="shared" si="6"/>
        <v>16.5</v>
      </c>
      <c r="P88">
        <f t="shared" si="7"/>
        <v>5.19</v>
      </c>
      <c r="Q88">
        <f t="shared" si="8"/>
        <v>4.4000000000000004</v>
      </c>
    </row>
    <row r="89" spans="1:17" x14ac:dyDescent="0.2">
      <c r="A89">
        <v>30049</v>
      </c>
      <c r="B89">
        <v>39</v>
      </c>
      <c r="C89" t="s">
        <v>6</v>
      </c>
      <c r="D89" t="s">
        <v>378</v>
      </c>
      <c r="E89" s="3" t="s">
        <v>169</v>
      </c>
      <c r="F89">
        <f>IF(AND($F$15=Datos!$AI$5,Datos!$C$9=Datos!$AI$10),IF(A89&gt;30000,N89,ROUND(N89*Datos!$J$18,Dins)),IF(AND($F$15=Datos!$AI$5,Datos!$C$9=Datos!$AI$9),IF(A89&gt;30000,O89,ROUND(O89*Datos!$J$18,Dins)),IF(AND($F$15=Datos!$AI$6,Datos!$C$9=Datos!$AI$10),IF(A89&gt;30000,P89,ROUND(P89*Datos!$J$18,Dins)),IF(AND($F$15=Datos!$AI$6,Datos!$C$9=Datos!$AI$9),IF(A89&gt;30000,Q89,ROUND(Q89*Datos!$J$18,Dins))))))</f>
        <v>6</v>
      </c>
      <c r="N89">
        <v>7.08</v>
      </c>
      <c r="O89">
        <f t="shared" si="6"/>
        <v>6</v>
      </c>
      <c r="P89">
        <f t="shared" si="7"/>
        <v>1.89</v>
      </c>
      <c r="Q89">
        <f t="shared" si="8"/>
        <v>1.6</v>
      </c>
    </row>
    <row r="90" spans="1:17" x14ac:dyDescent="0.2">
      <c r="A90">
        <v>90002</v>
      </c>
      <c r="C90" t="s">
        <v>96</v>
      </c>
      <c r="D90" t="str">
        <f>ApuB!B$255</f>
        <v>FRAGUA CON POLVO NOVACEL</v>
      </c>
      <c r="E90" s="3" t="str">
        <f>ApuB!D$255</f>
        <v>m2</v>
      </c>
      <c r="F90">
        <f>ApuB!E$255</f>
        <v>9.8500000000000014</v>
      </c>
      <c r="L90">
        <f>ApuB!A$255</f>
        <v>10051</v>
      </c>
      <c r="O90">
        <f t="shared" si="6"/>
        <v>0</v>
      </c>
      <c r="P90">
        <f t="shared" si="7"/>
        <v>0</v>
      </c>
      <c r="Q90">
        <f t="shared" si="8"/>
        <v>0</v>
      </c>
    </row>
    <row r="91" spans="1:17" x14ac:dyDescent="0.2">
      <c r="A91">
        <v>30050</v>
      </c>
      <c r="B91">
        <v>30</v>
      </c>
      <c r="C91" t="s">
        <v>6</v>
      </c>
      <c r="D91" t="s">
        <v>380</v>
      </c>
      <c r="E91" s="3" t="s">
        <v>169</v>
      </c>
      <c r="F91">
        <f>IF(AND($F$15=Datos!$AI$5,Datos!$C$9=Datos!$AI$10),IF(A91&gt;30000,N91,ROUND(N91*Datos!$J$18,Dins)),IF(AND($F$15=Datos!$AI$5,Datos!$C$9=Datos!$AI$9),IF(A91&gt;30000,O91,ROUND(O91*Datos!$J$18,Dins)),IF(AND($F$15=Datos!$AI$6,Datos!$C$9=Datos!$AI$10),IF(A91&gt;30000,P91,ROUND(P91*Datos!$J$18,Dins)),IF(AND($F$15=Datos!$AI$6,Datos!$C$9=Datos!$AI$9),IF(A91&gt;30000,Q91,ROUND(Q91*Datos!$J$18,Dins))))))</f>
        <v>0.6</v>
      </c>
      <c r="N91">
        <v>0.71</v>
      </c>
      <c r="O91">
        <f t="shared" si="6"/>
        <v>0.6</v>
      </c>
      <c r="P91">
        <f t="shared" si="7"/>
        <v>0.19</v>
      </c>
      <c r="Q91">
        <f t="shared" si="8"/>
        <v>0.16</v>
      </c>
    </row>
    <row r="92" spans="1:17" x14ac:dyDescent="0.2">
      <c r="A92">
        <v>30051</v>
      </c>
      <c r="B92">
        <v>24</v>
      </c>
      <c r="C92" t="s">
        <v>6</v>
      </c>
      <c r="D92" t="s">
        <v>381</v>
      </c>
      <c r="E92" s="3" t="s">
        <v>160</v>
      </c>
      <c r="F92">
        <f>IF(AND($F$15=Datos!$AI$5,Datos!$C$9=Datos!$AI$10),IF(A92&gt;30000,N92,ROUND(N92*Datos!$J$18,Dins)),IF(AND($F$15=Datos!$AI$5,Datos!$C$9=Datos!$AI$9),IF(A92&gt;30000,O92,ROUND(O92*Datos!$J$18,Dins)),IF(AND($F$15=Datos!$AI$6,Datos!$C$9=Datos!$AI$10),IF(A92&gt;30000,P92,ROUND(P92*Datos!$J$18,Dins)),IF(AND($F$15=Datos!$AI$6,Datos!$C$9=Datos!$AI$9),IF(A92&gt;30000,Q92,ROUND(Q92*Datos!$J$18,Dins))))))</f>
        <v>45</v>
      </c>
      <c r="N92">
        <v>53.1</v>
      </c>
      <c r="O92">
        <f t="shared" si="6"/>
        <v>45</v>
      </c>
      <c r="P92">
        <f t="shared" si="7"/>
        <v>14.16</v>
      </c>
      <c r="Q92">
        <f t="shared" si="8"/>
        <v>12</v>
      </c>
    </row>
    <row r="93" spans="1:17" x14ac:dyDescent="0.2">
      <c r="A93">
        <v>30052</v>
      </c>
      <c r="B93">
        <v>39</v>
      </c>
      <c r="C93" t="s">
        <v>6</v>
      </c>
      <c r="D93" t="s">
        <v>384</v>
      </c>
      <c r="E93" s="3" t="s">
        <v>167</v>
      </c>
      <c r="F93">
        <f>IF(AND($F$15=Datos!$AI$5,Datos!$C$9=Datos!$AI$10),IF(A93&gt;30000,N93,ROUND(N93*Datos!$J$18,Dins)),IF(AND($F$15=Datos!$AI$5,Datos!$C$9=Datos!$AI$9),IF(A93&gt;30000,O93,ROUND(O93*Datos!$J$18,Dins)),IF(AND($F$15=Datos!$AI$6,Datos!$C$9=Datos!$AI$10),IF(A93&gt;30000,P93,ROUND(P93*Datos!$J$18,Dins)),IF(AND($F$15=Datos!$AI$6,Datos!$C$9=Datos!$AI$9),IF(A93&gt;30000,Q93,ROUND(Q93*Datos!$J$18,Dins))))))</f>
        <v>12</v>
      </c>
      <c r="N93">
        <v>14.16</v>
      </c>
      <c r="O93">
        <f t="shared" si="6"/>
        <v>12</v>
      </c>
      <c r="P93">
        <f t="shared" si="7"/>
        <v>3.78</v>
      </c>
      <c r="Q93">
        <f t="shared" si="8"/>
        <v>3.2</v>
      </c>
    </row>
    <row r="94" spans="1:17" x14ac:dyDescent="0.2">
      <c r="A94">
        <v>90003</v>
      </c>
      <c r="C94" t="s">
        <v>96</v>
      </c>
      <c r="D94" t="str">
        <f>ApuB!B$270</f>
        <v>BASE GRANULAR E=0.10 m.COMPACTADA CON EQUIPO LIVIANO</v>
      </c>
      <c r="E94" s="3" t="str">
        <f>ApuB!D$270</f>
        <v>m2</v>
      </c>
      <c r="F94">
        <f>ApuB!E$270</f>
        <v>13.64</v>
      </c>
      <c r="L94">
        <f>ApuB!A$270</f>
        <v>10054</v>
      </c>
      <c r="O94">
        <f t="shared" si="6"/>
        <v>0</v>
      </c>
      <c r="P94">
        <f t="shared" si="7"/>
        <v>0</v>
      </c>
      <c r="Q94">
        <f t="shared" si="8"/>
        <v>0</v>
      </c>
    </row>
    <row r="95" spans="1:17" x14ac:dyDescent="0.2">
      <c r="A95">
        <v>30053</v>
      </c>
      <c r="B95">
        <v>30</v>
      </c>
      <c r="C95" t="s">
        <v>6</v>
      </c>
      <c r="D95" t="s">
        <v>394</v>
      </c>
      <c r="E95" s="3" t="s">
        <v>169</v>
      </c>
      <c r="F95">
        <f>IF(AND($F$15=Datos!$AI$5,Datos!$C$9=Datos!$AI$10),IF(A95&gt;30000,N95,ROUND(N95*Datos!$J$18,Dins)),IF(AND($F$15=Datos!$AI$5,Datos!$C$9=Datos!$AI$9),IF(A95&gt;30000,O95,ROUND(O95*Datos!$J$18,Dins)),IF(AND($F$15=Datos!$AI$6,Datos!$C$9=Datos!$AI$10),IF(A95&gt;30000,P95,ROUND(P95*Datos!$J$18,Dins)),IF(AND($F$15=Datos!$AI$6,Datos!$C$9=Datos!$AI$9),IF(A95&gt;30000,Q95,ROUND(Q95*Datos!$J$18,Dins))))))</f>
        <v>6</v>
      </c>
      <c r="N95">
        <v>7.08</v>
      </c>
      <c r="O95">
        <f t="shared" si="6"/>
        <v>6</v>
      </c>
      <c r="P95">
        <f t="shared" si="7"/>
        <v>1.89</v>
      </c>
      <c r="Q95">
        <f t="shared" si="8"/>
        <v>1.6</v>
      </c>
    </row>
    <row r="96" spans="1:17" x14ac:dyDescent="0.2">
      <c r="A96">
        <v>90004</v>
      </c>
      <c r="C96" t="s">
        <v>96</v>
      </c>
      <c r="D96" t="str">
        <f>ApuB!B$280</f>
        <v>FRAGUA CON PORCELANA DE COLOR</v>
      </c>
      <c r="E96" s="3" t="str">
        <f>ApuB!D$280</f>
        <v>m2</v>
      </c>
      <c r="F96">
        <f>ApuB!E$280</f>
        <v>7.15</v>
      </c>
      <c r="L96">
        <f>ApuB!A$280</f>
        <v>10056</v>
      </c>
      <c r="O96">
        <f t="shared" si="6"/>
        <v>0</v>
      </c>
      <c r="P96">
        <f t="shared" si="7"/>
        <v>0</v>
      </c>
      <c r="Q96">
        <f t="shared" si="8"/>
        <v>0</v>
      </c>
    </row>
    <row r="97" spans="1:17" x14ac:dyDescent="0.2">
      <c r="A97">
        <v>30054</v>
      </c>
      <c r="B97">
        <v>24</v>
      </c>
      <c r="C97" t="s">
        <v>6</v>
      </c>
      <c r="D97" t="s">
        <v>396</v>
      </c>
      <c r="E97" s="3" t="s">
        <v>160</v>
      </c>
      <c r="F97">
        <f>IF(AND($F$15=Datos!$AI$5,Datos!$C$9=Datos!$AI$10),IF(A97&gt;30000,N97,ROUND(N97*Datos!$J$18,Dins)),IF(AND($F$15=Datos!$AI$5,Datos!$C$9=Datos!$AI$9),IF(A97&gt;30000,O97,ROUND(O97*Datos!$J$18,Dins)),IF(AND($F$15=Datos!$AI$6,Datos!$C$9=Datos!$AI$10),IF(A97&gt;30000,P97,ROUND(P97*Datos!$J$18,Dins)),IF(AND($F$15=Datos!$AI$6,Datos!$C$9=Datos!$AI$9),IF(A97&gt;30000,Q97,ROUND(Q97*Datos!$J$18,Dins))))))</f>
        <v>75</v>
      </c>
      <c r="N97">
        <v>88.5</v>
      </c>
      <c r="O97">
        <f t="shared" si="6"/>
        <v>75</v>
      </c>
      <c r="P97">
        <f t="shared" si="7"/>
        <v>23.6</v>
      </c>
      <c r="Q97">
        <f t="shared" si="8"/>
        <v>20</v>
      </c>
    </row>
    <row r="98" spans="1:17" x14ac:dyDescent="0.2">
      <c r="A98">
        <v>30055</v>
      </c>
      <c r="B98">
        <v>30</v>
      </c>
      <c r="C98" t="s">
        <v>6</v>
      </c>
      <c r="D98" t="s">
        <v>401</v>
      </c>
      <c r="E98" s="3" t="s">
        <v>169</v>
      </c>
      <c r="F98">
        <f>IF(AND($F$15=Datos!$AI$5,Datos!$C$9=Datos!$AI$10),IF(A98&gt;30000,N98,ROUND(N98*Datos!$J$18,Dins)),IF(AND($F$15=Datos!$AI$5,Datos!$C$9=Datos!$AI$9),IF(A98&gt;30000,O98,ROUND(O98*Datos!$J$18,Dins)),IF(AND($F$15=Datos!$AI$6,Datos!$C$9=Datos!$AI$10),IF(A98&gt;30000,P98,ROUND(P98*Datos!$J$18,Dins)),IF(AND($F$15=Datos!$AI$6,Datos!$C$9=Datos!$AI$9),IF(A98&gt;30000,Q98,ROUND(Q98*Datos!$J$18,Dins))))))</f>
        <v>0.6</v>
      </c>
      <c r="N98">
        <v>0.71</v>
      </c>
      <c r="O98">
        <f t="shared" si="6"/>
        <v>0.6</v>
      </c>
      <c r="P98">
        <f t="shared" si="7"/>
        <v>0.19</v>
      </c>
      <c r="Q98">
        <f t="shared" si="8"/>
        <v>0.16</v>
      </c>
    </row>
    <row r="99" spans="1:17" x14ac:dyDescent="0.2">
      <c r="A99">
        <v>30056</v>
      </c>
      <c r="B99">
        <v>17</v>
      </c>
      <c r="C99" t="s">
        <v>6</v>
      </c>
      <c r="D99" t="s">
        <v>411</v>
      </c>
      <c r="E99" s="3" t="s">
        <v>189</v>
      </c>
      <c r="F99">
        <f>IF(AND($F$15=Datos!$AI$5,Datos!$C$9=Datos!$AI$10),IF(A99&gt;30000,N99,ROUND(N99*Datos!$J$18,Dins)),IF(AND($F$15=Datos!$AI$5,Datos!$C$9=Datos!$AI$9),IF(A99&gt;30000,O99,ROUND(O99*Datos!$J$18,Dins)),IF(AND($F$15=Datos!$AI$6,Datos!$C$9=Datos!$AI$10),IF(A99&gt;30000,P99,ROUND(P99*Datos!$J$18,Dins)),IF(AND($F$15=Datos!$AI$6,Datos!$C$9=Datos!$AI$9),IF(A99&gt;30000,Q99,ROUND(Q99*Datos!$J$18,Dins))))))</f>
        <v>38</v>
      </c>
      <c r="N99">
        <v>44.84</v>
      </c>
      <c r="O99">
        <f t="shared" si="6"/>
        <v>38</v>
      </c>
      <c r="P99">
        <f t="shared" si="7"/>
        <v>11.96</v>
      </c>
      <c r="Q99">
        <f t="shared" si="8"/>
        <v>10.14</v>
      </c>
    </row>
    <row r="100" spans="1:17" x14ac:dyDescent="0.2">
      <c r="A100">
        <v>30057</v>
      </c>
      <c r="B100">
        <v>2</v>
      </c>
      <c r="C100" t="s">
        <v>6</v>
      </c>
      <c r="D100" t="s">
        <v>412</v>
      </c>
      <c r="E100" s="3" t="s">
        <v>167</v>
      </c>
      <c r="F100">
        <f>IF(AND($F$15=Datos!$AI$5,Datos!$C$9=Datos!$AI$10),IF(A100&gt;30000,N100,ROUND(N100*Datos!$J$18,Dins)),IF(AND($F$15=Datos!$AI$5,Datos!$C$9=Datos!$AI$9),IF(A100&gt;30000,O100,ROUND(O100*Datos!$J$18,Dins)),IF(AND($F$15=Datos!$AI$6,Datos!$C$9=Datos!$AI$10),IF(A100&gt;30000,P100,ROUND(P100*Datos!$J$18,Dins)),IF(AND($F$15=Datos!$AI$6,Datos!$C$9=Datos!$AI$9),IF(A100&gt;30000,Q100,ROUND(Q100*Datos!$J$18,Dins))))))</f>
        <v>1</v>
      </c>
      <c r="N100">
        <v>1.18</v>
      </c>
      <c r="O100">
        <f t="shared" si="6"/>
        <v>1</v>
      </c>
      <c r="P100">
        <f t="shared" si="7"/>
        <v>0.31</v>
      </c>
      <c r="Q100">
        <f t="shared" si="8"/>
        <v>0.26</v>
      </c>
    </row>
    <row r="101" spans="1:17" x14ac:dyDescent="0.2">
      <c r="A101">
        <v>30058</v>
      </c>
      <c r="B101">
        <v>26</v>
      </c>
      <c r="C101" t="s">
        <v>6</v>
      </c>
      <c r="D101" t="s">
        <v>419</v>
      </c>
      <c r="E101" s="3" t="s">
        <v>167</v>
      </c>
      <c r="F101">
        <f>IF(AND($F$15=Datos!$AI$5,Datos!$C$9=Datos!$AI$10),IF(A101&gt;30000,N101,ROUND(N101*Datos!$J$18,Dins)),IF(AND($F$15=Datos!$AI$5,Datos!$C$9=Datos!$AI$9),IF(A101&gt;30000,O101,ROUND(O101*Datos!$J$18,Dins)),IF(AND($F$15=Datos!$AI$6,Datos!$C$9=Datos!$AI$10),IF(A101&gt;30000,P101,ROUND(P101*Datos!$J$18,Dins)),IF(AND($F$15=Datos!$AI$6,Datos!$C$9=Datos!$AI$9),IF(A101&gt;30000,Q101,ROUND(Q101*Datos!$J$18,Dins))))))</f>
        <v>169.9</v>
      </c>
      <c r="N101">
        <v>200.48</v>
      </c>
      <c r="O101">
        <f t="shared" si="6"/>
        <v>169.9</v>
      </c>
      <c r="P101">
        <f t="shared" si="7"/>
        <v>53.46</v>
      </c>
      <c r="Q101">
        <f t="shared" si="8"/>
        <v>45.31</v>
      </c>
    </row>
    <row r="102" spans="1:17" x14ac:dyDescent="0.2">
      <c r="A102">
        <v>30059</v>
      </c>
      <c r="B102">
        <v>30</v>
      </c>
      <c r="C102" t="s">
        <v>6</v>
      </c>
      <c r="D102" t="s">
        <v>420</v>
      </c>
      <c r="E102" s="3" t="s">
        <v>196</v>
      </c>
      <c r="F102">
        <f>IF(AND($F$15=Datos!$AI$5,Datos!$C$9=Datos!$AI$10),IF(A102&gt;30000,N102,ROUND(N102*Datos!$J$18,Dins)),IF(AND($F$15=Datos!$AI$5,Datos!$C$9=Datos!$AI$9),IF(A102&gt;30000,O102,ROUND(O102*Datos!$J$18,Dins)),IF(AND($F$15=Datos!$AI$6,Datos!$C$9=Datos!$AI$10),IF(A102&gt;30000,P102,ROUND(P102*Datos!$J$18,Dins)),IF(AND($F$15=Datos!$AI$6,Datos!$C$9=Datos!$AI$9),IF(A102&gt;30000,Q102,ROUND(Q102*Datos!$J$18,Dins))))))</f>
        <v>24</v>
      </c>
      <c r="N102">
        <v>28.32</v>
      </c>
      <c r="O102">
        <f t="shared" si="6"/>
        <v>24</v>
      </c>
      <c r="P102">
        <f t="shared" si="7"/>
        <v>7.55</v>
      </c>
      <c r="Q102">
        <f t="shared" si="8"/>
        <v>6.4</v>
      </c>
    </row>
    <row r="103" spans="1:17" x14ac:dyDescent="0.2">
      <c r="A103">
        <v>80003</v>
      </c>
      <c r="B103">
        <v>39</v>
      </c>
      <c r="C103" t="s">
        <v>89</v>
      </c>
      <c r="D103" t="s">
        <v>421</v>
      </c>
      <c r="E103" s="3" t="s">
        <v>167</v>
      </c>
      <c r="F103">
        <f>IF(AND($F$15=Datos!$AI$5,Datos!$C$9=Datos!$AI$10),IF(A103&gt;30000,N103,ROUND(N103*Datos!$J$18,Dins)),IF(AND($F$15=Datos!$AI$5,Datos!$C$9=Datos!$AI$9),IF(A103&gt;30000,O103,ROUND(O103*Datos!$J$18,Dins)),IF(AND($F$15=Datos!$AI$6,Datos!$C$9=Datos!$AI$10),IF(A103&gt;30000,P103,ROUND(P103*Datos!$J$18,Dins)),IF(AND($F$15=Datos!$AI$6,Datos!$C$9=Datos!$AI$9),IF(A103&gt;30000,Q103,ROUND(Q103*Datos!$J$18,Dins))))))</f>
        <v>1600</v>
      </c>
      <c r="N103">
        <v>1888</v>
      </c>
      <c r="O103">
        <f t="shared" si="6"/>
        <v>1600</v>
      </c>
      <c r="P103">
        <f t="shared" si="7"/>
        <v>503.47</v>
      </c>
      <c r="Q103">
        <f t="shared" si="8"/>
        <v>426.67</v>
      </c>
    </row>
    <row r="104" spans="1:17" x14ac:dyDescent="0.2">
      <c r="A104">
        <v>30060</v>
      </c>
      <c r="B104">
        <v>26</v>
      </c>
      <c r="C104" t="s">
        <v>6</v>
      </c>
      <c r="D104" t="s">
        <v>424</v>
      </c>
      <c r="E104" s="3" t="s">
        <v>167</v>
      </c>
      <c r="F104">
        <f>IF(AND($F$15=Datos!$AI$5,Datos!$C$9=Datos!$AI$10),IF(A104&gt;30000,N104,ROUND(N104*Datos!$J$18,Dins)),IF(AND($F$15=Datos!$AI$5,Datos!$C$9=Datos!$AI$9),IF(A104&gt;30000,O104,ROUND(O104*Datos!$J$18,Dins)),IF(AND($F$15=Datos!$AI$6,Datos!$C$9=Datos!$AI$10),IF(A104&gt;30000,P104,ROUND(P104*Datos!$J$18,Dins)),IF(AND($F$15=Datos!$AI$6,Datos!$C$9=Datos!$AI$9),IF(A104&gt;30000,Q104,ROUND(Q104*Datos!$J$18,Dins))))))</f>
        <v>129.9</v>
      </c>
      <c r="N104">
        <v>153.28</v>
      </c>
      <c r="O104">
        <f t="shared" si="6"/>
        <v>129.9</v>
      </c>
      <c r="P104">
        <f t="shared" si="7"/>
        <v>40.869999999999997</v>
      </c>
      <c r="Q104">
        <f t="shared" si="8"/>
        <v>34.64</v>
      </c>
    </row>
    <row r="105" spans="1:17" x14ac:dyDescent="0.2">
      <c r="A105">
        <v>80004</v>
      </c>
      <c r="B105">
        <v>39</v>
      </c>
      <c r="C105" t="s">
        <v>89</v>
      </c>
      <c r="D105" t="s">
        <v>425</v>
      </c>
      <c r="E105" s="3" t="s">
        <v>167</v>
      </c>
      <c r="F105">
        <f>IF(AND($F$15=Datos!$AI$5,Datos!$C$9=Datos!$AI$10),IF(A105&gt;30000,N105,ROUND(N105*Datos!$J$18,Dins)),IF(AND($F$15=Datos!$AI$5,Datos!$C$9=Datos!$AI$9),IF(A105&gt;30000,O105,ROUND(O105*Datos!$J$18,Dins)),IF(AND($F$15=Datos!$AI$6,Datos!$C$9=Datos!$AI$10),IF(A105&gt;30000,P105,ROUND(P105*Datos!$J$18,Dins)),IF(AND($F$15=Datos!$AI$6,Datos!$C$9=Datos!$AI$9),IF(A105&gt;30000,Q105,ROUND(Q105*Datos!$J$18,Dins))))))</f>
        <v>1100</v>
      </c>
      <c r="N105">
        <v>1298</v>
      </c>
      <c r="O105">
        <f t="shared" si="6"/>
        <v>1100</v>
      </c>
      <c r="P105">
        <f t="shared" si="7"/>
        <v>346.13</v>
      </c>
      <c r="Q105">
        <f t="shared" si="8"/>
        <v>293.33</v>
      </c>
    </row>
    <row r="106" spans="1:17" x14ac:dyDescent="0.2">
      <c r="A106">
        <v>30061</v>
      </c>
      <c r="B106">
        <v>30</v>
      </c>
      <c r="C106" t="s">
        <v>6</v>
      </c>
      <c r="D106" t="s">
        <v>428</v>
      </c>
      <c r="E106" s="3" t="s">
        <v>196</v>
      </c>
      <c r="F106">
        <f>IF(AND($F$15=Datos!$AI$5,Datos!$C$9=Datos!$AI$10),IF(A106&gt;30000,N106,ROUND(N106*Datos!$J$18,Dins)),IF(AND($F$15=Datos!$AI$5,Datos!$C$9=Datos!$AI$9),IF(A106&gt;30000,O106,ROUND(O106*Datos!$J$18,Dins)),IF(AND($F$15=Datos!$AI$6,Datos!$C$9=Datos!$AI$10),IF(A106&gt;30000,P106,ROUND(P106*Datos!$J$18,Dins)),IF(AND($F$15=Datos!$AI$6,Datos!$C$9=Datos!$AI$9),IF(A106&gt;30000,Q106,ROUND(Q106*Datos!$J$18,Dins))))))</f>
        <v>24</v>
      </c>
      <c r="N106">
        <v>28.32</v>
      </c>
      <c r="O106">
        <f t="shared" si="6"/>
        <v>24</v>
      </c>
      <c r="P106">
        <f t="shared" si="7"/>
        <v>7.55</v>
      </c>
      <c r="Q106">
        <f t="shared" si="8"/>
        <v>6.4</v>
      </c>
    </row>
    <row r="107" spans="1:17" x14ac:dyDescent="0.2">
      <c r="A107">
        <v>30062</v>
      </c>
      <c r="B107">
        <v>26</v>
      </c>
      <c r="C107" t="s">
        <v>6</v>
      </c>
      <c r="D107" t="s">
        <v>429</v>
      </c>
      <c r="E107" s="3" t="s">
        <v>167</v>
      </c>
      <c r="F107">
        <f>IF(AND($F$15=Datos!$AI$5,Datos!$C$9=Datos!$AI$10),IF(A107&gt;30000,N107,ROUND(N107*Datos!$J$18,Dins)),IF(AND($F$15=Datos!$AI$5,Datos!$C$9=Datos!$AI$9),IF(A107&gt;30000,O107,ROUND(O107*Datos!$J$18,Dins)),IF(AND($F$15=Datos!$AI$6,Datos!$C$9=Datos!$AI$10),IF(A107&gt;30000,P107,ROUND(P107*Datos!$J$18,Dins)),IF(AND($F$15=Datos!$AI$6,Datos!$C$9=Datos!$AI$9),IF(A107&gt;30000,Q107,ROUND(Q107*Datos!$J$18,Dins))))))</f>
        <v>34.9</v>
      </c>
      <c r="N107">
        <v>41.18</v>
      </c>
      <c r="O107">
        <f t="shared" si="6"/>
        <v>34.9</v>
      </c>
      <c r="P107">
        <f t="shared" si="7"/>
        <v>10.98</v>
      </c>
      <c r="Q107">
        <f t="shared" si="8"/>
        <v>9.31</v>
      </c>
    </row>
    <row r="108" spans="1:17" x14ac:dyDescent="0.2">
      <c r="A108">
        <v>80005</v>
      </c>
      <c r="B108">
        <v>39</v>
      </c>
      <c r="C108" t="s">
        <v>89</v>
      </c>
      <c r="D108" t="s">
        <v>430</v>
      </c>
      <c r="E108" s="3" t="s">
        <v>167</v>
      </c>
      <c r="F108">
        <f>IF(AND($F$15=Datos!$AI$5,Datos!$C$9=Datos!$AI$10),IF(A108&gt;30000,N108,ROUND(N108*Datos!$J$18,Dins)),IF(AND($F$15=Datos!$AI$5,Datos!$C$9=Datos!$AI$9),IF(A108&gt;30000,O108,ROUND(O108*Datos!$J$18,Dins)),IF(AND($F$15=Datos!$AI$6,Datos!$C$9=Datos!$AI$10),IF(A108&gt;30000,P108,ROUND(P108*Datos!$J$18,Dins)),IF(AND($F$15=Datos!$AI$6,Datos!$C$9=Datos!$AI$9),IF(A108&gt;30000,Q108,ROUND(Q108*Datos!$J$18,Dins))))))</f>
        <v>500</v>
      </c>
      <c r="N108">
        <v>590</v>
      </c>
      <c r="O108">
        <f t="shared" si="6"/>
        <v>500</v>
      </c>
      <c r="P108">
        <f t="shared" si="7"/>
        <v>157.33000000000001</v>
      </c>
      <c r="Q108">
        <f t="shared" si="8"/>
        <v>133.33000000000001</v>
      </c>
    </row>
    <row r="109" spans="1:17" x14ac:dyDescent="0.2">
      <c r="A109">
        <v>80006</v>
      </c>
      <c r="B109">
        <v>39</v>
      </c>
      <c r="C109" t="s">
        <v>89</v>
      </c>
      <c r="D109" t="s">
        <v>434</v>
      </c>
      <c r="E109" s="3" t="s">
        <v>167</v>
      </c>
      <c r="F109">
        <f>IF(AND($F$15=Datos!$AI$5,Datos!$C$9=Datos!$AI$10),IF(A109&gt;30000,N109,ROUND(N109*Datos!$J$18,Dins)),IF(AND($F$15=Datos!$AI$5,Datos!$C$9=Datos!$AI$9),IF(A109&gt;30000,O109,ROUND(O109*Datos!$J$18,Dins)),IF(AND($F$15=Datos!$AI$6,Datos!$C$9=Datos!$AI$10),IF(A109&gt;30000,P109,ROUND(P109*Datos!$J$18,Dins)),IF(AND($F$15=Datos!$AI$6,Datos!$C$9=Datos!$AI$9),IF(A109&gt;30000,Q109,ROUND(Q109*Datos!$J$18,Dins))))))</f>
        <v>4500</v>
      </c>
      <c r="N109">
        <v>5310</v>
      </c>
      <c r="O109">
        <f t="shared" si="6"/>
        <v>4500</v>
      </c>
      <c r="P109">
        <f t="shared" si="7"/>
        <v>1416</v>
      </c>
      <c r="Q109">
        <f t="shared" si="8"/>
        <v>1200</v>
      </c>
    </row>
    <row r="110" spans="1:17" x14ac:dyDescent="0.2">
      <c r="A110">
        <v>80007</v>
      </c>
      <c r="B110">
        <v>26</v>
      </c>
      <c r="C110" t="s">
        <v>89</v>
      </c>
      <c r="D110" t="s">
        <v>439</v>
      </c>
      <c r="E110" s="3" t="s">
        <v>356</v>
      </c>
      <c r="F110">
        <f>IF(AND($F$15=Datos!$AI$5,Datos!$C$9=Datos!$AI$10),IF(A110&gt;30000,N110,ROUND(N110*Datos!$J$18,Dins)),IF(AND($F$15=Datos!$AI$5,Datos!$C$9=Datos!$AI$9),IF(A110&gt;30000,O110,ROUND(O110*Datos!$J$18,Dins)),IF(AND($F$15=Datos!$AI$6,Datos!$C$9=Datos!$AI$10),IF(A110&gt;30000,P110,ROUND(P110*Datos!$J$18,Dins)),IF(AND($F$15=Datos!$AI$6,Datos!$C$9=Datos!$AI$9),IF(A110&gt;30000,Q110,ROUND(Q110*Datos!$J$18,Dins))))))</f>
        <v>180</v>
      </c>
      <c r="N110">
        <v>212.4</v>
      </c>
      <c r="O110">
        <f t="shared" si="6"/>
        <v>180</v>
      </c>
      <c r="P110">
        <f t="shared" si="7"/>
        <v>56.64</v>
      </c>
      <c r="Q110">
        <f t="shared" si="8"/>
        <v>48</v>
      </c>
    </row>
    <row r="111" spans="1:17" x14ac:dyDescent="0.2">
      <c r="A111">
        <v>80008</v>
      </c>
      <c r="B111">
        <v>39</v>
      </c>
      <c r="C111" t="s">
        <v>89</v>
      </c>
      <c r="D111" t="s">
        <v>442</v>
      </c>
      <c r="E111" s="3" t="s">
        <v>160</v>
      </c>
      <c r="F111">
        <f>IF(AND($F$15=Datos!$AI$5,Datos!$C$9=Datos!$AI$10),IF(A111&gt;30000,N111,ROUND(N111*Datos!$J$18,Dins)),IF(AND($F$15=Datos!$AI$5,Datos!$C$9=Datos!$AI$9),IF(A111&gt;30000,O111,ROUND(O111*Datos!$J$18,Dins)),IF(AND($F$15=Datos!$AI$6,Datos!$C$9=Datos!$AI$10),IF(A111&gt;30000,P111,ROUND(P111*Datos!$J$18,Dins)),IF(AND($F$15=Datos!$AI$6,Datos!$C$9=Datos!$AI$9),IF(A111&gt;30000,Q111,ROUND(Q111*Datos!$J$18,Dins))))))</f>
        <v>450</v>
      </c>
      <c r="N111">
        <v>531</v>
      </c>
      <c r="O111">
        <f t="shared" si="6"/>
        <v>450</v>
      </c>
      <c r="P111">
        <f t="shared" si="7"/>
        <v>141.6</v>
      </c>
      <c r="Q111">
        <f t="shared" si="8"/>
        <v>120</v>
      </c>
    </row>
    <row r="112" spans="1:17" x14ac:dyDescent="0.2">
      <c r="A112">
        <v>80009</v>
      </c>
      <c r="B112">
        <v>39</v>
      </c>
      <c r="C112" t="s">
        <v>89</v>
      </c>
      <c r="D112" t="s">
        <v>445</v>
      </c>
      <c r="E112" s="3" t="s">
        <v>167</v>
      </c>
      <c r="F112">
        <f>IF(AND($F$15=Datos!$AI$5,Datos!$C$9=Datos!$AI$10),IF(A112&gt;30000,N112,ROUND(N112*Datos!$J$18,Dins)),IF(AND($F$15=Datos!$AI$5,Datos!$C$9=Datos!$AI$9),IF(A112&gt;30000,O112,ROUND(O112*Datos!$J$18,Dins)),IF(AND($F$15=Datos!$AI$6,Datos!$C$9=Datos!$AI$10),IF(A112&gt;30000,P112,ROUND(P112*Datos!$J$18,Dins)),IF(AND($F$15=Datos!$AI$6,Datos!$C$9=Datos!$AI$9),IF(A112&gt;30000,Q112,ROUND(Q112*Datos!$J$18,Dins))))))</f>
        <v>1800</v>
      </c>
      <c r="N112">
        <v>2124</v>
      </c>
      <c r="O112">
        <f t="shared" ref="O112:O143" si="9">IF(A112&gt;30000,ROUND(N112/$O$14,Dins),ROUND(N112,Dins))</f>
        <v>1800</v>
      </c>
      <c r="P112">
        <f t="shared" ref="P112:P143" si="10">ROUND(N112/$P$14,Dins)</f>
        <v>566.4</v>
      </c>
      <c r="Q112">
        <f t="shared" ref="Q112:Q143" si="11">IF(A112&gt;30000,ROUND(P112/$Q$14,Dins),ROUND(P112,Dins))</f>
        <v>480</v>
      </c>
    </row>
    <row r="113" spans="1:17" x14ac:dyDescent="0.2">
      <c r="A113">
        <v>30063</v>
      </c>
      <c r="B113">
        <v>79</v>
      </c>
      <c r="C113" t="s">
        <v>6</v>
      </c>
      <c r="D113" t="s">
        <v>450</v>
      </c>
      <c r="E113" s="3" t="s">
        <v>187</v>
      </c>
      <c r="F113">
        <f>IF(AND($F$15=Datos!$AI$5,Datos!$C$9=Datos!$AI$10),IF(A113&gt;30000,N113,ROUND(N113*Datos!$J$18,Dins)),IF(AND($F$15=Datos!$AI$5,Datos!$C$9=Datos!$AI$9),IF(A113&gt;30000,O113,ROUND(O113*Datos!$J$18,Dins)),IF(AND($F$15=Datos!$AI$6,Datos!$C$9=Datos!$AI$10),IF(A113&gt;30000,P113,ROUND(P113*Datos!$J$18,Dins)),IF(AND($F$15=Datos!$AI$6,Datos!$C$9=Datos!$AI$9),IF(A113&gt;30000,Q113,ROUND(Q113*Datos!$J$18,Dins))))))</f>
        <v>5.2</v>
      </c>
      <c r="N113">
        <v>6.14</v>
      </c>
      <c r="O113">
        <f t="shared" si="9"/>
        <v>5.2</v>
      </c>
      <c r="P113">
        <f t="shared" si="10"/>
        <v>1.64</v>
      </c>
      <c r="Q113">
        <f t="shared" si="11"/>
        <v>1.39</v>
      </c>
    </row>
    <row r="114" spans="1:17" x14ac:dyDescent="0.2">
      <c r="A114">
        <v>30064</v>
      </c>
      <c r="B114">
        <v>39</v>
      </c>
      <c r="C114" t="s">
        <v>6</v>
      </c>
      <c r="D114" t="s">
        <v>455</v>
      </c>
      <c r="E114" s="3" t="s">
        <v>171</v>
      </c>
      <c r="F114">
        <f>IF(AND($F$15=Datos!$AI$5,Datos!$C$9=Datos!$AI$10),IF(A114&gt;30000,N114,ROUND(N114*Datos!$J$18,Dins)),IF(AND($F$15=Datos!$AI$5,Datos!$C$9=Datos!$AI$9),IF(A114&gt;30000,O114,ROUND(O114*Datos!$J$18,Dins)),IF(AND($F$15=Datos!$AI$6,Datos!$C$9=Datos!$AI$10),IF(A114&gt;30000,P114,ROUND(P114*Datos!$J$18,Dins)),IF(AND($F$15=Datos!$AI$6,Datos!$C$9=Datos!$AI$9),IF(A114&gt;30000,Q114,ROUND(Q114*Datos!$J$18,Dins))))))</f>
        <v>29.1</v>
      </c>
      <c r="N114">
        <v>34.340000000000003</v>
      </c>
      <c r="O114">
        <f t="shared" si="9"/>
        <v>29.1</v>
      </c>
      <c r="P114">
        <f t="shared" si="10"/>
        <v>9.16</v>
      </c>
      <c r="Q114">
        <f t="shared" si="11"/>
        <v>7.76</v>
      </c>
    </row>
    <row r="115" spans="1:17" x14ac:dyDescent="0.2">
      <c r="A115">
        <v>30065</v>
      </c>
      <c r="B115">
        <v>43</v>
      </c>
      <c r="C115" t="s">
        <v>6</v>
      </c>
      <c r="D115" t="s">
        <v>456</v>
      </c>
      <c r="E115" s="3" t="s">
        <v>187</v>
      </c>
      <c r="F115">
        <f>IF(AND($F$15=Datos!$AI$5,Datos!$C$9=Datos!$AI$10),IF(A115&gt;30000,N115,ROUND(N115*Datos!$J$18,Dins)),IF(AND($F$15=Datos!$AI$5,Datos!$C$9=Datos!$AI$9),IF(A115&gt;30000,O115,ROUND(O115*Datos!$J$18,Dins)),IF(AND($F$15=Datos!$AI$6,Datos!$C$9=Datos!$AI$10),IF(A115&gt;30000,P115,ROUND(P115*Datos!$J$18,Dins)),IF(AND($F$15=Datos!$AI$6,Datos!$C$9=Datos!$AI$9),IF(A115&gt;30000,Q115,ROUND(Q115*Datos!$J$18,Dins))))))</f>
        <v>9.5</v>
      </c>
      <c r="N115">
        <v>11.21</v>
      </c>
      <c r="O115">
        <f t="shared" si="9"/>
        <v>9.5</v>
      </c>
      <c r="P115">
        <f t="shared" si="10"/>
        <v>2.99</v>
      </c>
      <c r="Q115">
        <f t="shared" si="11"/>
        <v>2.5299999999999998</v>
      </c>
    </row>
    <row r="116" spans="1:17" x14ac:dyDescent="0.2">
      <c r="A116">
        <v>30066</v>
      </c>
      <c r="B116">
        <v>39</v>
      </c>
      <c r="C116" t="s">
        <v>6</v>
      </c>
      <c r="D116" t="s">
        <v>457</v>
      </c>
      <c r="E116" s="3" t="s">
        <v>458</v>
      </c>
      <c r="F116">
        <f>IF(AND($F$15=Datos!$AI$5,Datos!$C$9=Datos!$AI$10),IF(A116&gt;30000,N116,ROUND(N116*Datos!$J$18,Dins)),IF(AND($F$15=Datos!$AI$5,Datos!$C$9=Datos!$AI$9),IF(A116&gt;30000,O116,ROUND(O116*Datos!$J$18,Dins)),IF(AND($F$15=Datos!$AI$6,Datos!$C$9=Datos!$AI$10),IF(A116&gt;30000,P116,ROUND(P116*Datos!$J$18,Dins)),IF(AND($F$15=Datos!$AI$6,Datos!$C$9=Datos!$AI$9),IF(A116&gt;30000,Q116,ROUND(Q116*Datos!$J$18,Dins))))))</f>
        <v>2</v>
      </c>
      <c r="N116">
        <v>2.36</v>
      </c>
      <c r="O116">
        <f t="shared" si="9"/>
        <v>2</v>
      </c>
      <c r="P116">
        <f t="shared" si="10"/>
        <v>0.63</v>
      </c>
      <c r="Q116">
        <f t="shared" si="11"/>
        <v>0.53</v>
      </c>
    </row>
    <row r="117" spans="1:17" x14ac:dyDescent="0.2">
      <c r="A117">
        <v>60017</v>
      </c>
      <c r="B117">
        <v>49</v>
      </c>
      <c r="C117" t="s">
        <v>119</v>
      </c>
      <c r="D117" t="s">
        <v>459</v>
      </c>
      <c r="E117" s="3" t="s">
        <v>33</v>
      </c>
      <c r="F117">
        <f>IF(AND($F$15=Datos!$AI$5,Datos!$C$9=Datos!$AI$10),IF(A117&gt;30000,N117,ROUND(N117*Datos!$J$18,Dins)),IF(AND($F$15=Datos!$AI$5,Datos!$C$9=Datos!$AI$9),IF(A117&gt;30000,O117,ROUND(O117*Datos!$J$18,Dins)),IF(AND($F$15=Datos!$AI$6,Datos!$C$9=Datos!$AI$10),IF(A117&gt;30000,P117,ROUND(P117*Datos!$J$18,Dins)),IF(AND($F$15=Datos!$AI$6,Datos!$C$9=Datos!$AI$9),IF(A117&gt;30000,Q117,ROUND(Q117*Datos!$J$18,Dins))))))</f>
        <v>10</v>
      </c>
      <c r="N117">
        <v>11.8</v>
      </c>
      <c r="O117">
        <f t="shared" si="9"/>
        <v>10</v>
      </c>
      <c r="P117">
        <f t="shared" si="10"/>
        <v>3.15</v>
      </c>
      <c r="Q117">
        <f t="shared" si="11"/>
        <v>2.67</v>
      </c>
    </row>
    <row r="118" spans="1:17" x14ac:dyDescent="0.2">
      <c r="A118">
        <v>60018</v>
      </c>
      <c r="B118">
        <v>49</v>
      </c>
      <c r="C118" t="s">
        <v>119</v>
      </c>
      <c r="D118" t="s">
        <v>460</v>
      </c>
      <c r="E118" s="3" t="s">
        <v>33</v>
      </c>
      <c r="F118">
        <f>IF(AND($F$15=Datos!$AI$5,Datos!$C$9=Datos!$AI$10),IF(A118&gt;30000,N118,ROUND(N118*Datos!$J$18,Dins)),IF(AND($F$15=Datos!$AI$5,Datos!$C$9=Datos!$AI$9),IF(A118&gt;30000,O118,ROUND(O118*Datos!$J$18,Dins)),IF(AND($F$15=Datos!$AI$6,Datos!$C$9=Datos!$AI$10),IF(A118&gt;30000,P118,ROUND(P118*Datos!$J$18,Dins)),IF(AND($F$15=Datos!$AI$6,Datos!$C$9=Datos!$AI$9),IF(A118&gt;30000,Q118,ROUND(Q118*Datos!$J$18,Dins))))))</f>
        <v>10</v>
      </c>
      <c r="N118">
        <v>11.8</v>
      </c>
      <c r="O118">
        <f t="shared" si="9"/>
        <v>10</v>
      </c>
      <c r="P118">
        <f t="shared" si="10"/>
        <v>3.15</v>
      </c>
      <c r="Q118">
        <f t="shared" si="11"/>
        <v>2.67</v>
      </c>
    </row>
    <row r="119" spans="1:17" x14ac:dyDescent="0.2">
      <c r="A119">
        <v>30067</v>
      </c>
      <c r="B119">
        <v>39</v>
      </c>
      <c r="C119" t="s">
        <v>6</v>
      </c>
      <c r="D119" t="s">
        <v>465</v>
      </c>
      <c r="E119" s="3" t="s">
        <v>458</v>
      </c>
      <c r="F119">
        <f>IF(AND($F$15=Datos!$AI$5,Datos!$C$9=Datos!$AI$10),IF(A119&gt;30000,N119,ROUND(N119*Datos!$J$18,Dins)),IF(AND($F$15=Datos!$AI$5,Datos!$C$9=Datos!$AI$9),IF(A119&gt;30000,O119,ROUND(O119*Datos!$J$18,Dins)),IF(AND($F$15=Datos!$AI$6,Datos!$C$9=Datos!$AI$10),IF(A119&gt;30000,P119,ROUND(P119*Datos!$J$18,Dins)),IF(AND($F$15=Datos!$AI$6,Datos!$C$9=Datos!$AI$9),IF(A119&gt;30000,Q119,ROUND(Q119*Datos!$J$18,Dins))))))</f>
        <v>2</v>
      </c>
      <c r="N119">
        <v>2.36</v>
      </c>
      <c r="O119">
        <f t="shared" si="9"/>
        <v>2</v>
      </c>
      <c r="P119">
        <f t="shared" si="10"/>
        <v>0.63</v>
      </c>
      <c r="Q119">
        <f t="shared" si="11"/>
        <v>0.53</v>
      </c>
    </row>
    <row r="120" spans="1:17" x14ac:dyDescent="0.2">
      <c r="A120">
        <v>30068</v>
      </c>
      <c r="B120">
        <v>54</v>
      </c>
      <c r="C120" t="s">
        <v>6</v>
      </c>
      <c r="D120" t="s">
        <v>466</v>
      </c>
      <c r="E120" s="3" t="s">
        <v>171</v>
      </c>
      <c r="F120">
        <f>IF(AND($F$15=Datos!$AI$5,Datos!$C$9=Datos!$AI$10),IF(A120&gt;30000,N120,ROUND(N120*Datos!$J$18,Dins)),IF(AND($F$15=Datos!$AI$5,Datos!$C$9=Datos!$AI$9),IF(A120&gt;30000,O120,ROUND(O120*Datos!$J$18,Dins)),IF(AND($F$15=Datos!$AI$6,Datos!$C$9=Datos!$AI$10),IF(A120&gt;30000,P120,ROUND(P120*Datos!$J$18,Dins)),IF(AND($F$15=Datos!$AI$6,Datos!$C$9=Datos!$AI$9),IF(A120&gt;30000,Q120,ROUND(Q120*Datos!$J$18,Dins))))))</f>
        <v>65</v>
      </c>
      <c r="N120">
        <v>76.7</v>
      </c>
      <c r="O120">
        <f t="shared" si="9"/>
        <v>65</v>
      </c>
      <c r="P120">
        <f t="shared" si="10"/>
        <v>20.45</v>
      </c>
      <c r="Q120">
        <f t="shared" si="11"/>
        <v>17.329999999999998</v>
      </c>
    </row>
    <row r="121" spans="1:17" x14ac:dyDescent="0.2">
      <c r="A121">
        <v>30069</v>
      </c>
      <c r="B121">
        <v>30</v>
      </c>
      <c r="C121" t="s">
        <v>6</v>
      </c>
      <c r="D121" t="s">
        <v>467</v>
      </c>
      <c r="E121" s="3" t="s">
        <v>171</v>
      </c>
      <c r="F121">
        <f>IF(AND($F$15=Datos!$AI$5,Datos!$C$9=Datos!$AI$10),IF(A121&gt;30000,N121,ROUND(N121*Datos!$J$18,Dins)),IF(AND($F$15=Datos!$AI$5,Datos!$C$9=Datos!$AI$9),IF(A121&gt;30000,O121,ROUND(O121*Datos!$J$18,Dins)),IF(AND($F$15=Datos!$AI$6,Datos!$C$9=Datos!$AI$10),IF(A121&gt;30000,P121,ROUND(P121*Datos!$J$18,Dins)),IF(AND($F$15=Datos!$AI$6,Datos!$C$9=Datos!$AI$9),IF(A121&gt;30000,Q121,ROUND(Q121*Datos!$J$18,Dins))))))</f>
        <v>23</v>
      </c>
      <c r="N121">
        <v>27.14</v>
      </c>
      <c r="O121">
        <f t="shared" si="9"/>
        <v>23</v>
      </c>
      <c r="P121">
        <f t="shared" si="10"/>
        <v>7.24</v>
      </c>
      <c r="Q121">
        <f t="shared" si="11"/>
        <v>6.14</v>
      </c>
    </row>
    <row r="122" spans="1:17" x14ac:dyDescent="0.2">
      <c r="A122">
        <v>30070</v>
      </c>
      <c r="B122">
        <v>54</v>
      </c>
      <c r="C122" t="s">
        <v>6</v>
      </c>
      <c r="D122" t="s">
        <v>472</v>
      </c>
      <c r="E122" s="3" t="s">
        <v>171</v>
      </c>
      <c r="F122">
        <f>IF(AND($F$15=Datos!$AI$5,Datos!$C$9=Datos!$AI$10),IF(A122&gt;30000,N122,ROUND(N122*Datos!$J$18,Dins)),IF(AND($F$15=Datos!$AI$5,Datos!$C$9=Datos!$AI$9),IF(A122&gt;30000,O122,ROUND(O122*Datos!$J$18,Dins)),IF(AND($F$15=Datos!$AI$6,Datos!$C$9=Datos!$AI$10),IF(A122&gt;30000,P122,ROUND(P122*Datos!$J$18,Dins)),IF(AND($F$15=Datos!$AI$6,Datos!$C$9=Datos!$AI$9),IF(A122&gt;30000,Q122,ROUND(Q122*Datos!$J$18,Dins))))))</f>
        <v>65</v>
      </c>
      <c r="N122">
        <v>76.7</v>
      </c>
      <c r="O122">
        <f t="shared" si="9"/>
        <v>65</v>
      </c>
      <c r="P122">
        <f t="shared" si="10"/>
        <v>20.45</v>
      </c>
      <c r="Q122">
        <f t="shared" si="11"/>
        <v>17.329999999999998</v>
      </c>
    </row>
    <row r="123" spans="1:17" x14ac:dyDescent="0.2">
      <c r="A123">
        <v>30071</v>
      </c>
      <c r="B123">
        <v>30</v>
      </c>
      <c r="C123" t="s">
        <v>6</v>
      </c>
      <c r="D123" t="s">
        <v>467</v>
      </c>
      <c r="E123" s="3" t="s">
        <v>169</v>
      </c>
      <c r="F123">
        <f>IF(AND($F$15=Datos!$AI$5,Datos!$C$9=Datos!$AI$10),IF(A123&gt;30000,N123,ROUND(N123*Datos!$J$18,Dins)),IF(AND($F$15=Datos!$AI$5,Datos!$C$9=Datos!$AI$9),IF(A123&gt;30000,O123,ROUND(O123*Datos!$J$18,Dins)),IF(AND($F$15=Datos!$AI$6,Datos!$C$9=Datos!$AI$10),IF(A123&gt;30000,P123,ROUND(P123*Datos!$J$18,Dins)),IF(AND($F$15=Datos!$AI$6,Datos!$C$9=Datos!$AI$9),IF(A123&gt;30000,Q123,ROUND(Q123*Datos!$J$18,Dins))))))</f>
        <v>5</v>
      </c>
      <c r="N123">
        <v>5.9</v>
      </c>
      <c r="O123">
        <f t="shared" si="9"/>
        <v>5</v>
      </c>
      <c r="P123">
        <f t="shared" si="10"/>
        <v>1.57</v>
      </c>
      <c r="Q123">
        <f t="shared" si="11"/>
        <v>1.33</v>
      </c>
    </row>
    <row r="124" spans="1:17" x14ac:dyDescent="0.2">
      <c r="A124">
        <v>60019</v>
      </c>
      <c r="B124">
        <v>48</v>
      </c>
      <c r="C124" t="s">
        <v>119</v>
      </c>
      <c r="D124" t="s">
        <v>473</v>
      </c>
      <c r="E124" s="3" t="s">
        <v>33</v>
      </c>
      <c r="F124">
        <f>IF(AND($F$15=Datos!$AI$5,Datos!$C$9=Datos!$AI$10),IF(A124&gt;30000,N124,ROUND(N124*Datos!$J$18,Dins)),IF(AND($F$15=Datos!$AI$5,Datos!$C$9=Datos!$AI$9),IF(A124&gt;30000,O124,ROUND(O124*Datos!$J$18,Dins)),IF(AND($F$15=Datos!$AI$6,Datos!$C$9=Datos!$AI$10),IF(A124&gt;30000,P124,ROUND(P124*Datos!$J$18,Dins)),IF(AND($F$15=Datos!$AI$6,Datos!$C$9=Datos!$AI$9),IF(A124&gt;30000,Q124,ROUND(Q124*Datos!$J$18,Dins))))))</f>
        <v>3.75</v>
      </c>
      <c r="N124">
        <v>4.42</v>
      </c>
      <c r="O124">
        <f t="shared" si="9"/>
        <v>3.75</v>
      </c>
      <c r="P124">
        <f t="shared" si="10"/>
        <v>1.18</v>
      </c>
      <c r="Q124">
        <f t="shared" si="11"/>
        <v>1</v>
      </c>
    </row>
    <row r="125" spans="1:17" x14ac:dyDescent="0.2">
      <c r="A125">
        <v>30072</v>
      </c>
      <c r="B125">
        <v>73</v>
      </c>
      <c r="C125" t="s">
        <v>6</v>
      </c>
      <c r="D125" t="s">
        <v>479</v>
      </c>
      <c r="E125" s="3" t="s">
        <v>356</v>
      </c>
      <c r="F125">
        <f>IF(AND($F$15=Datos!$AI$5,Datos!$C$9=Datos!$AI$10),IF(A125&gt;30000,N125,ROUND(N125*Datos!$J$18,Dins)),IF(AND($F$15=Datos!$AI$5,Datos!$C$9=Datos!$AI$9),IF(A125&gt;30000,O125,ROUND(O125*Datos!$J$18,Dins)),IF(AND($F$15=Datos!$AI$6,Datos!$C$9=Datos!$AI$10),IF(A125&gt;30000,P125,ROUND(P125*Datos!$J$18,Dins)),IF(AND($F$15=Datos!$AI$6,Datos!$C$9=Datos!$AI$9),IF(A125&gt;30000,Q125,ROUND(Q125*Datos!$J$18,Dins))))))</f>
        <v>2.2000000000000002</v>
      </c>
      <c r="N125">
        <v>2.6</v>
      </c>
      <c r="O125">
        <f t="shared" si="9"/>
        <v>2.2000000000000002</v>
      </c>
      <c r="P125">
        <f t="shared" si="10"/>
        <v>0.69</v>
      </c>
      <c r="Q125">
        <f t="shared" si="11"/>
        <v>0.57999999999999996</v>
      </c>
    </row>
    <row r="126" spans="1:17" x14ac:dyDescent="0.2">
      <c r="A126">
        <v>30073</v>
      </c>
      <c r="B126">
        <v>73</v>
      </c>
      <c r="C126" t="s">
        <v>6</v>
      </c>
      <c r="D126" t="s">
        <v>480</v>
      </c>
      <c r="E126" s="3" t="s">
        <v>167</v>
      </c>
      <c r="F126">
        <f>IF(AND($F$15=Datos!$AI$5,Datos!$C$9=Datos!$AI$10),IF(A126&gt;30000,N126,ROUND(N126*Datos!$J$18,Dins)),IF(AND($F$15=Datos!$AI$5,Datos!$C$9=Datos!$AI$9),IF(A126&gt;30000,O126,ROUND(O126*Datos!$J$18,Dins)),IF(AND($F$15=Datos!$AI$6,Datos!$C$9=Datos!$AI$10),IF(A126&gt;30000,P126,ROUND(P126*Datos!$J$18,Dins)),IF(AND($F$15=Datos!$AI$6,Datos!$C$9=Datos!$AI$9),IF(A126&gt;30000,Q126,ROUND(Q126*Datos!$J$18,Dins))))))</f>
        <v>1.2</v>
      </c>
      <c r="N126">
        <v>1.42</v>
      </c>
      <c r="O126">
        <f t="shared" si="9"/>
        <v>1.2</v>
      </c>
      <c r="P126">
        <f t="shared" si="10"/>
        <v>0.38</v>
      </c>
      <c r="Q126">
        <f t="shared" si="11"/>
        <v>0.32</v>
      </c>
    </row>
    <row r="127" spans="1:17" x14ac:dyDescent="0.2">
      <c r="A127">
        <v>30074</v>
      </c>
      <c r="B127">
        <v>73</v>
      </c>
      <c r="C127" t="s">
        <v>6</v>
      </c>
      <c r="D127" t="s">
        <v>481</v>
      </c>
      <c r="E127" s="3" t="s">
        <v>167</v>
      </c>
      <c r="F127">
        <f>IF(AND($F$15=Datos!$AI$5,Datos!$C$9=Datos!$AI$10),IF(A127&gt;30000,N127,ROUND(N127*Datos!$J$18,Dins)),IF(AND($F$15=Datos!$AI$5,Datos!$C$9=Datos!$AI$9),IF(A127&gt;30000,O127,ROUND(O127*Datos!$J$18,Dins)),IF(AND($F$15=Datos!$AI$6,Datos!$C$9=Datos!$AI$10),IF(A127&gt;30000,P127,ROUND(P127*Datos!$J$18,Dins)),IF(AND($F$15=Datos!$AI$6,Datos!$C$9=Datos!$AI$9),IF(A127&gt;30000,Q127,ROUND(Q127*Datos!$J$18,Dins))))))</f>
        <v>1.42</v>
      </c>
      <c r="N127">
        <v>1.68</v>
      </c>
      <c r="O127">
        <f t="shared" si="9"/>
        <v>1.42</v>
      </c>
      <c r="P127">
        <f t="shared" si="10"/>
        <v>0.45</v>
      </c>
      <c r="Q127">
        <f t="shared" si="11"/>
        <v>0.38</v>
      </c>
    </row>
    <row r="128" spans="1:17" x14ac:dyDescent="0.2">
      <c r="A128">
        <v>30075</v>
      </c>
      <c r="B128">
        <v>72</v>
      </c>
      <c r="C128" t="s">
        <v>6</v>
      </c>
      <c r="D128" t="s">
        <v>482</v>
      </c>
      <c r="E128" s="3" t="s">
        <v>167</v>
      </c>
      <c r="F128">
        <f>IF(AND($F$15=Datos!$AI$5,Datos!$C$9=Datos!$AI$10),IF(A128&gt;30000,N128,ROUND(N128*Datos!$J$18,Dins)),IF(AND($F$15=Datos!$AI$5,Datos!$C$9=Datos!$AI$9),IF(A128&gt;30000,O128,ROUND(O128*Datos!$J$18,Dins)),IF(AND($F$15=Datos!$AI$6,Datos!$C$9=Datos!$AI$10),IF(A128&gt;30000,P128,ROUND(P128*Datos!$J$18,Dins)),IF(AND($F$15=Datos!$AI$6,Datos!$C$9=Datos!$AI$9),IF(A128&gt;30000,Q128,ROUND(Q128*Datos!$J$18,Dins))))))</f>
        <v>0.5</v>
      </c>
      <c r="N128">
        <v>0.59</v>
      </c>
      <c r="O128">
        <f t="shared" si="9"/>
        <v>0.5</v>
      </c>
      <c r="P128">
        <f t="shared" si="10"/>
        <v>0.16</v>
      </c>
      <c r="Q128">
        <f t="shared" si="11"/>
        <v>0.14000000000000001</v>
      </c>
    </row>
    <row r="129" spans="1:17" x14ac:dyDescent="0.2">
      <c r="A129">
        <v>30076</v>
      </c>
      <c r="B129">
        <v>72</v>
      </c>
      <c r="C129" t="s">
        <v>6</v>
      </c>
      <c r="D129" t="s">
        <v>483</v>
      </c>
      <c r="E129" s="3" t="s">
        <v>167</v>
      </c>
      <c r="F129">
        <f>IF(AND($F$15=Datos!$AI$5,Datos!$C$9=Datos!$AI$10),IF(A129&gt;30000,N129,ROUND(N129*Datos!$J$18,Dins)),IF(AND($F$15=Datos!$AI$5,Datos!$C$9=Datos!$AI$9),IF(A129&gt;30000,O129,ROUND(O129*Datos!$J$18,Dins)),IF(AND($F$15=Datos!$AI$6,Datos!$C$9=Datos!$AI$10),IF(A129&gt;30000,P129,ROUND(P129*Datos!$J$18,Dins)),IF(AND($F$15=Datos!$AI$6,Datos!$C$9=Datos!$AI$9),IF(A129&gt;30000,Q129,ROUND(Q129*Datos!$J$18,Dins))))))</f>
        <v>0.7</v>
      </c>
      <c r="N129">
        <v>0.83</v>
      </c>
      <c r="O129">
        <f t="shared" si="9"/>
        <v>0.7</v>
      </c>
      <c r="P129">
        <f t="shared" si="10"/>
        <v>0.22</v>
      </c>
      <c r="Q129">
        <f t="shared" si="11"/>
        <v>0.19</v>
      </c>
    </row>
    <row r="130" spans="1:17" x14ac:dyDescent="0.2">
      <c r="A130">
        <v>30077</v>
      </c>
      <c r="B130">
        <v>73</v>
      </c>
      <c r="C130" t="s">
        <v>6</v>
      </c>
      <c r="D130" t="s">
        <v>484</v>
      </c>
      <c r="E130" s="3" t="s">
        <v>167</v>
      </c>
      <c r="F130">
        <f>IF(AND($F$15=Datos!$AI$5,Datos!$C$9=Datos!$AI$10),IF(A130&gt;30000,N130,ROUND(N130*Datos!$J$18,Dins)),IF(AND($F$15=Datos!$AI$5,Datos!$C$9=Datos!$AI$9),IF(A130&gt;30000,O130,ROUND(O130*Datos!$J$18,Dins)),IF(AND($F$15=Datos!$AI$6,Datos!$C$9=Datos!$AI$10),IF(A130&gt;30000,P130,ROUND(P130*Datos!$J$18,Dins)),IF(AND($F$15=Datos!$AI$6,Datos!$C$9=Datos!$AI$9),IF(A130&gt;30000,Q130,ROUND(Q130*Datos!$J$18,Dins))))))</f>
        <v>1.3</v>
      </c>
      <c r="N130">
        <v>1.53</v>
      </c>
      <c r="O130">
        <f t="shared" si="9"/>
        <v>1.3</v>
      </c>
      <c r="P130">
        <f t="shared" si="10"/>
        <v>0.41</v>
      </c>
      <c r="Q130">
        <f t="shared" si="11"/>
        <v>0.35</v>
      </c>
    </row>
    <row r="131" spans="1:17" x14ac:dyDescent="0.2">
      <c r="A131">
        <v>30078</v>
      </c>
      <c r="B131">
        <v>73</v>
      </c>
      <c r="C131" t="s">
        <v>6</v>
      </c>
      <c r="D131" t="s">
        <v>485</v>
      </c>
      <c r="E131" s="3" t="s">
        <v>167</v>
      </c>
      <c r="F131">
        <f>IF(AND($F$15=Datos!$AI$5,Datos!$C$9=Datos!$AI$10),IF(A131&gt;30000,N131,ROUND(N131*Datos!$J$18,Dins)),IF(AND($F$15=Datos!$AI$5,Datos!$C$9=Datos!$AI$9),IF(A131&gt;30000,O131,ROUND(O131*Datos!$J$18,Dins)),IF(AND($F$15=Datos!$AI$6,Datos!$C$9=Datos!$AI$10),IF(A131&gt;30000,P131,ROUND(P131*Datos!$J$18,Dins)),IF(AND($F$15=Datos!$AI$6,Datos!$C$9=Datos!$AI$9),IF(A131&gt;30000,Q131,ROUND(Q131*Datos!$J$18,Dins))))))</f>
        <v>1.6</v>
      </c>
      <c r="N131">
        <v>1.89</v>
      </c>
      <c r="O131">
        <f t="shared" si="9"/>
        <v>1.6</v>
      </c>
      <c r="P131">
        <f t="shared" si="10"/>
        <v>0.5</v>
      </c>
      <c r="Q131">
        <f t="shared" si="11"/>
        <v>0.42</v>
      </c>
    </row>
    <row r="132" spans="1:17" x14ac:dyDescent="0.2">
      <c r="A132">
        <v>30079</v>
      </c>
      <c r="B132">
        <v>30</v>
      </c>
      <c r="C132" t="s">
        <v>6</v>
      </c>
      <c r="D132" t="s">
        <v>486</v>
      </c>
      <c r="E132" s="3" t="s">
        <v>171</v>
      </c>
      <c r="F132">
        <f>IF(AND($F$15=Datos!$AI$5,Datos!$C$9=Datos!$AI$10),IF(A132&gt;30000,N132,ROUND(N132*Datos!$J$18,Dins)),IF(AND($F$15=Datos!$AI$5,Datos!$C$9=Datos!$AI$9),IF(A132&gt;30000,O132,ROUND(O132*Datos!$J$18,Dins)),IF(AND($F$15=Datos!$AI$6,Datos!$C$9=Datos!$AI$10),IF(A132&gt;30000,P132,ROUND(P132*Datos!$J$18,Dins)),IF(AND($F$15=Datos!$AI$6,Datos!$C$9=Datos!$AI$9),IF(A132&gt;30000,Q132,ROUND(Q132*Datos!$J$18,Dins))))))</f>
        <v>90</v>
      </c>
      <c r="N132">
        <v>106.2</v>
      </c>
      <c r="O132">
        <f t="shared" si="9"/>
        <v>90</v>
      </c>
      <c r="P132">
        <f t="shared" si="10"/>
        <v>28.32</v>
      </c>
      <c r="Q132">
        <f t="shared" si="11"/>
        <v>24</v>
      </c>
    </row>
    <row r="133" spans="1:17" x14ac:dyDescent="0.2">
      <c r="A133">
        <v>30080</v>
      </c>
      <c r="B133">
        <v>39</v>
      </c>
      <c r="C133" t="s">
        <v>6</v>
      </c>
      <c r="D133" t="s">
        <v>487</v>
      </c>
      <c r="E133" s="3" t="s">
        <v>167</v>
      </c>
      <c r="F133">
        <f>IF(AND($F$15=Datos!$AI$5,Datos!$C$9=Datos!$AI$10),IF(A133&gt;30000,N133,ROUND(N133*Datos!$J$18,Dins)),IF(AND($F$15=Datos!$AI$5,Datos!$C$9=Datos!$AI$9),IF(A133&gt;30000,O133,ROUND(O133*Datos!$J$18,Dins)),IF(AND($F$15=Datos!$AI$6,Datos!$C$9=Datos!$AI$10),IF(A133&gt;30000,P133,ROUND(P133*Datos!$J$18,Dins)),IF(AND($F$15=Datos!$AI$6,Datos!$C$9=Datos!$AI$9),IF(A133&gt;30000,Q133,ROUND(Q133*Datos!$J$18,Dins))))))</f>
        <v>0.3</v>
      </c>
      <c r="N133">
        <v>0.35</v>
      </c>
      <c r="O133">
        <f t="shared" si="9"/>
        <v>0.3</v>
      </c>
      <c r="P133">
        <f t="shared" si="10"/>
        <v>0.09</v>
      </c>
      <c r="Q133">
        <f t="shared" si="11"/>
        <v>0.08</v>
      </c>
    </row>
    <row r="134" spans="1:17" x14ac:dyDescent="0.2">
      <c r="A134">
        <v>30081</v>
      </c>
      <c r="B134">
        <v>12</v>
      </c>
      <c r="C134" t="s">
        <v>6</v>
      </c>
      <c r="D134" t="s">
        <v>488</v>
      </c>
      <c r="E134" s="3" t="s">
        <v>167</v>
      </c>
      <c r="F134">
        <f>IF(AND($F$15=Datos!$AI$5,Datos!$C$9=Datos!$AI$10),IF(A134&gt;30000,N134,ROUND(N134*Datos!$J$18,Dins)),IF(AND($F$15=Datos!$AI$5,Datos!$C$9=Datos!$AI$9),IF(A134&gt;30000,O134,ROUND(O134*Datos!$J$18,Dins)),IF(AND($F$15=Datos!$AI$6,Datos!$C$9=Datos!$AI$10),IF(A134&gt;30000,P134,ROUND(P134*Datos!$J$18,Dins)),IF(AND($F$15=Datos!$AI$6,Datos!$C$9=Datos!$AI$9),IF(A134&gt;30000,Q134,ROUND(Q134*Datos!$J$18,Dins))))))</f>
        <v>17.899999999999999</v>
      </c>
      <c r="N134">
        <v>21.12</v>
      </c>
      <c r="O134">
        <f t="shared" si="9"/>
        <v>17.899999999999999</v>
      </c>
      <c r="P134">
        <f t="shared" si="10"/>
        <v>5.63</v>
      </c>
      <c r="Q134">
        <f t="shared" si="11"/>
        <v>4.7699999999999996</v>
      </c>
    </row>
    <row r="135" spans="1:17" x14ac:dyDescent="0.2">
      <c r="A135">
        <v>30082</v>
      </c>
      <c r="B135">
        <v>12</v>
      </c>
      <c r="C135" t="s">
        <v>6</v>
      </c>
      <c r="D135" t="s">
        <v>489</v>
      </c>
      <c r="E135" s="3" t="s">
        <v>167</v>
      </c>
      <c r="F135">
        <f>IF(AND($F$15=Datos!$AI$5,Datos!$C$9=Datos!$AI$10),IF(A135&gt;30000,N135,ROUND(N135*Datos!$J$18,Dins)),IF(AND($F$15=Datos!$AI$5,Datos!$C$9=Datos!$AI$9),IF(A135&gt;30000,O135,ROUND(O135*Datos!$J$18,Dins)),IF(AND($F$15=Datos!$AI$6,Datos!$C$9=Datos!$AI$10),IF(A135&gt;30000,P135,ROUND(P135*Datos!$J$18,Dins)),IF(AND($F$15=Datos!$AI$6,Datos!$C$9=Datos!$AI$9),IF(A135&gt;30000,Q135,ROUND(Q135*Datos!$J$18,Dins))))))</f>
        <v>21.9</v>
      </c>
      <c r="N135">
        <v>25.84</v>
      </c>
      <c r="O135">
        <f t="shared" si="9"/>
        <v>21.9</v>
      </c>
      <c r="P135">
        <f t="shared" si="10"/>
        <v>6.89</v>
      </c>
      <c r="Q135">
        <f t="shared" si="11"/>
        <v>5.84</v>
      </c>
    </row>
    <row r="136" spans="1:17" x14ac:dyDescent="0.2">
      <c r="A136">
        <v>30083</v>
      </c>
      <c r="B136">
        <v>12</v>
      </c>
      <c r="C136" t="s">
        <v>6</v>
      </c>
      <c r="D136" t="s">
        <v>490</v>
      </c>
      <c r="E136" s="3" t="s">
        <v>167</v>
      </c>
      <c r="F136">
        <f>IF(AND($F$15=Datos!$AI$5,Datos!$C$9=Datos!$AI$10),IF(A136&gt;30000,N136,ROUND(N136*Datos!$J$18,Dins)),IF(AND($F$15=Datos!$AI$5,Datos!$C$9=Datos!$AI$9),IF(A136&gt;30000,O136,ROUND(O136*Datos!$J$18,Dins)),IF(AND($F$15=Datos!$AI$6,Datos!$C$9=Datos!$AI$10),IF(A136&gt;30000,P136,ROUND(P136*Datos!$J$18,Dins)),IF(AND($F$15=Datos!$AI$6,Datos!$C$9=Datos!$AI$9),IF(A136&gt;30000,Q136,ROUND(Q136*Datos!$J$18,Dins))))))</f>
        <v>21.9</v>
      </c>
      <c r="N136">
        <v>25.84</v>
      </c>
      <c r="O136">
        <f t="shared" si="9"/>
        <v>21.9</v>
      </c>
      <c r="P136">
        <f t="shared" si="10"/>
        <v>6.89</v>
      </c>
      <c r="Q136">
        <f t="shared" si="11"/>
        <v>5.84</v>
      </c>
    </row>
    <row r="137" spans="1:17" x14ac:dyDescent="0.2">
      <c r="A137">
        <v>30084</v>
      </c>
      <c r="B137">
        <v>12</v>
      </c>
      <c r="C137" t="s">
        <v>6</v>
      </c>
      <c r="D137" t="s">
        <v>491</v>
      </c>
      <c r="E137" s="3" t="s">
        <v>167</v>
      </c>
      <c r="F137">
        <f>IF(AND($F$15=Datos!$AI$5,Datos!$C$9=Datos!$AI$10),IF(A137&gt;30000,N137,ROUND(N137*Datos!$J$18,Dins)),IF(AND($F$15=Datos!$AI$5,Datos!$C$9=Datos!$AI$9),IF(A137&gt;30000,O137,ROUND(O137*Datos!$J$18,Dins)),IF(AND($F$15=Datos!$AI$6,Datos!$C$9=Datos!$AI$10),IF(A137&gt;30000,P137,ROUND(P137*Datos!$J$18,Dins)),IF(AND($F$15=Datos!$AI$6,Datos!$C$9=Datos!$AI$9),IF(A137&gt;30000,Q137,ROUND(Q137*Datos!$J$18,Dins))))))</f>
        <v>0.5</v>
      </c>
      <c r="N137">
        <v>0.59</v>
      </c>
      <c r="O137">
        <f t="shared" si="9"/>
        <v>0.5</v>
      </c>
      <c r="P137">
        <f t="shared" si="10"/>
        <v>0.16</v>
      </c>
      <c r="Q137">
        <f t="shared" si="11"/>
        <v>0.14000000000000001</v>
      </c>
    </row>
    <row r="138" spans="1:17" x14ac:dyDescent="0.2">
      <c r="A138">
        <v>30085</v>
      </c>
      <c r="B138">
        <v>12</v>
      </c>
      <c r="C138" t="s">
        <v>6</v>
      </c>
      <c r="D138" t="s">
        <v>492</v>
      </c>
      <c r="E138" s="3" t="s">
        <v>167</v>
      </c>
      <c r="F138">
        <f>IF(AND($F$15=Datos!$AI$5,Datos!$C$9=Datos!$AI$10),IF(A138&gt;30000,N138,ROUND(N138*Datos!$J$18,Dins)),IF(AND($F$15=Datos!$AI$5,Datos!$C$9=Datos!$AI$9),IF(A138&gt;30000,O138,ROUND(O138*Datos!$J$18,Dins)),IF(AND($F$15=Datos!$AI$6,Datos!$C$9=Datos!$AI$10),IF(A138&gt;30000,P138,ROUND(P138*Datos!$J$18,Dins)),IF(AND($F$15=Datos!$AI$6,Datos!$C$9=Datos!$AI$9),IF(A138&gt;30000,Q138,ROUND(Q138*Datos!$J$18,Dins))))))</f>
        <v>0.5</v>
      </c>
      <c r="N138">
        <v>0.59</v>
      </c>
      <c r="O138">
        <f t="shared" si="9"/>
        <v>0.5</v>
      </c>
      <c r="P138">
        <f t="shared" si="10"/>
        <v>0.16</v>
      </c>
      <c r="Q138">
        <f t="shared" si="11"/>
        <v>0.14000000000000001</v>
      </c>
    </row>
    <row r="139" spans="1:17" x14ac:dyDescent="0.2">
      <c r="A139">
        <v>30086</v>
      </c>
      <c r="B139">
        <v>12</v>
      </c>
      <c r="C139" t="s">
        <v>6</v>
      </c>
      <c r="D139" t="s">
        <v>493</v>
      </c>
      <c r="E139" s="3" t="s">
        <v>167</v>
      </c>
      <c r="F139">
        <f>IF(AND($F$15=Datos!$AI$5,Datos!$C$9=Datos!$AI$10),IF(A139&gt;30000,N139,ROUND(N139*Datos!$J$18,Dins)),IF(AND($F$15=Datos!$AI$5,Datos!$C$9=Datos!$AI$9),IF(A139&gt;30000,O139,ROUND(O139*Datos!$J$18,Dins)),IF(AND($F$15=Datos!$AI$6,Datos!$C$9=Datos!$AI$10),IF(A139&gt;30000,P139,ROUND(P139*Datos!$J$18,Dins)),IF(AND($F$15=Datos!$AI$6,Datos!$C$9=Datos!$AI$9),IF(A139&gt;30000,Q139,ROUND(Q139*Datos!$J$18,Dins))))))</f>
        <v>0.5</v>
      </c>
      <c r="N139">
        <v>0.59</v>
      </c>
      <c r="O139">
        <f t="shared" si="9"/>
        <v>0.5</v>
      </c>
      <c r="P139">
        <f t="shared" si="10"/>
        <v>0.16</v>
      </c>
      <c r="Q139">
        <f t="shared" si="11"/>
        <v>0.14000000000000001</v>
      </c>
    </row>
    <row r="140" spans="1:17" x14ac:dyDescent="0.2">
      <c r="A140">
        <v>30087</v>
      </c>
      <c r="B140">
        <v>12</v>
      </c>
      <c r="C140" t="s">
        <v>6</v>
      </c>
      <c r="D140" t="s">
        <v>494</v>
      </c>
      <c r="E140" s="3" t="s">
        <v>167</v>
      </c>
      <c r="F140">
        <f>IF(AND($F$15=Datos!$AI$5,Datos!$C$9=Datos!$AI$10),IF(A140&gt;30000,N140,ROUND(N140*Datos!$J$18,Dins)),IF(AND($F$15=Datos!$AI$5,Datos!$C$9=Datos!$AI$9),IF(A140&gt;30000,O140,ROUND(O140*Datos!$J$18,Dins)),IF(AND($F$15=Datos!$AI$6,Datos!$C$9=Datos!$AI$10),IF(A140&gt;30000,P140,ROUND(P140*Datos!$J$18,Dins)),IF(AND($F$15=Datos!$AI$6,Datos!$C$9=Datos!$AI$9),IF(A140&gt;30000,Q140,ROUND(Q140*Datos!$J$18,Dins))))))</f>
        <v>1</v>
      </c>
      <c r="N140">
        <v>1.18</v>
      </c>
      <c r="O140">
        <f t="shared" si="9"/>
        <v>1</v>
      </c>
      <c r="P140">
        <f t="shared" si="10"/>
        <v>0.31</v>
      </c>
      <c r="Q140">
        <f t="shared" si="11"/>
        <v>0.26</v>
      </c>
    </row>
    <row r="141" spans="1:17" x14ac:dyDescent="0.2">
      <c r="A141">
        <v>30088</v>
      </c>
      <c r="B141">
        <v>12</v>
      </c>
      <c r="C141" t="s">
        <v>6</v>
      </c>
      <c r="D141" t="s">
        <v>495</v>
      </c>
      <c r="E141" s="3" t="s">
        <v>167</v>
      </c>
      <c r="F141">
        <f>IF(AND($F$15=Datos!$AI$5,Datos!$C$9=Datos!$AI$10),IF(A141&gt;30000,N141,ROUND(N141*Datos!$J$18,Dins)),IF(AND($F$15=Datos!$AI$5,Datos!$C$9=Datos!$AI$9),IF(A141&gt;30000,O141,ROUND(O141*Datos!$J$18,Dins)),IF(AND($F$15=Datos!$AI$6,Datos!$C$9=Datos!$AI$10),IF(A141&gt;30000,P141,ROUND(P141*Datos!$J$18,Dins)),IF(AND($F$15=Datos!$AI$6,Datos!$C$9=Datos!$AI$9),IF(A141&gt;30000,Q141,ROUND(Q141*Datos!$J$18,Dins))))))</f>
        <v>2.1</v>
      </c>
      <c r="N141">
        <v>2.48</v>
      </c>
      <c r="O141">
        <f t="shared" si="9"/>
        <v>2.1</v>
      </c>
      <c r="P141">
        <f t="shared" si="10"/>
        <v>0.66</v>
      </c>
      <c r="Q141">
        <f t="shared" si="11"/>
        <v>0.56000000000000005</v>
      </c>
    </row>
    <row r="142" spans="1:17" x14ac:dyDescent="0.2">
      <c r="A142">
        <v>30089</v>
      </c>
      <c r="B142">
        <v>12</v>
      </c>
      <c r="C142" t="s">
        <v>6</v>
      </c>
      <c r="D142" t="s">
        <v>496</v>
      </c>
      <c r="E142" s="3" t="s">
        <v>167</v>
      </c>
      <c r="F142">
        <f>IF(AND($F$15=Datos!$AI$5,Datos!$C$9=Datos!$AI$10),IF(A142&gt;30000,N142,ROUND(N142*Datos!$J$18,Dins)),IF(AND($F$15=Datos!$AI$5,Datos!$C$9=Datos!$AI$9),IF(A142&gt;30000,O142,ROUND(O142*Datos!$J$18,Dins)),IF(AND($F$15=Datos!$AI$6,Datos!$C$9=Datos!$AI$10),IF(A142&gt;30000,P142,ROUND(P142*Datos!$J$18,Dins)),IF(AND($F$15=Datos!$AI$6,Datos!$C$9=Datos!$AI$9),IF(A142&gt;30000,Q142,ROUND(Q142*Datos!$J$18,Dins))))))</f>
        <v>2</v>
      </c>
      <c r="N142">
        <v>2.36</v>
      </c>
      <c r="O142">
        <f t="shared" si="9"/>
        <v>2</v>
      </c>
      <c r="P142">
        <f t="shared" si="10"/>
        <v>0.63</v>
      </c>
      <c r="Q142">
        <f t="shared" si="11"/>
        <v>0.53</v>
      </c>
    </row>
    <row r="143" spans="1:17" x14ac:dyDescent="0.2">
      <c r="A143">
        <v>30090</v>
      </c>
      <c r="B143">
        <v>50</v>
      </c>
      <c r="C143" t="s">
        <v>6</v>
      </c>
      <c r="D143" t="s">
        <v>497</v>
      </c>
      <c r="E143" s="3" t="s">
        <v>167</v>
      </c>
      <c r="F143">
        <f>IF(AND($F$15=Datos!$AI$5,Datos!$C$9=Datos!$AI$10),IF(A143&gt;30000,N143,ROUND(N143*Datos!$J$18,Dins)),IF(AND($F$15=Datos!$AI$5,Datos!$C$9=Datos!$AI$9),IF(A143&gt;30000,O143,ROUND(O143*Datos!$J$18,Dins)),IF(AND($F$15=Datos!$AI$6,Datos!$C$9=Datos!$AI$10),IF(A143&gt;30000,P143,ROUND(P143*Datos!$J$18,Dins)),IF(AND($F$15=Datos!$AI$6,Datos!$C$9=Datos!$AI$9),IF(A143&gt;30000,Q143,ROUND(Q143*Datos!$J$18,Dins))))))</f>
        <v>4</v>
      </c>
      <c r="N143">
        <v>4.72</v>
      </c>
      <c r="O143">
        <f t="shared" si="9"/>
        <v>4</v>
      </c>
      <c r="P143">
        <f t="shared" si="10"/>
        <v>1.26</v>
      </c>
      <c r="Q143">
        <f t="shared" si="11"/>
        <v>1.07</v>
      </c>
    </row>
    <row r="144" spans="1:17" x14ac:dyDescent="0.2">
      <c r="A144">
        <v>30091</v>
      </c>
      <c r="B144">
        <v>7</v>
      </c>
      <c r="C144" t="s">
        <v>6</v>
      </c>
      <c r="D144" t="s">
        <v>498</v>
      </c>
      <c r="E144" s="3" t="s">
        <v>356</v>
      </c>
      <c r="F144">
        <f>IF(AND($F$15=Datos!$AI$5,Datos!$C$9=Datos!$AI$10),IF(A144&gt;30000,N144,ROUND(N144*Datos!$J$18,Dins)),IF(AND($F$15=Datos!$AI$5,Datos!$C$9=Datos!$AI$9),IF(A144&gt;30000,O144,ROUND(O144*Datos!$J$18,Dins)),IF(AND($F$15=Datos!$AI$6,Datos!$C$9=Datos!$AI$10),IF(A144&gt;30000,P144,ROUND(P144*Datos!$J$18,Dins)),IF(AND($F$15=Datos!$AI$6,Datos!$C$9=Datos!$AI$9),IF(A144&gt;30000,Q144,ROUND(Q144*Datos!$J$18,Dins))))))</f>
        <v>0.86</v>
      </c>
      <c r="N144">
        <v>1.01</v>
      </c>
      <c r="O144">
        <f t="shared" ref="O144:O175" si="12">IF(A144&gt;30000,ROUND(N144/$O$14,Dins),ROUND(N144,Dins))</f>
        <v>0.86</v>
      </c>
      <c r="P144">
        <f t="shared" ref="P144:P175" si="13">ROUND(N144/$P$14,Dins)</f>
        <v>0.27</v>
      </c>
      <c r="Q144">
        <f t="shared" ref="Q144:Q175" si="14">IF(A144&gt;30000,ROUND(P144/$Q$14,Dins),ROUND(P144,Dins))</f>
        <v>0.23</v>
      </c>
    </row>
    <row r="145" spans="1:17" x14ac:dyDescent="0.2">
      <c r="A145">
        <v>30092</v>
      </c>
      <c r="B145">
        <v>7</v>
      </c>
      <c r="C145" t="s">
        <v>6</v>
      </c>
      <c r="D145" t="s">
        <v>499</v>
      </c>
      <c r="E145" s="3" t="s">
        <v>356</v>
      </c>
      <c r="F145">
        <f>IF(AND($F$15=Datos!$AI$5,Datos!$C$9=Datos!$AI$10),IF(A145&gt;30000,N145,ROUND(N145*Datos!$J$18,Dins)),IF(AND($F$15=Datos!$AI$5,Datos!$C$9=Datos!$AI$9),IF(A145&gt;30000,O145,ROUND(O145*Datos!$J$18,Dins)),IF(AND($F$15=Datos!$AI$6,Datos!$C$9=Datos!$AI$10),IF(A145&gt;30000,P145,ROUND(P145*Datos!$J$18,Dins)),IF(AND($F$15=Datos!$AI$6,Datos!$C$9=Datos!$AI$9),IF(A145&gt;30000,Q145,ROUND(Q145*Datos!$J$18,Dins))))))</f>
        <v>2.1</v>
      </c>
      <c r="N145">
        <v>2.48</v>
      </c>
      <c r="O145">
        <f t="shared" si="12"/>
        <v>2.1</v>
      </c>
      <c r="P145">
        <f t="shared" si="13"/>
        <v>0.66</v>
      </c>
      <c r="Q145">
        <f t="shared" si="14"/>
        <v>0.56000000000000005</v>
      </c>
    </row>
    <row r="146" spans="1:17" x14ac:dyDescent="0.2">
      <c r="A146">
        <v>30093</v>
      </c>
      <c r="B146">
        <v>12</v>
      </c>
      <c r="C146" t="s">
        <v>6</v>
      </c>
      <c r="D146" t="s">
        <v>504</v>
      </c>
      <c r="E146" s="3" t="s">
        <v>167</v>
      </c>
      <c r="F146">
        <f>IF(AND($F$15=Datos!$AI$5,Datos!$C$9=Datos!$AI$10),IF(A146&gt;30000,N146,ROUND(N146*Datos!$J$18,Dins)),IF(AND($F$15=Datos!$AI$5,Datos!$C$9=Datos!$AI$9),IF(A146&gt;30000,O146,ROUND(O146*Datos!$J$18,Dins)),IF(AND($F$15=Datos!$AI$6,Datos!$C$9=Datos!$AI$10),IF(A146&gt;30000,P146,ROUND(P146*Datos!$J$18,Dins)),IF(AND($F$15=Datos!$AI$6,Datos!$C$9=Datos!$AI$9),IF(A146&gt;30000,Q146,ROUND(Q146*Datos!$J$18,Dins))))))</f>
        <v>21.9</v>
      </c>
      <c r="N146">
        <v>25.84</v>
      </c>
      <c r="O146">
        <f t="shared" si="12"/>
        <v>21.9</v>
      </c>
      <c r="P146">
        <f t="shared" si="13"/>
        <v>6.89</v>
      </c>
      <c r="Q146">
        <f t="shared" si="14"/>
        <v>5.84</v>
      </c>
    </row>
    <row r="147" spans="1:17" x14ac:dyDescent="0.2">
      <c r="A147">
        <v>30094</v>
      </c>
      <c r="B147">
        <v>12</v>
      </c>
      <c r="C147" t="s">
        <v>6</v>
      </c>
      <c r="D147" t="s">
        <v>505</v>
      </c>
      <c r="E147" s="3" t="s">
        <v>167</v>
      </c>
      <c r="F147">
        <f>IF(AND($F$15=Datos!$AI$5,Datos!$C$9=Datos!$AI$10),IF(A147&gt;30000,N147,ROUND(N147*Datos!$J$18,Dins)),IF(AND($F$15=Datos!$AI$5,Datos!$C$9=Datos!$AI$9),IF(A147&gt;30000,O147,ROUND(O147*Datos!$J$18,Dins)),IF(AND($F$15=Datos!$AI$6,Datos!$C$9=Datos!$AI$10),IF(A147&gt;30000,P147,ROUND(P147*Datos!$J$18,Dins)),IF(AND($F$15=Datos!$AI$6,Datos!$C$9=Datos!$AI$9),IF(A147&gt;30000,Q147,ROUND(Q147*Datos!$J$18,Dins))))))</f>
        <v>0.5</v>
      </c>
      <c r="N147">
        <v>0.59</v>
      </c>
      <c r="O147">
        <f t="shared" si="12"/>
        <v>0.5</v>
      </c>
      <c r="P147">
        <f t="shared" si="13"/>
        <v>0.16</v>
      </c>
      <c r="Q147">
        <f t="shared" si="14"/>
        <v>0.14000000000000001</v>
      </c>
    </row>
    <row r="148" spans="1:17" x14ac:dyDescent="0.2">
      <c r="A148">
        <v>30095</v>
      </c>
      <c r="B148">
        <v>12</v>
      </c>
      <c r="C148" t="s">
        <v>6</v>
      </c>
      <c r="D148" t="s">
        <v>506</v>
      </c>
      <c r="E148" s="3" t="s">
        <v>167</v>
      </c>
      <c r="F148">
        <f>IF(AND($F$15=Datos!$AI$5,Datos!$C$9=Datos!$AI$10),IF(A148&gt;30000,N148,ROUND(N148*Datos!$J$18,Dins)),IF(AND($F$15=Datos!$AI$5,Datos!$C$9=Datos!$AI$9),IF(A148&gt;30000,O148,ROUND(O148*Datos!$J$18,Dins)),IF(AND($F$15=Datos!$AI$6,Datos!$C$9=Datos!$AI$10),IF(A148&gt;30000,P148,ROUND(P148*Datos!$J$18,Dins)),IF(AND($F$15=Datos!$AI$6,Datos!$C$9=Datos!$AI$9),IF(A148&gt;30000,Q148,ROUND(Q148*Datos!$J$18,Dins))))))</f>
        <v>15</v>
      </c>
      <c r="N148">
        <v>17.7</v>
      </c>
      <c r="O148">
        <f t="shared" si="12"/>
        <v>15</v>
      </c>
      <c r="P148">
        <f t="shared" si="13"/>
        <v>4.72</v>
      </c>
      <c r="Q148">
        <f t="shared" si="14"/>
        <v>4</v>
      </c>
    </row>
    <row r="149" spans="1:17" x14ac:dyDescent="0.2">
      <c r="A149">
        <v>30096</v>
      </c>
      <c r="B149">
        <v>50</v>
      </c>
      <c r="C149" t="s">
        <v>6</v>
      </c>
      <c r="D149" t="s">
        <v>507</v>
      </c>
      <c r="E149" s="3" t="s">
        <v>167</v>
      </c>
      <c r="F149">
        <f>IF(AND($F$15=Datos!$AI$5,Datos!$C$9=Datos!$AI$10),IF(A149&gt;30000,N149,ROUND(N149*Datos!$J$18,Dins)),IF(AND($F$15=Datos!$AI$5,Datos!$C$9=Datos!$AI$9),IF(A149&gt;30000,O149,ROUND(O149*Datos!$J$18,Dins)),IF(AND($F$15=Datos!$AI$6,Datos!$C$9=Datos!$AI$10),IF(A149&gt;30000,P149,ROUND(P149*Datos!$J$18,Dins)),IF(AND($F$15=Datos!$AI$6,Datos!$C$9=Datos!$AI$9),IF(A149&gt;30000,Q149,ROUND(Q149*Datos!$J$18,Dins))))))</f>
        <v>4</v>
      </c>
      <c r="N149">
        <v>4.72</v>
      </c>
      <c r="O149">
        <f t="shared" si="12"/>
        <v>4</v>
      </c>
      <c r="P149">
        <f t="shared" si="13"/>
        <v>1.26</v>
      </c>
      <c r="Q149">
        <f t="shared" si="14"/>
        <v>1.07</v>
      </c>
    </row>
    <row r="150" spans="1:17" x14ac:dyDescent="0.2">
      <c r="A150">
        <v>30097</v>
      </c>
      <c r="B150">
        <v>12</v>
      </c>
      <c r="C150" t="s">
        <v>6</v>
      </c>
      <c r="D150" t="s">
        <v>510</v>
      </c>
      <c r="E150" s="3" t="s">
        <v>167</v>
      </c>
      <c r="F150">
        <f>IF(AND($F$15=Datos!$AI$5,Datos!$C$9=Datos!$AI$10),IF(A150&gt;30000,N150,ROUND(N150*Datos!$J$18,Dins)),IF(AND($F$15=Datos!$AI$5,Datos!$C$9=Datos!$AI$9),IF(A150&gt;30000,O150,ROUND(O150*Datos!$J$18,Dins)),IF(AND($F$15=Datos!$AI$6,Datos!$C$9=Datos!$AI$10),IF(A150&gt;30000,P150,ROUND(P150*Datos!$J$18,Dins)),IF(AND($F$15=Datos!$AI$6,Datos!$C$9=Datos!$AI$9),IF(A150&gt;30000,Q150,ROUND(Q150*Datos!$J$18,Dins))))))</f>
        <v>21.9</v>
      </c>
      <c r="N150">
        <v>25.84</v>
      </c>
      <c r="O150">
        <f t="shared" si="12"/>
        <v>21.9</v>
      </c>
      <c r="P150">
        <f t="shared" si="13"/>
        <v>6.89</v>
      </c>
      <c r="Q150">
        <f t="shared" si="14"/>
        <v>5.84</v>
      </c>
    </row>
    <row r="151" spans="1:17" x14ac:dyDescent="0.2">
      <c r="A151">
        <v>30098</v>
      </c>
      <c r="B151">
        <v>30</v>
      </c>
      <c r="C151" t="s">
        <v>6</v>
      </c>
      <c r="D151" t="s">
        <v>513</v>
      </c>
      <c r="E151" s="3" t="s">
        <v>173</v>
      </c>
      <c r="F151">
        <f>IF(AND($F$15=Datos!$AI$5,Datos!$C$9=Datos!$AI$10),IF(A151&gt;30000,N151,ROUND(N151*Datos!$J$18,Dins)),IF(AND($F$15=Datos!$AI$5,Datos!$C$9=Datos!$AI$9),IF(A151&gt;30000,O151,ROUND(O151*Datos!$J$18,Dins)),IF(AND($F$15=Datos!$AI$6,Datos!$C$9=Datos!$AI$10),IF(A151&gt;30000,P151,ROUND(P151*Datos!$J$18,Dins)),IF(AND($F$15=Datos!$AI$6,Datos!$C$9=Datos!$AI$9),IF(A151&gt;30000,Q151,ROUND(Q151*Datos!$J$18,Dins))))))</f>
        <v>60</v>
      </c>
      <c r="N151">
        <v>70.8</v>
      </c>
      <c r="O151">
        <f t="shared" si="12"/>
        <v>60</v>
      </c>
      <c r="P151">
        <f t="shared" si="13"/>
        <v>18.88</v>
      </c>
      <c r="Q151">
        <f t="shared" si="14"/>
        <v>16</v>
      </c>
    </row>
    <row r="152" spans="1:17" x14ac:dyDescent="0.2">
      <c r="A152">
        <v>30099</v>
      </c>
      <c r="B152">
        <v>7</v>
      </c>
      <c r="C152" t="s">
        <v>6</v>
      </c>
      <c r="D152" t="s">
        <v>516</v>
      </c>
      <c r="E152" s="3" t="s">
        <v>356</v>
      </c>
      <c r="F152">
        <f>IF(AND($F$15=Datos!$AI$5,Datos!$C$9=Datos!$AI$10),IF(A152&gt;30000,N152,ROUND(N152*Datos!$J$18,Dins)),IF(AND($F$15=Datos!$AI$5,Datos!$C$9=Datos!$AI$9),IF(A152&gt;30000,O152,ROUND(O152*Datos!$J$18,Dins)),IF(AND($F$15=Datos!$AI$6,Datos!$C$9=Datos!$AI$10),IF(A152&gt;30000,P152,ROUND(P152*Datos!$J$18,Dins)),IF(AND($F$15=Datos!$AI$6,Datos!$C$9=Datos!$AI$9),IF(A152&gt;30000,Q152,ROUND(Q152*Datos!$J$18,Dins))))))</f>
        <v>1.98</v>
      </c>
      <c r="N152">
        <v>2.34</v>
      </c>
      <c r="O152">
        <f t="shared" si="12"/>
        <v>1.98</v>
      </c>
      <c r="P152">
        <f t="shared" si="13"/>
        <v>0.62</v>
      </c>
      <c r="Q152">
        <f t="shared" si="14"/>
        <v>0.53</v>
      </c>
    </row>
    <row r="153" spans="1:17" x14ac:dyDescent="0.2">
      <c r="A153">
        <v>30100</v>
      </c>
      <c r="B153">
        <v>7</v>
      </c>
      <c r="C153" t="s">
        <v>6</v>
      </c>
      <c r="D153" t="s">
        <v>518</v>
      </c>
      <c r="E153" s="3" t="s">
        <v>356</v>
      </c>
      <c r="F153">
        <f>IF(AND($F$15=Datos!$AI$5,Datos!$C$9=Datos!$AI$10),IF(A153&gt;30000,N153,ROUND(N153*Datos!$J$18,Dins)),IF(AND($F$15=Datos!$AI$5,Datos!$C$9=Datos!$AI$9),IF(A153&gt;30000,O153,ROUND(O153*Datos!$J$18,Dins)),IF(AND($F$15=Datos!$AI$6,Datos!$C$9=Datos!$AI$10),IF(A153&gt;30000,P153,ROUND(P153*Datos!$J$18,Dins)),IF(AND($F$15=Datos!$AI$6,Datos!$C$9=Datos!$AI$9),IF(A153&gt;30000,Q153,ROUND(Q153*Datos!$J$18,Dins))))))</f>
        <v>2.1</v>
      </c>
      <c r="N153">
        <v>2.48</v>
      </c>
      <c r="O153">
        <f t="shared" si="12"/>
        <v>2.1</v>
      </c>
      <c r="P153">
        <f t="shared" si="13"/>
        <v>0.66</v>
      </c>
      <c r="Q153">
        <f t="shared" si="14"/>
        <v>0.56000000000000005</v>
      </c>
    </row>
    <row r="154" spans="1:17" x14ac:dyDescent="0.2">
      <c r="A154">
        <v>30101</v>
      </c>
      <c r="B154">
        <v>7</v>
      </c>
      <c r="C154" t="s">
        <v>6</v>
      </c>
      <c r="D154" t="s">
        <v>520</v>
      </c>
      <c r="E154" s="3" t="s">
        <v>356</v>
      </c>
      <c r="F154">
        <f>IF(AND($F$15=Datos!$AI$5,Datos!$C$9=Datos!$AI$10),IF(A154&gt;30000,N154,ROUND(N154*Datos!$J$18,Dins)),IF(AND($F$15=Datos!$AI$5,Datos!$C$9=Datos!$AI$9),IF(A154&gt;30000,O154,ROUND(O154*Datos!$J$18,Dins)),IF(AND($F$15=Datos!$AI$6,Datos!$C$9=Datos!$AI$10),IF(A154&gt;30000,P154,ROUND(P154*Datos!$J$18,Dins)),IF(AND($F$15=Datos!$AI$6,Datos!$C$9=Datos!$AI$9),IF(A154&gt;30000,Q154,ROUND(Q154*Datos!$J$18,Dins))))))</f>
        <v>0.86</v>
      </c>
      <c r="N154">
        <v>1.01</v>
      </c>
      <c r="O154">
        <f t="shared" si="12"/>
        <v>0.86</v>
      </c>
      <c r="P154">
        <f t="shared" si="13"/>
        <v>0.27</v>
      </c>
      <c r="Q154">
        <f t="shared" si="14"/>
        <v>0.23</v>
      </c>
    </row>
    <row r="155" spans="1:17" x14ac:dyDescent="0.2">
      <c r="A155">
        <v>30102</v>
      </c>
      <c r="B155">
        <v>12</v>
      </c>
      <c r="C155" t="s">
        <v>6</v>
      </c>
      <c r="D155" t="s">
        <v>523</v>
      </c>
      <c r="E155" s="3" t="s">
        <v>167</v>
      </c>
      <c r="F155">
        <f>IF(AND($F$15=Datos!$AI$5,Datos!$C$9=Datos!$AI$10),IF(A155&gt;30000,N155,ROUND(N155*Datos!$J$18,Dins)),IF(AND($F$15=Datos!$AI$5,Datos!$C$9=Datos!$AI$9),IF(A155&gt;30000,O155,ROUND(O155*Datos!$J$18,Dins)),IF(AND($F$15=Datos!$AI$6,Datos!$C$9=Datos!$AI$10),IF(A155&gt;30000,P155,ROUND(P155*Datos!$J$18,Dins)),IF(AND($F$15=Datos!$AI$6,Datos!$C$9=Datos!$AI$9),IF(A155&gt;30000,Q155,ROUND(Q155*Datos!$J$18,Dins))))))</f>
        <v>149.9</v>
      </c>
      <c r="N155">
        <v>176.88</v>
      </c>
      <c r="O155">
        <f t="shared" si="12"/>
        <v>149.9</v>
      </c>
      <c r="P155">
        <f t="shared" si="13"/>
        <v>47.17</v>
      </c>
      <c r="Q155">
        <f t="shared" si="14"/>
        <v>39.97</v>
      </c>
    </row>
    <row r="156" spans="1:17" x14ac:dyDescent="0.2">
      <c r="A156">
        <v>80010</v>
      </c>
      <c r="B156">
        <v>47</v>
      </c>
      <c r="C156" t="s">
        <v>89</v>
      </c>
      <c r="D156" t="s">
        <v>524</v>
      </c>
      <c r="E156" s="3" t="s">
        <v>167</v>
      </c>
      <c r="F156">
        <f>IF(AND($F$15=Datos!$AI$5,Datos!$C$9=Datos!$AI$10),IF(A156&gt;30000,N156,ROUND(N156*Datos!$J$18,Dins)),IF(AND($F$15=Datos!$AI$5,Datos!$C$9=Datos!$AI$9),IF(A156&gt;30000,O156,ROUND(O156*Datos!$J$18,Dins)),IF(AND($F$15=Datos!$AI$6,Datos!$C$9=Datos!$AI$10),IF(A156&gt;30000,P156,ROUND(P156*Datos!$J$18,Dins)),IF(AND($F$15=Datos!$AI$6,Datos!$C$9=Datos!$AI$9),IF(A156&gt;30000,Q156,ROUND(Q156*Datos!$J$18,Dins))))))</f>
        <v>40</v>
      </c>
      <c r="N156">
        <v>47.2</v>
      </c>
      <c r="O156">
        <f t="shared" si="12"/>
        <v>40</v>
      </c>
      <c r="P156">
        <f t="shared" si="13"/>
        <v>12.59</v>
      </c>
      <c r="Q156">
        <f t="shared" si="14"/>
        <v>10.67</v>
      </c>
    </row>
    <row r="157" spans="1:17" x14ac:dyDescent="0.2">
      <c r="A157">
        <v>80011</v>
      </c>
      <c r="B157">
        <v>39</v>
      </c>
      <c r="C157" t="s">
        <v>89</v>
      </c>
      <c r="D157" t="s">
        <v>526</v>
      </c>
      <c r="E157" s="3" t="s">
        <v>167</v>
      </c>
      <c r="F157">
        <f>IF(AND($F$15=Datos!$AI$5,Datos!$C$9=Datos!$AI$10),IF(A157&gt;30000,N157,ROUND(N157*Datos!$J$18,Dins)),IF(AND($F$15=Datos!$AI$5,Datos!$C$9=Datos!$AI$9),IF(A157&gt;30000,O157,ROUND(O157*Datos!$J$18,Dins)),IF(AND($F$15=Datos!$AI$6,Datos!$C$9=Datos!$AI$10),IF(A157&gt;30000,P157,ROUND(P157*Datos!$J$18,Dins)),IF(AND($F$15=Datos!$AI$6,Datos!$C$9=Datos!$AI$9),IF(A157&gt;30000,Q157,ROUND(Q157*Datos!$J$18,Dins))))))</f>
        <v>800</v>
      </c>
      <c r="N157">
        <v>944</v>
      </c>
      <c r="O157">
        <f t="shared" si="12"/>
        <v>800</v>
      </c>
      <c r="P157">
        <f t="shared" si="13"/>
        <v>251.73</v>
      </c>
      <c r="Q157">
        <f t="shared" si="14"/>
        <v>213.33</v>
      </c>
    </row>
    <row r="158" spans="1:17" x14ac:dyDescent="0.2">
      <c r="A158">
        <v>30103</v>
      </c>
      <c r="B158">
        <v>72</v>
      </c>
      <c r="C158" t="s">
        <v>6</v>
      </c>
      <c r="D158" t="s">
        <v>533</v>
      </c>
      <c r="E158" s="3" t="s">
        <v>356</v>
      </c>
      <c r="F158">
        <f>IF(AND($F$15=Datos!$AI$5,Datos!$C$9=Datos!$AI$10),IF(A158&gt;30000,N158,ROUND(N158*Datos!$J$18,Dins)),IF(AND($F$15=Datos!$AI$5,Datos!$C$9=Datos!$AI$9),IF(A158&gt;30000,O158,ROUND(O158*Datos!$J$18,Dins)),IF(AND($F$15=Datos!$AI$6,Datos!$C$9=Datos!$AI$10),IF(A158&gt;30000,P158,ROUND(P158*Datos!$J$18,Dins)),IF(AND($F$15=Datos!$AI$6,Datos!$C$9=Datos!$AI$9),IF(A158&gt;30000,Q158,ROUND(Q158*Datos!$J$18,Dins))))))</f>
        <v>3</v>
      </c>
      <c r="N158">
        <v>3.54</v>
      </c>
      <c r="O158">
        <f t="shared" si="12"/>
        <v>3</v>
      </c>
      <c r="P158">
        <f t="shared" si="13"/>
        <v>0.94</v>
      </c>
      <c r="Q158">
        <f t="shared" si="14"/>
        <v>0.8</v>
      </c>
    </row>
    <row r="159" spans="1:17" x14ac:dyDescent="0.2">
      <c r="A159">
        <v>30104</v>
      </c>
      <c r="B159">
        <v>72</v>
      </c>
      <c r="C159" t="s">
        <v>6</v>
      </c>
      <c r="D159" t="s">
        <v>534</v>
      </c>
      <c r="E159" s="3" t="s">
        <v>167</v>
      </c>
      <c r="F159">
        <f>IF(AND($F$15=Datos!$AI$5,Datos!$C$9=Datos!$AI$10),IF(A159&gt;30000,N159,ROUND(N159*Datos!$J$18,Dins)),IF(AND($F$15=Datos!$AI$5,Datos!$C$9=Datos!$AI$9),IF(A159&gt;30000,O159,ROUND(O159*Datos!$J$18,Dins)),IF(AND($F$15=Datos!$AI$6,Datos!$C$9=Datos!$AI$10),IF(A159&gt;30000,P159,ROUND(P159*Datos!$J$18,Dins)),IF(AND($F$15=Datos!$AI$6,Datos!$C$9=Datos!$AI$9),IF(A159&gt;30000,Q159,ROUND(Q159*Datos!$J$18,Dins))))))</f>
        <v>2.5</v>
      </c>
      <c r="N159">
        <v>2.95</v>
      </c>
      <c r="O159">
        <f t="shared" si="12"/>
        <v>2.5</v>
      </c>
      <c r="P159">
        <f t="shared" si="13"/>
        <v>0.79</v>
      </c>
      <c r="Q159">
        <f t="shared" si="14"/>
        <v>0.67</v>
      </c>
    </row>
    <row r="160" spans="1:17" x14ac:dyDescent="0.2">
      <c r="A160">
        <v>30105</v>
      </c>
      <c r="B160">
        <v>72</v>
      </c>
      <c r="C160" t="s">
        <v>6</v>
      </c>
      <c r="D160" t="s">
        <v>535</v>
      </c>
      <c r="E160" s="3" t="s">
        <v>167</v>
      </c>
      <c r="F160">
        <f>IF(AND($F$15=Datos!$AI$5,Datos!$C$9=Datos!$AI$10),IF(A160&gt;30000,N160,ROUND(N160*Datos!$J$18,Dins)),IF(AND($F$15=Datos!$AI$5,Datos!$C$9=Datos!$AI$9),IF(A160&gt;30000,O160,ROUND(O160*Datos!$J$18,Dins)),IF(AND($F$15=Datos!$AI$6,Datos!$C$9=Datos!$AI$10),IF(A160&gt;30000,P160,ROUND(P160*Datos!$J$18,Dins)),IF(AND($F$15=Datos!$AI$6,Datos!$C$9=Datos!$AI$9),IF(A160&gt;30000,Q160,ROUND(Q160*Datos!$J$18,Dins))))))</f>
        <v>3.3</v>
      </c>
      <c r="N160">
        <v>3.89</v>
      </c>
      <c r="O160">
        <f t="shared" si="12"/>
        <v>3.3</v>
      </c>
      <c r="P160">
        <f t="shared" si="13"/>
        <v>1.04</v>
      </c>
      <c r="Q160">
        <f t="shared" si="14"/>
        <v>0.88</v>
      </c>
    </row>
    <row r="161" spans="1:17" x14ac:dyDescent="0.2">
      <c r="A161">
        <v>30106</v>
      </c>
      <c r="B161">
        <v>72</v>
      </c>
      <c r="C161" t="s">
        <v>6</v>
      </c>
      <c r="D161" t="s">
        <v>536</v>
      </c>
      <c r="E161" s="3" t="s">
        <v>167</v>
      </c>
      <c r="F161">
        <f>IF(AND($F$15=Datos!$AI$5,Datos!$C$9=Datos!$AI$10),IF(A161&gt;30000,N161,ROUND(N161*Datos!$J$18,Dins)),IF(AND($F$15=Datos!$AI$5,Datos!$C$9=Datos!$AI$9),IF(A161&gt;30000,O161,ROUND(O161*Datos!$J$18,Dins)),IF(AND($F$15=Datos!$AI$6,Datos!$C$9=Datos!$AI$10),IF(A161&gt;30000,P161,ROUND(P161*Datos!$J$18,Dins)),IF(AND($F$15=Datos!$AI$6,Datos!$C$9=Datos!$AI$9),IF(A161&gt;30000,Q161,ROUND(Q161*Datos!$J$18,Dins))))))</f>
        <v>3.5</v>
      </c>
      <c r="N161">
        <v>4.13</v>
      </c>
      <c r="O161">
        <f t="shared" si="12"/>
        <v>3.5</v>
      </c>
      <c r="P161">
        <f t="shared" si="13"/>
        <v>1.1000000000000001</v>
      </c>
      <c r="Q161">
        <f t="shared" si="14"/>
        <v>0.93</v>
      </c>
    </row>
    <row r="162" spans="1:17" x14ac:dyDescent="0.2">
      <c r="A162">
        <v>30107</v>
      </c>
      <c r="B162">
        <v>72</v>
      </c>
      <c r="C162" t="s">
        <v>6</v>
      </c>
      <c r="D162" t="s">
        <v>539</v>
      </c>
      <c r="E162" s="3" t="s">
        <v>356</v>
      </c>
      <c r="F162">
        <f>IF(AND($F$15=Datos!$AI$5,Datos!$C$9=Datos!$AI$10),IF(A162&gt;30000,N162,ROUND(N162*Datos!$J$18,Dins)),IF(AND($F$15=Datos!$AI$5,Datos!$C$9=Datos!$AI$9),IF(A162&gt;30000,O162,ROUND(O162*Datos!$J$18,Dins)),IF(AND($F$15=Datos!$AI$6,Datos!$C$9=Datos!$AI$10),IF(A162&gt;30000,P162,ROUND(P162*Datos!$J$18,Dins)),IF(AND($F$15=Datos!$AI$6,Datos!$C$9=Datos!$AI$9),IF(A162&gt;30000,Q162,ROUND(Q162*Datos!$J$18,Dins))))))</f>
        <v>11</v>
      </c>
      <c r="N162">
        <v>12.98</v>
      </c>
      <c r="O162">
        <f t="shared" si="12"/>
        <v>11</v>
      </c>
      <c r="P162">
        <f t="shared" si="13"/>
        <v>3.46</v>
      </c>
      <c r="Q162">
        <f t="shared" si="14"/>
        <v>2.93</v>
      </c>
    </row>
    <row r="163" spans="1:17" x14ac:dyDescent="0.2">
      <c r="A163">
        <v>30108</v>
      </c>
      <c r="B163">
        <v>72</v>
      </c>
      <c r="C163" t="s">
        <v>6</v>
      </c>
      <c r="D163" t="s">
        <v>540</v>
      </c>
      <c r="E163" s="3" t="s">
        <v>167</v>
      </c>
      <c r="F163">
        <f>IF(AND($F$15=Datos!$AI$5,Datos!$C$9=Datos!$AI$10),IF(A163&gt;30000,N163,ROUND(N163*Datos!$J$18,Dins)),IF(AND($F$15=Datos!$AI$5,Datos!$C$9=Datos!$AI$9),IF(A163&gt;30000,O163,ROUND(O163*Datos!$J$18,Dins)),IF(AND($F$15=Datos!$AI$6,Datos!$C$9=Datos!$AI$10),IF(A163&gt;30000,P163,ROUND(P163*Datos!$J$18,Dins)),IF(AND($F$15=Datos!$AI$6,Datos!$C$9=Datos!$AI$9),IF(A163&gt;30000,Q163,ROUND(Q163*Datos!$J$18,Dins))))))</f>
        <v>8.8000000000000007</v>
      </c>
      <c r="N163">
        <v>10.38</v>
      </c>
      <c r="O163">
        <f t="shared" si="12"/>
        <v>8.8000000000000007</v>
      </c>
      <c r="P163">
        <f t="shared" si="13"/>
        <v>2.77</v>
      </c>
      <c r="Q163">
        <f t="shared" si="14"/>
        <v>2.35</v>
      </c>
    </row>
    <row r="164" spans="1:17" x14ac:dyDescent="0.2">
      <c r="A164">
        <v>30109</v>
      </c>
      <c r="B164">
        <v>72</v>
      </c>
      <c r="C164" t="s">
        <v>6</v>
      </c>
      <c r="D164" t="s">
        <v>541</v>
      </c>
      <c r="E164" s="3" t="s">
        <v>167</v>
      </c>
      <c r="F164">
        <f>IF(AND($F$15=Datos!$AI$5,Datos!$C$9=Datos!$AI$10),IF(A164&gt;30000,N164,ROUND(N164*Datos!$J$18,Dins)),IF(AND($F$15=Datos!$AI$5,Datos!$C$9=Datos!$AI$9),IF(A164&gt;30000,O164,ROUND(O164*Datos!$J$18,Dins)),IF(AND($F$15=Datos!$AI$6,Datos!$C$9=Datos!$AI$10),IF(A164&gt;30000,P164,ROUND(P164*Datos!$J$18,Dins)),IF(AND($F$15=Datos!$AI$6,Datos!$C$9=Datos!$AI$9),IF(A164&gt;30000,Q164,ROUND(Q164*Datos!$J$18,Dins))))))</f>
        <v>6.8</v>
      </c>
      <c r="N164">
        <v>8.02</v>
      </c>
      <c r="O164">
        <f t="shared" si="12"/>
        <v>6.8</v>
      </c>
      <c r="P164">
        <f t="shared" si="13"/>
        <v>2.14</v>
      </c>
      <c r="Q164">
        <f t="shared" si="14"/>
        <v>1.81</v>
      </c>
    </row>
    <row r="165" spans="1:17" x14ac:dyDescent="0.2">
      <c r="A165">
        <v>30110</v>
      </c>
      <c r="B165">
        <v>30</v>
      </c>
      <c r="C165" t="s">
        <v>6</v>
      </c>
      <c r="D165" t="s">
        <v>546</v>
      </c>
      <c r="E165" s="3" t="s">
        <v>167</v>
      </c>
      <c r="F165">
        <f>IF(AND($F$15=Datos!$AI$5,Datos!$C$9=Datos!$AI$10),IF(A165&gt;30000,N165,ROUND(N165*Datos!$J$18,Dins)),IF(AND($F$15=Datos!$AI$5,Datos!$C$9=Datos!$AI$9),IF(A165&gt;30000,O165,ROUND(O165*Datos!$J$18,Dins)),IF(AND($F$15=Datos!$AI$6,Datos!$C$9=Datos!$AI$10),IF(A165&gt;30000,P165,ROUND(P165*Datos!$J$18,Dins)),IF(AND($F$15=Datos!$AI$6,Datos!$C$9=Datos!$AI$9),IF(A165&gt;30000,Q165,ROUND(Q165*Datos!$J$18,Dins))))))</f>
        <v>28.9</v>
      </c>
      <c r="N165">
        <v>34.1</v>
      </c>
      <c r="O165">
        <f t="shared" si="12"/>
        <v>28.9</v>
      </c>
      <c r="P165">
        <f t="shared" si="13"/>
        <v>9.09</v>
      </c>
      <c r="Q165">
        <f t="shared" si="14"/>
        <v>7.7</v>
      </c>
    </row>
    <row r="166" spans="1:17" x14ac:dyDescent="0.2">
      <c r="A166">
        <v>30111</v>
      </c>
      <c r="B166">
        <v>72</v>
      </c>
      <c r="C166" t="s">
        <v>6</v>
      </c>
      <c r="D166" t="s">
        <v>551</v>
      </c>
      <c r="E166" s="3" t="s">
        <v>167</v>
      </c>
      <c r="F166">
        <f>IF(AND($F$15=Datos!$AI$5,Datos!$C$9=Datos!$AI$10),IF(A166&gt;30000,N166,ROUND(N166*Datos!$J$18,Dins)),IF(AND($F$15=Datos!$AI$5,Datos!$C$9=Datos!$AI$9),IF(A166&gt;30000,O166,ROUND(O166*Datos!$J$18,Dins)),IF(AND($F$15=Datos!$AI$6,Datos!$C$9=Datos!$AI$10),IF(A166&gt;30000,P166,ROUND(P166*Datos!$J$18,Dins)),IF(AND($F$15=Datos!$AI$6,Datos!$C$9=Datos!$AI$9),IF(A166&gt;30000,Q166,ROUND(Q166*Datos!$J$18,Dins))))))</f>
        <v>6</v>
      </c>
      <c r="N166">
        <v>7.08</v>
      </c>
      <c r="O166">
        <f t="shared" si="12"/>
        <v>6</v>
      </c>
      <c r="P166">
        <f t="shared" si="13"/>
        <v>1.89</v>
      </c>
      <c r="Q166">
        <f t="shared" si="14"/>
        <v>1.6</v>
      </c>
    </row>
    <row r="167" spans="1:17" x14ac:dyDescent="0.2">
      <c r="A167">
        <v>30112</v>
      </c>
      <c r="B167">
        <v>30</v>
      </c>
      <c r="C167" t="s">
        <v>6</v>
      </c>
      <c r="D167" t="s">
        <v>554</v>
      </c>
      <c r="E167" s="3" t="s">
        <v>167</v>
      </c>
      <c r="F167">
        <f>IF(AND($F$15=Datos!$AI$5,Datos!$C$9=Datos!$AI$10),IF(A167&gt;30000,N167,ROUND(N167*Datos!$J$18,Dins)),IF(AND($F$15=Datos!$AI$5,Datos!$C$9=Datos!$AI$9),IF(A167&gt;30000,O167,ROUND(O167*Datos!$J$18,Dins)),IF(AND($F$15=Datos!$AI$6,Datos!$C$9=Datos!$AI$10),IF(A167&gt;30000,P167,ROUND(P167*Datos!$J$18,Dins)),IF(AND($F$15=Datos!$AI$6,Datos!$C$9=Datos!$AI$9),IF(A167&gt;30000,Q167,ROUND(Q167*Datos!$J$18,Dins))))))</f>
        <v>18.600000000000001</v>
      </c>
      <c r="N167">
        <v>21.95</v>
      </c>
      <c r="O167">
        <f t="shared" si="12"/>
        <v>18.600000000000001</v>
      </c>
      <c r="P167">
        <f t="shared" si="13"/>
        <v>5.85</v>
      </c>
      <c r="Q167">
        <f t="shared" si="14"/>
        <v>4.96</v>
      </c>
    </row>
    <row r="168" spans="1:17" x14ac:dyDescent="0.2">
      <c r="A168">
        <v>30113</v>
      </c>
      <c r="B168">
        <v>31</v>
      </c>
      <c r="C168" t="s">
        <v>6</v>
      </c>
      <c r="D168" t="s">
        <v>557</v>
      </c>
      <c r="E168" s="3" t="s">
        <v>167</v>
      </c>
      <c r="F168">
        <f>IF(AND($F$15=Datos!$AI$5,Datos!$C$9=Datos!$AI$10),IF(A168&gt;30000,N168,ROUND(N168*Datos!$J$18,Dins)),IF(AND($F$15=Datos!$AI$5,Datos!$C$9=Datos!$AI$9),IF(A168&gt;30000,O168,ROUND(O168*Datos!$J$18,Dins)),IF(AND($F$15=Datos!$AI$6,Datos!$C$9=Datos!$AI$10),IF(A168&gt;30000,P168,ROUND(P168*Datos!$J$18,Dins)),IF(AND($F$15=Datos!$AI$6,Datos!$C$9=Datos!$AI$9),IF(A168&gt;30000,Q168,ROUND(Q168*Datos!$J$18,Dins))))))</f>
        <v>60</v>
      </c>
      <c r="N168">
        <v>70.8</v>
      </c>
      <c r="O168">
        <f t="shared" si="12"/>
        <v>60</v>
      </c>
      <c r="P168">
        <f t="shared" si="13"/>
        <v>18.88</v>
      </c>
      <c r="Q168">
        <f t="shared" si="14"/>
        <v>16</v>
      </c>
    </row>
    <row r="169" spans="1:17" x14ac:dyDescent="0.2">
      <c r="A169">
        <v>30114</v>
      </c>
      <c r="B169">
        <v>65</v>
      </c>
      <c r="C169" t="s">
        <v>6</v>
      </c>
      <c r="D169" t="s">
        <v>558</v>
      </c>
      <c r="E169" s="3" t="s">
        <v>167</v>
      </c>
      <c r="F169">
        <f>IF(AND($F$15=Datos!$AI$5,Datos!$C$9=Datos!$AI$10),IF(A169&gt;30000,N169,ROUND(N169*Datos!$J$18,Dins)),IF(AND($F$15=Datos!$AI$5,Datos!$C$9=Datos!$AI$9),IF(A169&gt;30000,O169,ROUND(O169*Datos!$J$18,Dins)),IF(AND($F$15=Datos!$AI$6,Datos!$C$9=Datos!$AI$10),IF(A169&gt;30000,P169,ROUND(P169*Datos!$J$18,Dins)),IF(AND($F$15=Datos!$AI$6,Datos!$C$9=Datos!$AI$9),IF(A169&gt;30000,Q169,ROUND(Q169*Datos!$J$18,Dins))))))</f>
        <v>58</v>
      </c>
      <c r="N169">
        <v>68.44</v>
      </c>
      <c r="O169">
        <f t="shared" si="12"/>
        <v>58</v>
      </c>
      <c r="P169">
        <f t="shared" si="13"/>
        <v>18.25</v>
      </c>
      <c r="Q169">
        <f t="shared" si="14"/>
        <v>15.47</v>
      </c>
    </row>
    <row r="170" spans="1:17" x14ac:dyDescent="0.2">
      <c r="A170">
        <v>30115</v>
      </c>
      <c r="B170">
        <v>65</v>
      </c>
      <c r="C170" t="s">
        <v>6</v>
      </c>
      <c r="D170" t="s">
        <v>559</v>
      </c>
      <c r="E170" s="3" t="s">
        <v>167</v>
      </c>
      <c r="F170">
        <f>IF(AND($F$15=Datos!$AI$5,Datos!$C$9=Datos!$AI$10),IF(A170&gt;30000,N170,ROUND(N170*Datos!$J$18,Dins)),IF(AND($F$15=Datos!$AI$5,Datos!$C$9=Datos!$AI$9),IF(A170&gt;30000,O170,ROUND(O170*Datos!$J$18,Dins)),IF(AND($F$15=Datos!$AI$6,Datos!$C$9=Datos!$AI$10),IF(A170&gt;30000,P170,ROUND(P170*Datos!$J$18,Dins)),IF(AND($F$15=Datos!$AI$6,Datos!$C$9=Datos!$AI$9),IF(A170&gt;30000,Q170,ROUND(Q170*Datos!$J$18,Dins))))))</f>
        <v>11.7</v>
      </c>
      <c r="N170">
        <v>13.81</v>
      </c>
      <c r="O170">
        <f t="shared" si="12"/>
        <v>11.7</v>
      </c>
      <c r="P170">
        <f t="shared" si="13"/>
        <v>3.68</v>
      </c>
      <c r="Q170">
        <f t="shared" si="14"/>
        <v>3.12</v>
      </c>
    </row>
    <row r="171" spans="1:17" x14ac:dyDescent="0.2">
      <c r="A171">
        <v>80012</v>
      </c>
      <c r="B171">
        <v>39</v>
      </c>
      <c r="C171" t="s">
        <v>89</v>
      </c>
      <c r="D171" t="s">
        <v>560</v>
      </c>
      <c r="E171" s="3" t="s">
        <v>167</v>
      </c>
      <c r="F171">
        <f>IF(AND($F$15=Datos!$AI$5,Datos!$C$9=Datos!$AI$10),IF(A171&gt;30000,N171,ROUND(N171*Datos!$J$18,Dins)),IF(AND($F$15=Datos!$AI$5,Datos!$C$9=Datos!$AI$9),IF(A171&gt;30000,O171,ROUND(O171*Datos!$J$18,Dins)),IF(AND($F$15=Datos!$AI$6,Datos!$C$9=Datos!$AI$10),IF(A171&gt;30000,P171,ROUND(P171*Datos!$J$18,Dins)),IF(AND($F$15=Datos!$AI$6,Datos!$C$9=Datos!$AI$9),IF(A171&gt;30000,Q171,ROUND(Q171*Datos!$J$18,Dins))))))</f>
        <v>100</v>
      </c>
      <c r="N171">
        <v>118</v>
      </c>
      <c r="O171">
        <f t="shared" si="12"/>
        <v>100</v>
      </c>
      <c r="P171">
        <f t="shared" si="13"/>
        <v>31.47</v>
      </c>
      <c r="Q171">
        <f t="shared" si="14"/>
        <v>26.67</v>
      </c>
    </row>
    <row r="172" spans="1:17" x14ac:dyDescent="0.2">
      <c r="A172">
        <v>30116</v>
      </c>
      <c r="B172">
        <v>72</v>
      </c>
      <c r="C172" t="s">
        <v>6</v>
      </c>
      <c r="D172" t="s">
        <v>563</v>
      </c>
      <c r="E172" s="3" t="s">
        <v>167</v>
      </c>
      <c r="F172">
        <f>IF(AND($F$15=Datos!$AI$5,Datos!$C$9=Datos!$AI$10),IF(A172&gt;30000,N172,ROUND(N172*Datos!$J$18,Dins)),IF(AND($F$15=Datos!$AI$5,Datos!$C$9=Datos!$AI$9),IF(A172&gt;30000,O172,ROUND(O172*Datos!$J$18,Dins)),IF(AND($F$15=Datos!$AI$6,Datos!$C$9=Datos!$AI$10),IF(A172&gt;30000,P172,ROUND(P172*Datos!$J$18,Dins)),IF(AND($F$15=Datos!$AI$6,Datos!$C$9=Datos!$AI$9),IF(A172&gt;30000,Q172,ROUND(Q172*Datos!$J$18,Dins))))))</f>
        <v>9.85</v>
      </c>
      <c r="N172">
        <v>11.62</v>
      </c>
      <c r="O172">
        <f t="shared" si="12"/>
        <v>9.85</v>
      </c>
      <c r="P172">
        <f t="shared" si="13"/>
        <v>3.1</v>
      </c>
      <c r="Q172">
        <f t="shared" si="14"/>
        <v>2.63</v>
      </c>
    </row>
    <row r="173" spans="1:17" x14ac:dyDescent="0.2">
      <c r="A173">
        <v>30117</v>
      </c>
      <c r="B173">
        <v>72</v>
      </c>
      <c r="C173" t="s">
        <v>6</v>
      </c>
      <c r="D173" t="s">
        <v>564</v>
      </c>
      <c r="E173" s="3" t="s">
        <v>167</v>
      </c>
      <c r="F173">
        <f>IF(AND($F$15=Datos!$AI$5,Datos!$C$9=Datos!$AI$10),IF(A173&gt;30000,N173,ROUND(N173*Datos!$J$18,Dins)),IF(AND($F$15=Datos!$AI$5,Datos!$C$9=Datos!$AI$9),IF(A173&gt;30000,O173,ROUND(O173*Datos!$J$18,Dins)),IF(AND($F$15=Datos!$AI$6,Datos!$C$9=Datos!$AI$10),IF(A173&gt;30000,P173,ROUND(P173*Datos!$J$18,Dins)),IF(AND($F$15=Datos!$AI$6,Datos!$C$9=Datos!$AI$9),IF(A173&gt;30000,Q173,ROUND(Q173*Datos!$J$18,Dins))))))</f>
        <v>4.75</v>
      </c>
      <c r="N173">
        <v>5.6</v>
      </c>
      <c r="O173">
        <f t="shared" si="12"/>
        <v>4.75</v>
      </c>
      <c r="P173">
        <f t="shared" si="13"/>
        <v>1.49</v>
      </c>
      <c r="Q173">
        <f t="shared" si="14"/>
        <v>1.26</v>
      </c>
    </row>
    <row r="174" spans="1:17" x14ac:dyDescent="0.2">
      <c r="A174">
        <v>30118</v>
      </c>
      <c r="B174">
        <v>72</v>
      </c>
      <c r="C174" t="s">
        <v>6</v>
      </c>
      <c r="D174" t="s">
        <v>565</v>
      </c>
      <c r="E174" s="3" t="s">
        <v>167</v>
      </c>
      <c r="F174">
        <f>IF(AND($F$15=Datos!$AI$5,Datos!$C$9=Datos!$AI$10),IF(A174&gt;30000,N174,ROUND(N174*Datos!$J$18,Dins)),IF(AND($F$15=Datos!$AI$5,Datos!$C$9=Datos!$AI$9),IF(A174&gt;30000,O174,ROUND(O174*Datos!$J$18,Dins)),IF(AND($F$15=Datos!$AI$6,Datos!$C$9=Datos!$AI$10),IF(A174&gt;30000,P174,ROUND(P174*Datos!$J$18,Dins)),IF(AND($F$15=Datos!$AI$6,Datos!$C$9=Datos!$AI$9),IF(A174&gt;30000,Q174,ROUND(Q174*Datos!$J$18,Dins))))))</f>
        <v>9.4499999999999993</v>
      </c>
      <c r="N174">
        <v>11.15</v>
      </c>
      <c r="O174">
        <f t="shared" si="12"/>
        <v>9.4499999999999993</v>
      </c>
      <c r="P174">
        <f t="shared" si="13"/>
        <v>2.97</v>
      </c>
      <c r="Q174">
        <f t="shared" si="14"/>
        <v>2.52</v>
      </c>
    </row>
    <row r="175" spans="1:17" x14ac:dyDescent="0.2">
      <c r="A175">
        <v>30119</v>
      </c>
      <c r="B175">
        <v>72</v>
      </c>
      <c r="C175" t="s">
        <v>6</v>
      </c>
      <c r="D175" t="s">
        <v>566</v>
      </c>
      <c r="E175" s="3" t="s">
        <v>167</v>
      </c>
      <c r="F175">
        <f>IF(AND($F$15=Datos!$AI$5,Datos!$C$9=Datos!$AI$10),IF(A175&gt;30000,N175,ROUND(N175*Datos!$J$18,Dins)),IF(AND($F$15=Datos!$AI$5,Datos!$C$9=Datos!$AI$9),IF(A175&gt;30000,O175,ROUND(O175*Datos!$J$18,Dins)),IF(AND($F$15=Datos!$AI$6,Datos!$C$9=Datos!$AI$10),IF(A175&gt;30000,P175,ROUND(P175*Datos!$J$18,Dins)),IF(AND($F$15=Datos!$AI$6,Datos!$C$9=Datos!$AI$9),IF(A175&gt;30000,Q175,ROUND(Q175*Datos!$J$18,Dins))))))</f>
        <v>8.5399999999999991</v>
      </c>
      <c r="N175">
        <v>10.08</v>
      </c>
      <c r="O175">
        <f t="shared" si="12"/>
        <v>8.5399999999999991</v>
      </c>
      <c r="P175">
        <f t="shared" si="13"/>
        <v>2.69</v>
      </c>
      <c r="Q175">
        <f t="shared" si="14"/>
        <v>2.2799999999999998</v>
      </c>
    </row>
    <row r="176" spans="1:17" x14ac:dyDescent="0.2">
      <c r="A176">
        <v>30120</v>
      </c>
      <c r="B176">
        <v>72</v>
      </c>
      <c r="C176" t="s">
        <v>6</v>
      </c>
      <c r="D176" t="s">
        <v>567</v>
      </c>
      <c r="E176" s="3" t="s">
        <v>167</v>
      </c>
      <c r="F176">
        <f>IF(AND($F$15=Datos!$AI$5,Datos!$C$9=Datos!$AI$10),IF(A176&gt;30000,N176,ROUND(N176*Datos!$J$18,Dins)),IF(AND($F$15=Datos!$AI$5,Datos!$C$9=Datos!$AI$9),IF(A176&gt;30000,O176,ROUND(O176*Datos!$J$18,Dins)),IF(AND($F$15=Datos!$AI$6,Datos!$C$9=Datos!$AI$10),IF(A176&gt;30000,P176,ROUND(P176*Datos!$J$18,Dins)),IF(AND($F$15=Datos!$AI$6,Datos!$C$9=Datos!$AI$9),IF(A176&gt;30000,Q176,ROUND(Q176*Datos!$J$18,Dins))))))</f>
        <v>11.85</v>
      </c>
      <c r="N176">
        <v>13.98</v>
      </c>
      <c r="O176">
        <f t="shared" ref="O176:O197" si="15">IF(A176&gt;30000,ROUND(N176/$O$14,Dins),ROUND(N176,Dins))</f>
        <v>11.85</v>
      </c>
      <c r="P176">
        <f t="shared" ref="P176:P197" si="16">ROUND(N176/$P$14,Dins)</f>
        <v>3.73</v>
      </c>
      <c r="Q176">
        <f t="shared" ref="Q176:Q197" si="17">IF(A176&gt;30000,ROUND(P176/$Q$14,Dins),ROUND(P176,Dins))</f>
        <v>3.16</v>
      </c>
    </row>
    <row r="177" spans="1:17" x14ac:dyDescent="0.2">
      <c r="A177">
        <v>30121</v>
      </c>
      <c r="B177">
        <v>72</v>
      </c>
      <c r="C177" t="s">
        <v>6</v>
      </c>
      <c r="D177" t="s">
        <v>568</v>
      </c>
      <c r="E177" s="3" t="s">
        <v>167</v>
      </c>
      <c r="F177">
        <f>IF(AND($F$15=Datos!$AI$5,Datos!$C$9=Datos!$AI$10),IF(A177&gt;30000,N177,ROUND(N177*Datos!$J$18,Dins)),IF(AND($F$15=Datos!$AI$5,Datos!$C$9=Datos!$AI$9),IF(A177&gt;30000,O177,ROUND(O177*Datos!$J$18,Dins)),IF(AND($F$15=Datos!$AI$6,Datos!$C$9=Datos!$AI$10),IF(A177&gt;30000,P177,ROUND(P177*Datos!$J$18,Dins)),IF(AND($F$15=Datos!$AI$6,Datos!$C$9=Datos!$AI$9),IF(A177&gt;30000,Q177,ROUND(Q177*Datos!$J$18,Dins))))))</f>
        <v>11.45</v>
      </c>
      <c r="N177">
        <v>13.51</v>
      </c>
      <c r="O177">
        <f t="shared" si="15"/>
        <v>11.45</v>
      </c>
      <c r="P177">
        <f t="shared" si="16"/>
        <v>3.6</v>
      </c>
      <c r="Q177">
        <f t="shared" si="17"/>
        <v>3.05</v>
      </c>
    </row>
    <row r="178" spans="1:17" x14ac:dyDescent="0.2">
      <c r="A178">
        <v>30122</v>
      </c>
      <c r="B178">
        <v>72</v>
      </c>
      <c r="C178" t="s">
        <v>6</v>
      </c>
      <c r="D178" t="s">
        <v>569</v>
      </c>
      <c r="E178" s="3" t="s">
        <v>167</v>
      </c>
      <c r="F178">
        <f>IF(AND($F$15=Datos!$AI$5,Datos!$C$9=Datos!$AI$10),IF(A178&gt;30000,N178,ROUND(N178*Datos!$J$18,Dins)),IF(AND($F$15=Datos!$AI$5,Datos!$C$9=Datos!$AI$9),IF(A178&gt;30000,O178,ROUND(O178*Datos!$J$18,Dins)),IF(AND($F$15=Datos!$AI$6,Datos!$C$9=Datos!$AI$10),IF(A178&gt;30000,P178,ROUND(P178*Datos!$J$18,Dins)),IF(AND($F$15=Datos!$AI$6,Datos!$C$9=Datos!$AI$9),IF(A178&gt;30000,Q178,ROUND(Q178*Datos!$J$18,Dins))))))</f>
        <v>6.75</v>
      </c>
      <c r="N178">
        <v>7.96</v>
      </c>
      <c r="O178">
        <f t="shared" si="15"/>
        <v>6.75</v>
      </c>
      <c r="P178">
        <f t="shared" si="16"/>
        <v>2.12</v>
      </c>
      <c r="Q178">
        <f t="shared" si="17"/>
        <v>1.8</v>
      </c>
    </row>
    <row r="179" spans="1:17" x14ac:dyDescent="0.2">
      <c r="A179">
        <v>30123</v>
      </c>
      <c r="B179">
        <v>72</v>
      </c>
      <c r="C179" t="s">
        <v>6</v>
      </c>
      <c r="D179" t="s">
        <v>570</v>
      </c>
      <c r="E179" s="3" t="s">
        <v>167</v>
      </c>
      <c r="F179">
        <f>IF(AND($F$15=Datos!$AI$5,Datos!$C$9=Datos!$AI$10),IF(A179&gt;30000,N179,ROUND(N179*Datos!$J$18,Dins)),IF(AND($F$15=Datos!$AI$5,Datos!$C$9=Datos!$AI$9),IF(A179&gt;30000,O179,ROUND(O179*Datos!$J$18,Dins)),IF(AND($F$15=Datos!$AI$6,Datos!$C$9=Datos!$AI$10),IF(A179&gt;30000,P179,ROUND(P179*Datos!$J$18,Dins)),IF(AND($F$15=Datos!$AI$6,Datos!$C$9=Datos!$AI$9),IF(A179&gt;30000,Q179,ROUND(Q179*Datos!$J$18,Dins))))))</f>
        <v>9.4499999999999993</v>
      </c>
      <c r="N179">
        <v>11.15</v>
      </c>
      <c r="O179">
        <f t="shared" si="15"/>
        <v>9.4499999999999993</v>
      </c>
      <c r="P179">
        <f t="shared" si="16"/>
        <v>2.97</v>
      </c>
      <c r="Q179">
        <f t="shared" si="17"/>
        <v>2.52</v>
      </c>
    </row>
    <row r="180" spans="1:17" x14ac:dyDescent="0.2">
      <c r="A180">
        <v>30124</v>
      </c>
      <c r="B180">
        <v>72</v>
      </c>
      <c r="C180" t="s">
        <v>6</v>
      </c>
      <c r="D180" t="s">
        <v>571</v>
      </c>
      <c r="E180" s="3" t="s">
        <v>167</v>
      </c>
      <c r="F180">
        <f>IF(AND($F$15=Datos!$AI$5,Datos!$C$9=Datos!$AI$10),IF(A180&gt;30000,N180,ROUND(N180*Datos!$J$18,Dins)),IF(AND($F$15=Datos!$AI$5,Datos!$C$9=Datos!$AI$9),IF(A180&gt;30000,O180,ROUND(O180*Datos!$J$18,Dins)),IF(AND($F$15=Datos!$AI$6,Datos!$C$9=Datos!$AI$10),IF(A180&gt;30000,P180,ROUND(P180*Datos!$J$18,Dins)),IF(AND($F$15=Datos!$AI$6,Datos!$C$9=Datos!$AI$9),IF(A180&gt;30000,Q180,ROUND(Q180*Datos!$J$18,Dins))))))</f>
        <v>4.75</v>
      </c>
      <c r="N180">
        <v>5.6</v>
      </c>
      <c r="O180">
        <f t="shared" si="15"/>
        <v>4.75</v>
      </c>
      <c r="P180">
        <f t="shared" si="16"/>
        <v>1.49</v>
      </c>
      <c r="Q180">
        <f t="shared" si="17"/>
        <v>1.26</v>
      </c>
    </row>
    <row r="181" spans="1:17" x14ac:dyDescent="0.2">
      <c r="A181">
        <v>30125</v>
      </c>
      <c r="B181">
        <v>68</v>
      </c>
      <c r="C181" t="s">
        <v>6</v>
      </c>
      <c r="D181" t="s">
        <v>572</v>
      </c>
      <c r="E181" s="3" t="s">
        <v>167</v>
      </c>
      <c r="F181">
        <f>IF(AND($F$15=Datos!$AI$5,Datos!$C$9=Datos!$AI$10),IF(A181&gt;30000,N181,ROUND(N181*Datos!$J$18,Dins)),IF(AND($F$15=Datos!$AI$5,Datos!$C$9=Datos!$AI$9),IF(A181&gt;30000,O181,ROUND(O181*Datos!$J$18,Dins)),IF(AND($F$15=Datos!$AI$6,Datos!$C$9=Datos!$AI$10),IF(A181&gt;30000,P181,ROUND(P181*Datos!$J$18,Dins)),IF(AND($F$15=Datos!$AI$6,Datos!$C$9=Datos!$AI$9),IF(A181&gt;30000,Q181,ROUND(Q181*Datos!$J$18,Dins))))))</f>
        <v>6.5</v>
      </c>
      <c r="N181">
        <v>7.67</v>
      </c>
      <c r="O181">
        <f t="shared" si="15"/>
        <v>6.5</v>
      </c>
      <c r="P181">
        <f t="shared" si="16"/>
        <v>2.0499999999999998</v>
      </c>
      <c r="Q181">
        <f t="shared" si="17"/>
        <v>1.74</v>
      </c>
    </row>
    <row r="182" spans="1:17" x14ac:dyDescent="0.2">
      <c r="A182">
        <v>30126</v>
      </c>
      <c r="B182">
        <v>30</v>
      </c>
      <c r="C182" t="s">
        <v>6</v>
      </c>
      <c r="D182" t="s">
        <v>573</v>
      </c>
      <c r="E182" s="3" t="s">
        <v>167</v>
      </c>
      <c r="F182">
        <f>IF(AND($F$15=Datos!$AI$5,Datos!$C$9=Datos!$AI$10),IF(A182&gt;30000,N182,ROUND(N182*Datos!$J$18,Dins)),IF(AND($F$15=Datos!$AI$5,Datos!$C$9=Datos!$AI$9),IF(A182&gt;30000,O182,ROUND(O182*Datos!$J$18,Dins)),IF(AND($F$15=Datos!$AI$6,Datos!$C$9=Datos!$AI$10),IF(A182&gt;30000,P182,ROUND(P182*Datos!$J$18,Dins)),IF(AND($F$15=Datos!$AI$6,Datos!$C$9=Datos!$AI$9),IF(A182&gt;30000,Q182,ROUND(Q182*Datos!$J$18,Dins))))))</f>
        <v>8.5</v>
      </c>
      <c r="N182">
        <v>10.029999999999999</v>
      </c>
      <c r="O182">
        <f t="shared" si="15"/>
        <v>8.5</v>
      </c>
      <c r="P182">
        <f t="shared" si="16"/>
        <v>2.67</v>
      </c>
      <c r="Q182">
        <f t="shared" si="17"/>
        <v>2.2599999999999998</v>
      </c>
    </row>
    <row r="183" spans="1:17" x14ac:dyDescent="0.2">
      <c r="A183">
        <v>30127</v>
      </c>
      <c r="B183">
        <v>72</v>
      </c>
      <c r="C183" t="s">
        <v>6</v>
      </c>
      <c r="D183" t="s">
        <v>578</v>
      </c>
      <c r="E183" s="3" t="s">
        <v>356</v>
      </c>
      <c r="F183">
        <f>IF(AND($F$15=Datos!$AI$5,Datos!$C$9=Datos!$AI$10),IF(A183&gt;30000,N183,ROUND(N183*Datos!$J$18,Dins)),IF(AND($F$15=Datos!$AI$5,Datos!$C$9=Datos!$AI$9),IF(A183&gt;30000,O183,ROUND(O183*Datos!$J$18,Dins)),IF(AND($F$15=Datos!$AI$6,Datos!$C$9=Datos!$AI$10),IF(A183&gt;30000,P183,ROUND(P183*Datos!$J$18,Dins)),IF(AND($F$15=Datos!$AI$6,Datos!$C$9=Datos!$AI$9),IF(A183&gt;30000,Q183,ROUND(Q183*Datos!$J$18,Dins))))))</f>
        <v>2.85</v>
      </c>
      <c r="N183">
        <v>3.36</v>
      </c>
      <c r="O183">
        <f t="shared" si="15"/>
        <v>2.85</v>
      </c>
      <c r="P183">
        <f t="shared" si="16"/>
        <v>0.9</v>
      </c>
      <c r="Q183">
        <f t="shared" si="17"/>
        <v>0.76</v>
      </c>
    </row>
    <row r="184" spans="1:17" x14ac:dyDescent="0.2">
      <c r="A184">
        <v>30128</v>
      </c>
      <c r="B184">
        <v>72</v>
      </c>
      <c r="C184" t="s">
        <v>6</v>
      </c>
      <c r="D184" t="s">
        <v>581</v>
      </c>
      <c r="E184" s="3" t="s">
        <v>356</v>
      </c>
      <c r="F184">
        <f>IF(AND($F$15=Datos!$AI$5,Datos!$C$9=Datos!$AI$10),IF(A184&gt;30000,N184,ROUND(N184*Datos!$J$18,Dins)),IF(AND($F$15=Datos!$AI$5,Datos!$C$9=Datos!$AI$9),IF(A184&gt;30000,O184,ROUND(O184*Datos!$J$18,Dins)),IF(AND($F$15=Datos!$AI$6,Datos!$C$9=Datos!$AI$10),IF(A184&gt;30000,P184,ROUND(P184*Datos!$J$18,Dins)),IF(AND($F$15=Datos!$AI$6,Datos!$C$9=Datos!$AI$9),IF(A184&gt;30000,Q184,ROUND(Q184*Datos!$J$18,Dins))))))</f>
        <v>3.45</v>
      </c>
      <c r="N184">
        <v>4.07</v>
      </c>
      <c r="O184">
        <f t="shared" si="15"/>
        <v>3.45</v>
      </c>
      <c r="P184">
        <f t="shared" si="16"/>
        <v>1.0900000000000001</v>
      </c>
      <c r="Q184">
        <f t="shared" si="17"/>
        <v>0.92</v>
      </c>
    </row>
    <row r="185" spans="1:17" x14ac:dyDescent="0.2">
      <c r="A185">
        <v>30129</v>
      </c>
      <c r="B185">
        <v>72</v>
      </c>
      <c r="C185" t="s">
        <v>6</v>
      </c>
      <c r="D185" t="s">
        <v>584</v>
      </c>
      <c r="E185" s="3" t="s">
        <v>356</v>
      </c>
      <c r="F185">
        <f>IF(AND($F$15=Datos!$AI$5,Datos!$C$9=Datos!$AI$10),IF(A185&gt;30000,N185,ROUND(N185*Datos!$J$18,Dins)),IF(AND($F$15=Datos!$AI$5,Datos!$C$9=Datos!$AI$9),IF(A185&gt;30000,O185,ROUND(O185*Datos!$J$18,Dins)),IF(AND($F$15=Datos!$AI$6,Datos!$C$9=Datos!$AI$10),IF(A185&gt;30000,P185,ROUND(P185*Datos!$J$18,Dins)),IF(AND($F$15=Datos!$AI$6,Datos!$C$9=Datos!$AI$9),IF(A185&gt;30000,Q185,ROUND(Q185*Datos!$J$18,Dins))))))</f>
        <v>3.75</v>
      </c>
      <c r="N185">
        <v>4.42</v>
      </c>
      <c r="O185">
        <f t="shared" si="15"/>
        <v>3.75</v>
      </c>
      <c r="P185">
        <f t="shared" si="16"/>
        <v>1.18</v>
      </c>
      <c r="Q185">
        <f t="shared" si="17"/>
        <v>1</v>
      </c>
    </row>
    <row r="186" spans="1:17" x14ac:dyDescent="0.2">
      <c r="A186">
        <v>30130</v>
      </c>
      <c r="B186">
        <v>72</v>
      </c>
      <c r="C186" t="s">
        <v>6</v>
      </c>
      <c r="D186" t="s">
        <v>587</v>
      </c>
      <c r="E186" s="3" t="s">
        <v>167</v>
      </c>
      <c r="F186">
        <f>IF(AND($F$15=Datos!$AI$5,Datos!$C$9=Datos!$AI$10),IF(A186&gt;30000,N186,ROUND(N186*Datos!$J$18,Dins)),IF(AND($F$15=Datos!$AI$5,Datos!$C$9=Datos!$AI$9),IF(A186&gt;30000,O186,ROUND(O186*Datos!$J$18,Dins)),IF(AND($F$15=Datos!$AI$6,Datos!$C$9=Datos!$AI$10),IF(A186&gt;30000,P186,ROUND(P186*Datos!$J$18,Dins)),IF(AND($F$15=Datos!$AI$6,Datos!$C$9=Datos!$AI$9),IF(A186&gt;30000,Q186,ROUND(Q186*Datos!$J$18,Dins))))))</f>
        <v>2.5</v>
      </c>
      <c r="N186">
        <v>2.95</v>
      </c>
      <c r="O186">
        <f t="shared" si="15"/>
        <v>2.5</v>
      </c>
      <c r="P186">
        <f t="shared" si="16"/>
        <v>0.79</v>
      </c>
      <c r="Q186">
        <f t="shared" si="17"/>
        <v>0.67</v>
      </c>
    </row>
    <row r="187" spans="1:17" x14ac:dyDescent="0.2">
      <c r="A187">
        <v>30131</v>
      </c>
      <c r="B187">
        <v>72</v>
      </c>
      <c r="C187" t="s">
        <v>6</v>
      </c>
      <c r="D187" t="s">
        <v>588</v>
      </c>
      <c r="E187" s="3" t="s">
        <v>167</v>
      </c>
      <c r="F187">
        <f>IF(AND($F$15=Datos!$AI$5,Datos!$C$9=Datos!$AI$10),IF(A187&gt;30000,N187,ROUND(N187*Datos!$J$18,Dins)),IF(AND($F$15=Datos!$AI$5,Datos!$C$9=Datos!$AI$9),IF(A187&gt;30000,O187,ROUND(O187*Datos!$J$18,Dins)),IF(AND($F$15=Datos!$AI$6,Datos!$C$9=Datos!$AI$10),IF(A187&gt;30000,P187,ROUND(P187*Datos!$J$18,Dins)),IF(AND($F$15=Datos!$AI$6,Datos!$C$9=Datos!$AI$9),IF(A187&gt;30000,Q187,ROUND(Q187*Datos!$J$18,Dins))))))</f>
        <v>3.2</v>
      </c>
      <c r="N187">
        <v>3.78</v>
      </c>
      <c r="O187">
        <f t="shared" si="15"/>
        <v>3.2</v>
      </c>
      <c r="P187">
        <f t="shared" si="16"/>
        <v>1.01</v>
      </c>
      <c r="Q187">
        <f t="shared" si="17"/>
        <v>0.86</v>
      </c>
    </row>
    <row r="188" spans="1:17" x14ac:dyDescent="0.2">
      <c r="A188">
        <v>30132</v>
      </c>
      <c r="B188">
        <v>72</v>
      </c>
      <c r="C188" t="s">
        <v>6</v>
      </c>
      <c r="D188" t="s">
        <v>589</v>
      </c>
      <c r="E188" s="3" t="s">
        <v>167</v>
      </c>
      <c r="F188">
        <f>IF(AND($F$15=Datos!$AI$5,Datos!$C$9=Datos!$AI$10),IF(A188&gt;30000,N188,ROUND(N188*Datos!$J$18,Dins)),IF(AND($F$15=Datos!$AI$5,Datos!$C$9=Datos!$AI$9),IF(A188&gt;30000,O188,ROUND(O188*Datos!$J$18,Dins)),IF(AND($F$15=Datos!$AI$6,Datos!$C$9=Datos!$AI$10),IF(A188&gt;30000,P188,ROUND(P188*Datos!$J$18,Dins)),IF(AND($F$15=Datos!$AI$6,Datos!$C$9=Datos!$AI$9),IF(A188&gt;30000,Q188,ROUND(Q188*Datos!$J$18,Dins))))))</f>
        <v>2.5</v>
      </c>
      <c r="N188">
        <v>2.95</v>
      </c>
      <c r="O188">
        <f t="shared" si="15"/>
        <v>2.5</v>
      </c>
      <c r="P188">
        <f t="shared" si="16"/>
        <v>0.79</v>
      </c>
      <c r="Q188">
        <f t="shared" si="17"/>
        <v>0.67</v>
      </c>
    </row>
    <row r="189" spans="1:17" x14ac:dyDescent="0.2">
      <c r="A189">
        <v>30133</v>
      </c>
      <c r="B189">
        <v>72</v>
      </c>
      <c r="C189" t="s">
        <v>6</v>
      </c>
      <c r="D189" t="s">
        <v>590</v>
      </c>
      <c r="E189" s="3" t="s">
        <v>167</v>
      </c>
      <c r="F189">
        <f>IF(AND($F$15=Datos!$AI$5,Datos!$C$9=Datos!$AI$10),IF(A189&gt;30000,N189,ROUND(N189*Datos!$J$18,Dins)),IF(AND($F$15=Datos!$AI$5,Datos!$C$9=Datos!$AI$9),IF(A189&gt;30000,O189,ROUND(O189*Datos!$J$18,Dins)),IF(AND($F$15=Datos!$AI$6,Datos!$C$9=Datos!$AI$10),IF(A189&gt;30000,P189,ROUND(P189*Datos!$J$18,Dins)),IF(AND($F$15=Datos!$AI$6,Datos!$C$9=Datos!$AI$9),IF(A189&gt;30000,Q189,ROUND(Q189*Datos!$J$18,Dins))))))</f>
        <v>3.2</v>
      </c>
      <c r="N189">
        <v>3.78</v>
      </c>
      <c r="O189">
        <f t="shared" si="15"/>
        <v>3.2</v>
      </c>
      <c r="P189">
        <f t="shared" si="16"/>
        <v>1.01</v>
      </c>
      <c r="Q189">
        <f t="shared" si="17"/>
        <v>0.86</v>
      </c>
    </row>
    <row r="190" spans="1:17" x14ac:dyDescent="0.2">
      <c r="A190">
        <v>30134</v>
      </c>
      <c r="B190">
        <v>39</v>
      </c>
      <c r="C190" t="s">
        <v>6</v>
      </c>
      <c r="D190" t="s">
        <v>593</v>
      </c>
      <c r="E190" s="3" t="s">
        <v>167</v>
      </c>
      <c r="F190">
        <f>IF(AND($F$15=Datos!$AI$5,Datos!$C$9=Datos!$AI$10),IF(A190&gt;30000,N190,ROUND(N190*Datos!$J$18,Dins)),IF(AND($F$15=Datos!$AI$5,Datos!$C$9=Datos!$AI$9),IF(A190&gt;30000,O190,ROUND(O190*Datos!$J$18,Dins)),IF(AND($F$15=Datos!$AI$6,Datos!$C$9=Datos!$AI$10),IF(A190&gt;30000,P190,ROUND(P190*Datos!$J$18,Dins)),IF(AND($F$15=Datos!$AI$6,Datos!$C$9=Datos!$AI$9),IF(A190&gt;30000,Q190,ROUND(Q190*Datos!$J$18,Dins))))))</f>
        <v>1</v>
      </c>
      <c r="N190">
        <v>1.18</v>
      </c>
      <c r="O190">
        <f t="shared" si="15"/>
        <v>1</v>
      </c>
      <c r="P190">
        <f t="shared" si="16"/>
        <v>0.31</v>
      </c>
      <c r="Q190">
        <f t="shared" si="17"/>
        <v>0.26</v>
      </c>
    </row>
    <row r="191" spans="1:17" x14ac:dyDescent="0.2">
      <c r="A191">
        <v>30135</v>
      </c>
      <c r="B191">
        <v>65</v>
      </c>
      <c r="C191" t="s">
        <v>6</v>
      </c>
      <c r="D191" t="s">
        <v>594</v>
      </c>
      <c r="E191" s="3" t="s">
        <v>167</v>
      </c>
      <c r="F191">
        <f>IF(AND($F$15=Datos!$AI$5,Datos!$C$9=Datos!$AI$10),IF(A191&gt;30000,N191,ROUND(N191*Datos!$J$18,Dins)),IF(AND($F$15=Datos!$AI$5,Datos!$C$9=Datos!$AI$9),IF(A191&gt;30000,O191,ROUND(O191*Datos!$J$18,Dins)),IF(AND($F$15=Datos!$AI$6,Datos!$C$9=Datos!$AI$10),IF(A191&gt;30000,P191,ROUND(P191*Datos!$J$18,Dins)),IF(AND($F$15=Datos!$AI$6,Datos!$C$9=Datos!$AI$9),IF(A191&gt;30000,Q191,ROUND(Q191*Datos!$J$18,Dins))))))</f>
        <v>2.1</v>
      </c>
      <c r="N191">
        <v>2.48</v>
      </c>
      <c r="O191">
        <f t="shared" si="15"/>
        <v>2.1</v>
      </c>
      <c r="P191">
        <f t="shared" si="16"/>
        <v>0.66</v>
      </c>
      <c r="Q191">
        <f t="shared" si="17"/>
        <v>0.56000000000000005</v>
      </c>
    </row>
    <row r="192" spans="1:17" x14ac:dyDescent="0.2">
      <c r="A192">
        <v>30136</v>
      </c>
      <c r="B192">
        <v>65</v>
      </c>
      <c r="C192" t="s">
        <v>6</v>
      </c>
      <c r="D192" t="s">
        <v>595</v>
      </c>
      <c r="E192" s="3" t="s">
        <v>167</v>
      </c>
      <c r="F192">
        <f>IF(AND($F$15=Datos!$AI$5,Datos!$C$9=Datos!$AI$10),IF(A192&gt;30000,N192,ROUND(N192*Datos!$J$18,Dins)),IF(AND($F$15=Datos!$AI$5,Datos!$C$9=Datos!$AI$9),IF(A192&gt;30000,O192,ROUND(O192*Datos!$J$18,Dins)),IF(AND($F$15=Datos!$AI$6,Datos!$C$9=Datos!$AI$10),IF(A192&gt;30000,P192,ROUND(P192*Datos!$J$18,Dins)),IF(AND($F$15=Datos!$AI$6,Datos!$C$9=Datos!$AI$9),IF(A192&gt;30000,Q192,ROUND(Q192*Datos!$J$18,Dins))))))</f>
        <v>8.4</v>
      </c>
      <c r="N192">
        <v>9.91</v>
      </c>
      <c r="O192">
        <f t="shared" si="15"/>
        <v>8.4</v>
      </c>
      <c r="P192">
        <f t="shared" si="16"/>
        <v>2.64</v>
      </c>
      <c r="Q192">
        <f t="shared" si="17"/>
        <v>2.2400000000000002</v>
      </c>
    </row>
    <row r="193" spans="1:17" x14ac:dyDescent="0.2">
      <c r="A193">
        <v>30137</v>
      </c>
      <c r="B193">
        <v>77</v>
      </c>
      <c r="C193" t="s">
        <v>6</v>
      </c>
      <c r="D193" t="s">
        <v>592</v>
      </c>
      <c r="E193" s="3" t="s">
        <v>167</v>
      </c>
      <c r="F193">
        <f>IF(AND($F$15=Datos!$AI$5,Datos!$C$9=Datos!$AI$10),IF(A193&gt;30000,N193,ROUND(N193*Datos!$J$18,Dins)),IF(AND($F$15=Datos!$AI$5,Datos!$C$9=Datos!$AI$9),IF(A193&gt;30000,O193,ROUND(O193*Datos!$J$18,Dins)),IF(AND($F$15=Datos!$AI$6,Datos!$C$9=Datos!$AI$10),IF(A193&gt;30000,P193,ROUND(P193*Datos!$J$18,Dins)),IF(AND($F$15=Datos!$AI$6,Datos!$C$9=Datos!$AI$9),IF(A193&gt;30000,Q193,ROUND(Q193*Datos!$J$18,Dins))))))</f>
        <v>24.9</v>
      </c>
      <c r="N193">
        <v>29.38</v>
      </c>
      <c r="O193">
        <f t="shared" si="15"/>
        <v>24.9</v>
      </c>
      <c r="P193">
        <f t="shared" si="16"/>
        <v>7.83</v>
      </c>
      <c r="Q193">
        <f t="shared" si="17"/>
        <v>6.64</v>
      </c>
    </row>
    <row r="194" spans="1:17" x14ac:dyDescent="0.2">
      <c r="A194">
        <v>30138</v>
      </c>
      <c r="B194">
        <v>72</v>
      </c>
      <c r="C194" t="s">
        <v>6</v>
      </c>
      <c r="D194" t="s">
        <v>598</v>
      </c>
      <c r="E194" s="3" t="s">
        <v>167</v>
      </c>
      <c r="F194">
        <f>IF(AND($F$15=Datos!$AI$5,Datos!$C$9=Datos!$AI$10),IF(A194&gt;30000,N194,ROUND(N194*Datos!$J$18,Dins)),IF(AND($F$15=Datos!$AI$5,Datos!$C$9=Datos!$AI$9),IF(A194&gt;30000,O194,ROUND(O194*Datos!$J$18,Dins)),IF(AND($F$15=Datos!$AI$6,Datos!$C$9=Datos!$AI$10),IF(A194&gt;30000,P194,ROUND(P194*Datos!$J$18,Dins)),IF(AND($F$15=Datos!$AI$6,Datos!$C$9=Datos!$AI$9),IF(A194&gt;30000,Q194,ROUND(Q194*Datos!$J$18,Dins))))))</f>
        <v>4.5</v>
      </c>
      <c r="N194">
        <v>5.31</v>
      </c>
      <c r="O194">
        <f t="shared" si="15"/>
        <v>4.5</v>
      </c>
      <c r="P194">
        <f t="shared" si="16"/>
        <v>1.42</v>
      </c>
      <c r="Q194">
        <f t="shared" si="17"/>
        <v>1.2</v>
      </c>
    </row>
    <row r="195" spans="1:17" x14ac:dyDescent="0.2">
      <c r="A195">
        <v>30139</v>
      </c>
      <c r="B195">
        <v>65</v>
      </c>
      <c r="C195" t="s">
        <v>6</v>
      </c>
      <c r="D195" t="s">
        <v>599</v>
      </c>
      <c r="E195" s="3" t="s">
        <v>167</v>
      </c>
      <c r="F195">
        <f>IF(AND($F$15=Datos!$AI$5,Datos!$C$9=Datos!$AI$10),IF(A195&gt;30000,N195,ROUND(N195*Datos!$J$18,Dins)),IF(AND($F$15=Datos!$AI$5,Datos!$C$9=Datos!$AI$9),IF(A195&gt;30000,O195,ROUND(O195*Datos!$J$18,Dins)),IF(AND($F$15=Datos!$AI$6,Datos!$C$9=Datos!$AI$10),IF(A195&gt;30000,P195,ROUND(P195*Datos!$J$18,Dins)),IF(AND($F$15=Datos!$AI$6,Datos!$C$9=Datos!$AI$9),IF(A195&gt;30000,Q195,ROUND(Q195*Datos!$J$18,Dins))))))</f>
        <v>4.5</v>
      </c>
      <c r="N195">
        <v>5.31</v>
      </c>
      <c r="O195">
        <f t="shared" si="15"/>
        <v>4.5</v>
      </c>
      <c r="P195">
        <f t="shared" si="16"/>
        <v>1.42</v>
      </c>
      <c r="Q195">
        <f t="shared" si="17"/>
        <v>1.2</v>
      </c>
    </row>
    <row r="196" spans="1:17" x14ac:dyDescent="0.2">
      <c r="A196">
        <v>30140</v>
      </c>
      <c r="B196">
        <v>65</v>
      </c>
      <c r="C196" t="s">
        <v>6</v>
      </c>
      <c r="D196" t="s">
        <v>600</v>
      </c>
      <c r="E196" s="3" t="s">
        <v>167</v>
      </c>
      <c r="F196">
        <f>IF(AND($F$15=Datos!$AI$5,Datos!$C$9=Datos!$AI$10),IF(A196&gt;30000,N196,ROUND(N196*Datos!$J$18,Dins)),IF(AND($F$15=Datos!$AI$5,Datos!$C$9=Datos!$AI$9),IF(A196&gt;30000,O196,ROUND(O196*Datos!$J$18,Dins)),IF(AND($F$15=Datos!$AI$6,Datos!$C$9=Datos!$AI$10),IF(A196&gt;30000,P196,ROUND(P196*Datos!$J$18,Dins)),IF(AND($F$15=Datos!$AI$6,Datos!$C$9=Datos!$AI$9),IF(A196&gt;30000,Q196,ROUND(Q196*Datos!$J$18,Dins))))))</f>
        <v>18.760000000000002</v>
      </c>
      <c r="N196">
        <v>22.14</v>
      </c>
      <c r="O196">
        <f t="shared" si="15"/>
        <v>18.760000000000002</v>
      </c>
      <c r="P196">
        <f t="shared" si="16"/>
        <v>5.9</v>
      </c>
      <c r="Q196">
        <f t="shared" si="17"/>
        <v>5</v>
      </c>
    </row>
    <row r="197" spans="1:17" x14ac:dyDescent="0.2">
      <c r="A197">
        <v>30141</v>
      </c>
      <c r="B197">
        <v>77</v>
      </c>
      <c r="C197" t="s">
        <v>6</v>
      </c>
      <c r="D197" t="s">
        <v>597</v>
      </c>
      <c r="E197" s="3" t="s">
        <v>167</v>
      </c>
      <c r="F197">
        <f>IF(AND($F$15=Datos!$AI$5,Datos!$C$9=Datos!$AI$10),IF(A197&gt;30000,N197,ROUND(N197*Datos!$J$18,Dins)),IF(AND($F$15=Datos!$AI$5,Datos!$C$9=Datos!$AI$9),IF(A197&gt;30000,O197,ROUND(O197*Datos!$J$18,Dins)),IF(AND($F$15=Datos!$AI$6,Datos!$C$9=Datos!$AI$10),IF(A197&gt;30000,P197,ROUND(P197*Datos!$J$18,Dins)),IF(AND($F$15=Datos!$AI$6,Datos!$C$9=Datos!$AI$9),IF(A197&gt;30000,Q197,ROUND(Q197*Datos!$J$18,Dins))))))</f>
        <v>42.55</v>
      </c>
      <c r="N197">
        <v>50.21</v>
      </c>
      <c r="O197">
        <f t="shared" si="15"/>
        <v>42.55</v>
      </c>
      <c r="P197">
        <f t="shared" si="16"/>
        <v>13.39</v>
      </c>
      <c r="Q197">
        <f t="shared" si="17"/>
        <v>11.35</v>
      </c>
    </row>
  </sheetData>
  <sortState xmlns:xlrd2="http://schemas.microsoft.com/office/spreadsheetml/2017/richdata2" ref="A16:Q22">
    <sortCondition ref="A16"/>
  </sortState>
  <mergeCells count="15">
    <mergeCell ref="N13:O13"/>
    <mergeCell ref="P13:Q13"/>
    <mergeCell ref="H14:J14"/>
    <mergeCell ref="A2:K2"/>
    <mergeCell ref="A5:C5"/>
    <mergeCell ref="A6:C6"/>
    <mergeCell ref="A7:C7"/>
    <mergeCell ref="G4:I4"/>
    <mergeCell ref="G5:I5"/>
    <mergeCell ref="G6:I6"/>
    <mergeCell ref="G7:I7"/>
    <mergeCell ref="A3:C4"/>
    <mergeCell ref="D3:F3"/>
    <mergeCell ref="G3:K3"/>
    <mergeCell ref="N12:Q12"/>
  </mergeCells>
  <phoneticPr fontId="0" type="noConversion"/>
  <pageMargins left="0.75" right="0.75" top="1" bottom="1" header="0" footer="0"/>
  <pageSetup orientation="portrait" horizontalDpi="180" verticalDpi="18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DJ489"/>
  <sheetViews>
    <sheetView zoomScale="85" workbookViewId="0">
      <selection activeCell="M15" sqref="M15"/>
    </sheetView>
  </sheetViews>
  <sheetFormatPr baseColWidth="10" defaultColWidth="5.7109375" defaultRowHeight="12.75" x14ac:dyDescent="0.2"/>
  <cols>
    <col min="1" max="1" width="6.140625" bestFit="1" customWidth="1"/>
    <col min="2" max="2" width="48.7109375" style="3" customWidth="1"/>
    <col min="3" max="3" width="6.140625" style="1" customWidth="1"/>
    <col min="4" max="7" width="6.42578125" customWidth="1"/>
    <col min="8" max="8" width="3.85546875" customWidth="1"/>
    <col min="9" max="9" width="4.42578125" customWidth="1"/>
    <col min="10" max="10" width="5.42578125" customWidth="1"/>
    <col min="11" max="14" width="5.42578125" hidden="1" customWidth="1"/>
    <col min="15" max="24" width="6.42578125" hidden="1" customWidth="1"/>
    <col min="25" max="64" width="5.7109375" hidden="1" customWidth="1"/>
    <col min="65" max="114" width="0" hidden="1" customWidth="1"/>
  </cols>
  <sheetData>
    <row r="1" spans="1:114" x14ac:dyDescent="0.2">
      <c r="A1">
        <v>0</v>
      </c>
      <c r="B1" s="13" t="e">
        <f>MATCH($A$1,$A$5:$A$50004,0)+4</f>
        <v>#N/A</v>
      </c>
      <c r="C1" s="48" t="e">
        <f>#REF!</f>
        <v>#REF!</v>
      </c>
      <c r="F1" s="2"/>
      <c r="G1" s="2"/>
      <c r="H1" s="2"/>
      <c r="I1" s="2"/>
      <c r="J1" s="2"/>
      <c r="K1" s="2"/>
      <c r="L1" s="2"/>
      <c r="M1" s="2"/>
      <c r="N1" s="2"/>
      <c r="O1" s="2"/>
      <c r="P1" s="2"/>
      <c r="Q1" s="2"/>
      <c r="R1" s="2"/>
      <c r="S1" s="2"/>
      <c r="T1" s="2"/>
      <c r="U1" s="2"/>
      <c r="V1" s="2"/>
      <c r="W1" s="2"/>
      <c r="X1" s="2"/>
    </row>
    <row r="2" spans="1:114" s="11" customFormat="1" x14ac:dyDescent="0.2">
      <c r="A2" s="11">
        <f>COUNT(BDcodCU)*5+5</f>
        <v>490</v>
      </c>
      <c r="C2" s="41">
        <f>COUNT(BDcodCU)</f>
        <v>97</v>
      </c>
      <c r="F2" s="46"/>
      <c r="G2" s="46"/>
      <c r="H2" s="46"/>
      <c r="I2" s="46"/>
      <c r="J2" s="46"/>
      <c r="K2" s="46"/>
      <c r="L2" s="46"/>
      <c r="M2" s="46"/>
      <c r="N2" s="46"/>
      <c r="O2" s="46"/>
      <c r="P2" s="46"/>
      <c r="Q2" s="46"/>
      <c r="R2" s="46"/>
      <c r="S2" s="46"/>
      <c r="T2" s="46"/>
      <c r="U2" s="46"/>
      <c r="V2" s="46"/>
      <c r="W2" s="46"/>
      <c r="X2" s="46"/>
    </row>
    <row r="3" spans="1:114" x14ac:dyDescent="0.2">
      <c r="A3">
        <f>MAX($A$5:$A$50004)+1</f>
        <v>10098</v>
      </c>
      <c r="B3" s="52" t="s">
        <v>63</v>
      </c>
      <c r="C3" s="41">
        <f>Datos!J12</f>
        <v>2</v>
      </c>
      <c r="E3" s="82"/>
      <c r="F3" s="83"/>
      <c r="G3" s="83"/>
      <c r="H3" s="83"/>
      <c r="I3" s="83"/>
      <c r="J3" s="83"/>
      <c r="K3" s="83"/>
      <c r="L3" s="83"/>
      <c r="M3" s="83"/>
      <c r="N3" s="83"/>
      <c r="O3" s="82"/>
    </row>
    <row r="4" spans="1:114" ht="13.5" customHeight="1" x14ac:dyDescent="0.2">
      <c r="A4" s="15" t="s">
        <v>26</v>
      </c>
      <c r="B4" s="14" t="s">
        <v>25</v>
      </c>
      <c r="C4" s="70" t="s">
        <v>91</v>
      </c>
      <c r="D4" s="47" t="s">
        <v>7</v>
      </c>
      <c r="E4" s="47" t="s">
        <v>92</v>
      </c>
      <c r="F4" s="47" t="s">
        <v>8</v>
      </c>
      <c r="G4" s="47" t="s">
        <v>6</v>
      </c>
      <c r="H4" s="47" t="s">
        <v>27</v>
      </c>
      <c r="I4" s="70" t="s">
        <v>93</v>
      </c>
      <c r="J4" s="70" t="s">
        <v>94</v>
      </c>
      <c r="K4" s="47" t="s">
        <v>95</v>
      </c>
      <c r="L4" s="47"/>
      <c r="M4" s="47" t="s">
        <v>96</v>
      </c>
      <c r="N4" s="47" t="s">
        <v>86</v>
      </c>
      <c r="O4" s="79">
        <v>1</v>
      </c>
      <c r="P4" s="80">
        <v>2</v>
      </c>
      <c r="Q4" s="80">
        <v>3</v>
      </c>
      <c r="R4" s="80">
        <v>4</v>
      </c>
      <c r="S4" s="80">
        <v>5</v>
      </c>
      <c r="T4" s="80">
        <v>6</v>
      </c>
      <c r="U4" s="80">
        <v>7</v>
      </c>
      <c r="V4" s="80">
        <v>8</v>
      </c>
      <c r="W4" s="80">
        <v>9</v>
      </c>
      <c r="X4" s="80">
        <v>10</v>
      </c>
      <c r="Y4" s="80">
        <v>11</v>
      </c>
      <c r="Z4" s="80">
        <v>12</v>
      </c>
      <c r="AA4" s="80">
        <v>13</v>
      </c>
      <c r="AB4" s="80">
        <v>14</v>
      </c>
      <c r="AC4" s="80">
        <v>15</v>
      </c>
      <c r="AD4" s="80">
        <v>16</v>
      </c>
      <c r="AE4" s="80">
        <v>17</v>
      </c>
      <c r="AF4" s="80">
        <v>18</v>
      </c>
      <c r="AG4" s="80">
        <v>19</v>
      </c>
      <c r="AH4" s="80">
        <v>20</v>
      </c>
      <c r="AI4" s="80">
        <v>21</v>
      </c>
      <c r="AJ4" s="80">
        <v>22</v>
      </c>
      <c r="AK4" s="80">
        <v>23</v>
      </c>
      <c r="AL4" s="80">
        <v>24</v>
      </c>
      <c r="AM4" s="80">
        <v>25</v>
      </c>
      <c r="AN4" s="80">
        <v>26</v>
      </c>
      <c r="AO4" s="80">
        <v>27</v>
      </c>
      <c r="AP4" s="80">
        <v>28</v>
      </c>
      <c r="AQ4" s="80">
        <v>29</v>
      </c>
      <c r="AR4" s="80">
        <v>30</v>
      </c>
      <c r="AS4" s="80">
        <v>31</v>
      </c>
      <c r="AT4" s="80">
        <v>32</v>
      </c>
      <c r="AU4" s="80">
        <v>33</v>
      </c>
      <c r="AV4" s="80">
        <v>34</v>
      </c>
      <c r="AW4" s="80">
        <v>35</v>
      </c>
      <c r="AX4" s="80">
        <v>36</v>
      </c>
      <c r="AY4" s="80">
        <v>37</v>
      </c>
      <c r="AZ4" s="80">
        <v>38</v>
      </c>
      <c r="BA4" s="80">
        <v>39</v>
      </c>
      <c r="BB4" s="80">
        <v>40</v>
      </c>
      <c r="BC4" s="80">
        <v>41</v>
      </c>
      <c r="BD4" s="80">
        <v>42</v>
      </c>
      <c r="BE4" s="80">
        <v>43</v>
      </c>
      <c r="BF4" s="80">
        <v>44</v>
      </c>
      <c r="BG4" s="80">
        <v>45</v>
      </c>
      <c r="BH4" s="80">
        <v>46</v>
      </c>
      <c r="BI4" s="80">
        <v>47</v>
      </c>
      <c r="BJ4" s="80">
        <v>48</v>
      </c>
      <c r="BK4" s="80">
        <v>49</v>
      </c>
      <c r="BL4" s="80">
        <v>50</v>
      </c>
      <c r="BM4" s="80">
        <v>51</v>
      </c>
      <c r="BN4" s="80">
        <v>52</v>
      </c>
      <c r="BO4" s="80">
        <v>53</v>
      </c>
      <c r="BP4" s="80">
        <v>54</v>
      </c>
      <c r="BQ4" s="80">
        <v>55</v>
      </c>
      <c r="BR4" s="80">
        <v>56</v>
      </c>
      <c r="BS4" s="80">
        <v>57</v>
      </c>
      <c r="BT4" s="80">
        <v>58</v>
      </c>
      <c r="BU4" s="80">
        <v>59</v>
      </c>
      <c r="BV4" s="80">
        <v>60</v>
      </c>
      <c r="BW4" s="80">
        <v>61</v>
      </c>
      <c r="BX4" s="80">
        <v>62</v>
      </c>
      <c r="BY4" s="80">
        <v>63</v>
      </c>
      <c r="BZ4" s="80">
        <v>64</v>
      </c>
      <c r="CA4" s="80">
        <v>65</v>
      </c>
      <c r="CB4" s="80">
        <v>66</v>
      </c>
      <c r="CC4" s="80">
        <v>67</v>
      </c>
      <c r="CD4" s="80">
        <v>68</v>
      </c>
      <c r="CE4" s="80">
        <v>69</v>
      </c>
      <c r="CF4" s="80">
        <v>70</v>
      </c>
      <c r="CG4" s="80">
        <v>71</v>
      </c>
      <c r="CH4" s="80">
        <v>72</v>
      </c>
      <c r="CI4" s="80">
        <v>73</v>
      </c>
      <c r="CJ4" s="80">
        <v>74</v>
      </c>
      <c r="CK4" s="80">
        <v>75</v>
      </c>
      <c r="CL4" s="80">
        <v>76</v>
      </c>
      <c r="CM4" s="80">
        <v>77</v>
      </c>
      <c r="CN4" s="80">
        <v>78</v>
      </c>
      <c r="CO4" s="80">
        <v>79</v>
      </c>
      <c r="CP4" s="80">
        <v>80</v>
      </c>
      <c r="CQ4" s="80">
        <v>81</v>
      </c>
      <c r="CR4" s="80">
        <v>82</v>
      </c>
      <c r="CS4" s="80">
        <v>83</v>
      </c>
      <c r="CT4" s="80">
        <v>84</v>
      </c>
      <c r="CU4" s="80">
        <v>85</v>
      </c>
      <c r="CV4" s="80">
        <v>86</v>
      </c>
      <c r="CW4" s="80">
        <v>87</v>
      </c>
      <c r="CX4" s="80">
        <v>88</v>
      </c>
      <c r="CY4" s="80">
        <v>89</v>
      </c>
      <c r="CZ4" s="80">
        <v>90</v>
      </c>
      <c r="DA4" s="80">
        <v>91</v>
      </c>
      <c r="DB4" s="80">
        <v>92</v>
      </c>
      <c r="DC4" s="80">
        <v>93</v>
      </c>
      <c r="DD4" s="80">
        <v>94</v>
      </c>
      <c r="DE4" s="80">
        <v>95</v>
      </c>
      <c r="DF4" s="80">
        <v>96</v>
      </c>
      <c r="DG4" s="80">
        <v>97</v>
      </c>
      <c r="DH4" s="80">
        <v>98</v>
      </c>
      <c r="DI4" s="80">
        <v>99</v>
      </c>
      <c r="DJ4" s="81">
        <v>100</v>
      </c>
    </row>
    <row r="5" spans="1:114" x14ac:dyDescent="0.2">
      <c r="A5">
        <v>10001</v>
      </c>
      <c r="B5" s="3" t="s">
        <v>159</v>
      </c>
      <c r="C5" s="1">
        <f>ROUND(J5*JL*Frto/8,4)</f>
        <v>200</v>
      </c>
      <c r="D5" t="s">
        <v>160</v>
      </c>
      <c r="E5">
        <f>SUM($O8:$X8)</f>
        <v>3.02</v>
      </c>
      <c r="F5">
        <f>SUMIF($O5:$X5,"&lt;22501",$O8:$X8)</f>
        <v>1.21</v>
      </c>
      <c r="G5">
        <f>SUMIFS($O8:$X8,$O5:$X5,"&gt;30000",$O5:$X5,"&lt;50001")</f>
        <v>1.4100000000000001</v>
      </c>
      <c r="H5">
        <f>SUMIFS($O8:$X8,$O5:$X5,"&gt;60000",$O5:$X5,"&lt;70001")</f>
        <v>0.4</v>
      </c>
      <c r="I5">
        <v>10</v>
      </c>
      <c r="J5">
        <v>200</v>
      </c>
      <c r="O5">
        <v>10001</v>
      </c>
      <c r="P5">
        <v>10002</v>
      </c>
      <c r="Q5">
        <v>30001</v>
      </c>
      <c r="R5">
        <v>30002</v>
      </c>
      <c r="S5">
        <v>30003</v>
      </c>
      <c r="T5">
        <v>30004</v>
      </c>
      <c r="U5">
        <v>30005</v>
      </c>
      <c r="V5">
        <v>30006</v>
      </c>
      <c r="W5">
        <v>60001</v>
      </c>
      <c r="X5">
        <v>60002</v>
      </c>
    </row>
    <row r="6" spans="1:114" x14ac:dyDescent="0.2">
      <c r="B6" s="3" t="str">
        <f>A5&amp;"C"</f>
        <v>10001C</v>
      </c>
      <c r="O6">
        <v>1</v>
      </c>
      <c r="P6">
        <v>1</v>
      </c>
      <c r="Q6">
        <v>1.7999999999999999E-2</v>
      </c>
      <c r="R6">
        <v>6.1999999999999998E-3</v>
      </c>
      <c r="S6">
        <v>0.02</v>
      </c>
      <c r="T6">
        <v>0.01</v>
      </c>
      <c r="U6">
        <v>5.0000000000000001E-3</v>
      </c>
      <c r="V6">
        <v>1.5E-3</v>
      </c>
      <c r="W6">
        <v>1</v>
      </c>
      <c r="X6">
        <v>1</v>
      </c>
    </row>
    <row r="7" spans="1:114" x14ac:dyDescent="0.2">
      <c r="O7">
        <f>IF(O9&gt;10000,HLOOKUP(O9,N5:$O8,4,FALSE),IF(OR(AND(22500&lt;O5,O5&lt;25001),AND(50000&lt;O5,O5&lt;53501),AND(70000&lt;O5,O5&lt;72501)),$F5,IF(OR(AND(25001&lt;O5,O5&lt;27501),AND(53500&lt;O5,O5&lt;57001),AND(72500&lt;O5,O5&lt;75001)),$G5,IF(OR(AND(27500&lt;O5,O5&lt;30001),AND(57000&lt;O5,O5&lt;60001),AND(75000&lt;O5,O5&lt;77500)),$H5,VLOOKUP(O5,BDins,6,FALSE)))))</f>
        <v>12.64</v>
      </c>
      <c r="P7">
        <f>IF(P9&gt;10000,HLOOKUP(P9,O5:$O8,4,FALSE),IF(OR(AND(22500&lt;P5,P5&lt;25001),AND(50000&lt;P5,P5&lt;53501),AND(70000&lt;P5,P5&lt;72501)),$F5,IF(OR(AND(25001&lt;P5,P5&lt;27501),AND(53500&lt;P5,P5&lt;57001),AND(72500&lt;P5,P5&lt;75001)),$G5,IF(OR(AND(27500&lt;P5,P5&lt;30001),AND(57000&lt;P5,P5&lt;60001),AND(75000&lt;P5,P5&lt;77500)),$H5,VLOOKUP(P5,BDins,6,FALSE)))))</f>
        <v>17.59</v>
      </c>
      <c r="Q7">
        <f>IF(Q9&gt;10000,HLOOKUP(Q9,$O5:P8,4,FALSE),IF(OR(AND(22500&lt;Q5,Q5&lt;25001),AND(50000&lt;Q5,Q5&lt;53501),AND(70000&lt;Q5,Q5&lt;72501)),$F5,IF(OR(AND(25001&lt;Q5,Q5&lt;27501),AND(53500&lt;Q5,Q5&lt;57001),AND(72500&lt;Q5,Q5&lt;75001)),$G5,IF(OR(AND(27500&lt;Q5,Q5&lt;30001),AND(57000&lt;Q5,Q5&lt;60001),AND(75000&lt;Q5,Q5&lt;77500)),$H5,VLOOKUP(Q5,BDins,6,FALSE)))))</f>
        <v>27</v>
      </c>
      <c r="R7">
        <f>IF(R9&gt;10000,HLOOKUP(R9,$O5:Q8,4,FALSE),IF(OR(AND(22500&lt;R5,R5&lt;25001),AND(50000&lt;R5,R5&lt;53501),AND(70000&lt;R5,R5&lt;72501)),$F5,IF(OR(AND(25001&lt;R5,R5&lt;27501),AND(53500&lt;R5,R5&lt;57001),AND(72500&lt;R5,R5&lt;75001)),$G5,IF(OR(AND(27500&lt;R5,R5&lt;30001),AND(57000&lt;R5,R5&lt;60001),AND(75000&lt;R5,R5&lt;77500)),$H5,VLOOKUP(R5,BDins,6,FALSE)))))</f>
        <v>41.3</v>
      </c>
      <c r="S7">
        <f>IF(S9&gt;10000,HLOOKUP(S9,$O5:R8,4,FALSE),IF(OR(AND(22500&lt;S5,S5&lt;25001),AND(50000&lt;S5,S5&lt;53501),AND(70000&lt;S5,S5&lt;72501)),$F5,IF(OR(AND(25001&lt;S5,S5&lt;27501),AND(53500&lt;S5,S5&lt;57001),AND(72500&lt;S5,S5&lt;75001)),$G5,IF(OR(AND(27500&lt;S5,S5&lt;30001),AND(57000&lt;S5,S5&lt;60001),AND(75000&lt;S5,S5&lt;77500)),$H5,VLOOKUP(S5,BDins,6,FALSE)))))</f>
        <v>20</v>
      </c>
      <c r="T7">
        <f>IF(T9&gt;10000,HLOOKUP(T9,$O5:S8,4,FALSE),IF(OR(AND(22500&lt;T5,T5&lt;25001),AND(50000&lt;T5,T5&lt;53501),AND(70000&lt;T5,T5&lt;72501)),$F5,IF(OR(AND(25001&lt;T5,T5&lt;27501),AND(53500&lt;T5,T5&lt;57001),AND(72500&lt;T5,T5&lt;75001)),$G5,IF(OR(AND(27500&lt;T5,T5&lt;30001),AND(57000&lt;T5,T5&lt;60001),AND(75000&lt;T5,T5&lt;77500)),$H5,VLOOKUP(T5,BDins,6,FALSE)))))</f>
        <v>8</v>
      </c>
      <c r="U7">
        <f>IF(U9&gt;10000,HLOOKUP(U9,$O5:T8,4,FALSE),IF(OR(AND(22500&lt;U5,U5&lt;25001),AND(50000&lt;U5,U5&lt;53501),AND(70000&lt;U5,U5&lt;72501)),$F5,IF(OR(AND(25001&lt;U5,U5&lt;27501),AND(53500&lt;U5,U5&lt;57001),AND(72500&lt;U5,U5&lt;75001)),$G5,IF(OR(AND(27500&lt;U5,U5&lt;30001),AND(57000&lt;U5,U5&lt;60001),AND(75000&lt;U5,U5&lt;77500)),$H5,VLOOKUP(U5,BDins,6,FALSE)))))</f>
        <v>28</v>
      </c>
      <c r="V7">
        <f>IF(V9&gt;10000,HLOOKUP(V9,$O5:U8,4,FALSE),IF(OR(AND(22500&lt;V5,V5&lt;25001),AND(50000&lt;V5,V5&lt;53501),AND(70000&lt;V5,V5&lt;72501)),$F5,IF(OR(AND(25001&lt;V5,V5&lt;27501),AND(53500&lt;V5,V5&lt;57001),AND(72500&lt;V5,V5&lt;75001)),$G5,IF(OR(AND(27500&lt;V5,V5&lt;30001),AND(57000&lt;V5,V5&lt;60001),AND(75000&lt;V5,V5&lt;77500)),$H5,VLOOKUP(V5,BDins,6,FALSE)))))</f>
        <v>23.8</v>
      </c>
      <c r="W7">
        <f>IF(W9&gt;10000,HLOOKUP(W9,$O5:V8,4,FALSE),IF(OR(AND(22500&lt;W5,W5&lt;25001),AND(50000&lt;W5,W5&lt;53501),AND(70000&lt;W5,W5&lt;72501)),$F5,IF(OR(AND(25001&lt;W5,W5&lt;27501),AND(53500&lt;W5,W5&lt;57001),AND(72500&lt;W5,W5&lt;75001)),$G5,IF(OR(AND(27500&lt;W5,W5&lt;30001),AND(57000&lt;W5,W5&lt;60001),AND(75000&lt;W5,W5&lt;77500)),$H5,VLOOKUP(W5,BDins,6,FALSE)))))</f>
        <v>3.75</v>
      </c>
      <c r="X7">
        <f>IF(X9&gt;10000,HLOOKUP(X9,$O5:W8,4,FALSE),IF(OR(AND(22500&lt;X5,X5&lt;25001),AND(50000&lt;X5,X5&lt;53501),AND(70000&lt;X5,X5&lt;72501)),$F5,IF(OR(AND(25001&lt;X5,X5&lt;27501),AND(53500&lt;X5,X5&lt;57001),AND(72500&lt;X5,X5&lt;75001)),$G5,IF(OR(AND(27500&lt;X5,X5&lt;30001),AND(57000&lt;X5,X5&lt;60001),AND(75000&lt;X5,X5&lt;77500)),$H5,VLOOKUP(X5,BDins,6,FALSE)))))</f>
        <v>6.25</v>
      </c>
    </row>
    <row r="8" spans="1:114" x14ac:dyDescent="0.2">
      <c r="O8">
        <f t="shared" ref="O8:X8" si="0">IF($K5&gt;0,ROUND(O6*$E5/100,DpCU),IF(O9&gt;10000,ROUND(HLOOKUP(O9,$O5:$X8,4,FALSE)/100*O6,DpCU),IF(OR(O5&lt;20001,O5&gt;95000,AND(60000&lt;O5,O5&lt;70001)),ROUND(ROUND(O6*JL/$C5,DcCU)*O7,DpCU),IF(OR(AND(20000&lt;O5,O5&lt;22501),AND(30000&lt;O5,O5&lt;50001),77500&lt;O5),ROUND(O7*O6,DpCU),IF(OR(AND(22500&lt;O5,O5&lt;25001),AND(50000&lt;O5,O5&lt;53501),AND(70000&lt;O5,O5&lt;72501)),ROUND($F5/100*O6,DpCU),IF(OR(AND(25000&lt;O5,O5&lt;27501),AND(53500&lt;O5,O5&lt;57001),AND(72500&lt;O5,O5&lt;75001)),ROUND($G5/100*O6,DpCU),ROUND($H5/100*O6,DpCU)))))))</f>
        <v>0.51</v>
      </c>
      <c r="P8">
        <f t="shared" si="0"/>
        <v>0.7</v>
      </c>
      <c r="Q8">
        <f t="shared" si="0"/>
        <v>0.49</v>
      </c>
      <c r="R8">
        <f t="shared" si="0"/>
        <v>0.26</v>
      </c>
      <c r="S8">
        <f t="shared" si="0"/>
        <v>0.4</v>
      </c>
      <c r="T8">
        <f t="shared" si="0"/>
        <v>0.08</v>
      </c>
      <c r="U8">
        <f t="shared" si="0"/>
        <v>0.14000000000000001</v>
      </c>
      <c r="V8">
        <f t="shared" si="0"/>
        <v>0.04</v>
      </c>
      <c r="W8">
        <f t="shared" si="0"/>
        <v>0.15</v>
      </c>
      <c r="X8">
        <f t="shared" si="0"/>
        <v>0.25</v>
      </c>
    </row>
    <row r="9" spans="1:114" x14ac:dyDescent="0.2">
      <c r="B9" s="3" t="str">
        <f>A5&amp;"r"</f>
        <v>10001r</v>
      </c>
    </row>
    <row r="10" spans="1:114" x14ac:dyDescent="0.2">
      <c r="A10">
        <v>10002</v>
      </c>
      <c r="B10" s="3" t="s">
        <v>177</v>
      </c>
      <c r="C10" s="1">
        <f>ROUND(J10*JL*Frto/8,4)</f>
        <v>1</v>
      </c>
      <c r="D10" t="s">
        <v>178</v>
      </c>
      <c r="E10">
        <f>SUM($O13:$T13)</f>
        <v>5296.05</v>
      </c>
      <c r="F10">
        <f>SUMIF($O10:$T10,"&lt;22501",$O13:$T13)</f>
        <v>4081.05</v>
      </c>
      <c r="G10">
        <f>SUMIFS($O13:$T13,$O10:$T10,"&gt;30000",$O10:$T10,"&lt;50001")</f>
        <v>1215</v>
      </c>
      <c r="H10">
        <f>SUMIFS($O13:$T13,$O10:$T10,"&gt;60000",$O10:$T10,"&lt;70001")</f>
        <v>0</v>
      </c>
      <c r="I10">
        <v>6</v>
      </c>
      <c r="J10">
        <v>1</v>
      </c>
      <c r="O10">
        <v>10001</v>
      </c>
      <c r="P10">
        <v>10002</v>
      </c>
      <c r="Q10">
        <v>30004</v>
      </c>
      <c r="R10">
        <v>30005</v>
      </c>
      <c r="S10">
        <v>30007</v>
      </c>
      <c r="T10">
        <v>30008</v>
      </c>
    </row>
    <row r="11" spans="1:114" x14ac:dyDescent="0.2">
      <c r="B11" s="3" t="str">
        <f>A10&amp;"C"</f>
        <v>10002C</v>
      </c>
      <c r="O11">
        <v>16.875</v>
      </c>
      <c r="P11">
        <v>16.875</v>
      </c>
      <c r="Q11">
        <v>1</v>
      </c>
      <c r="R11">
        <v>0.25</v>
      </c>
      <c r="S11">
        <v>15</v>
      </c>
      <c r="T11">
        <v>15</v>
      </c>
    </row>
    <row r="12" spans="1:114" x14ac:dyDescent="0.2">
      <c r="O12">
        <f>IF(O14&gt;10000,HLOOKUP(O14,N10:$O13,4,FALSE),IF(OR(AND(22500&lt;O10,O10&lt;25001),AND(50000&lt;O10,O10&lt;53501),AND(70000&lt;O10,O10&lt;72501)),$F10,IF(OR(AND(25001&lt;O10,O10&lt;27501),AND(53500&lt;O10,O10&lt;57001),AND(72500&lt;O10,O10&lt;75001)),$G10,IF(OR(AND(27500&lt;O10,O10&lt;30001),AND(57000&lt;O10,O10&lt;60001),AND(75000&lt;O10,O10&lt;77500)),$H10,VLOOKUP(O10,BDins,6,FALSE)))))</f>
        <v>12.64</v>
      </c>
      <c r="P12">
        <f>IF(P14&gt;10000,HLOOKUP(P14,O10:$O13,4,FALSE),IF(OR(AND(22500&lt;P10,P10&lt;25001),AND(50000&lt;P10,P10&lt;53501),AND(70000&lt;P10,P10&lt;72501)),$F10,IF(OR(AND(25001&lt;P10,P10&lt;27501),AND(53500&lt;P10,P10&lt;57001),AND(72500&lt;P10,P10&lt;75001)),$G10,IF(OR(AND(27500&lt;P10,P10&lt;30001),AND(57000&lt;P10,P10&lt;60001),AND(75000&lt;P10,P10&lt;77500)),$H10,VLOOKUP(P10,BDins,6,FALSE)))))</f>
        <v>17.59</v>
      </c>
      <c r="Q12">
        <f>IF(Q14&gt;10000,HLOOKUP(Q14,$O10:P13,4,FALSE),IF(OR(AND(22500&lt;Q10,Q10&lt;25001),AND(50000&lt;Q10,Q10&lt;53501),AND(70000&lt;Q10,Q10&lt;72501)),$F10,IF(OR(AND(25001&lt;Q10,Q10&lt;27501),AND(53500&lt;Q10,Q10&lt;57001),AND(72500&lt;Q10,Q10&lt;75001)),$G10,IF(OR(AND(27500&lt;Q10,Q10&lt;30001),AND(57000&lt;Q10,Q10&lt;60001),AND(75000&lt;Q10,Q10&lt;77500)),$H10,VLOOKUP(Q10,BDins,6,FALSE)))))</f>
        <v>8</v>
      </c>
      <c r="R12">
        <f>IF(R14&gt;10000,HLOOKUP(R14,$O10:Q13,4,FALSE),IF(OR(AND(22500&lt;R10,R10&lt;25001),AND(50000&lt;R10,R10&lt;53501),AND(70000&lt;R10,R10&lt;72501)),$F10,IF(OR(AND(25001&lt;R10,R10&lt;27501),AND(53500&lt;R10,R10&lt;57001),AND(72500&lt;R10,R10&lt;75001)),$G10,IF(OR(AND(27500&lt;R10,R10&lt;30001),AND(57000&lt;R10,R10&lt;60001),AND(75000&lt;R10,R10&lt;77500)),$H10,VLOOKUP(R10,BDins,6,FALSE)))))</f>
        <v>28</v>
      </c>
      <c r="S12">
        <f>IF(S14&gt;10000,HLOOKUP(S14,$O10:R13,4,FALSE),IF(OR(AND(22500&lt;S10,S10&lt;25001),AND(50000&lt;S10,S10&lt;53501),AND(70000&lt;S10,S10&lt;72501)),$F10,IF(OR(AND(25001&lt;S10,S10&lt;27501),AND(53500&lt;S10,S10&lt;57001),AND(72500&lt;S10,S10&lt;75001)),$G10,IF(OR(AND(27500&lt;S10,S10&lt;30001),AND(57000&lt;S10,S10&lt;60001),AND(75000&lt;S10,S10&lt;77500)),$H10,VLOOKUP(S10,BDins,6,FALSE)))))</f>
        <v>30</v>
      </c>
      <c r="T12">
        <f>IF(T14&gt;10000,HLOOKUP(T14,$O10:S13,4,FALSE),IF(OR(AND(22500&lt;T10,T10&lt;25001),AND(50000&lt;T10,T10&lt;53501),AND(70000&lt;T10,T10&lt;72501)),$F10,IF(OR(AND(25001&lt;T10,T10&lt;27501),AND(53500&lt;T10,T10&lt;57001),AND(72500&lt;T10,T10&lt;75001)),$G10,IF(OR(AND(27500&lt;T10,T10&lt;30001),AND(57000&lt;T10,T10&lt;60001),AND(75000&lt;T10,T10&lt;77500)),$H10,VLOOKUP(T10,BDins,6,FALSE)))))</f>
        <v>50</v>
      </c>
    </row>
    <row r="13" spans="1:114" x14ac:dyDescent="0.2">
      <c r="O13">
        <f t="shared" ref="O13:T13" si="1">IF($K10&gt;0,ROUND(O11*$E10/100,DpCU),IF(O14&gt;10000,ROUND(HLOOKUP(O14,$O10:$T13,4,FALSE)/100*O11,DpCU),IF(OR(O10&lt;20001,O10&gt;95000,AND(60000&lt;O10,O10&lt;70001)),ROUND(ROUND(O11*JL/$C10,DcCU)*O12,DpCU),IF(OR(AND(20000&lt;O10,O10&lt;22501),AND(30000&lt;O10,O10&lt;50001),77500&lt;O10),ROUND(O12*O11,DpCU),IF(OR(AND(22500&lt;O10,O10&lt;25001),AND(50000&lt;O10,O10&lt;53501),AND(70000&lt;O10,O10&lt;72501)),ROUND($F10/100*O11,DpCU),IF(OR(AND(25000&lt;O10,O10&lt;27501),AND(53500&lt;O10,O10&lt;57001),AND(72500&lt;O10,O10&lt;75001)),ROUND($G10/100*O11,DpCU),ROUND($H10/100*O11,DpCU)))))))</f>
        <v>1706.4</v>
      </c>
      <c r="P13">
        <f t="shared" si="1"/>
        <v>2374.65</v>
      </c>
      <c r="Q13">
        <f t="shared" si="1"/>
        <v>8</v>
      </c>
      <c r="R13">
        <f t="shared" si="1"/>
        <v>7</v>
      </c>
      <c r="S13">
        <f t="shared" si="1"/>
        <v>450</v>
      </c>
      <c r="T13">
        <f t="shared" si="1"/>
        <v>750</v>
      </c>
    </row>
    <row r="14" spans="1:114" x14ac:dyDescent="0.2">
      <c r="B14" s="3" t="str">
        <f>A10&amp;"r"</f>
        <v>10002r</v>
      </c>
    </row>
    <row r="15" spans="1:114" x14ac:dyDescent="0.2">
      <c r="A15">
        <v>10003</v>
      </c>
      <c r="B15" s="3" t="s">
        <v>181</v>
      </c>
      <c r="C15" s="1">
        <f>ROUND(J15*JL*Frto/8,4)</f>
        <v>1</v>
      </c>
      <c r="D15" t="s">
        <v>167</v>
      </c>
      <c r="E15">
        <f>SUM($O18:$O18)</f>
        <v>500</v>
      </c>
      <c r="F15">
        <f>SUMIF($O15:$O15,"&lt;22501",$O18:$O18)</f>
        <v>0</v>
      </c>
      <c r="G15">
        <f>SUMIFS($O18:$O18,$O15:$O15,"&gt;30000",$O15:$O15,"&lt;50001")</f>
        <v>0</v>
      </c>
      <c r="H15">
        <f>SUMIFS($O18:$O18,$O15:$O15,"&gt;60000",$O15:$O15,"&lt;70001")</f>
        <v>0</v>
      </c>
      <c r="I15">
        <v>1</v>
      </c>
      <c r="J15">
        <v>1</v>
      </c>
      <c r="O15">
        <v>80001</v>
      </c>
    </row>
    <row r="16" spans="1:114" x14ac:dyDescent="0.2">
      <c r="B16" s="3" t="str">
        <f>A15&amp;"C"</f>
        <v>10003C</v>
      </c>
      <c r="O16">
        <v>1</v>
      </c>
    </row>
    <row r="17" spans="1:22" x14ac:dyDescent="0.2">
      <c r="O17">
        <f>IF(O19&gt;10000,HLOOKUP(O19,N15:$O18,4,FALSE),IF(OR(AND(22500&lt;O15,O15&lt;25001),AND(50000&lt;O15,O15&lt;53501),AND(70000&lt;O15,O15&lt;72501)),$F15,IF(OR(AND(25001&lt;O15,O15&lt;27501),AND(53500&lt;O15,O15&lt;57001),AND(72500&lt;O15,O15&lt;75001)),$G15,IF(OR(AND(27500&lt;O15,O15&lt;30001),AND(57000&lt;O15,O15&lt;60001),AND(75000&lt;O15,O15&lt;77500)),$H15,VLOOKUP(O15,BDins,6,FALSE)))))</f>
        <v>500</v>
      </c>
    </row>
    <row r="18" spans="1:22" x14ac:dyDescent="0.2">
      <c r="O18">
        <f>IF($K15&gt;0,ROUND(O16*$E15/100,DpCU),IF(O19&gt;10000,ROUND(HLOOKUP(O19,$O15:$O18,4,FALSE)/100*O16,DpCU),IF(OR(O15&lt;20001,O15&gt;95000,AND(60000&lt;O15,O15&lt;70001)),ROUND(ROUND(O16*JL/$C15,DcCU)*O17,DpCU),IF(OR(AND(20000&lt;O15,O15&lt;22501),AND(30000&lt;O15,O15&lt;50001),77500&lt;O15),ROUND(O17*O16,DpCU),IF(OR(AND(22500&lt;O15,O15&lt;25001),AND(50000&lt;O15,O15&lt;53501),AND(70000&lt;O15,O15&lt;72501)),ROUND($F15/100*O16,DpCU),IF(OR(AND(25000&lt;O15,O15&lt;27501),AND(53500&lt;O15,O15&lt;57001),AND(72500&lt;O15,O15&lt;75001)),ROUND($G15/100*O16,DpCU),ROUND($H15/100*O16,DpCU)))))))</f>
        <v>500</v>
      </c>
    </row>
    <row r="19" spans="1:22" x14ac:dyDescent="0.2">
      <c r="B19" s="3" t="str">
        <f>A15&amp;"r"</f>
        <v>10003r</v>
      </c>
    </row>
    <row r="20" spans="1:22" x14ac:dyDescent="0.2">
      <c r="A20">
        <v>10004</v>
      </c>
      <c r="B20" s="3" t="s">
        <v>183</v>
      </c>
      <c r="C20" s="1">
        <f>ROUND(J20*JL*Frto/8,4)</f>
        <v>0.5</v>
      </c>
      <c r="D20" t="s">
        <v>184</v>
      </c>
      <c r="E20">
        <f>SUM($O23:$U23)</f>
        <v>2519.27</v>
      </c>
      <c r="F20">
        <f>SUMIF($O20:$U20,"&lt;22501",$O23:$U23)</f>
        <v>991.04</v>
      </c>
      <c r="G20">
        <f>SUMIFS($O23:$U23,$O20:$U20,"&gt;30000",$O20:$U20,"&lt;50001")</f>
        <v>1498.5</v>
      </c>
      <c r="H20">
        <f>SUMIFS($O23:$U23,$O20:$U20,"&gt;60000",$O20:$U20,"&lt;70001")</f>
        <v>0</v>
      </c>
      <c r="I20">
        <v>7</v>
      </c>
      <c r="J20">
        <v>0.5</v>
      </c>
      <c r="O20">
        <v>10001</v>
      </c>
      <c r="P20">
        <v>10003</v>
      </c>
      <c r="Q20">
        <v>10004</v>
      </c>
      <c r="R20">
        <v>30009</v>
      </c>
      <c r="S20">
        <v>30010</v>
      </c>
      <c r="T20">
        <v>30011</v>
      </c>
      <c r="U20">
        <v>70001</v>
      </c>
    </row>
    <row r="21" spans="1:22" x14ac:dyDescent="0.2">
      <c r="B21" s="3" t="str">
        <f>A20&amp;"C"</f>
        <v>10004C</v>
      </c>
      <c r="O21">
        <v>1</v>
      </c>
      <c r="P21">
        <v>1</v>
      </c>
      <c r="Q21">
        <v>2</v>
      </c>
      <c r="R21">
        <v>1</v>
      </c>
      <c r="S21">
        <v>180</v>
      </c>
      <c r="T21">
        <v>8</v>
      </c>
      <c r="U21">
        <v>3</v>
      </c>
    </row>
    <row r="22" spans="1:22" x14ac:dyDescent="0.2">
      <c r="O22">
        <f>IF(O24&gt;10000,HLOOKUP(O24,N20:$O23,4,FALSE),IF(OR(AND(22500&lt;O20,O20&lt;25001),AND(50000&lt;O20,O20&lt;53501),AND(70000&lt;O20,O20&lt;72501)),$F20,IF(OR(AND(25001&lt;O20,O20&lt;27501),AND(53500&lt;O20,O20&lt;57001),AND(72500&lt;O20,O20&lt;75001)),$G20,IF(OR(AND(27500&lt;O20,O20&lt;30001),AND(57000&lt;O20,O20&lt;60001),AND(75000&lt;O20,O20&lt;77500)),$H20,VLOOKUP(O20,BDins,6,FALSE)))))</f>
        <v>12.64</v>
      </c>
      <c r="P22">
        <f>IF(P24&gt;10000,HLOOKUP(P24,O20:$O23,4,FALSE),IF(OR(AND(22500&lt;P20,P20&lt;25001),AND(50000&lt;P20,P20&lt;53501),AND(70000&lt;P20,P20&lt;72501)),$F20,IF(OR(AND(25001&lt;P20,P20&lt;27501),AND(53500&lt;P20,P20&lt;57001),AND(72500&lt;P20,P20&lt;75001)),$G20,IF(OR(AND(27500&lt;P20,P20&lt;30001),AND(57000&lt;P20,P20&lt;60001),AND(75000&lt;P20,P20&lt;77500)),$H20,VLOOKUP(P20,BDins,6,FALSE)))))</f>
        <v>14.12</v>
      </c>
      <c r="Q22">
        <f>IF(Q24&gt;10000,HLOOKUP(Q24,$O20:P23,4,FALSE),IF(OR(AND(22500&lt;Q20,Q20&lt;25001),AND(50000&lt;Q20,Q20&lt;53501),AND(70000&lt;Q20,Q20&lt;72501)),$F20,IF(OR(AND(25001&lt;Q20,Q20&lt;27501),AND(53500&lt;Q20,Q20&lt;57001),AND(72500&lt;Q20,Q20&lt;75001)),$G20,IF(OR(AND(27500&lt;Q20,Q20&lt;30001),AND(57000&lt;Q20,Q20&lt;60001),AND(75000&lt;Q20,Q20&lt;77500)),$H20,VLOOKUP(Q20,BDins,6,FALSE)))))</f>
        <v>17.59</v>
      </c>
      <c r="R22">
        <f>IF(R24&gt;10000,HLOOKUP(R24,$O20:Q23,4,FALSE),IF(OR(AND(22500&lt;R20,R20&lt;25001),AND(50000&lt;R20,R20&lt;53501),AND(70000&lt;R20,R20&lt;72501)),$F20,IF(OR(AND(25001&lt;R20,R20&lt;27501),AND(53500&lt;R20,R20&lt;57001),AND(72500&lt;R20,R20&lt;75001)),$G20,IF(OR(AND(27500&lt;R20,R20&lt;30001),AND(57000&lt;R20,R20&lt;60001),AND(75000&lt;R20,R20&lt;77500)),$H20,VLOOKUP(R20,BDins,6,FALSE)))))</f>
        <v>4.5</v>
      </c>
      <c r="S22">
        <f>IF(S24&gt;10000,HLOOKUP(S24,$O20:R23,4,FALSE),IF(OR(AND(22500&lt;S20,S20&lt;25001),AND(50000&lt;S20,S20&lt;53501),AND(70000&lt;S20,S20&lt;72501)),$F20,IF(OR(AND(25001&lt;S20,S20&lt;27501),AND(53500&lt;S20,S20&lt;57001),AND(72500&lt;S20,S20&lt;75001)),$G20,IF(OR(AND(27500&lt;S20,S20&lt;30001),AND(57000&lt;S20,S20&lt;60001),AND(75000&lt;S20,S20&lt;77500)),$H20,VLOOKUP(S20,BDins,6,FALSE)))))</f>
        <v>7.5</v>
      </c>
      <c r="T22">
        <f>IF(T24&gt;10000,HLOOKUP(T24,$O20:S23,4,FALSE),IF(OR(AND(22500&lt;T20,T20&lt;25001),AND(50000&lt;T20,T20&lt;53501),AND(70000&lt;T20,T20&lt;72501)),$F20,IF(OR(AND(25001&lt;T20,T20&lt;27501),AND(53500&lt;T20,T20&lt;57001),AND(72500&lt;T20,T20&lt;75001)),$G20,IF(OR(AND(27500&lt;T20,T20&lt;30001),AND(57000&lt;T20,T20&lt;60001),AND(75000&lt;T20,T20&lt;77500)),$H20,VLOOKUP(T20,BDins,6,FALSE)))))</f>
        <v>18</v>
      </c>
      <c r="U22">
        <f>IF(U24&gt;10000,HLOOKUP(U24,$O20:T23,4,FALSE),IF(OR(AND(22500&lt;U20,U20&lt;25001),AND(50000&lt;U20,U20&lt;53501),AND(70000&lt;U20,U20&lt;72501)),$F20,IF(OR(AND(25001&lt;U20,U20&lt;27501),AND(53500&lt;U20,U20&lt;57001),AND(72500&lt;U20,U20&lt;75001)),$G20,IF(OR(AND(27500&lt;U20,U20&lt;30001),AND(57000&lt;U20,U20&lt;60001),AND(75000&lt;U20,U20&lt;77500)),$H20,VLOOKUP(U20,BDins,6,FALSE)))))</f>
        <v>991.04</v>
      </c>
    </row>
    <row r="23" spans="1:22" x14ac:dyDescent="0.2">
      <c r="O23">
        <f t="shared" ref="O23:U23" si="2">IF($K20&gt;0,ROUND(O21*$E20/100,DpCU),IF(O24&gt;10000,ROUND(HLOOKUP(O24,$O20:$U23,4,FALSE)/100*O21,DpCU),IF(OR(O20&lt;20001,O20&gt;95000,AND(60000&lt;O20,O20&lt;70001)),ROUND(ROUND(O21*JL/$C20,DcCU)*O22,DpCU),IF(OR(AND(20000&lt;O20,O20&lt;22501),AND(30000&lt;O20,O20&lt;50001),77500&lt;O20),ROUND(O22*O21,DpCU),IF(OR(AND(22500&lt;O20,O20&lt;25001),AND(50000&lt;O20,O20&lt;53501),AND(70000&lt;O20,O20&lt;72501)),ROUND($F20/100*O21,DpCU),IF(OR(AND(25000&lt;O20,O20&lt;27501),AND(53500&lt;O20,O20&lt;57001),AND(72500&lt;O20,O20&lt;75001)),ROUND($G20/100*O21,DpCU),ROUND($H20/100*O21,DpCU)))))))</f>
        <v>202.24</v>
      </c>
      <c r="P23">
        <f t="shared" si="2"/>
        <v>225.92</v>
      </c>
      <c r="Q23">
        <f t="shared" si="2"/>
        <v>562.88</v>
      </c>
      <c r="R23">
        <f t="shared" si="2"/>
        <v>4.5</v>
      </c>
      <c r="S23">
        <f t="shared" si="2"/>
        <v>1350</v>
      </c>
      <c r="T23">
        <f t="shared" si="2"/>
        <v>144</v>
      </c>
      <c r="U23">
        <f t="shared" si="2"/>
        <v>29.73</v>
      </c>
    </row>
    <row r="24" spans="1:22" x14ac:dyDescent="0.2">
      <c r="B24" s="3" t="str">
        <f>A20&amp;"r"</f>
        <v>10004r</v>
      </c>
    </row>
    <row r="25" spans="1:22" x14ac:dyDescent="0.2">
      <c r="A25">
        <v>10005</v>
      </c>
      <c r="B25" s="3" t="s">
        <v>193</v>
      </c>
      <c r="C25" s="1">
        <f>ROUND(J25*JL*Frto/8,4)</f>
        <v>1</v>
      </c>
      <c r="D25" t="s">
        <v>184</v>
      </c>
      <c r="E25">
        <f>SUM($O28:$T28)</f>
        <v>4635.75</v>
      </c>
      <c r="F25">
        <f>SUMIF($O25:$T25,"&lt;22501",$O28:$T28)</f>
        <v>0</v>
      </c>
      <c r="G25">
        <f>SUMIFS($O28:$T28,$O25:$T25,"&gt;30000",$O25:$T25,"&lt;50001")</f>
        <v>4635.75</v>
      </c>
      <c r="H25">
        <f>SUMIFS($O28:$T28,$O25:$T25,"&gt;60000",$O25:$T25,"&lt;70001")</f>
        <v>0</v>
      </c>
      <c r="I25">
        <v>6</v>
      </c>
      <c r="J25">
        <v>1</v>
      </c>
      <c r="O25">
        <v>30012</v>
      </c>
      <c r="P25">
        <v>30013</v>
      </c>
      <c r="Q25">
        <v>30014</v>
      </c>
      <c r="R25">
        <v>30015</v>
      </c>
      <c r="S25">
        <v>30016</v>
      </c>
      <c r="T25">
        <v>30017</v>
      </c>
    </row>
    <row r="26" spans="1:22" x14ac:dyDescent="0.2">
      <c r="B26" s="3" t="str">
        <f>A25&amp;"C"</f>
        <v>10005C</v>
      </c>
      <c r="O26">
        <v>35</v>
      </c>
      <c r="P26">
        <v>35</v>
      </c>
      <c r="Q26">
        <v>35</v>
      </c>
      <c r="R26">
        <v>35</v>
      </c>
      <c r="S26">
        <v>35</v>
      </c>
      <c r="T26">
        <v>35</v>
      </c>
    </row>
    <row r="27" spans="1:22" x14ac:dyDescent="0.2">
      <c r="O27">
        <f>IF(O29&gt;10000,HLOOKUP(O29,N25:$O28,4,FALSE),IF(OR(AND(22500&lt;O25,O25&lt;25001),AND(50000&lt;O25,O25&lt;53501),AND(70000&lt;O25,O25&lt;72501)),$F25,IF(OR(AND(25001&lt;O25,O25&lt;27501),AND(53500&lt;O25,O25&lt;57001),AND(72500&lt;O25,O25&lt;75001)),$G25,IF(OR(AND(27500&lt;O25,O25&lt;30001),AND(57000&lt;O25,O25&lt;60001),AND(75000&lt;O25,O25&lt;77500)),$H25,VLOOKUP(O25,BDins,6,FALSE)))))</f>
        <v>18.5</v>
      </c>
      <c r="P27">
        <f>IF(P29&gt;10000,HLOOKUP(P29,O25:$O28,4,FALSE),IF(OR(AND(22500&lt;P25,P25&lt;25001),AND(50000&lt;P25,P25&lt;53501),AND(70000&lt;P25,P25&lt;72501)),$F25,IF(OR(AND(25001&lt;P25,P25&lt;27501),AND(53500&lt;P25,P25&lt;57001),AND(72500&lt;P25,P25&lt;75001)),$G25,IF(OR(AND(27500&lt;P25,P25&lt;30001),AND(57000&lt;P25,P25&lt;60001),AND(75000&lt;P25,P25&lt;77500)),$H25,VLOOKUP(P25,BDins,6,FALSE)))))</f>
        <v>48.5</v>
      </c>
      <c r="Q27">
        <f>IF(Q29&gt;10000,HLOOKUP(Q29,$O25:P28,4,FALSE),IF(OR(AND(22500&lt;Q25,Q25&lt;25001),AND(50000&lt;Q25,Q25&lt;53501),AND(70000&lt;Q25,Q25&lt;72501)),$F25,IF(OR(AND(25001&lt;Q25,Q25&lt;27501),AND(53500&lt;Q25,Q25&lt;57001),AND(72500&lt;Q25,Q25&lt;75001)),$G25,IF(OR(AND(27500&lt;Q25,Q25&lt;30001),AND(57000&lt;Q25,Q25&lt;60001),AND(75000&lt;Q25,Q25&lt;77500)),$H25,VLOOKUP(Q25,BDins,6,FALSE)))))</f>
        <v>12</v>
      </c>
      <c r="R27">
        <f>IF(R29&gt;10000,HLOOKUP(R29,$O25:Q28,4,FALSE),IF(OR(AND(22500&lt;R25,R25&lt;25001),AND(50000&lt;R25,R25&lt;53501),AND(70000&lt;R25,R25&lt;72501)),$F25,IF(OR(AND(25001&lt;R25,R25&lt;27501),AND(53500&lt;R25,R25&lt;57001),AND(72500&lt;R25,R25&lt;75001)),$G25,IF(OR(AND(27500&lt;R25,R25&lt;30001),AND(57000&lt;R25,R25&lt;60001),AND(75000&lt;R25,R25&lt;77500)),$H25,VLOOKUP(R25,BDins,6,FALSE)))))</f>
        <v>12.5</v>
      </c>
      <c r="S27">
        <f>IF(S29&gt;10000,HLOOKUP(S29,$O25:R28,4,FALSE),IF(OR(AND(22500&lt;S25,S25&lt;25001),AND(50000&lt;S25,S25&lt;53501),AND(70000&lt;S25,S25&lt;72501)),$F25,IF(OR(AND(25001&lt;S25,S25&lt;27501),AND(53500&lt;S25,S25&lt;57001),AND(72500&lt;S25,S25&lt;75001)),$G25,IF(OR(AND(27500&lt;S25,S25&lt;30001),AND(57000&lt;S25,S25&lt;60001),AND(75000&lt;S25,S25&lt;77500)),$H25,VLOOKUP(S25,BDins,6,FALSE)))))</f>
        <v>11.45</v>
      </c>
      <c r="T27">
        <f>IF(T29&gt;10000,HLOOKUP(T29,$O25:S28,4,FALSE),IF(OR(AND(22500&lt;T25,T25&lt;25001),AND(50000&lt;T25,T25&lt;53501),AND(70000&lt;T25,T25&lt;72501)),$F25,IF(OR(AND(25001&lt;T25,T25&lt;27501),AND(53500&lt;T25,T25&lt;57001),AND(72500&lt;T25,T25&lt;75001)),$G25,IF(OR(AND(27500&lt;T25,T25&lt;30001),AND(57000&lt;T25,T25&lt;60001),AND(75000&lt;T25,T25&lt;77500)),$H25,VLOOKUP(T25,BDins,6,FALSE)))))</f>
        <v>29.5</v>
      </c>
    </row>
    <row r="28" spans="1:22" x14ac:dyDescent="0.2">
      <c r="O28">
        <f t="shared" ref="O28:T28" si="3">IF($K25&gt;0,ROUND(O26*$E25/100,DpCU),IF(O29&gt;10000,ROUND(HLOOKUP(O29,$O25:$T28,4,FALSE)/100*O26,DpCU),IF(OR(O25&lt;20001,O25&gt;95000,AND(60000&lt;O25,O25&lt;70001)),ROUND(ROUND(O26*JL/$C25,DcCU)*O27,DpCU),IF(OR(AND(20000&lt;O25,O25&lt;22501),AND(30000&lt;O25,O25&lt;50001),77500&lt;O25),ROUND(O27*O26,DpCU),IF(OR(AND(22500&lt;O25,O25&lt;25001),AND(50000&lt;O25,O25&lt;53501),AND(70000&lt;O25,O25&lt;72501)),ROUND($F25/100*O26,DpCU),IF(OR(AND(25000&lt;O25,O25&lt;27501),AND(53500&lt;O25,O25&lt;57001),AND(72500&lt;O25,O25&lt;75001)),ROUND($G25/100*O26,DpCU),ROUND($H25/100*O26,DpCU)))))))</f>
        <v>647.5</v>
      </c>
      <c r="P28">
        <f t="shared" si="3"/>
        <v>1697.5</v>
      </c>
      <c r="Q28">
        <f t="shared" si="3"/>
        <v>420</v>
      </c>
      <c r="R28">
        <f t="shared" si="3"/>
        <v>437.5</v>
      </c>
      <c r="S28">
        <f t="shared" si="3"/>
        <v>400.75</v>
      </c>
      <c r="T28">
        <f t="shared" si="3"/>
        <v>1032.5</v>
      </c>
    </row>
    <row r="29" spans="1:22" x14ac:dyDescent="0.2">
      <c r="B29" s="3" t="str">
        <f>A25&amp;"r"</f>
        <v>10005r</v>
      </c>
    </row>
    <row r="30" spans="1:22" x14ac:dyDescent="0.2">
      <c r="A30">
        <v>10006</v>
      </c>
      <c r="B30" s="3" t="s">
        <v>202</v>
      </c>
      <c r="C30" s="1">
        <f>ROUND(J30*JL*Frto/8,4)</f>
        <v>5</v>
      </c>
      <c r="D30" t="s">
        <v>167</v>
      </c>
      <c r="E30">
        <f>SUM($O33:$V33)</f>
        <v>108.11</v>
      </c>
      <c r="F30">
        <f>SUMIF($O30:$V30,"&lt;22501",$O33:$V33)</f>
        <v>70.95</v>
      </c>
      <c r="G30">
        <f>SUMIFS($O33:$V33,$O30:$V30,"&gt;30000",$O30:$V30,"&lt;50001")</f>
        <v>35.03</v>
      </c>
      <c r="H30">
        <f>SUMIFS($O33:$V33,$O30:$V30,"&gt;60000",$O30:$V30,"&lt;70001")</f>
        <v>0</v>
      </c>
      <c r="I30">
        <v>8</v>
      </c>
      <c r="J30">
        <v>5</v>
      </c>
      <c r="O30">
        <v>10001</v>
      </c>
      <c r="P30">
        <v>10003</v>
      </c>
      <c r="Q30">
        <v>10004</v>
      </c>
      <c r="R30">
        <v>30005</v>
      </c>
      <c r="S30">
        <v>30018</v>
      </c>
      <c r="T30">
        <v>30019</v>
      </c>
      <c r="U30">
        <v>30020</v>
      </c>
      <c r="V30">
        <v>70001</v>
      </c>
    </row>
    <row r="31" spans="1:22" x14ac:dyDescent="0.2">
      <c r="B31" s="3" t="str">
        <f>A30&amp;"C"</f>
        <v>10006C</v>
      </c>
      <c r="O31">
        <v>1</v>
      </c>
      <c r="P31">
        <v>1</v>
      </c>
      <c r="Q31">
        <v>1</v>
      </c>
      <c r="R31">
        <v>0.11</v>
      </c>
      <c r="S31">
        <v>1</v>
      </c>
      <c r="T31">
        <v>2</v>
      </c>
      <c r="U31">
        <v>1</v>
      </c>
      <c r="V31">
        <v>3</v>
      </c>
    </row>
    <row r="32" spans="1:22" x14ac:dyDescent="0.2">
      <c r="O32">
        <f>IF(O34&gt;10000,HLOOKUP(O34,N30:$O33,4,FALSE),IF(OR(AND(22500&lt;O30,O30&lt;25001),AND(50000&lt;O30,O30&lt;53501),AND(70000&lt;O30,O30&lt;72501)),$F30,IF(OR(AND(25001&lt;O30,O30&lt;27501),AND(53500&lt;O30,O30&lt;57001),AND(72500&lt;O30,O30&lt;75001)),$G30,IF(OR(AND(27500&lt;O30,O30&lt;30001),AND(57000&lt;O30,O30&lt;60001),AND(75000&lt;O30,O30&lt;77500)),$H30,VLOOKUP(O30,BDins,6,FALSE)))))</f>
        <v>12.64</v>
      </c>
      <c r="P32">
        <f>IF(P34&gt;10000,HLOOKUP(P34,O30:$O33,4,FALSE),IF(OR(AND(22500&lt;P30,P30&lt;25001),AND(50000&lt;P30,P30&lt;53501),AND(70000&lt;P30,P30&lt;72501)),$F30,IF(OR(AND(25001&lt;P30,P30&lt;27501),AND(53500&lt;P30,P30&lt;57001),AND(72500&lt;P30,P30&lt;75001)),$G30,IF(OR(AND(27500&lt;P30,P30&lt;30001),AND(57000&lt;P30,P30&lt;60001),AND(75000&lt;P30,P30&lt;77500)),$H30,VLOOKUP(P30,BDins,6,FALSE)))))</f>
        <v>14.12</v>
      </c>
      <c r="Q32">
        <f>IF(Q34&gt;10000,HLOOKUP(Q34,$O30:P33,4,FALSE),IF(OR(AND(22500&lt;Q30,Q30&lt;25001),AND(50000&lt;Q30,Q30&lt;53501),AND(70000&lt;Q30,Q30&lt;72501)),$F30,IF(OR(AND(25001&lt;Q30,Q30&lt;27501),AND(53500&lt;Q30,Q30&lt;57001),AND(72500&lt;Q30,Q30&lt;75001)),$G30,IF(OR(AND(27500&lt;Q30,Q30&lt;30001),AND(57000&lt;Q30,Q30&lt;60001),AND(75000&lt;Q30,Q30&lt;77500)),$H30,VLOOKUP(Q30,BDins,6,FALSE)))))</f>
        <v>17.59</v>
      </c>
      <c r="R32">
        <f>IF(R34&gt;10000,HLOOKUP(R34,$O30:Q33,4,FALSE),IF(OR(AND(22500&lt;R30,R30&lt;25001),AND(50000&lt;R30,R30&lt;53501),AND(70000&lt;R30,R30&lt;72501)),$F30,IF(OR(AND(25001&lt;R30,R30&lt;27501),AND(53500&lt;R30,R30&lt;57001),AND(72500&lt;R30,R30&lt;75001)),$G30,IF(OR(AND(27500&lt;R30,R30&lt;30001),AND(57000&lt;R30,R30&lt;60001),AND(75000&lt;R30,R30&lt;77500)),$H30,VLOOKUP(R30,BDins,6,FALSE)))))</f>
        <v>28</v>
      </c>
      <c r="S32">
        <f>IF(S34&gt;10000,HLOOKUP(S34,$O30:R33,4,FALSE),IF(OR(AND(22500&lt;S30,S30&lt;25001),AND(50000&lt;S30,S30&lt;53501),AND(70000&lt;S30,S30&lt;72501)),$F30,IF(OR(AND(25001&lt;S30,S30&lt;27501),AND(53500&lt;S30,S30&lt;57001),AND(72500&lt;S30,S30&lt;75001)),$G30,IF(OR(AND(27500&lt;S30,S30&lt;30001),AND(57000&lt;S30,S30&lt;60001),AND(75000&lt;S30,S30&lt;77500)),$H30,VLOOKUP(S30,BDins,6,FALSE)))))</f>
        <v>11.45</v>
      </c>
      <c r="T32">
        <f>IF(T34&gt;10000,HLOOKUP(T34,$O30:S33,4,FALSE),IF(OR(AND(22500&lt;T30,T30&lt;25001),AND(50000&lt;T30,T30&lt;53501),AND(70000&lt;T30,T30&lt;72501)),$F30,IF(OR(AND(25001&lt;T30,T30&lt;27501),AND(53500&lt;T30,T30&lt;57001),AND(72500&lt;T30,T30&lt;75001)),$G30,IF(OR(AND(27500&lt;T30,T30&lt;30001),AND(57000&lt;T30,T30&lt;60001),AND(75000&lt;T30,T30&lt;77500)),$H30,VLOOKUP(T30,BDins,6,FALSE)))))</f>
        <v>2.5</v>
      </c>
      <c r="U32">
        <f>IF(U34&gt;10000,HLOOKUP(U34,$O30:T33,4,FALSE),IF(OR(AND(22500&lt;U30,U30&lt;25001),AND(50000&lt;U30,U30&lt;53501),AND(70000&lt;U30,U30&lt;72501)),$F30,IF(OR(AND(25001&lt;U30,U30&lt;27501),AND(53500&lt;U30,U30&lt;57001),AND(72500&lt;U30,U30&lt;75001)),$G30,IF(OR(AND(27500&lt;U30,U30&lt;30001),AND(57000&lt;U30,U30&lt;60001),AND(75000&lt;U30,U30&lt;77500)),$H30,VLOOKUP(U30,BDins,6,FALSE)))))</f>
        <v>15.5</v>
      </c>
      <c r="V32">
        <f>IF(V34&gt;10000,HLOOKUP(V34,$O30:U33,4,FALSE),IF(OR(AND(22500&lt;V30,V30&lt;25001),AND(50000&lt;V30,V30&lt;53501),AND(70000&lt;V30,V30&lt;72501)),$F30,IF(OR(AND(25001&lt;V30,V30&lt;27501),AND(53500&lt;V30,V30&lt;57001),AND(72500&lt;V30,V30&lt;75001)),$G30,IF(OR(AND(27500&lt;V30,V30&lt;30001),AND(57000&lt;V30,V30&lt;60001),AND(75000&lt;V30,V30&lt;77500)),$H30,VLOOKUP(V30,BDins,6,FALSE)))))</f>
        <v>70.95</v>
      </c>
    </row>
    <row r="33" spans="1:22" x14ac:dyDescent="0.2">
      <c r="O33">
        <f t="shared" ref="O33:V33" si="4">IF($K30&gt;0,ROUND(O31*$E30/100,DpCU),IF(O34&gt;10000,ROUND(HLOOKUP(O34,$O30:$V33,4,FALSE)/100*O31,DpCU),IF(OR(O30&lt;20001,O30&gt;95000,AND(60000&lt;O30,O30&lt;70001)),ROUND(ROUND(O31*JL/$C30,DcCU)*O32,DpCU),IF(OR(AND(20000&lt;O30,O30&lt;22501),AND(30000&lt;O30,O30&lt;50001),77500&lt;O30),ROUND(O32*O31,DpCU),IF(OR(AND(22500&lt;O30,O30&lt;25001),AND(50000&lt;O30,O30&lt;53501),AND(70000&lt;O30,O30&lt;72501)),ROUND($F30/100*O31,DpCU),IF(OR(AND(25000&lt;O30,O30&lt;27501),AND(53500&lt;O30,O30&lt;57001),AND(72500&lt;O30,O30&lt;75001)),ROUND($G30/100*O31,DpCU),ROUND($H30/100*O31,DpCU)))))))</f>
        <v>20.22</v>
      </c>
      <c r="P33">
        <f t="shared" si="4"/>
        <v>22.59</v>
      </c>
      <c r="Q33">
        <f t="shared" si="4"/>
        <v>28.14</v>
      </c>
      <c r="R33">
        <f t="shared" si="4"/>
        <v>3.08</v>
      </c>
      <c r="S33">
        <f t="shared" si="4"/>
        <v>11.45</v>
      </c>
      <c r="T33">
        <f t="shared" si="4"/>
        <v>5</v>
      </c>
      <c r="U33">
        <f t="shared" si="4"/>
        <v>15.5</v>
      </c>
      <c r="V33">
        <f t="shared" si="4"/>
        <v>2.13</v>
      </c>
    </row>
    <row r="34" spans="1:22" x14ac:dyDescent="0.2">
      <c r="B34" s="3" t="str">
        <f>A30&amp;"r"</f>
        <v>10006r</v>
      </c>
    </row>
    <row r="35" spans="1:22" x14ac:dyDescent="0.2">
      <c r="A35">
        <v>10007</v>
      </c>
      <c r="B35" s="3" t="s">
        <v>208</v>
      </c>
      <c r="C35" s="1">
        <f>ROUND(J35*JL*Frto/8,4)</f>
        <v>1</v>
      </c>
      <c r="D35" t="s">
        <v>209</v>
      </c>
      <c r="E35">
        <f>SUM($O38:$O38)</f>
        <v>350</v>
      </c>
      <c r="F35">
        <f>SUMIF($O35:$O35,"&lt;22501",$O38:$O38)</f>
        <v>0</v>
      </c>
      <c r="G35">
        <f>SUMIFS($O38:$O38,$O35:$O35,"&gt;30000",$O35:$O35,"&lt;50001")</f>
        <v>350</v>
      </c>
      <c r="H35">
        <f>SUMIFS($O38:$O38,$O35:$O35,"&gt;60000",$O35:$O35,"&lt;70001")</f>
        <v>0</v>
      </c>
      <c r="I35">
        <v>1</v>
      </c>
      <c r="J35">
        <v>1</v>
      </c>
      <c r="O35">
        <v>30021</v>
      </c>
    </row>
    <row r="36" spans="1:22" x14ac:dyDescent="0.2">
      <c r="B36" s="3" t="str">
        <f>A35&amp;"C"</f>
        <v>10007C</v>
      </c>
      <c r="O36">
        <v>1</v>
      </c>
    </row>
    <row r="37" spans="1:22" x14ac:dyDescent="0.2">
      <c r="O37">
        <f>IF(O39&gt;10000,HLOOKUP(O39,N35:$O38,4,FALSE),IF(OR(AND(22500&lt;O35,O35&lt;25001),AND(50000&lt;O35,O35&lt;53501),AND(70000&lt;O35,O35&lt;72501)),$F35,IF(OR(AND(25001&lt;O35,O35&lt;27501),AND(53500&lt;O35,O35&lt;57001),AND(72500&lt;O35,O35&lt;75001)),$G35,IF(OR(AND(27500&lt;O35,O35&lt;30001),AND(57000&lt;O35,O35&lt;60001),AND(75000&lt;O35,O35&lt;77500)),$H35,VLOOKUP(O35,BDins,6,FALSE)))))</f>
        <v>350</v>
      </c>
    </row>
    <row r="38" spans="1:22" x14ac:dyDescent="0.2">
      <c r="O38">
        <f>IF($K35&gt;0,ROUND(O36*$E35/100,DpCU),IF(O39&gt;10000,ROUND(HLOOKUP(O39,$O35:$O38,4,FALSE)/100*O36,DpCU),IF(OR(O35&lt;20001,O35&gt;95000,AND(60000&lt;O35,O35&lt;70001)),ROUND(ROUND(O36*JL/$C35,DcCU)*O37,DpCU),IF(OR(AND(20000&lt;O35,O35&lt;22501),AND(30000&lt;O35,O35&lt;50001),77500&lt;O35),ROUND(O37*O36,DpCU),IF(OR(AND(22500&lt;O35,O35&lt;25001),AND(50000&lt;O35,O35&lt;53501),AND(70000&lt;O35,O35&lt;72501)),ROUND($F35/100*O36,DpCU),IF(OR(AND(25000&lt;O35,O35&lt;27501),AND(53500&lt;O35,O35&lt;57001),AND(72500&lt;O35,O35&lt;75001)),ROUND($G35/100*O36,DpCU),ROUND($H35/100*O36,DpCU)))))))</f>
        <v>350</v>
      </c>
    </row>
    <row r="39" spans="1:22" x14ac:dyDescent="0.2">
      <c r="B39" s="3" t="str">
        <f>A35&amp;"r"</f>
        <v>10007r</v>
      </c>
    </row>
    <row r="40" spans="1:22" x14ac:dyDescent="0.2">
      <c r="A40">
        <v>10008</v>
      </c>
      <c r="B40" s="3" t="s">
        <v>214</v>
      </c>
      <c r="C40" s="1">
        <f>ROUND(J40*JL*Frto/8,4)</f>
        <v>3</v>
      </c>
      <c r="D40" t="s">
        <v>165</v>
      </c>
      <c r="E40">
        <f>SUM($O43:$P43)</f>
        <v>59.84</v>
      </c>
      <c r="F40">
        <f>SUMIF($O40:$P40,"&lt;22501",$O43:$P43)</f>
        <v>33.71</v>
      </c>
      <c r="G40">
        <f>SUMIFS($O43:$P43,$O40:$P40,"&gt;30000",$O40:$P40,"&lt;50001")</f>
        <v>0</v>
      </c>
      <c r="H40">
        <f>SUMIFS($O43:$P43,$O40:$P40,"&gt;60000",$O40:$P40,"&lt;70001")</f>
        <v>26.13</v>
      </c>
      <c r="I40">
        <v>2</v>
      </c>
      <c r="J40">
        <v>3</v>
      </c>
      <c r="O40">
        <v>10001</v>
      </c>
      <c r="P40">
        <v>60003</v>
      </c>
    </row>
    <row r="41" spans="1:22" x14ac:dyDescent="0.2">
      <c r="B41" s="3" t="str">
        <f>A40&amp;"C"</f>
        <v>10008C</v>
      </c>
      <c r="O41">
        <v>1</v>
      </c>
      <c r="P41">
        <v>1</v>
      </c>
    </row>
    <row r="42" spans="1:22" x14ac:dyDescent="0.2">
      <c r="O42">
        <f>IF(O44&gt;10000,HLOOKUP(O44,N40:$O43,4,FALSE),IF(OR(AND(22500&lt;O40,O40&lt;25001),AND(50000&lt;O40,O40&lt;53501),AND(70000&lt;O40,O40&lt;72501)),$F40,IF(OR(AND(25001&lt;O40,O40&lt;27501),AND(53500&lt;O40,O40&lt;57001),AND(72500&lt;O40,O40&lt;75001)),$G40,IF(OR(AND(27500&lt;O40,O40&lt;30001),AND(57000&lt;O40,O40&lt;60001),AND(75000&lt;O40,O40&lt;77500)),$H40,VLOOKUP(O40,BDins,6,FALSE)))))</f>
        <v>12.64</v>
      </c>
      <c r="P42">
        <f>IF(P44&gt;10000,HLOOKUP(P44,O40:$O43,4,FALSE),IF(OR(AND(22500&lt;P40,P40&lt;25001),AND(50000&lt;P40,P40&lt;53501),AND(70000&lt;P40,P40&lt;72501)),$F40,IF(OR(AND(25001&lt;P40,P40&lt;27501),AND(53500&lt;P40,P40&lt;57001),AND(72500&lt;P40,P40&lt;75001)),$G40,IF(OR(AND(27500&lt;P40,P40&lt;30001),AND(57000&lt;P40,P40&lt;60001),AND(75000&lt;P40,P40&lt;77500)),$H40,VLOOKUP(P40,BDins,6,FALSE)))))</f>
        <v>9.8000000000000007</v>
      </c>
    </row>
    <row r="43" spans="1:22" x14ac:dyDescent="0.2">
      <c r="O43">
        <f>IF($K40&gt;0,ROUND(O41*$E40/100,DpCU),IF(O44&gt;10000,ROUND(HLOOKUP(O44,$O40:$P43,4,FALSE)/100*O41,DpCU),IF(OR(O40&lt;20001,O40&gt;95000,AND(60000&lt;O40,O40&lt;70001)),ROUND(ROUND(O41*JL/$C40,DcCU)*O42,DpCU),IF(OR(AND(20000&lt;O40,O40&lt;22501),AND(30000&lt;O40,O40&lt;50001),77500&lt;O40),ROUND(O42*O41,DpCU),IF(OR(AND(22500&lt;O40,O40&lt;25001),AND(50000&lt;O40,O40&lt;53501),AND(70000&lt;O40,O40&lt;72501)),ROUND($F40/100*O41,DpCU),IF(OR(AND(25000&lt;O40,O40&lt;27501),AND(53500&lt;O40,O40&lt;57001),AND(72500&lt;O40,O40&lt;75001)),ROUND($G40/100*O41,DpCU),ROUND($H40/100*O41,DpCU)))))))</f>
        <v>33.71</v>
      </c>
      <c r="P43">
        <f>IF($K40&gt;0,ROUND(P41*$E40/100,DpCU),IF(P44&gt;10000,ROUND(HLOOKUP(P44,$O40:$P43,4,FALSE)/100*P41,DpCU),IF(OR(P40&lt;20001,P40&gt;95000,AND(60000&lt;P40,P40&lt;70001)),ROUND(ROUND(P41*JL/$C40,DcCU)*P42,DpCU),IF(OR(AND(20000&lt;P40,P40&lt;22501),AND(30000&lt;P40,P40&lt;50001),77500&lt;P40),ROUND(P42*P41,DpCU),IF(OR(AND(22500&lt;P40,P40&lt;25001),AND(50000&lt;P40,P40&lt;53501),AND(70000&lt;P40,P40&lt;72501)),ROUND($F40/100*P41,DpCU),IF(OR(AND(25000&lt;P40,P40&lt;27501),AND(53500&lt;P40,P40&lt;57001),AND(72500&lt;P40,P40&lt;75001)),ROUND($G40/100*P41,DpCU),ROUND($H40/100*P41,DpCU)))))))</f>
        <v>26.13</v>
      </c>
    </row>
    <row r="44" spans="1:22" x14ac:dyDescent="0.2">
      <c r="B44" s="3" t="str">
        <f>A40&amp;"r"</f>
        <v>10008r</v>
      </c>
    </row>
    <row r="45" spans="1:22" x14ac:dyDescent="0.2">
      <c r="A45">
        <v>10009</v>
      </c>
      <c r="B45" s="3" t="s">
        <v>219</v>
      </c>
      <c r="C45" s="1">
        <f>ROUND(J45*JL*Frto/8,4)</f>
        <v>100</v>
      </c>
      <c r="D45" t="s">
        <v>165</v>
      </c>
      <c r="E45">
        <f>SUM($O48:$P48)</f>
        <v>15.01</v>
      </c>
      <c r="F45">
        <f>SUMIF($O45:$P45,"&lt;22501",$O48:$P48)</f>
        <v>1.01</v>
      </c>
      <c r="G45">
        <f>SUMIFS($O48:$P48,$O45:$P45,"&gt;30000",$O45:$P45,"&lt;50001")</f>
        <v>0</v>
      </c>
      <c r="H45">
        <f>SUMIFS($O48:$P48,$O45:$P45,"&gt;60000",$O45:$P45,"&lt;70001")</f>
        <v>14</v>
      </c>
      <c r="I45">
        <v>2</v>
      </c>
      <c r="J45">
        <v>100</v>
      </c>
      <c r="O45">
        <v>10001</v>
      </c>
      <c r="P45">
        <v>60004</v>
      </c>
    </row>
    <row r="46" spans="1:22" x14ac:dyDescent="0.2">
      <c r="B46" s="3" t="str">
        <f>A45&amp;"C"</f>
        <v>10009C</v>
      </c>
      <c r="O46">
        <v>1</v>
      </c>
      <c r="P46">
        <v>1</v>
      </c>
    </row>
    <row r="47" spans="1:22" x14ac:dyDescent="0.2">
      <c r="O47">
        <f>IF(O49&gt;10000,HLOOKUP(O49,N45:$O48,4,FALSE),IF(OR(AND(22500&lt;O45,O45&lt;25001),AND(50000&lt;O45,O45&lt;53501),AND(70000&lt;O45,O45&lt;72501)),$F45,IF(OR(AND(25001&lt;O45,O45&lt;27501),AND(53500&lt;O45,O45&lt;57001),AND(72500&lt;O45,O45&lt;75001)),$G45,IF(OR(AND(27500&lt;O45,O45&lt;30001),AND(57000&lt;O45,O45&lt;60001),AND(75000&lt;O45,O45&lt;77500)),$H45,VLOOKUP(O45,BDins,6,FALSE)))))</f>
        <v>12.64</v>
      </c>
      <c r="P47">
        <f>IF(P49&gt;10000,HLOOKUP(P49,O45:$O48,4,FALSE),IF(OR(AND(22500&lt;P45,P45&lt;25001),AND(50000&lt;P45,P45&lt;53501),AND(70000&lt;P45,P45&lt;72501)),$F45,IF(OR(AND(25001&lt;P45,P45&lt;27501),AND(53500&lt;P45,P45&lt;57001),AND(72500&lt;P45,P45&lt;75001)),$G45,IF(OR(AND(27500&lt;P45,P45&lt;30001),AND(57000&lt;P45,P45&lt;60001),AND(75000&lt;P45,P45&lt;77500)),$H45,VLOOKUP(P45,BDins,6,FALSE)))))</f>
        <v>175</v>
      </c>
    </row>
    <row r="48" spans="1:22" x14ac:dyDescent="0.2">
      <c r="O48">
        <f>IF($K45&gt;0,ROUND(O46*$E45/100,DpCU),IF(O49&gt;10000,ROUND(HLOOKUP(O49,$O45:$P48,4,FALSE)/100*O46,DpCU),IF(OR(O45&lt;20001,O45&gt;95000,AND(60000&lt;O45,O45&lt;70001)),ROUND(ROUND(O46*JL/$C45,DcCU)*O47,DpCU),IF(OR(AND(20000&lt;O45,O45&lt;22501),AND(30000&lt;O45,O45&lt;50001),77500&lt;O45),ROUND(O47*O46,DpCU),IF(OR(AND(22500&lt;O45,O45&lt;25001),AND(50000&lt;O45,O45&lt;53501),AND(70000&lt;O45,O45&lt;72501)),ROUND($F45/100*O46,DpCU),IF(OR(AND(25000&lt;O45,O45&lt;27501),AND(53500&lt;O45,O45&lt;57001),AND(72500&lt;O45,O45&lt;75001)),ROUND($G45/100*O46,DpCU),ROUND($H45/100*O46,DpCU)))))))</f>
        <v>1.01</v>
      </c>
      <c r="P48">
        <f>IF($K45&gt;0,ROUND(P46*$E45/100,DpCU),IF(P49&gt;10000,ROUND(HLOOKUP(P49,$O45:$P48,4,FALSE)/100*P46,DpCU),IF(OR(P45&lt;20001,P45&gt;95000,AND(60000&lt;P45,P45&lt;70001)),ROUND(ROUND(P46*JL/$C45,DcCU)*P47,DpCU),IF(OR(AND(20000&lt;P45,P45&lt;22501),AND(30000&lt;P45,P45&lt;50001),77500&lt;P45),ROUND(P47*P46,DpCU),IF(OR(AND(22500&lt;P45,P45&lt;25001),AND(50000&lt;P45,P45&lt;53501),AND(70000&lt;P45,P45&lt;72501)),ROUND($F45/100*P46,DpCU),IF(OR(AND(25000&lt;P45,P45&lt;27501),AND(53500&lt;P45,P45&lt;57001),AND(72500&lt;P45,P45&lt;75001)),ROUND($G45/100*P46,DpCU),ROUND($H45/100*P46,DpCU)))))))</f>
        <v>14</v>
      </c>
    </row>
    <row r="49" spans="1:18" x14ac:dyDescent="0.2">
      <c r="B49" s="3" t="str">
        <f>A45&amp;"r"</f>
        <v>10009r</v>
      </c>
    </row>
    <row r="50" spans="1:18" x14ac:dyDescent="0.2">
      <c r="A50">
        <v>10010</v>
      </c>
      <c r="B50" s="3" t="s">
        <v>222</v>
      </c>
      <c r="C50" s="1">
        <f>ROUND(J50*JL*Frto/8,4)</f>
        <v>3</v>
      </c>
      <c r="D50" t="s">
        <v>165</v>
      </c>
      <c r="E50">
        <f>SUM($O53:$P53)</f>
        <v>34.72</v>
      </c>
      <c r="F50">
        <f>SUMIF($O50:$P50,"&lt;22501",$O53:$P53)</f>
        <v>33.71</v>
      </c>
      <c r="G50">
        <f>SUMIFS($O53:$P53,$O50:$P50,"&gt;30000",$O50:$P50,"&lt;50001")</f>
        <v>0</v>
      </c>
      <c r="H50">
        <f>SUMIFS($O53:$P53,$O50:$P50,"&gt;60000",$O50:$P50,"&lt;70001")</f>
        <v>0</v>
      </c>
      <c r="I50">
        <v>2</v>
      </c>
      <c r="J50">
        <v>3</v>
      </c>
      <c r="O50">
        <v>10001</v>
      </c>
      <c r="P50">
        <v>70001</v>
      </c>
    </row>
    <row r="51" spans="1:18" x14ac:dyDescent="0.2">
      <c r="B51" s="3" t="str">
        <f>A50&amp;"C"</f>
        <v>10010C</v>
      </c>
      <c r="O51">
        <v>1</v>
      </c>
      <c r="P51">
        <v>3</v>
      </c>
    </row>
    <row r="52" spans="1:18" x14ac:dyDescent="0.2">
      <c r="O52">
        <f>IF(O54&gt;10000,HLOOKUP(O54,N50:$O53,4,FALSE),IF(OR(AND(22500&lt;O50,O50&lt;25001),AND(50000&lt;O50,O50&lt;53501),AND(70000&lt;O50,O50&lt;72501)),$F50,IF(OR(AND(25001&lt;O50,O50&lt;27501),AND(53500&lt;O50,O50&lt;57001),AND(72500&lt;O50,O50&lt;75001)),$G50,IF(OR(AND(27500&lt;O50,O50&lt;30001),AND(57000&lt;O50,O50&lt;60001),AND(75000&lt;O50,O50&lt;77500)),$H50,VLOOKUP(O50,BDins,6,FALSE)))))</f>
        <v>12.64</v>
      </c>
      <c r="P52">
        <f>IF(P54&gt;10000,HLOOKUP(P54,O50:$O53,4,FALSE),IF(OR(AND(22500&lt;P50,P50&lt;25001),AND(50000&lt;P50,P50&lt;53501),AND(70000&lt;P50,P50&lt;72501)),$F50,IF(OR(AND(25001&lt;P50,P50&lt;27501),AND(53500&lt;P50,P50&lt;57001),AND(72500&lt;P50,P50&lt;75001)),$G50,IF(OR(AND(27500&lt;P50,P50&lt;30001),AND(57000&lt;P50,P50&lt;60001),AND(75000&lt;P50,P50&lt;77500)),$H50,VLOOKUP(P50,BDins,6,FALSE)))))</f>
        <v>33.71</v>
      </c>
    </row>
    <row r="53" spans="1:18" x14ac:dyDescent="0.2">
      <c r="O53">
        <f>IF($K50&gt;0,ROUND(O51*$E50/100,DpCU),IF(O54&gt;10000,ROUND(HLOOKUP(O54,$O50:$P53,4,FALSE)/100*O51,DpCU),IF(OR(O50&lt;20001,O50&gt;95000,AND(60000&lt;O50,O50&lt;70001)),ROUND(ROUND(O51*JL/$C50,DcCU)*O52,DpCU),IF(OR(AND(20000&lt;O50,O50&lt;22501),AND(30000&lt;O50,O50&lt;50001),77500&lt;O50),ROUND(O52*O51,DpCU),IF(OR(AND(22500&lt;O50,O50&lt;25001),AND(50000&lt;O50,O50&lt;53501),AND(70000&lt;O50,O50&lt;72501)),ROUND($F50/100*O51,DpCU),IF(OR(AND(25000&lt;O50,O50&lt;27501),AND(53500&lt;O50,O50&lt;57001),AND(72500&lt;O50,O50&lt;75001)),ROUND($G50/100*O51,DpCU),ROUND($H50/100*O51,DpCU)))))))</f>
        <v>33.71</v>
      </c>
      <c r="P53">
        <f>IF($K50&gt;0,ROUND(P51*$E50/100,DpCU),IF(P54&gt;10000,ROUND(HLOOKUP(P54,$O50:$P53,4,FALSE)/100*P51,DpCU),IF(OR(P50&lt;20001,P50&gt;95000,AND(60000&lt;P50,P50&lt;70001)),ROUND(ROUND(P51*JL/$C50,DcCU)*P52,DpCU),IF(OR(AND(20000&lt;P50,P50&lt;22501),AND(30000&lt;P50,P50&lt;50001),77500&lt;P50),ROUND(P52*P51,DpCU),IF(OR(AND(22500&lt;P50,P50&lt;25001),AND(50000&lt;P50,P50&lt;53501),AND(70000&lt;P50,P50&lt;72501)),ROUND($F50/100*P51,DpCU),IF(OR(AND(25000&lt;P50,P50&lt;27501),AND(53500&lt;P50,P50&lt;57001),AND(72500&lt;P50,P50&lt;75001)),ROUND($G50/100*P51,DpCU),ROUND($H50/100*P51,DpCU)))))))</f>
        <v>1.01</v>
      </c>
    </row>
    <row r="54" spans="1:18" x14ac:dyDescent="0.2">
      <c r="B54" s="3" t="str">
        <f>A50&amp;"r"</f>
        <v>10010r</v>
      </c>
    </row>
    <row r="55" spans="1:18" x14ac:dyDescent="0.2">
      <c r="A55">
        <v>10011</v>
      </c>
      <c r="B55" s="3" t="s">
        <v>224</v>
      </c>
      <c r="C55" s="1">
        <f>ROUND(J55*JL*Frto/8,4)</f>
        <v>80</v>
      </c>
      <c r="D55" t="s">
        <v>165</v>
      </c>
      <c r="E55">
        <f>SUM($O58:$R58)</f>
        <v>25.31</v>
      </c>
      <c r="F55">
        <f>SUMIF($O55:$R55,"&lt;22501",$O58:$R58)</f>
        <v>5.0599999999999996</v>
      </c>
      <c r="G55">
        <f>SUMIFS($O58:$R58,$O55:$R55,"&gt;30000",$O55:$R55,"&lt;50001")</f>
        <v>0</v>
      </c>
      <c r="H55">
        <f>SUMIFS($O58:$R58,$O55:$R55,"&gt;60000",$O55:$R55,"&lt;70001")</f>
        <v>20</v>
      </c>
      <c r="I55">
        <v>4</v>
      </c>
      <c r="J55">
        <v>80</v>
      </c>
      <c r="O55">
        <v>10001</v>
      </c>
      <c r="P55">
        <v>60005</v>
      </c>
      <c r="Q55">
        <v>60006</v>
      </c>
      <c r="R55">
        <v>70001</v>
      </c>
    </row>
    <row r="56" spans="1:18" x14ac:dyDescent="0.2">
      <c r="B56" s="3" t="str">
        <f>A55&amp;"C"</f>
        <v>10011C</v>
      </c>
      <c r="O56">
        <v>4</v>
      </c>
      <c r="P56">
        <v>1</v>
      </c>
      <c r="Q56">
        <v>1</v>
      </c>
      <c r="R56">
        <v>5</v>
      </c>
    </row>
    <row r="57" spans="1:18" x14ac:dyDescent="0.2">
      <c r="O57">
        <f>IF(O59&gt;10000,HLOOKUP(O59,N55:$O58,4,FALSE),IF(OR(AND(22500&lt;O55,O55&lt;25001),AND(50000&lt;O55,O55&lt;53501),AND(70000&lt;O55,O55&lt;72501)),$F55,IF(OR(AND(25001&lt;O55,O55&lt;27501),AND(53500&lt;O55,O55&lt;57001),AND(72500&lt;O55,O55&lt;75001)),$G55,IF(OR(AND(27500&lt;O55,O55&lt;30001),AND(57000&lt;O55,O55&lt;60001),AND(75000&lt;O55,O55&lt;77500)),$H55,VLOOKUP(O55,BDins,6,FALSE)))))</f>
        <v>12.64</v>
      </c>
      <c r="P57">
        <f>IF(P59&gt;10000,HLOOKUP(P59,O55:$O58,4,FALSE),IF(OR(AND(22500&lt;P55,P55&lt;25001),AND(50000&lt;P55,P55&lt;53501),AND(70000&lt;P55,P55&lt;72501)),$F55,IF(OR(AND(25001&lt;P55,P55&lt;27501),AND(53500&lt;P55,P55&lt;57001),AND(72500&lt;P55,P55&lt;75001)),$G55,IF(OR(AND(27500&lt;P55,P55&lt;30001),AND(57000&lt;P55,P55&lt;60001),AND(75000&lt;P55,P55&lt;77500)),$H55,VLOOKUP(P55,BDins,6,FALSE)))))</f>
        <v>80</v>
      </c>
      <c r="Q57">
        <f>IF(Q59&gt;10000,HLOOKUP(Q59,$O55:P58,4,FALSE),IF(OR(AND(22500&lt;Q55,Q55&lt;25001),AND(50000&lt;Q55,Q55&lt;53501),AND(70000&lt;Q55,Q55&lt;72501)),$F55,IF(OR(AND(25001&lt;Q55,Q55&lt;27501),AND(53500&lt;Q55,Q55&lt;57001),AND(72500&lt;Q55,Q55&lt;75001)),$G55,IF(OR(AND(27500&lt;Q55,Q55&lt;30001),AND(57000&lt;Q55,Q55&lt;60001),AND(75000&lt;Q55,Q55&lt;77500)),$H55,VLOOKUP(Q55,BDins,6,FALSE)))))</f>
        <v>120</v>
      </c>
      <c r="R57">
        <f>IF(R59&gt;10000,HLOOKUP(R59,$O55:Q58,4,FALSE),IF(OR(AND(22500&lt;R55,R55&lt;25001),AND(50000&lt;R55,R55&lt;53501),AND(70000&lt;R55,R55&lt;72501)),$F55,IF(OR(AND(25001&lt;R55,R55&lt;27501),AND(53500&lt;R55,R55&lt;57001),AND(72500&lt;R55,R55&lt;75001)),$G55,IF(OR(AND(27500&lt;R55,R55&lt;30001),AND(57000&lt;R55,R55&lt;60001),AND(75000&lt;R55,R55&lt;77500)),$H55,VLOOKUP(R55,BDins,6,FALSE)))))</f>
        <v>5.0599999999999996</v>
      </c>
    </row>
    <row r="58" spans="1:18" x14ac:dyDescent="0.2">
      <c r="O58">
        <f>IF($K55&gt;0,ROUND(O56*$E55/100,DpCU),IF(O59&gt;10000,ROUND(HLOOKUP(O59,$O55:$R58,4,FALSE)/100*O56,DpCU),IF(OR(O55&lt;20001,O55&gt;95000,AND(60000&lt;O55,O55&lt;70001)),ROUND(ROUND(O56*JL/$C55,DcCU)*O57,DpCU),IF(OR(AND(20000&lt;O55,O55&lt;22501),AND(30000&lt;O55,O55&lt;50001),77500&lt;O55),ROUND(O57*O56,DpCU),IF(OR(AND(22500&lt;O55,O55&lt;25001),AND(50000&lt;O55,O55&lt;53501),AND(70000&lt;O55,O55&lt;72501)),ROUND($F55/100*O56,DpCU),IF(OR(AND(25000&lt;O55,O55&lt;27501),AND(53500&lt;O55,O55&lt;57001),AND(72500&lt;O55,O55&lt;75001)),ROUND($G55/100*O56,DpCU),ROUND($H55/100*O56,DpCU)))))))</f>
        <v>5.0599999999999996</v>
      </c>
      <c r="P58">
        <f>IF($K55&gt;0,ROUND(P56*$E55/100,DpCU),IF(P59&gt;10000,ROUND(HLOOKUP(P59,$O55:$R58,4,FALSE)/100*P56,DpCU),IF(OR(P55&lt;20001,P55&gt;95000,AND(60000&lt;P55,P55&lt;70001)),ROUND(ROUND(P56*JL/$C55,DcCU)*P57,DpCU),IF(OR(AND(20000&lt;P55,P55&lt;22501),AND(30000&lt;P55,P55&lt;50001),77500&lt;P55),ROUND(P57*P56,DpCU),IF(OR(AND(22500&lt;P55,P55&lt;25001),AND(50000&lt;P55,P55&lt;53501),AND(70000&lt;P55,P55&lt;72501)),ROUND($F55/100*P56,DpCU),IF(OR(AND(25000&lt;P55,P55&lt;27501),AND(53500&lt;P55,P55&lt;57001),AND(72500&lt;P55,P55&lt;75001)),ROUND($G55/100*P56,DpCU),ROUND($H55/100*P56,DpCU)))))))</f>
        <v>8</v>
      </c>
      <c r="Q58">
        <f>IF($K55&gt;0,ROUND(Q56*$E55/100,DpCU),IF(Q59&gt;10000,ROUND(HLOOKUP(Q59,$O55:$R58,4,FALSE)/100*Q56,DpCU),IF(OR(Q55&lt;20001,Q55&gt;95000,AND(60000&lt;Q55,Q55&lt;70001)),ROUND(ROUND(Q56*JL/$C55,DcCU)*Q57,DpCU),IF(OR(AND(20000&lt;Q55,Q55&lt;22501),AND(30000&lt;Q55,Q55&lt;50001),77500&lt;Q55),ROUND(Q57*Q56,DpCU),IF(OR(AND(22500&lt;Q55,Q55&lt;25001),AND(50000&lt;Q55,Q55&lt;53501),AND(70000&lt;Q55,Q55&lt;72501)),ROUND($F55/100*Q56,DpCU),IF(OR(AND(25000&lt;Q55,Q55&lt;27501),AND(53500&lt;Q55,Q55&lt;57001),AND(72500&lt;Q55,Q55&lt;75001)),ROUND($G55/100*Q56,DpCU),ROUND($H55/100*Q56,DpCU)))))))</f>
        <v>12</v>
      </c>
      <c r="R58">
        <f>IF($K55&gt;0,ROUND(R56*$E55/100,DpCU),IF(R59&gt;10000,ROUND(HLOOKUP(R59,$O55:$R58,4,FALSE)/100*R56,DpCU),IF(OR(R55&lt;20001,R55&gt;95000,AND(60000&lt;R55,R55&lt;70001)),ROUND(ROUND(R56*JL/$C55,DcCU)*R57,DpCU),IF(OR(AND(20000&lt;R55,R55&lt;22501),AND(30000&lt;R55,R55&lt;50001),77500&lt;R55),ROUND(R57*R56,DpCU),IF(OR(AND(22500&lt;R55,R55&lt;25001),AND(50000&lt;R55,R55&lt;53501),AND(70000&lt;R55,R55&lt;72501)),ROUND($F55/100*R56,DpCU),IF(OR(AND(25000&lt;R55,R55&lt;27501),AND(53500&lt;R55,R55&lt;57001),AND(72500&lt;R55,R55&lt;75001)),ROUND($G55/100*R56,DpCU),ROUND($H55/100*R56,DpCU)))))))</f>
        <v>0.25</v>
      </c>
    </row>
    <row r="59" spans="1:18" x14ac:dyDescent="0.2">
      <c r="B59" s="3" t="str">
        <f>A55&amp;"r"</f>
        <v>10011r</v>
      </c>
    </row>
    <row r="60" spans="1:18" x14ac:dyDescent="0.2">
      <c r="A60">
        <v>10012</v>
      </c>
      <c r="B60" s="3" t="s">
        <v>228</v>
      </c>
      <c r="C60" s="1">
        <f>ROUND(J60*JL*Frto/8,4)</f>
        <v>3</v>
      </c>
      <c r="D60" t="s">
        <v>165</v>
      </c>
      <c r="E60">
        <f>SUM($O63:$P63)</f>
        <v>34.72</v>
      </c>
      <c r="F60">
        <f>SUMIF($O60:$P60,"&lt;22501",$O63:$P63)</f>
        <v>33.71</v>
      </c>
      <c r="G60">
        <f>SUMIFS($O63:$P63,$O60:$P60,"&gt;30000",$O60:$P60,"&lt;50001")</f>
        <v>0</v>
      </c>
      <c r="H60">
        <f>SUMIFS($O63:$P63,$O60:$P60,"&gt;60000",$O60:$P60,"&lt;70001")</f>
        <v>0</v>
      </c>
      <c r="I60">
        <v>2</v>
      </c>
      <c r="J60">
        <v>3</v>
      </c>
      <c r="O60">
        <v>10001</v>
      </c>
      <c r="P60">
        <v>70001</v>
      </c>
    </row>
    <row r="61" spans="1:18" x14ac:dyDescent="0.2">
      <c r="B61" s="3" t="str">
        <f>A60&amp;"C"</f>
        <v>10012C</v>
      </c>
      <c r="O61">
        <v>1</v>
      </c>
      <c r="P61">
        <v>3</v>
      </c>
    </row>
    <row r="62" spans="1:18" x14ac:dyDescent="0.2">
      <c r="O62">
        <f>IF(O64&gt;10000,HLOOKUP(O64,N60:$O63,4,FALSE),IF(OR(AND(22500&lt;O60,O60&lt;25001),AND(50000&lt;O60,O60&lt;53501),AND(70000&lt;O60,O60&lt;72501)),$F60,IF(OR(AND(25001&lt;O60,O60&lt;27501),AND(53500&lt;O60,O60&lt;57001),AND(72500&lt;O60,O60&lt;75001)),$G60,IF(OR(AND(27500&lt;O60,O60&lt;30001),AND(57000&lt;O60,O60&lt;60001),AND(75000&lt;O60,O60&lt;77500)),$H60,VLOOKUP(O60,BDins,6,FALSE)))))</f>
        <v>12.64</v>
      </c>
      <c r="P62">
        <f>IF(P64&gt;10000,HLOOKUP(P64,O60:$O63,4,FALSE),IF(OR(AND(22500&lt;P60,P60&lt;25001),AND(50000&lt;P60,P60&lt;53501),AND(70000&lt;P60,P60&lt;72501)),$F60,IF(OR(AND(25001&lt;P60,P60&lt;27501),AND(53500&lt;P60,P60&lt;57001),AND(72500&lt;P60,P60&lt;75001)),$G60,IF(OR(AND(27500&lt;P60,P60&lt;30001),AND(57000&lt;P60,P60&lt;60001),AND(75000&lt;P60,P60&lt;77500)),$H60,VLOOKUP(P60,BDins,6,FALSE)))))</f>
        <v>33.71</v>
      </c>
    </row>
    <row r="63" spans="1:18" x14ac:dyDescent="0.2">
      <c r="O63">
        <f>IF($K60&gt;0,ROUND(O61*$E60/100,DpCU),IF(O64&gt;10000,ROUND(HLOOKUP(O64,$O60:$P63,4,FALSE)/100*O61,DpCU),IF(OR(O60&lt;20001,O60&gt;95000,AND(60000&lt;O60,O60&lt;70001)),ROUND(ROUND(O61*JL/$C60,DcCU)*O62,DpCU),IF(OR(AND(20000&lt;O60,O60&lt;22501),AND(30000&lt;O60,O60&lt;50001),77500&lt;O60),ROUND(O62*O61,DpCU),IF(OR(AND(22500&lt;O60,O60&lt;25001),AND(50000&lt;O60,O60&lt;53501),AND(70000&lt;O60,O60&lt;72501)),ROUND($F60/100*O61,DpCU),IF(OR(AND(25000&lt;O60,O60&lt;27501),AND(53500&lt;O60,O60&lt;57001),AND(72500&lt;O60,O60&lt;75001)),ROUND($G60/100*O61,DpCU),ROUND($H60/100*O61,DpCU)))))))</f>
        <v>33.71</v>
      </c>
      <c r="P63">
        <f>IF($K60&gt;0,ROUND(P61*$E60/100,DpCU),IF(P64&gt;10000,ROUND(HLOOKUP(P64,$O60:$P63,4,FALSE)/100*P61,DpCU),IF(OR(P60&lt;20001,P60&gt;95000,AND(60000&lt;P60,P60&lt;70001)),ROUND(ROUND(P61*JL/$C60,DcCU)*P62,DpCU),IF(OR(AND(20000&lt;P60,P60&lt;22501),AND(30000&lt;P60,P60&lt;50001),77500&lt;P60),ROUND(P62*P61,DpCU),IF(OR(AND(22500&lt;P60,P60&lt;25001),AND(50000&lt;P60,P60&lt;53501),AND(70000&lt;P60,P60&lt;72501)),ROUND($F60/100*P61,DpCU),IF(OR(AND(25000&lt;P60,P60&lt;27501),AND(53500&lt;P60,P60&lt;57001),AND(72500&lt;P60,P60&lt;75001)),ROUND($G60/100*P61,DpCU),ROUND($H60/100*P61,DpCU)))))))</f>
        <v>1.01</v>
      </c>
    </row>
    <row r="64" spans="1:18" x14ac:dyDescent="0.2">
      <c r="B64" s="3" t="str">
        <f>A60&amp;"r"</f>
        <v>10012r</v>
      </c>
    </row>
    <row r="65" spans="1:22" x14ac:dyDescent="0.2">
      <c r="A65">
        <v>10013</v>
      </c>
      <c r="B65" s="3" t="s">
        <v>230</v>
      </c>
      <c r="C65" s="1">
        <f>ROUND(J65*JL*Frto/8,4)</f>
        <v>12</v>
      </c>
      <c r="D65" t="s">
        <v>165</v>
      </c>
      <c r="E65">
        <f>SUM($O68:$S68)</f>
        <v>73.67</v>
      </c>
      <c r="F65">
        <f>SUMIF($O65:$S65,"&lt;22501",$O68:$S68)</f>
        <v>59.97</v>
      </c>
      <c r="G65">
        <f>SUMIFS($O68:$S68,$O65:$S65,"&gt;30000",$O65:$S65,"&lt;50001")</f>
        <v>0.7</v>
      </c>
      <c r="H65">
        <f>SUMIFS($O68:$S68,$O65:$S65,"&gt;60000",$O65:$S65,"&lt;70001")</f>
        <v>10</v>
      </c>
      <c r="I65">
        <v>5</v>
      </c>
      <c r="J65">
        <v>12</v>
      </c>
      <c r="O65">
        <v>10001</v>
      </c>
      <c r="P65">
        <v>10003</v>
      </c>
      <c r="Q65">
        <v>30022</v>
      </c>
      <c r="R65">
        <v>60007</v>
      </c>
      <c r="S65">
        <v>70001</v>
      </c>
    </row>
    <row r="66" spans="1:22" x14ac:dyDescent="0.2">
      <c r="B66" s="3" t="str">
        <f>A65&amp;"C"</f>
        <v>10013C</v>
      </c>
      <c r="O66">
        <v>6</v>
      </c>
      <c r="P66">
        <v>1</v>
      </c>
      <c r="Q66">
        <v>0.2</v>
      </c>
      <c r="R66">
        <v>0.5</v>
      </c>
      <c r="S66">
        <v>5</v>
      </c>
    </row>
    <row r="67" spans="1:22" x14ac:dyDescent="0.2">
      <c r="O67">
        <f>IF(O69&gt;10000,HLOOKUP(O69,N65:$O68,4,FALSE),IF(OR(AND(22500&lt;O65,O65&lt;25001),AND(50000&lt;O65,O65&lt;53501),AND(70000&lt;O65,O65&lt;72501)),$F65,IF(OR(AND(25001&lt;O65,O65&lt;27501),AND(53500&lt;O65,O65&lt;57001),AND(72500&lt;O65,O65&lt;75001)),$G65,IF(OR(AND(27500&lt;O65,O65&lt;30001),AND(57000&lt;O65,O65&lt;60001),AND(75000&lt;O65,O65&lt;77500)),$H65,VLOOKUP(O65,BDins,6,FALSE)))))</f>
        <v>12.64</v>
      </c>
      <c r="P67">
        <f>IF(P69&gt;10000,HLOOKUP(P69,O65:$O68,4,FALSE),IF(OR(AND(22500&lt;P65,P65&lt;25001),AND(50000&lt;P65,P65&lt;53501),AND(70000&lt;P65,P65&lt;72501)),$F65,IF(OR(AND(25001&lt;P65,P65&lt;27501),AND(53500&lt;P65,P65&lt;57001),AND(72500&lt;P65,P65&lt;75001)),$G65,IF(OR(AND(27500&lt;P65,P65&lt;30001),AND(57000&lt;P65,P65&lt;60001),AND(75000&lt;P65,P65&lt;77500)),$H65,VLOOKUP(P65,BDins,6,FALSE)))))</f>
        <v>14.12</v>
      </c>
      <c r="Q67">
        <f>IF(Q69&gt;10000,HLOOKUP(Q69,$O65:P68,4,FALSE),IF(OR(AND(22500&lt;Q65,Q65&lt;25001),AND(50000&lt;Q65,Q65&lt;53501),AND(70000&lt;Q65,Q65&lt;72501)),$F65,IF(OR(AND(25001&lt;Q65,Q65&lt;27501),AND(53500&lt;Q65,Q65&lt;57001),AND(72500&lt;Q65,Q65&lt;75001)),$G65,IF(OR(AND(27500&lt;Q65,Q65&lt;30001),AND(57000&lt;Q65,Q65&lt;60001),AND(75000&lt;Q65,Q65&lt;77500)),$H65,VLOOKUP(Q65,BDins,6,FALSE)))))</f>
        <v>3.5</v>
      </c>
      <c r="R67">
        <f>IF(R69&gt;10000,HLOOKUP(R69,$O65:Q68,4,FALSE),IF(OR(AND(22500&lt;R65,R65&lt;25001),AND(50000&lt;R65,R65&lt;53501),AND(70000&lt;R65,R65&lt;72501)),$F65,IF(OR(AND(25001&lt;R65,R65&lt;27501),AND(53500&lt;R65,R65&lt;57001),AND(72500&lt;R65,R65&lt;75001)),$G65,IF(OR(AND(27500&lt;R65,R65&lt;30001),AND(57000&lt;R65,R65&lt;60001),AND(75000&lt;R65,R65&lt;77500)),$H65,VLOOKUP(R65,BDins,6,FALSE)))))</f>
        <v>30</v>
      </c>
      <c r="S67">
        <f>IF(S69&gt;10000,HLOOKUP(S69,$O65:R68,4,FALSE),IF(OR(AND(22500&lt;S65,S65&lt;25001),AND(50000&lt;S65,S65&lt;53501),AND(70000&lt;S65,S65&lt;72501)),$F65,IF(OR(AND(25001&lt;S65,S65&lt;27501),AND(53500&lt;S65,S65&lt;57001),AND(72500&lt;S65,S65&lt;75001)),$G65,IF(OR(AND(27500&lt;S65,S65&lt;30001),AND(57000&lt;S65,S65&lt;60001),AND(75000&lt;S65,S65&lt;77500)),$H65,VLOOKUP(S65,BDins,6,FALSE)))))</f>
        <v>59.97</v>
      </c>
    </row>
    <row r="68" spans="1:22" x14ac:dyDescent="0.2">
      <c r="O68">
        <f>IF($K65&gt;0,ROUND(O66*$E65/100,DpCU),IF(O69&gt;10000,ROUND(HLOOKUP(O69,$O65:$S68,4,FALSE)/100*O66,DpCU),IF(OR(O65&lt;20001,O65&gt;95000,AND(60000&lt;O65,O65&lt;70001)),ROUND(ROUND(O66*JL/$C65,DcCU)*O67,DpCU),IF(OR(AND(20000&lt;O65,O65&lt;22501),AND(30000&lt;O65,O65&lt;50001),77500&lt;O65),ROUND(O67*O66,DpCU),IF(OR(AND(22500&lt;O65,O65&lt;25001),AND(50000&lt;O65,O65&lt;53501),AND(70000&lt;O65,O65&lt;72501)),ROUND($F65/100*O66,DpCU),IF(OR(AND(25000&lt;O65,O65&lt;27501),AND(53500&lt;O65,O65&lt;57001),AND(72500&lt;O65,O65&lt;75001)),ROUND($G65/100*O66,DpCU),ROUND($H65/100*O66,DpCU)))))))</f>
        <v>50.56</v>
      </c>
      <c r="P68">
        <f>IF($K65&gt;0,ROUND(P66*$E65/100,DpCU),IF(P69&gt;10000,ROUND(HLOOKUP(P69,$O65:$S68,4,FALSE)/100*P66,DpCU),IF(OR(P65&lt;20001,P65&gt;95000,AND(60000&lt;P65,P65&lt;70001)),ROUND(ROUND(P66*JL/$C65,DcCU)*P67,DpCU),IF(OR(AND(20000&lt;P65,P65&lt;22501),AND(30000&lt;P65,P65&lt;50001),77500&lt;P65),ROUND(P67*P66,DpCU),IF(OR(AND(22500&lt;P65,P65&lt;25001),AND(50000&lt;P65,P65&lt;53501),AND(70000&lt;P65,P65&lt;72501)),ROUND($F65/100*P66,DpCU),IF(OR(AND(25000&lt;P65,P65&lt;27501),AND(53500&lt;P65,P65&lt;57001),AND(72500&lt;P65,P65&lt;75001)),ROUND($G65/100*P66,DpCU),ROUND($H65/100*P66,DpCU)))))))</f>
        <v>9.41</v>
      </c>
      <c r="Q68">
        <f>IF($K65&gt;0,ROUND(Q66*$E65/100,DpCU),IF(Q69&gt;10000,ROUND(HLOOKUP(Q69,$O65:$S68,4,FALSE)/100*Q66,DpCU),IF(OR(Q65&lt;20001,Q65&gt;95000,AND(60000&lt;Q65,Q65&lt;70001)),ROUND(ROUND(Q66*JL/$C65,DcCU)*Q67,DpCU),IF(OR(AND(20000&lt;Q65,Q65&lt;22501),AND(30000&lt;Q65,Q65&lt;50001),77500&lt;Q65),ROUND(Q67*Q66,DpCU),IF(OR(AND(22500&lt;Q65,Q65&lt;25001),AND(50000&lt;Q65,Q65&lt;53501),AND(70000&lt;Q65,Q65&lt;72501)),ROUND($F65/100*Q66,DpCU),IF(OR(AND(25000&lt;Q65,Q65&lt;27501),AND(53500&lt;Q65,Q65&lt;57001),AND(72500&lt;Q65,Q65&lt;75001)),ROUND($G65/100*Q66,DpCU),ROUND($H65/100*Q66,DpCU)))))))</f>
        <v>0.7</v>
      </c>
      <c r="R68">
        <f>IF($K65&gt;0,ROUND(R66*$E65/100,DpCU),IF(R69&gt;10000,ROUND(HLOOKUP(R69,$O65:$S68,4,FALSE)/100*R66,DpCU),IF(OR(R65&lt;20001,R65&gt;95000,AND(60000&lt;R65,R65&lt;70001)),ROUND(ROUND(R66*JL/$C65,DcCU)*R67,DpCU),IF(OR(AND(20000&lt;R65,R65&lt;22501),AND(30000&lt;R65,R65&lt;50001),77500&lt;R65),ROUND(R67*R66,DpCU),IF(OR(AND(22500&lt;R65,R65&lt;25001),AND(50000&lt;R65,R65&lt;53501),AND(70000&lt;R65,R65&lt;72501)),ROUND($F65/100*R66,DpCU),IF(OR(AND(25000&lt;R65,R65&lt;27501),AND(53500&lt;R65,R65&lt;57001),AND(72500&lt;R65,R65&lt;75001)),ROUND($G65/100*R66,DpCU),ROUND($H65/100*R66,DpCU)))))))</f>
        <v>10</v>
      </c>
      <c r="S68">
        <f>IF($K65&gt;0,ROUND(S66*$E65/100,DpCU),IF(S69&gt;10000,ROUND(HLOOKUP(S69,$O65:$S68,4,FALSE)/100*S66,DpCU),IF(OR(S65&lt;20001,S65&gt;95000,AND(60000&lt;S65,S65&lt;70001)),ROUND(ROUND(S66*JL/$C65,DcCU)*S67,DpCU),IF(OR(AND(20000&lt;S65,S65&lt;22501),AND(30000&lt;S65,S65&lt;50001),77500&lt;S65),ROUND(S67*S66,DpCU),IF(OR(AND(22500&lt;S65,S65&lt;25001),AND(50000&lt;S65,S65&lt;53501),AND(70000&lt;S65,S65&lt;72501)),ROUND($F65/100*S66,DpCU),IF(OR(AND(25000&lt;S65,S65&lt;27501),AND(53500&lt;S65,S65&lt;57001),AND(72500&lt;S65,S65&lt;75001)),ROUND($G65/100*S66,DpCU),ROUND($H65/100*S66,DpCU)))))))</f>
        <v>3</v>
      </c>
    </row>
    <row r="69" spans="1:22" x14ac:dyDescent="0.2">
      <c r="B69" s="3" t="str">
        <f>A65&amp;"r"</f>
        <v>10013r</v>
      </c>
    </row>
    <row r="70" spans="1:22" x14ac:dyDescent="0.2">
      <c r="A70">
        <v>10014</v>
      </c>
      <c r="B70" s="3" t="s">
        <v>234</v>
      </c>
      <c r="C70" s="1">
        <f>ROUND(J70*JL*Frto/8,4)</f>
        <v>1</v>
      </c>
      <c r="D70" t="s">
        <v>165</v>
      </c>
      <c r="E70">
        <f>SUM($O73:$O73)</f>
        <v>19.3</v>
      </c>
      <c r="F70">
        <f>SUMIF($O70:$O70,"&lt;22501",$O73:$O73)</f>
        <v>0</v>
      </c>
      <c r="G70">
        <f>SUMIFS($O73:$O73,$O70:$O70,"&gt;30000",$O70:$O70,"&lt;50001")</f>
        <v>0</v>
      </c>
      <c r="H70">
        <f>SUMIFS($O73:$O73,$O70:$O70,"&gt;60000",$O70:$O70,"&lt;70001")</f>
        <v>0</v>
      </c>
      <c r="I70">
        <v>1</v>
      </c>
      <c r="J70">
        <v>1</v>
      </c>
      <c r="O70">
        <v>80002</v>
      </c>
    </row>
    <row r="71" spans="1:22" x14ac:dyDescent="0.2">
      <c r="B71" s="3" t="str">
        <f>A70&amp;"C"</f>
        <v>10014C</v>
      </c>
      <c r="O71">
        <v>1</v>
      </c>
    </row>
    <row r="72" spans="1:22" x14ac:dyDescent="0.2">
      <c r="O72">
        <f>IF(O74&gt;10000,HLOOKUP(O74,N70:$O73,4,FALSE),IF(OR(AND(22500&lt;O70,O70&lt;25001),AND(50000&lt;O70,O70&lt;53501),AND(70000&lt;O70,O70&lt;72501)),$F70,IF(OR(AND(25001&lt;O70,O70&lt;27501),AND(53500&lt;O70,O70&lt;57001),AND(72500&lt;O70,O70&lt;75001)),$G70,IF(OR(AND(27500&lt;O70,O70&lt;30001),AND(57000&lt;O70,O70&lt;60001),AND(75000&lt;O70,O70&lt;77500)),$H70,VLOOKUP(O70,BDins,6,FALSE)))))</f>
        <v>19.3</v>
      </c>
    </row>
    <row r="73" spans="1:22" x14ac:dyDescent="0.2">
      <c r="O73">
        <f>IF($K70&gt;0,ROUND(O71*$E70/100,DpCU),IF(O74&gt;10000,ROUND(HLOOKUP(O74,$O70:$O73,4,FALSE)/100*O71,DpCU),IF(OR(O70&lt;20001,O70&gt;95000,AND(60000&lt;O70,O70&lt;70001)),ROUND(ROUND(O71*JL/$C70,DcCU)*O72,DpCU),IF(OR(AND(20000&lt;O70,O70&lt;22501),AND(30000&lt;O70,O70&lt;50001),77500&lt;O70),ROUND(O72*O71,DpCU),IF(OR(AND(22500&lt;O70,O70&lt;25001),AND(50000&lt;O70,O70&lt;53501),AND(70000&lt;O70,O70&lt;72501)),ROUND($F70/100*O71,DpCU),IF(OR(AND(25000&lt;O70,O70&lt;27501),AND(53500&lt;O70,O70&lt;57001),AND(72500&lt;O70,O70&lt;75001)),ROUND($G70/100*O71,DpCU),ROUND($H70/100*O71,DpCU)))))))</f>
        <v>19.3</v>
      </c>
    </row>
    <row r="74" spans="1:22" x14ac:dyDescent="0.2">
      <c r="B74" s="3" t="str">
        <f>A70&amp;"r"</f>
        <v>10014r</v>
      </c>
    </row>
    <row r="75" spans="1:22" x14ac:dyDescent="0.2">
      <c r="A75">
        <v>10015</v>
      </c>
      <c r="B75" s="3" t="s">
        <v>237</v>
      </c>
      <c r="C75" s="1">
        <f>ROUND(J75*JL*Frto/8,4)</f>
        <v>60</v>
      </c>
      <c r="D75" t="s">
        <v>160</v>
      </c>
      <c r="E75">
        <f>SUM($O78:$R78)</f>
        <v>4.2799999999999994</v>
      </c>
      <c r="F75">
        <f>SUMIF($O75:$R75,"&lt;22501",$O78:$R78)</f>
        <v>4.0199999999999996</v>
      </c>
      <c r="G75">
        <f>SUMIFS($O78:$R78,$O75:$R75,"&gt;30000",$O75:$R75,"&lt;50001")</f>
        <v>0.14000000000000001</v>
      </c>
      <c r="H75">
        <f>SUMIFS($O78:$R78,$O75:$R75,"&gt;60000",$O75:$R75,"&lt;70001")</f>
        <v>0</v>
      </c>
      <c r="I75">
        <v>4</v>
      </c>
      <c r="J75">
        <v>60</v>
      </c>
      <c r="O75">
        <v>10001</v>
      </c>
      <c r="P75">
        <v>10004</v>
      </c>
      <c r="Q75">
        <v>30023</v>
      </c>
      <c r="R75">
        <v>70001</v>
      </c>
    </row>
    <row r="76" spans="1:22" x14ac:dyDescent="0.2">
      <c r="B76" s="3" t="str">
        <f>A75&amp;"C"</f>
        <v>10015C</v>
      </c>
      <c r="O76">
        <v>1</v>
      </c>
      <c r="P76">
        <v>1</v>
      </c>
      <c r="Q76">
        <v>0.03</v>
      </c>
      <c r="R76">
        <v>3</v>
      </c>
    </row>
    <row r="77" spans="1:22" x14ac:dyDescent="0.2">
      <c r="O77">
        <f>IF(O79&gt;10000,HLOOKUP(O79,N75:$O78,4,FALSE),IF(OR(AND(22500&lt;O75,O75&lt;25001),AND(50000&lt;O75,O75&lt;53501),AND(70000&lt;O75,O75&lt;72501)),$F75,IF(OR(AND(25001&lt;O75,O75&lt;27501),AND(53500&lt;O75,O75&lt;57001),AND(72500&lt;O75,O75&lt;75001)),$G75,IF(OR(AND(27500&lt;O75,O75&lt;30001),AND(57000&lt;O75,O75&lt;60001),AND(75000&lt;O75,O75&lt;77500)),$H75,VLOOKUP(O75,BDins,6,FALSE)))))</f>
        <v>12.64</v>
      </c>
      <c r="P77">
        <f>IF(P79&gt;10000,HLOOKUP(P79,O75:$O78,4,FALSE),IF(OR(AND(22500&lt;P75,P75&lt;25001),AND(50000&lt;P75,P75&lt;53501),AND(70000&lt;P75,P75&lt;72501)),$F75,IF(OR(AND(25001&lt;P75,P75&lt;27501),AND(53500&lt;P75,P75&lt;57001),AND(72500&lt;P75,P75&lt;75001)),$G75,IF(OR(AND(27500&lt;P75,P75&lt;30001),AND(57000&lt;P75,P75&lt;60001),AND(75000&lt;P75,P75&lt;77500)),$H75,VLOOKUP(P75,BDins,6,FALSE)))))</f>
        <v>17.59</v>
      </c>
      <c r="Q77">
        <f>IF(Q79&gt;10000,HLOOKUP(Q79,$O75:P78,4,FALSE),IF(OR(AND(22500&lt;Q75,Q75&lt;25001),AND(50000&lt;Q75,Q75&lt;53501),AND(70000&lt;Q75,Q75&lt;72501)),$F75,IF(OR(AND(25001&lt;Q75,Q75&lt;27501),AND(53500&lt;Q75,Q75&lt;57001),AND(72500&lt;Q75,Q75&lt;75001)),$G75,IF(OR(AND(27500&lt;Q75,Q75&lt;30001),AND(57000&lt;Q75,Q75&lt;60001),AND(75000&lt;Q75,Q75&lt;77500)),$H75,VLOOKUP(Q75,BDins,6,FALSE)))))</f>
        <v>4.5</v>
      </c>
      <c r="R77">
        <f>IF(R79&gt;10000,HLOOKUP(R79,$O75:Q78,4,FALSE),IF(OR(AND(22500&lt;R75,R75&lt;25001),AND(50000&lt;R75,R75&lt;53501),AND(70000&lt;R75,R75&lt;72501)),$F75,IF(OR(AND(25001&lt;R75,R75&lt;27501),AND(53500&lt;R75,R75&lt;57001),AND(72500&lt;R75,R75&lt;75001)),$G75,IF(OR(AND(27500&lt;R75,R75&lt;30001),AND(57000&lt;R75,R75&lt;60001),AND(75000&lt;R75,R75&lt;77500)),$H75,VLOOKUP(R75,BDins,6,FALSE)))))</f>
        <v>4.0199999999999996</v>
      </c>
    </row>
    <row r="78" spans="1:22" x14ac:dyDescent="0.2">
      <c r="O78">
        <f>IF($K75&gt;0,ROUND(O76*$E75/100,DpCU),IF(O79&gt;10000,ROUND(HLOOKUP(O79,$O75:$R78,4,FALSE)/100*O76,DpCU),IF(OR(O75&lt;20001,O75&gt;95000,AND(60000&lt;O75,O75&lt;70001)),ROUND(ROUND(O76*JL/$C75,DcCU)*O77,DpCU),IF(OR(AND(20000&lt;O75,O75&lt;22501),AND(30000&lt;O75,O75&lt;50001),77500&lt;O75),ROUND(O77*O76,DpCU),IF(OR(AND(22500&lt;O75,O75&lt;25001),AND(50000&lt;O75,O75&lt;53501),AND(70000&lt;O75,O75&lt;72501)),ROUND($F75/100*O76,DpCU),IF(OR(AND(25000&lt;O75,O75&lt;27501),AND(53500&lt;O75,O75&lt;57001),AND(72500&lt;O75,O75&lt;75001)),ROUND($G75/100*O76,DpCU),ROUND($H75/100*O76,DpCU)))))))</f>
        <v>1.68</v>
      </c>
      <c r="P78">
        <f>IF($K75&gt;0,ROUND(P76*$E75/100,DpCU),IF(P79&gt;10000,ROUND(HLOOKUP(P79,$O75:$R78,4,FALSE)/100*P76,DpCU),IF(OR(P75&lt;20001,P75&gt;95000,AND(60000&lt;P75,P75&lt;70001)),ROUND(ROUND(P76*JL/$C75,DcCU)*P77,DpCU),IF(OR(AND(20000&lt;P75,P75&lt;22501),AND(30000&lt;P75,P75&lt;50001),77500&lt;P75),ROUND(P77*P76,DpCU),IF(OR(AND(22500&lt;P75,P75&lt;25001),AND(50000&lt;P75,P75&lt;53501),AND(70000&lt;P75,P75&lt;72501)),ROUND($F75/100*P76,DpCU),IF(OR(AND(25000&lt;P75,P75&lt;27501),AND(53500&lt;P75,P75&lt;57001),AND(72500&lt;P75,P75&lt;75001)),ROUND($G75/100*P76,DpCU),ROUND($H75/100*P76,DpCU)))))))</f>
        <v>2.34</v>
      </c>
      <c r="Q78">
        <f>IF($K75&gt;0,ROUND(Q76*$E75/100,DpCU),IF(Q79&gt;10000,ROUND(HLOOKUP(Q79,$O75:$R78,4,FALSE)/100*Q76,DpCU),IF(OR(Q75&lt;20001,Q75&gt;95000,AND(60000&lt;Q75,Q75&lt;70001)),ROUND(ROUND(Q76*JL/$C75,DcCU)*Q77,DpCU),IF(OR(AND(20000&lt;Q75,Q75&lt;22501),AND(30000&lt;Q75,Q75&lt;50001),77500&lt;Q75),ROUND(Q77*Q76,DpCU),IF(OR(AND(22500&lt;Q75,Q75&lt;25001),AND(50000&lt;Q75,Q75&lt;53501),AND(70000&lt;Q75,Q75&lt;72501)),ROUND($F75/100*Q76,DpCU),IF(OR(AND(25000&lt;Q75,Q75&lt;27501),AND(53500&lt;Q75,Q75&lt;57001),AND(72500&lt;Q75,Q75&lt;75001)),ROUND($G75/100*Q76,DpCU),ROUND($H75/100*Q76,DpCU)))))))</f>
        <v>0.14000000000000001</v>
      </c>
      <c r="R78">
        <f>IF($K75&gt;0,ROUND(R76*$E75/100,DpCU),IF(R79&gt;10000,ROUND(HLOOKUP(R79,$O75:$R78,4,FALSE)/100*R76,DpCU),IF(OR(R75&lt;20001,R75&gt;95000,AND(60000&lt;R75,R75&lt;70001)),ROUND(ROUND(R76*JL/$C75,DcCU)*R77,DpCU),IF(OR(AND(20000&lt;R75,R75&lt;22501),AND(30000&lt;R75,R75&lt;50001),77500&lt;R75),ROUND(R77*R76,DpCU),IF(OR(AND(22500&lt;R75,R75&lt;25001),AND(50000&lt;R75,R75&lt;53501),AND(70000&lt;R75,R75&lt;72501)),ROUND($F75/100*R76,DpCU),IF(OR(AND(25000&lt;R75,R75&lt;27501),AND(53500&lt;R75,R75&lt;57001),AND(72500&lt;R75,R75&lt;75001)),ROUND($G75/100*R76,DpCU),ROUND($H75/100*R76,DpCU)))))))</f>
        <v>0.12</v>
      </c>
    </row>
    <row r="79" spans="1:22" x14ac:dyDescent="0.2">
      <c r="B79" s="3" t="str">
        <f>A75&amp;"r"</f>
        <v>10015r</v>
      </c>
    </row>
    <row r="80" spans="1:22" x14ac:dyDescent="0.2">
      <c r="A80">
        <v>10016</v>
      </c>
      <c r="B80" s="3" t="s">
        <v>240</v>
      </c>
      <c r="C80" s="1">
        <f>ROUND(J80*JL*Frto/8,4)</f>
        <v>180</v>
      </c>
      <c r="D80" t="s">
        <v>160</v>
      </c>
      <c r="E80">
        <f>SUM($O83:$V83)</f>
        <v>16.37</v>
      </c>
      <c r="F80">
        <f>SUMIF($O80:$V80,"&lt;22501",$O83:$V83)</f>
        <v>2.31</v>
      </c>
      <c r="G80">
        <f>SUMIFS($O83:$V83,$O80:$V80,"&gt;30000",$O80:$V80,"&lt;50001")</f>
        <v>8.08</v>
      </c>
      <c r="H80">
        <f>SUMIFS($O83:$V83,$O80:$V80,"&gt;60000",$O80:$V80,"&lt;70001")</f>
        <v>5.98</v>
      </c>
      <c r="I80">
        <v>8</v>
      </c>
      <c r="J80">
        <v>180</v>
      </c>
      <c r="O80">
        <v>10001</v>
      </c>
      <c r="P80">
        <v>10003</v>
      </c>
      <c r="Q80">
        <v>30022</v>
      </c>
      <c r="R80">
        <v>30024</v>
      </c>
      <c r="S80">
        <v>30025</v>
      </c>
      <c r="T80">
        <v>60008</v>
      </c>
      <c r="U80">
        <v>60009</v>
      </c>
      <c r="V80">
        <v>60010</v>
      </c>
    </row>
    <row r="81" spans="1:24" x14ac:dyDescent="0.2">
      <c r="B81" s="3" t="str">
        <f>A80&amp;"C"</f>
        <v>10016C</v>
      </c>
      <c r="O81">
        <v>3</v>
      </c>
      <c r="P81">
        <v>1</v>
      </c>
      <c r="Q81">
        <v>1.5599999999999999E-2</v>
      </c>
      <c r="R81">
        <v>3.3300000000000003E-2</v>
      </c>
      <c r="S81">
        <v>0.19500000000000001</v>
      </c>
      <c r="T81">
        <v>1</v>
      </c>
      <c r="U81">
        <v>1</v>
      </c>
      <c r="V81">
        <v>1.05</v>
      </c>
    </row>
    <row r="82" spans="1:24" x14ac:dyDescent="0.2">
      <c r="O82">
        <f>IF(O84&gt;10000,HLOOKUP(O84,N80:$O83,4,FALSE),IF(OR(AND(22500&lt;O80,O80&lt;25001),AND(50000&lt;O80,O80&lt;53501),AND(70000&lt;O80,O80&lt;72501)),$F80,IF(OR(AND(25001&lt;O80,O80&lt;27501),AND(53500&lt;O80,O80&lt;57001),AND(72500&lt;O80,O80&lt;75001)),$G80,IF(OR(AND(27500&lt;O80,O80&lt;30001),AND(57000&lt;O80,O80&lt;60001),AND(75000&lt;O80,O80&lt;77500)),$H80,VLOOKUP(O80,BDins,6,FALSE)))))</f>
        <v>12.64</v>
      </c>
      <c r="P82">
        <f>IF(P84&gt;10000,HLOOKUP(P84,O80:$O83,4,FALSE),IF(OR(AND(22500&lt;P80,P80&lt;25001),AND(50000&lt;P80,P80&lt;53501),AND(70000&lt;P80,P80&lt;72501)),$F80,IF(OR(AND(25001&lt;P80,P80&lt;27501),AND(53500&lt;P80,P80&lt;57001),AND(72500&lt;P80,P80&lt;75001)),$G80,IF(OR(AND(27500&lt;P80,P80&lt;30001),AND(57000&lt;P80,P80&lt;60001),AND(75000&lt;P80,P80&lt;77500)),$H80,VLOOKUP(P80,BDins,6,FALSE)))))</f>
        <v>14.12</v>
      </c>
      <c r="Q82">
        <f>IF(Q84&gt;10000,HLOOKUP(Q84,$O80:P83,4,FALSE),IF(OR(AND(22500&lt;Q80,Q80&lt;25001),AND(50000&lt;Q80,Q80&lt;53501),AND(70000&lt;Q80,Q80&lt;72501)),$F80,IF(OR(AND(25001&lt;Q80,Q80&lt;27501),AND(53500&lt;Q80,Q80&lt;57001),AND(72500&lt;Q80,Q80&lt;75001)),$G80,IF(OR(AND(27500&lt;Q80,Q80&lt;30001),AND(57000&lt;Q80,Q80&lt;60001),AND(75000&lt;Q80,Q80&lt;77500)),$H80,VLOOKUP(Q80,BDins,6,FALSE)))))</f>
        <v>3.5</v>
      </c>
      <c r="R82">
        <f>IF(R84&gt;10000,HLOOKUP(R84,$O80:Q83,4,FALSE),IF(OR(AND(22500&lt;R80,R80&lt;25001),AND(50000&lt;R80,R80&lt;53501),AND(70000&lt;R80,R80&lt;72501)),$F80,IF(OR(AND(25001&lt;R80,R80&lt;27501),AND(53500&lt;R80,R80&lt;57001),AND(72500&lt;R80,R80&lt;75001)),$G80,IF(OR(AND(27500&lt;R80,R80&lt;30001),AND(57000&lt;R80,R80&lt;60001),AND(75000&lt;R80,R80&lt;77500)),$H80,VLOOKUP(R80,BDins,6,FALSE)))))</f>
        <v>13.2</v>
      </c>
      <c r="S82">
        <f>IF(S84&gt;10000,HLOOKUP(S84,$O80:R83,4,FALSE),IF(OR(AND(22500&lt;S80,S80&lt;25001),AND(50000&lt;S80,S80&lt;53501),AND(70000&lt;S80,S80&lt;72501)),$F80,IF(OR(AND(25001&lt;S80,S80&lt;27501),AND(53500&lt;S80,S80&lt;57001),AND(72500&lt;S80,S80&lt;75001)),$G80,IF(OR(AND(27500&lt;S80,S80&lt;30001),AND(57000&lt;S80,S80&lt;60001),AND(75000&lt;S80,S80&lt;77500)),$H80,VLOOKUP(S80,BDins,6,FALSE)))))</f>
        <v>38.94</v>
      </c>
      <c r="T82">
        <f>IF(T84&gt;10000,HLOOKUP(T84,$O80:S83,4,FALSE),IF(OR(AND(22500&lt;T80,T80&lt;25001),AND(50000&lt;T80,T80&lt;53501),AND(70000&lt;T80,T80&lt;72501)),$F80,IF(OR(AND(25001&lt;T80,T80&lt;27501),AND(53500&lt;T80,T80&lt;57001),AND(72500&lt;T80,T80&lt;75001)),$G80,IF(OR(AND(27500&lt;T80,T80&lt;30001),AND(57000&lt;T80,T80&lt;60001),AND(75000&lt;T80,T80&lt;77500)),$H80,VLOOKUP(T80,BDins,6,FALSE)))))</f>
        <v>15</v>
      </c>
      <c r="U82">
        <f>IF(U84&gt;10000,HLOOKUP(U84,$O80:T83,4,FALSE),IF(OR(AND(22500&lt;U80,U80&lt;25001),AND(50000&lt;U80,U80&lt;53501),AND(70000&lt;U80,U80&lt;72501)),$F80,IF(OR(AND(25001&lt;U80,U80&lt;27501),AND(53500&lt;U80,U80&lt;57001),AND(72500&lt;U80,U80&lt;75001)),$G80,IF(OR(AND(27500&lt;U80,U80&lt;30001),AND(57000&lt;U80,U80&lt;60001),AND(75000&lt;U80,U80&lt;77500)),$H80,VLOOKUP(U80,BDins,6,FALSE)))))</f>
        <v>115</v>
      </c>
      <c r="V82">
        <f>IF(V84&gt;10000,HLOOKUP(V84,$O80:U83,4,FALSE),IF(OR(AND(22500&lt;V80,V80&lt;25001),AND(50000&lt;V80,V80&lt;53501),AND(70000&lt;V80,V80&lt;72501)),$F80,IF(OR(AND(25001&lt;V80,V80&lt;27501),AND(53500&lt;V80,V80&lt;57001),AND(72500&lt;V80,V80&lt;75001)),$G80,IF(OR(AND(27500&lt;V80,V80&lt;30001),AND(57000&lt;V80,V80&lt;60001),AND(75000&lt;V80,V80&lt;77500)),$H80,VLOOKUP(V80,BDins,6,FALSE)))))</f>
        <v>4.37</v>
      </c>
    </row>
    <row r="83" spans="1:24" x14ac:dyDescent="0.2">
      <c r="O83">
        <f t="shared" ref="O83:V83" si="5">IF($K80&gt;0,ROUND(O81*$E80/100,DpCU),IF(O84&gt;10000,ROUND(HLOOKUP(O84,$O80:$V83,4,FALSE)/100*O81,DpCU),IF(OR(O80&lt;20001,O80&gt;95000,AND(60000&lt;O80,O80&lt;70001)),ROUND(ROUND(O81*JL/$C80,DcCU)*O82,DpCU),IF(OR(AND(20000&lt;O80,O80&lt;22501),AND(30000&lt;O80,O80&lt;50001),77500&lt;O80),ROUND(O82*O81,DpCU),IF(OR(AND(22500&lt;O80,O80&lt;25001),AND(50000&lt;O80,O80&lt;53501),AND(70000&lt;O80,O80&lt;72501)),ROUND($F80/100*O81,DpCU),IF(OR(AND(25000&lt;O80,O80&lt;27501),AND(53500&lt;O80,O80&lt;57001),AND(72500&lt;O80,O80&lt;75001)),ROUND($G80/100*O81,DpCU),ROUND($H80/100*O81,DpCU)))))))</f>
        <v>1.68</v>
      </c>
      <c r="P83">
        <f t="shared" si="5"/>
        <v>0.63</v>
      </c>
      <c r="Q83">
        <f t="shared" si="5"/>
        <v>0.05</v>
      </c>
      <c r="R83">
        <f t="shared" si="5"/>
        <v>0.44</v>
      </c>
      <c r="S83">
        <f t="shared" si="5"/>
        <v>7.59</v>
      </c>
      <c r="T83">
        <f t="shared" si="5"/>
        <v>0.67</v>
      </c>
      <c r="U83">
        <f t="shared" si="5"/>
        <v>5.1100000000000003</v>
      </c>
      <c r="V83">
        <f t="shared" si="5"/>
        <v>0.2</v>
      </c>
    </row>
    <row r="84" spans="1:24" x14ac:dyDescent="0.2">
      <c r="B84" s="3" t="str">
        <f>A80&amp;"r"</f>
        <v>10016r</v>
      </c>
    </row>
    <row r="85" spans="1:24" x14ac:dyDescent="0.2">
      <c r="A85">
        <v>10017</v>
      </c>
      <c r="B85" s="3" t="s">
        <v>252</v>
      </c>
      <c r="C85" s="1">
        <f>ROUND(J85*JL*Frto/8,4)</f>
        <v>100</v>
      </c>
      <c r="D85" t="s">
        <v>160</v>
      </c>
      <c r="E85">
        <f>SUM($O88:$V88)</f>
        <v>27.379999999999995</v>
      </c>
      <c r="F85">
        <f>SUMIF($O85:$V85,"&lt;22501",$O88:$V88)</f>
        <v>10.18</v>
      </c>
      <c r="G85">
        <f>SUMIFS($O88:$V88,$O85:$V85,"&gt;30000",$O85:$V85,"&lt;50001")</f>
        <v>15.2</v>
      </c>
      <c r="H85">
        <f>SUMIFS($O88:$V88,$O85:$V85,"&gt;60000",$O85:$V85,"&lt;70001")</f>
        <v>2</v>
      </c>
      <c r="I85">
        <v>8</v>
      </c>
      <c r="J85">
        <v>100</v>
      </c>
      <c r="O85">
        <v>10001</v>
      </c>
      <c r="P85">
        <v>10003</v>
      </c>
      <c r="Q85">
        <v>10004</v>
      </c>
      <c r="R85">
        <v>30001</v>
      </c>
      <c r="S85">
        <v>30002</v>
      </c>
      <c r="T85">
        <v>30022</v>
      </c>
      <c r="U85">
        <v>30024</v>
      </c>
      <c r="V85">
        <v>60011</v>
      </c>
    </row>
    <row r="86" spans="1:24" x14ac:dyDescent="0.2">
      <c r="B86" s="3" t="str">
        <f>A85&amp;"C"</f>
        <v>10017C</v>
      </c>
      <c r="O86">
        <v>7</v>
      </c>
      <c r="P86">
        <v>1.5</v>
      </c>
      <c r="Q86">
        <v>1</v>
      </c>
      <c r="R86">
        <v>0.39600000000000002</v>
      </c>
      <c r="S86">
        <v>8.8999999999999996E-2</v>
      </c>
      <c r="T86">
        <v>0.01</v>
      </c>
      <c r="U86">
        <v>0.06</v>
      </c>
      <c r="V86">
        <v>1</v>
      </c>
    </row>
    <row r="87" spans="1:24" x14ac:dyDescent="0.2">
      <c r="O87">
        <f>IF(O89&gt;10000,HLOOKUP(O89,N85:$O88,4,FALSE),IF(OR(AND(22500&lt;O85,O85&lt;25001),AND(50000&lt;O85,O85&lt;53501),AND(70000&lt;O85,O85&lt;72501)),$F85,IF(OR(AND(25001&lt;O85,O85&lt;27501),AND(53500&lt;O85,O85&lt;57001),AND(72500&lt;O85,O85&lt;75001)),$G85,IF(OR(AND(27500&lt;O85,O85&lt;30001),AND(57000&lt;O85,O85&lt;60001),AND(75000&lt;O85,O85&lt;77500)),$H85,VLOOKUP(O85,BDins,6,FALSE)))))</f>
        <v>12.64</v>
      </c>
      <c r="P87">
        <f>IF(P89&gt;10000,HLOOKUP(P89,O85:$O88,4,FALSE),IF(OR(AND(22500&lt;P85,P85&lt;25001),AND(50000&lt;P85,P85&lt;53501),AND(70000&lt;P85,P85&lt;72501)),$F85,IF(OR(AND(25001&lt;P85,P85&lt;27501),AND(53500&lt;P85,P85&lt;57001),AND(72500&lt;P85,P85&lt;75001)),$G85,IF(OR(AND(27500&lt;P85,P85&lt;30001),AND(57000&lt;P85,P85&lt;60001),AND(75000&lt;P85,P85&lt;77500)),$H85,VLOOKUP(P85,BDins,6,FALSE)))))</f>
        <v>14.12</v>
      </c>
      <c r="Q87">
        <f>IF(Q89&gt;10000,HLOOKUP(Q89,$O85:P88,4,FALSE),IF(OR(AND(22500&lt;Q85,Q85&lt;25001),AND(50000&lt;Q85,Q85&lt;53501),AND(70000&lt;Q85,Q85&lt;72501)),$F85,IF(OR(AND(25001&lt;Q85,Q85&lt;27501),AND(53500&lt;Q85,Q85&lt;57001),AND(72500&lt;Q85,Q85&lt;75001)),$G85,IF(OR(AND(27500&lt;Q85,Q85&lt;30001),AND(57000&lt;Q85,Q85&lt;60001),AND(75000&lt;Q85,Q85&lt;77500)),$H85,VLOOKUP(Q85,BDins,6,FALSE)))))</f>
        <v>17.59</v>
      </c>
      <c r="R87">
        <f>IF(R89&gt;10000,HLOOKUP(R89,$O85:Q88,4,FALSE),IF(OR(AND(22500&lt;R85,R85&lt;25001),AND(50000&lt;R85,R85&lt;53501),AND(70000&lt;R85,R85&lt;72501)),$F85,IF(OR(AND(25001&lt;R85,R85&lt;27501),AND(53500&lt;R85,R85&lt;57001),AND(72500&lt;R85,R85&lt;75001)),$G85,IF(OR(AND(27500&lt;R85,R85&lt;30001),AND(57000&lt;R85,R85&lt;60001),AND(75000&lt;R85,R85&lt;77500)),$H85,VLOOKUP(R85,BDins,6,FALSE)))))</f>
        <v>27</v>
      </c>
      <c r="S87">
        <f>IF(S89&gt;10000,HLOOKUP(S89,$O85:R88,4,FALSE),IF(OR(AND(22500&lt;S85,S85&lt;25001),AND(50000&lt;S85,S85&lt;53501),AND(70000&lt;S85,S85&lt;72501)),$F85,IF(OR(AND(25001&lt;S85,S85&lt;27501),AND(53500&lt;S85,S85&lt;57001),AND(72500&lt;S85,S85&lt;75001)),$G85,IF(OR(AND(27500&lt;S85,S85&lt;30001),AND(57000&lt;S85,S85&lt;60001),AND(75000&lt;S85,S85&lt;77500)),$H85,VLOOKUP(S85,BDins,6,FALSE)))))</f>
        <v>41.3</v>
      </c>
      <c r="T87">
        <f>IF(T89&gt;10000,HLOOKUP(T89,$O85:S88,4,FALSE),IF(OR(AND(22500&lt;T85,T85&lt;25001),AND(50000&lt;T85,T85&lt;53501),AND(70000&lt;T85,T85&lt;72501)),$F85,IF(OR(AND(25001&lt;T85,T85&lt;27501),AND(53500&lt;T85,T85&lt;57001),AND(72500&lt;T85,T85&lt;75001)),$G85,IF(OR(AND(27500&lt;T85,T85&lt;30001),AND(57000&lt;T85,T85&lt;60001),AND(75000&lt;T85,T85&lt;77500)),$H85,VLOOKUP(T85,BDins,6,FALSE)))))</f>
        <v>3.5</v>
      </c>
      <c r="U87">
        <f>IF(U89&gt;10000,HLOOKUP(U89,$O85:T88,4,FALSE),IF(OR(AND(22500&lt;U85,U85&lt;25001),AND(50000&lt;U85,U85&lt;53501),AND(70000&lt;U85,U85&lt;72501)),$F85,IF(OR(AND(25001&lt;U85,U85&lt;27501),AND(53500&lt;U85,U85&lt;57001),AND(72500&lt;U85,U85&lt;75001)),$G85,IF(OR(AND(27500&lt;U85,U85&lt;30001),AND(57000&lt;U85,U85&lt;60001),AND(75000&lt;U85,U85&lt;77500)),$H85,VLOOKUP(U85,BDins,6,FALSE)))))</f>
        <v>13.2</v>
      </c>
      <c r="V87">
        <f>IF(V89&gt;10000,HLOOKUP(V89,$O85:U88,4,FALSE),IF(OR(AND(22500&lt;V85,V85&lt;25001),AND(50000&lt;V85,V85&lt;53501),AND(70000&lt;V85,V85&lt;72501)),$F85,IF(OR(AND(25001&lt;V85,V85&lt;27501),AND(53500&lt;V85,V85&lt;57001),AND(72500&lt;V85,V85&lt;75001)),$G85,IF(OR(AND(27500&lt;V85,V85&lt;30001),AND(57000&lt;V85,V85&lt;60001),AND(75000&lt;V85,V85&lt;77500)),$H85,VLOOKUP(V85,BDins,6,FALSE)))))</f>
        <v>25</v>
      </c>
    </row>
    <row r="88" spans="1:24" x14ac:dyDescent="0.2">
      <c r="O88">
        <f t="shared" ref="O88:V88" si="6">IF($K85&gt;0,ROUND(O86*$E85/100,DpCU),IF(O89&gt;10000,ROUND(HLOOKUP(O89,$O85:$V88,4,FALSE)/100*O86,DpCU),IF(OR(O85&lt;20001,O85&gt;95000,AND(60000&lt;O85,O85&lt;70001)),ROUND(ROUND(O86*JL/$C85,DcCU)*O87,DpCU),IF(OR(AND(20000&lt;O85,O85&lt;22501),AND(30000&lt;O85,O85&lt;50001),77500&lt;O85),ROUND(O87*O86,DpCU),IF(OR(AND(22500&lt;O85,O85&lt;25001),AND(50000&lt;O85,O85&lt;53501),AND(70000&lt;O85,O85&lt;72501)),ROUND($F85/100*O86,DpCU),IF(OR(AND(25000&lt;O85,O85&lt;27501),AND(53500&lt;O85,O85&lt;57001),AND(72500&lt;O85,O85&lt;75001)),ROUND($G85/100*O86,DpCU),ROUND($H85/100*O86,DpCU)))))))</f>
        <v>7.08</v>
      </c>
      <c r="P88">
        <f t="shared" si="6"/>
        <v>1.69</v>
      </c>
      <c r="Q88">
        <f t="shared" si="6"/>
        <v>1.41</v>
      </c>
      <c r="R88">
        <f t="shared" si="6"/>
        <v>10.69</v>
      </c>
      <c r="S88">
        <f t="shared" si="6"/>
        <v>3.68</v>
      </c>
      <c r="T88">
        <f t="shared" si="6"/>
        <v>0.04</v>
      </c>
      <c r="U88">
        <f t="shared" si="6"/>
        <v>0.79</v>
      </c>
      <c r="V88">
        <f t="shared" si="6"/>
        <v>2</v>
      </c>
    </row>
    <row r="89" spans="1:24" x14ac:dyDescent="0.2">
      <c r="B89" s="3" t="str">
        <f>A85&amp;"r"</f>
        <v>10017r</v>
      </c>
    </row>
    <row r="90" spans="1:24" x14ac:dyDescent="0.2">
      <c r="A90">
        <v>10018</v>
      </c>
      <c r="B90" s="3" t="s">
        <v>257</v>
      </c>
      <c r="C90" s="1">
        <f>ROUND(J90*JL*Frto/8,4)</f>
        <v>20</v>
      </c>
      <c r="D90" t="s">
        <v>165</v>
      </c>
      <c r="E90">
        <f>SUM($O93:$X93)</f>
        <v>228.14000000000001</v>
      </c>
      <c r="F90">
        <f>SUMIF($O90:$X90,"&lt;22501",$O93:$X93)</f>
        <v>67.210000000000008</v>
      </c>
      <c r="G90">
        <f>SUMIFS($O93:$X93,$O90:$X90,"&gt;30000",$O90:$X90,"&lt;50001")</f>
        <v>148.91</v>
      </c>
      <c r="H90">
        <f>SUMIFS($O93:$X93,$O90:$X90,"&gt;60000",$O90:$X90,"&lt;70001")</f>
        <v>10</v>
      </c>
      <c r="I90">
        <v>10</v>
      </c>
      <c r="J90">
        <v>20</v>
      </c>
      <c r="O90">
        <v>10001</v>
      </c>
      <c r="P90">
        <v>10003</v>
      </c>
      <c r="Q90">
        <v>10004</v>
      </c>
      <c r="R90">
        <v>10005</v>
      </c>
      <c r="S90">
        <v>30001</v>
      </c>
      <c r="T90">
        <v>30002</v>
      </c>
      <c r="U90">
        <v>30022</v>
      </c>
      <c r="V90">
        <v>30026</v>
      </c>
      <c r="W90">
        <v>60012</v>
      </c>
      <c r="X90">
        <v>70001</v>
      </c>
    </row>
    <row r="91" spans="1:24" x14ac:dyDescent="0.2">
      <c r="B91" s="3" t="str">
        <f>A90&amp;"C"</f>
        <v>10018C</v>
      </c>
      <c r="O91">
        <v>8</v>
      </c>
      <c r="P91">
        <v>1</v>
      </c>
      <c r="Q91">
        <v>2</v>
      </c>
      <c r="R91">
        <v>1</v>
      </c>
      <c r="S91">
        <v>3.05</v>
      </c>
      <c r="T91">
        <v>0.87</v>
      </c>
      <c r="U91">
        <v>0.18</v>
      </c>
      <c r="V91">
        <v>0.5</v>
      </c>
      <c r="W91">
        <v>1</v>
      </c>
      <c r="X91">
        <v>3</v>
      </c>
    </row>
    <row r="92" spans="1:24" x14ac:dyDescent="0.2">
      <c r="O92">
        <f>IF(O94&gt;10000,HLOOKUP(O94,N90:$O93,4,FALSE),IF(OR(AND(22500&lt;O90,O90&lt;25001),AND(50000&lt;O90,O90&lt;53501),AND(70000&lt;O90,O90&lt;72501)),$F90,IF(OR(AND(25001&lt;O90,O90&lt;27501),AND(53500&lt;O90,O90&lt;57001),AND(72500&lt;O90,O90&lt;75001)),$G90,IF(OR(AND(27500&lt;O90,O90&lt;30001),AND(57000&lt;O90,O90&lt;60001),AND(75000&lt;O90,O90&lt;77500)),$H90,VLOOKUP(O90,BDins,6,FALSE)))))</f>
        <v>12.64</v>
      </c>
      <c r="P92">
        <f>IF(P94&gt;10000,HLOOKUP(P94,O90:$O93,4,FALSE),IF(OR(AND(22500&lt;P90,P90&lt;25001),AND(50000&lt;P90,P90&lt;53501),AND(70000&lt;P90,P90&lt;72501)),$F90,IF(OR(AND(25001&lt;P90,P90&lt;27501),AND(53500&lt;P90,P90&lt;57001),AND(72500&lt;P90,P90&lt;75001)),$G90,IF(OR(AND(27500&lt;P90,P90&lt;30001),AND(57000&lt;P90,P90&lt;60001),AND(75000&lt;P90,P90&lt;77500)),$H90,VLOOKUP(P90,BDins,6,FALSE)))))</f>
        <v>14.12</v>
      </c>
      <c r="Q92">
        <f>IF(Q94&gt;10000,HLOOKUP(Q94,$O90:P93,4,FALSE),IF(OR(AND(22500&lt;Q90,Q90&lt;25001),AND(50000&lt;Q90,Q90&lt;53501),AND(70000&lt;Q90,Q90&lt;72501)),$F90,IF(OR(AND(25001&lt;Q90,Q90&lt;27501),AND(53500&lt;Q90,Q90&lt;57001),AND(72500&lt;Q90,Q90&lt;75001)),$G90,IF(OR(AND(27500&lt;Q90,Q90&lt;30001),AND(57000&lt;Q90,Q90&lt;60001),AND(75000&lt;Q90,Q90&lt;77500)),$H90,VLOOKUP(Q90,BDins,6,FALSE)))))</f>
        <v>17.59</v>
      </c>
      <c r="R92">
        <f>IF(R94&gt;10000,HLOOKUP(R94,$O90:Q93,4,FALSE),IF(OR(AND(22500&lt;R90,R90&lt;25001),AND(50000&lt;R90,R90&lt;53501),AND(70000&lt;R90,R90&lt;72501)),$F90,IF(OR(AND(25001&lt;R90,R90&lt;27501),AND(53500&lt;R90,R90&lt;57001),AND(72500&lt;R90,R90&lt;75001)),$G90,IF(OR(AND(27500&lt;R90,R90&lt;30001),AND(57000&lt;R90,R90&lt;60001),AND(75000&lt;R90,R90&lt;77500)),$H90,VLOOKUP(R90,BDins,6,FALSE)))))</f>
        <v>17.59</v>
      </c>
      <c r="S92">
        <f>IF(S94&gt;10000,HLOOKUP(S94,$O90:R93,4,FALSE),IF(OR(AND(22500&lt;S90,S90&lt;25001),AND(50000&lt;S90,S90&lt;53501),AND(70000&lt;S90,S90&lt;72501)),$F90,IF(OR(AND(25001&lt;S90,S90&lt;27501),AND(53500&lt;S90,S90&lt;57001),AND(72500&lt;S90,S90&lt;75001)),$G90,IF(OR(AND(27500&lt;S90,S90&lt;30001),AND(57000&lt;S90,S90&lt;60001),AND(75000&lt;S90,S90&lt;77500)),$H90,VLOOKUP(S90,BDins,6,FALSE)))))</f>
        <v>27</v>
      </c>
      <c r="T92">
        <f>IF(T94&gt;10000,HLOOKUP(T94,$O90:S93,4,FALSE),IF(OR(AND(22500&lt;T90,T90&lt;25001),AND(50000&lt;T90,T90&lt;53501),AND(70000&lt;T90,T90&lt;72501)),$F90,IF(OR(AND(25001&lt;T90,T90&lt;27501),AND(53500&lt;T90,T90&lt;57001),AND(72500&lt;T90,T90&lt;75001)),$G90,IF(OR(AND(27500&lt;T90,T90&lt;30001),AND(57000&lt;T90,T90&lt;60001),AND(75000&lt;T90,T90&lt;77500)),$H90,VLOOKUP(T90,BDins,6,FALSE)))))</f>
        <v>41.3</v>
      </c>
      <c r="U92">
        <f>IF(U94&gt;10000,HLOOKUP(U94,$O90:T93,4,FALSE),IF(OR(AND(22500&lt;U90,U90&lt;25001),AND(50000&lt;U90,U90&lt;53501),AND(70000&lt;U90,U90&lt;72501)),$F90,IF(OR(AND(25001&lt;U90,U90&lt;27501),AND(53500&lt;U90,U90&lt;57001),AND(72500&lt;U90,U90&lt;75001)),$G90,IF(OR(AND(27500&lt;U90,U90&lt;30001),AND(57000&lt;U90,U90&lt;60001),AND(75000&lt;U90,U90&lt;77500)),$H90,VLOOKUP(U90,BDins,6,FALSE)))))</f>
        <v>3.5</v>
      </c>
      <c r="V92">
        <f>IF(V94&gt;10000,HLOOKUP(V94,$O90:U93,4,FALSE),IF(OR(AND(22500&lt;V90,V90&lt;25001),AND(50000&lt;V90,V90&lt;53501),AND(70000&lt;V90,V90&lt;72501)),$F90,IF(OR(AND(25001&lt;V90,V90&lt;27501),AND(53500&lt;V90,V90&lt;57001),AND(72500&lt;V90,V90&lt;75001)),$G90,IF(OR(AND(27500&lt;V90,V90&lt;30001),AND(57000&lt;V90,V90&lt;60001),AND(75000&lt;V90,V90&lt;77500)),$H90,VLOOKUP(V90,BDins,6,FALSE)))))</f>
        <v>60</v>
      </c>
      <c r="W92">
        <f>IF(W94&gt;10000,HLOOKUP(W94,$O90:V93,4,FALSE),IF(OR(AND(22500&lt;W90,W90&lt;25001),AND(50000&lt;W90,W90&lt;53501),AND(70000&lt;W90,W90&lt;72501)),$F90,IF(OR(AND(25001&lt;W90,W90&lt;27501),AND(53500&lt;W90,W90&lt;57001),AND(72500&lt;W90,W90&lt;75001)),$G90,IF(OR(AND(27500&lt;W90,W90&lt;30001),AND(57000&lt;W90,W90&lt;60001),AND(75000&lt;W90,W90&lt;77500)),$H90,VLOOKUP(W90,BDins,6,FALSE)))))</f>
        <v>25</v>
      </c>
      <c r="X92">
        <f>IF(X94&gt;10000,HLOOKUP(X94,$O90:W93,4,FALSE),IF(OR(AND(22500&lt;X90,X90&lt;25001),AND(50000&lt;X90,X90&lt;53501),AND(70000&lt;X90,X90&lt;72501)),$F90,IF(OR(AND(25001&lt;X90,X90&lt;27501),AND(53500&lt;X90,X90&lt;57001),AND(72500&lt;X90,X90&lt;75001)),$G90,IF(OR(AND(27500&lt;X90,X90&lt;30001),AND(57000&lt;X90,X90&lt;60001),AND(75000&lt;X90,X90&lt;77500)),$H90,VLOOKUP(X90,BDins,6,FALSE)))))</f>
        <v>67.210000000000008</v>
      </c>
    </row>
    <row r="93" spans="1:24" x14ac:dyDescent="0.2">
      <c r="O93">
        <f t="shared" ref="O93:X93" si="7">IF($K90&gt;0,ROUND(O91*$E90/100,DpCU),IF(O94&gt;10000,ROUND(HLOOKUP(O94,$O90:$X93,4,FALSE)/100*O91,DpCU),IF(OR(O90&lt;20001,O90&gt;95000,AND(60000&lt;O90,O90&lt;70001)),ROUND(ROUND(O91*JL/$C90,DcCU)*O92,DpCU),IF(OR(AND(20000&lt;O90,O90&lt;22501),AND(30000&lt;O90,O90&lt;50001),77500&lt;O90),ROUND(O92*O91,DpCU),IF(OR(AND(22500&lt;O90,O90&lt;25001),AND(50000&lt;O90,O90&lt;53501),AND(70000&lt;O90,O90&lt;72501)),ROUND($F90/100*O91,DpCU),IF(OR(AND(25000&lt;O90,O90&lt;27501),AND(53500&lt;O90,O90&lt;57001),AND(72500&lt;O90,O90&lt;75001)),ROUND($G90/100*O91,DpCU),ROUND($H90/100*O91,DpCU)))))))</f>
        <v>40.450000000000003</v>
      </c>
      <c r="P93">
        <f t="shared" si="7"/>
        <v>5.65</v>
      </c>
      <c r="Q93">
        <f t="shared" si="7"/>
        <v>14.07</v>
      </c>
      <c r="R93">
        <f t="shared" si="7"/>
        <v>7.04</v>
      </c>
      <c r="S93">
        <f t="shared" si="7"/>
        <v>82.35</v>
      </c>
      <c r="T93">
        <f t="shared" si="7"/>
        <v>35.93</v>
      </c>
      <c r="U93">
        <f t="shared" si="7"/>
        <v>0.63</v>
      </c>
      <c r="V93">
        <f t="shared" si="7"/>
        <v>30</v>
      </c>
      <c r="W93">
        <f t="shared" si="7"/>
        <v>10</v>
      </c>
      <c r="X93">
        <f t="shared" si="7"/>
        <v>2.02</v>
      </c>
    </row>
    <row r="94" spans="1:24" x14ac:dyDescent="0.2">
      <c r="B94" s="3" t="str">
        <f>A90&amp;"r"</f>
        <v>10018r</v>
      </c>
    </row>
    <row r="95" spans="1:24" x14ac:dyDescent="0.2">
      <c r="A95">
        <v>10019</v>
      </c>
      <c r="B95" s="3" t="s">
        <v>263</v>
      </c>
      <c r="C95" s="1">
        <f>ROUND(J95*JL*Frto/8,4)</f>
        <v>18</v>
      </c>
      <c r="D95" t="s">
        <v>165</v>
      </c>
      <c r="E95">
        <f>SUM($O98:$X98)</f>
        <v>267.81</v>
      </c>
      <c r="F95">
        <f>SUMIF($O95:$X95,"&lt;22501",$O98:$X98)</f>
        <v>86.240000000000009</v>
      </c>
      <c r="G95">
        <f>SUMIFS($O98:$X98,$O95:$X95,"&gt;30000",$O95:$X95,"&lt;50001")</f>
        <v>167.87</v>
      </c>
      <c r="H95">
        <f>SUMIFS($O98:$X98,$O95:$X95,"&gt;60000",$O95:$X95,"&lt;70001")</f>
        <v>11.11</v>
      </c>
      <c r="I95">
        <v>10</v>
      </c>
      <c r="J95">
        <v>18</v>
      </c>
      <c r="O95">
        <v>10001</v>
      </c>
      <c r="P95">
        <v>10003</v>
      </c>
      <c r="Q95">
        <v>10004</v>
      </c>
      <c r="R95">
        <v>10005</v>
      </c>
      <c r="S95">
        <v>30001</v>
      </c>
      <c r="T95">
        <v>30002</v>
      </c>
      <c r="U95">
        <v>30027</v>
      </c>
      <c r="V95">
        <v>30028</v>
      </c>
      <c r="W95">
        <v>60012</v>
      </c>
      <c r="X95">
        <v>70001</v>
      </c>
    </row>
    <row r="96" spans="1:24" x14ac:dyDescent="0.2">
      <c r="B96" s="3" t="str">
        <f>A95&amp;"C"</f>
        <v>10019C</v>
      </c>
      <c r="O96">
        <v>9.5</v>
      </c>
      <c r="P96">
        <v>1.5</v>
      </c>
      <c r="Q96">
        <v>2</v>
      </c>
      <c r="R96">
        <v>1</v>
      </c>
      <c r="S96">
        <v>4</v>
      </c>
      <c r="T96">
        <v>0.90610000000000002</v>
      </c>
      <c r="U96">
        <v>0.3</v>
      </c>
      <c r="V96">
        <v>0.31759999999999999</v>
      </c>
      <c r="W96">
        <v>1</v>
      </c>
      <c r="X96">
        <v>3</v>
      </c>
    </row>
    <row r="97" spans="1:25" x14ac:dyDescent="0.2">
      <c r="O97">
        <f>IF(O99&gt;10000,HLOOKUP(O99,N95:$O98,4,FALSE),IF(OR(AND(22500&lt;O95,O95&lt;25001),AND(50000&lt;O95,O95&lt;53501),AND(70000&lt;O95,O95&lt;72501)),$F95,IF(OR(AND(25001&lt;O95,O95&lt;27501),AND(53500&lt;O95,O95&lt;57001),AND(72500&lt;O95,O95&lt;75001)),$G95,IF(OR(AND(27500&lt;O95,O95&lt;30001),AND(57000&lt;O95,O95&lt;60001),AND(75000&lt;O95,O95&lt;77500)),$H95,VLOOKUP(O95,BDins,6,FALSE)))))</f>
        <v>12.64</v>
      </c>
      <c r="P97">
        <f>IF(P99&gt;10000,HLOOKUP(P99,O95:$O98,4,FALSE),IF(OR(AND(22500&lt;P95,P95&lt;25001),AND(50000&lt;P95,P95&lt;53501),AND(70000&lt;P95,P95&lt;72501)),$F95,IF(OR(AND(25001&lt;P95,P95&lt;27501),AND(53500&lt;P95,P95&lt;57001),AND(72500&lt;P95,P95&lt;75001)),$G95,IF(OR(AND(27500&lt;P95,P95&lt;30001),AND(57000&lt;P95,P95&lt;60001),AND(75000&lt;P95,P95&lt;77500)),$H95,VLOOKUP(P95,BDins,6,FALSE)))))</f>
        <v>14.12</v>
      </c>
      <c r="Q97">
        <f>IF(Q99&gt;10000,HLOOKUP(Q99,$O95:P98,4,FALSE),IF(OR(AND(22500&lt;Q95,Q95&lt;25001),AND(50000&lt;Q95,Q95&lt;53501),AND(70000&lt;Q95,Q95&lt;72501)),$F95,IF(OR(AND(25001&lt;Q95,Q95&lt;27501),AND(53500&lt;Q95,Q95&lt;57001),AND(72500&lt;Q95,Q95&lt;75001)),$G95,IF(OR(AND(27500&lt;Q95,Q95&lt;30001),AND(57000&lt;Q95,Q95&lt;60001),AND(75000&lt;Q95,Q95&lt;77500)),$H95,VLOOKUP(Q95,BDins,6,FALSE)))))</f>
        <v>17.59</v>
      </c>
      <c r="R97">
        <f>IF(R99&gt;10000,HLOOKUP(R99,$O95:Q98,4,FALSE),IF(OR(AND(22500&lt;R95,R95&lt;25001),AND(50000&lt;R95,R95&lt;53501),AND(70000&lt;R95,R95&lt;72501)),$F95,IF(OR(AND(25001&lt;R95,R95&lt;27501),AND(53500&lt;R95,R95&lt;57001),AND(72500&lt;R95,R95&lt;75001)),$G95,IF(OR(AND(27500&lt;R95,R95&lt;30001),AND(57000&lt;R95,R95&lt;60001),AND(75000&lt;R95,R95&lt;77500)),$H95,VLOOKUP(R95,BDins,6,FALSE)))))</f>
        <v>17.59</v>
      </c>
      <c r="S97">
        <f>IF(S99&gt;10000,HLOOKUP(S99,$O95:R98,4,FALSE),IF(OR(AND(22500&lt;S95,S95&lt;25001),AND(50000&lt;S95,S95&lt;53501),AND(70000&lt;S95,S95&lt;72501)),$F95,IF(OR(AND(25001&lt;S95,S95&lt;27501),AND(53500&lt;S95,S95&lt;57001),AND(72500&lt;S95,S95&lt;75001)),$G95,IF(OR(AND(27500&lt;S95,S95&lt;30001),AND(57000&lt;S95,S95&lt;60001),AND(75000&lt;S95,S95&lt;77500)),$H95,VLOOKUP(S95,BDins,6,FALSE)))))</f>
        <v>27</v>
      </c>
      <c r="T97">
        <f>IF(T99&gt;10000,HLOOKUP(T99,$O95:S98,4,FALSE),IF(OR(AND(22500&lt;T95,T95&lt;25001),AND(50000&lt;T95,T95&lt;53501),AND(70000&lt;T95,T95&lt;72501)),$F95,IF(OR(AND(25001&lt;T95,T95&lt;27501),AND(53500&lt;T95,T95&lt;57001),AND(72500&lt;T95,T95&lt;75001)),$G95,IF(OR(AND(27500&lt;T95,T95&lt;30001),AND(57000&lt;T95,T95&lt;60001),AND(75000&lt;T95,T95&lt;77500)),$H95,VLOOKUP(T95,BDins,6,FALSE)))))</f>
        <v>41.3</v>
      </c>
      <c r="U97">
        <f>IF(U99&gt;10000,HLOOKUP(U99,$O95:T98,4,FALSE),IF(OR(AND(22500&lt;U95,U95&lt;25001),AND(50000&lt;U95,U95&lt;53501),AND(70000&lt;U95,U95&lt;72501)),$F95,IF(OR(AND(25001&lt;U95,U95&lt;27501),AND(53500&lt;U95,U95&lt;57001),AND(72500&lt;U95,U95&lt;75001)),$G95,IF(OR(AND(27500&lt;U95,U95&lt;30001),AND(57000&lt;U95,U95&lt;60001),AND(75000&lt;U95,U95&lt;77500)),$H95,VLOOKUP(U95,BDins,6,FALSE)))))</f>
        <v>11.3</v>
      </c>
      <c r="V97">
        <f>IF(V99&gt;10000,HLOOKUP(V99,$O95:U98,4,FALSE),IF(OR(AND(22500&lt;V95,V95&lt;25001),AND(50000&lt;V95,V95&lt;53501),AND(70000&lt;V95,V95&lt;72501)),$F95,IF(OR(AND(25001&lt;V95,V95&lt;27501),AND(53500&lt;V95,V95&lt;57001),AND(72500&lt;V95,V95&lt;75001)),$G95,IF(OR(AND(27500&lt;V95,V95&lt;30001),AND(57000&lt;V95,V95&lt;60001),AND(75000&lt;V95,V95&lt;77500)),$H95,VLOOKUP(V95,BDins,6,FALSE)))))</f>
        <v>60</v>
      </c>
      <c r="W97">
        <f>IF(W99&gt;10000,HLOOKUP(W99,$O95:V98,4,FALSE),IF(OR(AND(22500&lt;W95,W95&lt;25001),AND(50000&lt;W95,W95&lt;53501),AND(70000&lt;W95,W95&lt;72501)),$F95,IF(OR(AND(25001&lt;W95,W95&lt;27501),AND(53500&lt;W95,W95&lt;57001),AND(72500&lt;W95,W95&lt;75001)),$G95,IF(OR(AND(27500&lt;W95,W95&lt;30001),AND(57000&lt;W95,W95&lt;60001),AND(75000&lt;W95,W95&lt;77500)),$H95,VLOOKUP(W95,BDins,6,FALSE)))))</f>
        <v>25</v>
      </c>
      <c r="X97">
        <f>IF(X99&gt;10000,HLOOKUP(X99,$O95:W98,4,FALSE),IF(OR(AND(22500&lt;X95,X95&lt;25001),AND(50000&lt;X95,X95&lt;53501),AND(70000&lt;X95,X95&lt;72501)),$F95,IF(OR(AND(25001&lt;X95,X95&lt;27501),AND(53500&lt;X95,X95&lt;57001),AND(72500&lt;X95,X95&lt;75001)),$G95,IF(OR(AND(27500&lt;X95,X95&lt;30001),AND(57000&lt;X95,X95&lt;60001),AND(75000&lt;X95,X95&lt;77500)),$H95,VLOOKUP(X95,BDins,6,FALSE)))))</f>
        <v>86.240000000000009</v>
      </c>
    </row>
    <row r="98" spans="1:25" x14ac:dyDescent="0.2">
      <c r="O98">
        <f t="shared" ref="O98:X98" si="8">IF($K95&gt;0,ROUND(O96*$E95/100,DpCU),IF(O99&gt;10000,ROUND(HLOOKUP(O99,$O95:$X98,4,FALSE)/100*O96,DpCU),IF(OR(O95&lt;20001,O95&gt;95000,AND(60000&lt;O95,O95&lt;70001)),ROUND(ROUND(O96*JL/$C95,DcCU)*O97,DpCU),IF(OR(AND(20000&lt;O95,O95&lt;22501),AND(30000&lt;O95,O95&lt;50001),77500&lt;O95),ROUND(O97*O96,DpCU),IF(OR(AND(22500&lt;O95,O95&lt;25001),AND(50000&lt;O95,O95&lt;53501),AND(70000&lt;O95,O95&lt;72501)),ROUND($F95/100*O96,DpCU),IF(OR(AND(25000&lt;O95,O95&lt;27501),AND(53500&lt;O95,O95&lt;57001),AND(72500&lt;O95,O95&lt;75001)),ROUND($G95/100*O96,DpCU),ROUND($H95/100*O96,DpCU)))))))</f>
        <v>53.37</v>
      </c>
      <c r="P98">
        <f t="shared" si="8"/>
        <v>9.41</v>
      </c>
      <c r="Q98">
        <f t="shared" si="8"/>
        <v>15.64</v>
      </c>
      <c r="R98">
        <f t="shared" si="8"/>
        <v>7.82</v>
      </c>
      <c r="S98">
        <f t="shared" si="8"/>
        <v>108</v>
      </c>
      <c r="T98">
        <f t="shared" si="8"/>
        <v>37.42</v>
      </c>
      <c r="U98">
        <f t="shared" si="8"/>
        <v>3.39</v>
      </c>
      <c r="V98">
        <f t="shared" si="8"/>
        <v>19.059999999999999</v>
      </c>
      <c r="W98">
        <f t="shared" si="8"/>
        <v>11.11</v>
      </c>
      <c r="X98">
        <f t="shared" si="8"/>
        <v>2.59</v>
      </c>
    </row>
    <row r="99" spans="1:25" x14ac:dyDescent="0.2">
      <c r="B99" s="3" t="str">
        <f>A95&amp;"r"</f>
        <v>10019r</v>
      </c>
    </row>
    <row r="100" spans="1:25" x14ac:dyDescent="0.2">
      <c r="A100">
        <v>10020</v>
      </c>
      <c r="B100" s="3" t="s">
        <v>267</v>
      </c>
      <c r="C100" s="1">
        <f>ROUND(J100*JL*Frto/8,4)</f>
        <v>14.4</v>
      </c>
      <c r="D100" t="s">
        <v>160</v>
      </c>
      <c r="E100">
        <f>SUM($O103:$W103)</f>
        <v>44.230000000000011</v>
      </c>
      <c r="F100">
        <f>SUMIF($O100:$W100,"&lt;22501",$O103:$W103)</f>
        <v>21.13</v>
      </c>
      <c r="G100">
        <f>SUMIFS($O103:$W103,$O100:$W100,"&gt;30000",$O100:$W100,"&lt;50001")</f>
        <v>22.47</v>
      </c>
      <c r="H100">
        <f>SUMIFS($O103:$W103,$O100:$W100,"&gt;60000",$O100:$W100,"&lt;70001")</f>
        <v>0</v>
      </c>
      <c r="I100">
        <v>9</v>
      </c>
      <c r="J100">
        <v>14.4</v>
      </c>
      <c r="O100">
        <v>10001</v>
      </c>
      <c r="P100">
        <v>10003</v>
      </c>
      <c r="Q100">
        <v>10004</v>
      </c>
      <c r="R100">
        <v>30010</v>
      </c>
      <c r="S100">
        <v>30027</v>
      </c>
      <c r="T100">
        <v>30029</v>
      </c>
      <c r="U100">
        <v>30030</v>
      </c>
      <c r="V100">
        <v>30031</v>
      </c>
      <c r="W100">
        <v>70001</v>
      </c>
    </row>
    <row r="101" spans="1:25" x14ac:dyDescent="0.2">
      <c r="B101" s="3" t="str">
        <f>A100&amp;"C"</f>
        <v>10020C</v>
      </c>
      <c r="O101">
        <v>0.5</v>
      </c>
      <c r="P101">
        <v>1</v>
      </c>
      <c r="Q101">
        <v>1</v>
      </c>
      <c r="R101">
        <v>2.33</v>
      </c>
      <c r="S101">
        <v>0.05</v>
      </c>
      <c r="T101">
        <v>0.78220000000000001</v>
      </c>
      <c r="U101">
        <v>0.1</v>
      </c>
      <c r="V101">
        <v>0.1</v>
      </c>
      <c r="W101">
        <v>3</v>
      </c>
    </row>
    <row r="102" spans="1:25" x14ac:dyDescent="0.2">
      <c r="O102">
        <f>IF(O104&gt;10000,HLOOKUP(O104,N100:$O103,4,FALSE),IF(OR(AND(22500&lt;O100,O100&lt;25001),AND(50000&lt;O100,O100&lt;53501),AND(70000&lt;O100,O100&lt;72501)),$F100,IF(OR(AND(25001&lt;O100,O100&lt;27501),AND(53500&lt;O100,O100&lt;57001),AND(72500&lt;O100,O100&lt;75001)),$G100,IF(OR(AND(27500&lt;O100,O100&lt;30001),AND(57000&lt;O100,O100&lt;60001),AND(75000&lt;O100,O100&lt;77500)),$H100,VLOOKUP(O100,BDins,6,FALSE)))))</f>
        <v>12.64</v>
      </c>
      <c r="P102">
        <f>IF(P104&gt;10000,HLOOKUP(P104,O100:$O103,4,FALSE),IF(OR(AND(22500&lt;P100,P100&lt;25001),AND(50000&lt;P100,P100&lt;53501),AND(70000&lt;P100,P100&lt;72501)),$F100,IF(OR(AND(25001&lt;P100,P100&lt;27501),AND(53500&lt;P100,P100&lt;57001),AND(72500&lt;P100,P100&lt;75001)),$G100,IF(OR(AND(27500&lt;P100,P100&lt;30001),AND(57000&lt;P100,P100&lt;60001),AND(75000&lt;P100,P100&lt;77500)),$H100,VLOOKUP(P100,BDins,6,FALSE)))))</f>
        <v>14.12</v>
      </c>
      <c r="Q102">
        <f>IF(Q104&gt;10000,HLOOKUP(Q104,$O100:P103,4,FALSE),IF(OR(AND(22500&lt;Q100,Q100&lt;25001),AND(50000&lt;Q100,Q100&lt;53501),AND(70000&lt;Q100,Q100&lt;72501)),$F100,IF(OR(AND(25001&lt;Q100,Q100&lt;27501),AND(53500&lt;Q100,Q100&lt;57001),AND(72500&lt;Q100,Q100&lt;75001)),$G100,IF(OR(AND(27500&lt;Q100,Q100&lt;30001),AND(57000&lt;Q100,Q100&lt;60001),AND(75000&lt;Q100,Q100&lt;77500)),$H100,VLOOKUP(Q100,BDins,6,FALSE)))))</f>
        <v>17.59</v>
      </c>
      <c r="R102">
        <f>IF(R104&gt;10000,HLOOKUP(R104,$O100:Q103,4,FALSE),IF(OR(AND(22500&lt;R100,R100&lt;25001),AND(50000&lt;R100,R100&lt;53501),AND(70000&lt;R100,R100&lt;72501)),$F100,IF(OR(AND(25001&lt;R100,R100&lt;27501),AND(53500&lt;R100,R100&lt;57001),AND(72500&lt;R100,R100&lt;75001)),$G100,IF(OR(AND(27500&lt;R100,R100&lt;30001),AND(57000&lt;R100,R100&lt;60001),AND(75000&lt;R100,R100&lt;77500)),$H100,VLOOKUP(R100,BDins,6,FALSE)))))</f>
        <v>7.5</v>
      </c>
      <c r="S102">
        <f>IF(S104&gt;10000,HLOOKUP(S104,$O100:R103,4,FALSE),IF(OR(AND(22500&lt;S100,S100&lt;25001),AND(50000&lt;S100,S100&lt;53501),AND(70000&lt;S100,S100&lt;72501)),$F100,IF(OR(AND(25001&lt;S100,S100&lt;27501),AND(53500&lt;S100,S100&lt;57001),AND(72500&lt;S100,S100&lt;75001)),$G100,IF(OR(AND(27500&lt;S100,S100&lt;30001),AND(57000&lt;S100,S100&lt;60001),AND(75000&lt;S100,S100&lt;77500)),$H100,VLOOKUP(S100,BDins,6,FALSE)))))</f>
        <v>11.3</v>
      </c>
      <c r="T102">
        <f>IF(T104&gt;10000,HLOOKUP(T104,$O100:S103,4,FALSE),IF(OR(AND(22500&lt;T100,T100&lt;25001),AND(50000&lt;T100,T100&lt;53501),AND(70000&lt;T100,T100&lt;72501)),$F100,IF(OR(AND(25001&lt;T100,T100&lt;27501),AND(53500&lt;T100,T100&lt;57001),AND(72500&lt;T100,T100&lt;75001)),$G100,IF(OR(AND(27500&lt;T100,T100&lt;30001),AND(57000&lt;T100,T100&lt;60001),AND(75000&lt;T100,T100&lt;77500)),$H100,VLOOKUP(T100,BDins,6,FALSE)))))</f>
        <v>4.5</v>
      </c>
      <c r="U102">
        <f>IF(U104&gt;10000,HLOOKUP(U104,$O100:T103,4,FALSE),IF(OR(AND(22500&lt;U100,U100&lt;25001),AND(50000&lt;U100,U100&lt;53501),AND(70000&lt;U100,U100&lt;72501)),$F100,IF(OR(AND(25001&lt;U100,U100&lt;27501),AND(53500&lt;U100,U100&lt;57001),AND(72500&lt;U100,U100&lt;75001)),$G100,IF(OR(AND(27500&lt;U100,U100&lt;30001),AND(57000&lt;U100,U100&lt;60001),AND(75000&lt;U100,U100&lt;77500)),$H100,VLOOKUP(U100,BDins,6,FALSE)))))</f>
        <v>4.5</v>
      </c>
      <c r="V102">
        <f>IF(V104&gt;10000,HLOOKUP(V104,$O100:U103,4,FALSE),IF(OR(AND(22500&lt;V100,V100&lt;25001),AND(50000&lt;V100,V100&lt;53501),AND(70000&lt;V100,V100&lt;72501)),$F100,IF(OR(AND(25001&lt;V100,V100&lt;27501),AND(53500&lt;V100,V100&lt;57001),AND(72500&lt;V100,V100&lt;75001)),$G100,IF(OR(AND(27500&lt;V100,V100&lt;30001),AND(57000&lt;V100,V100&lt;60001),AND(75000&lt;V100,V100&lt;77500)),$H100,VLOOKUP(V100,BDins,6,FALSE)))))</f>
        <v>4.5</v>
      </c>
      <c r="W102">
        <f>IF(W104&gt;10000,HLOOKUP(W104,$O100:V103,4,FALSE),IF(OR(AND(22500&lt;W100,W100&lt;25001),AND(50000&lt;W100,W100&lt;53501),AND(70000&lt;W100,W100&lt;72501)),$F100,IF(OR(AND(25001&lt;W100,W100&lt;27501),AND(53500&lt;W100,W100&lt;57001),AND(72500&lt;W100,W100&lt;75001)),$G100,IF(OR(AND(27500&lt;W100,W100&lt;30001),AND(57000&lt;W100,W100&lt;60001),AND(75000&lt;W100,W100&lt;77500)),$H100,VLOOKUP(W100,BDins,6,FALSE)))))</f>
        <v>21.13</v>
      </c>
    </row>
    <row r="103" spans="1:25" x14ac:dyDescent="0.2">
      <c r="O103">
        <f t="shared" ref="O103:W103" si="9">IF($K100&gt;0,ROUND(O101*$E100/100,DpCU),IF(O104&gt;10000,ROUND(HLOOKUP(O104,$O100:$W103,4,FALSE)/100*O101,DpCU),IF(OR(O100&lt;20001,O100&gt;95000,AND(60000&lt;O100,O100&lt;70001)),ROUND(ROUND(O101*JL/$C100,DcCU)*O102,DpCU),IF(OR(AND(20000&lt;O100,O100&lt;22501),AND(30000&lt;O100,O100&lt;50001),77500&lt;O100),ROUND(O102*O101,DpCU),IF(OR(AND(22500&lt;O100,O100&lt;25001),AND(50000&lt;O100,O100&lt;53501),AND(70000&lt;O100,O100&lt;72501)),ROUND($F100/100*O101,DpCU),IF(OR(AND(25000&lt;O100,O100&lt;27501),AND(53500&lt;O100,O100&lt;57001),AND(72500&lt;O100,O100&lt;75001)),ROUND($G100/100*O101,DpCU),ROUND($H100/100*O101,DpCU)))))))</f>
        <v>3.51</v>
      </c>
      <c r="P103">
        <f t="shared" si="9"/>
        <v>7.85</v>
      </c>
      <c r="Q103">
        <f t="shared" si="9"/>
        <v>9.77</v>
      </c>
      <c r="R103">
        <f t="shared" si="9"/>
        <v>17.48</v>
      </c>
      <c r="S103">
        <f t="shared" si="9"/>
        <v>0.56999999999999995</v>
      </c>
      <c r="T103">
        <f t="shared" si="9"/>
        <v>3.52</v>
      </c>
      <c r="U103">
        <f t="shared" si="9"/>
        <v>0.45</v>
      </c>
      <c r="V103">
        <f t="shared" si="9"/>
        <v>0.45</v>
      </c>
      <c r="W103">
        <f t="shared" si="9"/>
        <v>0.63</v>
      </c>
    </row>
    <row r="104" spans="1:25" x14ac:dyDescent="0.2">
      <c r="B104" s="3" t="str">
        <f>A100&amp;"r"</f>
        <v>10020r</v>
      </c>
    </row>
    <row r="105" spans="1:25" x14ac:dyDescent="0.2">
      <c r="A105">
        <v>10021</v>
      </c>
      <c r="B105" s="3" t="s">
        <v>274</v>
      </c>
      <c r="C105" s="1">
        <f>ROUND(J105*JL*Frto/8,4)</f>
        <v>120</v>
      </c>
      <c r="D105" t="s">
        <v>160</v>
      </c>
      <c r="E105">
        <f>SUM($O108:$X108)</f>
        <v>30.04</v>
      </c>
      <c r="F105">
        <f>SUMIF($O105:$X105,"&lt;22501",$O108:$X108)</f>
        <v>9.18</v>
      </c>
      <c r="G105">
        <f>SUMIFS($O108:$X108,$O105:$X105,"&gt;30000",$O105:$X105,"&lt;50001")</f>
        <v>18.91</v>
      </c>
      <c r="H105">
        <f>SUMIFS($O108:$X108,$O105:$X105,"&gt;60000",$O105:$X105,"&lt;70001")</f>
        <v>1.67</v>
      </c>
      <c r="I105">
        <v>10</v>
      </c>
      <c r="J105">
        <v>120</v>
      </c>
      <c r="O105">
        <v>10001</v>
      </c>
      <c r="P105">
        <v>10003</v>
      </c>
      <c r="Q105">
        <v>10004</v>
      </c>
      <c r="R105">
        <v>30001</v>
      </c>
      <c r="S105">
        <v>30002</v>
      </c>
      <c r="T105">
        <v>30022</v>
      </c>
      <c r="U105">
        <v>30024</v>
      </c>
      <c r="V105">
        <v>30032</v>
      </c>
      <c r="W105">
        <v>60012</v>
      </c>
      <c r="X105">
        <v>70001</v>
      </c>
    </row>
    <row r="106" spans="1:25" x14ac:dyDescent="0.2">
      <c r="B106" s="3" t="str">
        <f>A105&amp;"C"</f>
        <v>10021C</v>
      </c>
      <c r="O106">
        <v>7</v>
      </c>
      <c r="P106">
        <v>1</v>
      </c>
      <c r="Q106">
        <v>2</v>
      </c>
      <c r="R106">
        <v>0.5</v>
      </c>
      <c r="S106">
        <v>0.113</v>
      </c>
      <c r="T106">
        <v>1.7000000000000001E-2</v>
      </c>
      <c r="U106">
        <v>0.04</v>
      </c>
      <c r="V106">
        <v>5.0000000000000001E-3</v>
      </c>
      <c r="W106">
        <v>1</v>
      </c>
      <c r="X106">
        <v>3</v>
      </c>
    </row>
    <row r="107" spans="1:25" x14ac:dyDescent="0.2">
      <c r="O107">
        <f>IF(O109&gt;10000,HLOOKUP(O109,N105:$O108,4,FALSE),IF(OR(AND(22500&lt;O105,O105&lt;25001),AND(50000&lt;O105,O105&lt;53501),AND(70000&lt;O105,O105&lt;72501)),$F105,IF(OR(AND(25001&lt;O105,O105&lt;27501),AND(53500&lt;O105,O105&lt;57001),AND(72500&lt;O105,O105&lt;75001)),$G105,IF(OR(AND(27500&lt;O105,O105&lt;30001),AND(57000&lt;O105,O105&lt;60001),AND(75000&lt;O105,O105&lt;77500)),$H105,VLOOKUP(O105,BDins,6,FALSE)))))</f>
        <v>12.64</v>
      </c>
      <c r="P107">
        <f>IF(P109&gt;10000,HLOOKUP(P109,O105:$O108,4,FALSE),IF(OR(AND(22500&lt;P105,P105&lt;25001),AND(50000&lt;P105,P105&lt;53501),AND(70000&lt;P105,P105&lt;72501)),$F105,IF(OR(AND(25001&lt;P105,P105&lt;27501),AND(53500&lt;P105,P105&lt;57001),AND(72500&lt;P105,P105&lt;75001)),$G105,IF(OR(AND(27500&lt;P105,P105&lt;30001),AND(57000&lt;P105,P105&lt;60001),AND(75000&lt;P105,P105&lt;77500)),$H105,VLOOKUP(P105,BDins,6,FALSE)))))</f>
        <v>14.12</v>
      </c>
      <c r="Q107">
        <f>IF(Q109&gt;10000,HLOOKUP(Q109,$O105:P108,4,FALSE),IF(OR(AND(22500&lt;Q105,Q105&lt;25001),AND(50000&lt;Q105,Q105&lt;53501),AND(70000&lt;Q105,Q105&lt;72501)),$F105,IF(OR(AND(25001&lt;Q105,Q105&lt;27501),AND(53500&lt;Q105,Q105&lt;57001),AND(72500&lt;Q105,Q105&lt;75001)),$G105,IF(OR(AND(27500&lt;Q105,Q105&lt;30001),AND(57000&lt;Q105,Q105&lt;60001),AND(75000&lt;Q105,Q105&lt;77500)),$H105,VLOOKUP(Q105,BDins,6,FALSE)))))</f>
        <v>17.59</v>
      </c>
      <c r="R107">
        <f>IF(R109&gt;10000,HLOOKUP(R109,$O105:Q108,4,FALSE),IF(OR(AND(22500&lt;R105,R105&lt;25001),AND(50000&lt;R105,R105&lt;53501),AND(70000&lt;R105,R105&lt;72501)),$F105,IF(OR(AND(25001&lt;R105,R105&lt;27501),AND(53500&lt;R105,R105&lt;57001),AND(72500&lt;R105,R105&lt;75001)),$G105,IF(OR(AND(27500&lt;R105,R105&lt;30001),AND(57000&lt;R105,R105&lt;60001),AND(75000&lt;R105,R105&lt;77500)),$H105,VLOOKUP(R105,BDins,6,FALSE)))))</f>
        <v>27</v>
      </c>
      <c r="S107">
        <f>IF(S109&gt;10000,HLOOKUP(S109,$O105:R108,4,FALSE),IF(OR(AND(22500&lt;S105,S105&lt;25001),AND(50000&lt;S105,S105&lt;53501),AND(70000&lt;S105,S105&lt;72501)),$F105,IF(OR(AND(25001&lt;S105,S105&lt;27501),AND(53500&lt;S105,S105&lt;57001),AND(72500&lt;S105,S105&lt;75001)),$G105,IF(OR(AND(27500&lt;S105,S105&lt;30001),AND(57000&lt;S105,S105&lt;60001),AND(75000&lt;S105,S105&lt;77500)),$H105,VLOOKUP(S105,BDins,6,FALSE)))))</f>
        <v>41.3</v>
      </c>
      <c r="T107">
        <f>IF(T109&gt;10000,HLOOKUP(T109,$O105:S108,4,FALSE),IF(OR(AND(22500&lt;T105,T105&lt;25001),AND(50000&lt;T105,T105&lt;53501),AND(70000&lt;T105,T105&lt;72501)),$F105,IF(OR(AND(25001&lt;T105,T105&lt;27501),AND(53500&lt;T105,T105&lt;57001),AND(72500&lt;T105,T105&lt;75001)),$G105,IF(OR(AND(27500&lt;T105,T105&lt;30001),AND(57000&lt;T105,T105&lt;60001),AND(75000&lt;T105,T105&lt;77500)),$H105,VLOOKUP(T105,BDins,6,FALSE)))))</f>
        <v>3.5</v>
      </c>
      <c r="U107">
        <f>IF(U109&gt;10000,HLOOKUP(U109,$O105:T108,4,FALSE),IF(OR(AND(22500&lt;U105,U105&lt;25001),AND(50000&lt;U105,U105&lt;53501),AND(70000&lt;U105,U105&lt;72501)),$F105,IF(OR(AND(25001&lt;U105,U105&lt;27501),AND(53500&lt;U105,U105&lt;57001),AND(72500&lt;U105,U105&lt;75001)),$G105,IF(OR(AND(27500&lt;U105,U105&lt;30001),AND(57000&lt;U105,U105&lt;60001),AND(75000&lt;U105,U105&lt;77500)),$H105,VLOOKUP(U105,BDins,6,FALSE)))))</f>
        <v>13.2</v>
      </c>
      <c r="V107">
        <f>IF(V109&gt;10000,HLOOKUP(V109,$O105:U108,4,FALSE),IF(OR(AND(22500&lt;V105,V105&lt;25001),AND(50000&lt;V105,V105&lt;53501),AND(70000&lt;V105,V105&lt;72501)),$F105,IF(OR(AND(25001&lt;V105,V105&lt;27501),AND(53500&lt;V105,V105&lt;57001),AND(72500&lt;V105,V105&lt;75001)),$G105,IF(OR(AND(27500&lt;V105,V105&lt;30001),AND(57000&lt;V105,V105&lt;60001),AND(75000&lt;V105,V105&lt;77500)),$H105,VLOOKUP(V105,BDins,6,FALSE)))))</f>
        <v>30</v>
      </c>
      <c r="W107">
        <f>IF(W109&gt;10000,HLOOKUP(W109,$O105:V108,4,FALSE),IF(OR(AND(22500&lt;W105,W105&lt;25001),AND(50000&lt;W105,W105&lt;53501),AND(70000&lt;W105,W105&lt;72501)),$F105,IF(OR(AND(25001&lt;W105,W105&lt;27501),AND(53500&lt;W105,W105&lt;57001),AND(72500&lt;W105,W105&lt;75001)),$G105,IF(OR(AND(27500&lt;W105,W105&lt;30001),AND(57000&lt;W105,W105&lt;60001),AND(75000&lt;W105,W105&lt;77500)),$H105,VLOOKUP(W105,BDins,6,FALSE)))))</f>
        <v>25</v>
      </c>
      <c r="X107">
        <f>IF(X109&gt;10000,HLOOKUP(X109,$O105:W108,4,FALSE),IF(OR(AND(22500&lt;X105,X105&lt;25001),AND(50000&lt;X105,X105&lt;53501),AND(70000&lt;X105,X105&lt;72501)),$F105,IF(OR(AND(25001&lt;X105,X105&lt;27501),AND(53500&lt;X105,X105&lt;57001),AND(72500&lt;X105,X105&lt;75001)),$G105,IF(OR(AND(27500&lt;X105,X105&lt;30001),AND(57000&lt;X105,X105&lt;60001),AND(75000&lt;X105,X105&lt;77500)),$H105,VLOOKUP(X105,BDins,6,FALSE)))))</f>
        <v>9.18</v>
      </c>
    </row>
    <row r="108" spans="1:25" x14ac:dyDescent="0.2">
      <c r="O108">
        <f t="shared" ref="O108:X108" si="10">IF($K105&gt;0,ROUND(O106*$E105/100,DpCU),IF(O109&gt;10000,ROUND(HLOOKUP(O109,$O105:$X108,4,FALSE)/100*O106,DpCU),IF(OR(O105&lt;20001,O105&gt;95000,AND(60000&lt;O105,O105&lt;70001)),ROUND(ROUND(O106*JL/$C105,DcCU)*O107,DpCU),IF(OR(AND(20000&lt;O105,O105&lt;22501),AND(30000&lt;O105,O105&lt;50001),77500&lt;O105),ROUND(O107*O106,DpCU),IF(OR(AND(22500&lt;O105,O105&lt;25001),AND(50000&lt;O105,O105&lt;53501),AND(70000&lt;O105,O105&lt;72501)),ROUND($F105/100*O106,DpCU),IF(OR(AND(25000&lt;O105,O105&lt;27501),AND(53500&lt;O105,O105&lt;57001),AND(72500&lt;O105,O105&lt;75001)),ROUND($G105/100*O106,DpCU),ROUND($H105/100*O106,DpCU)))))))</f>
        <v>5.9</v>
      </c>
      <c r="P108">
        <f t="shared" si="10"/>
        <v>0.94</v>
      </c>
      <c r="Q108">
        <f t="shared" si="10"/>
        <v>2.34</v>
      </c>
      <c r="R108">
        <f t="shared" si="10"/>
        <v>13.5</v>
      </c>
      <c r="S108">
        <f t="shared" si="10"/>
        <v>4.67</v>
      </c>
      <c r="T108">
        <f t="shared" si="10"/>
        <v>0.06</v>
      </c>
      <c r="U108">
        <f t="shared" si="10"/>
        <v>0.53</v>
      </c>
      <c r="V108">
        <f t="shared" si="10"/>
        <v>0.15</v>
      </c>
      <c r="W108">
        <f t="shared" si="10"/>
        <v>1.67</v>
      </c>
      <c r="X108">
        <f t="shared" si="10"/>
        <v>0.28000000000000003</v>
      </c>
    </row>
    <row r="109" spans="1:25" x14ac:dyDescent="0.2">
      <c r="B109" s="3" t="str">
        <f>A105&amp;"r"</f>
        <v>10021r</v>
      </c>
    </row>
    <row r="110" spans="1:25" x14ac:dyDescent="0.2">
      <c r="A110">
        <v>10022</v>
      </c>
      <c r="B110" s="3" t="s">
        <v>281</v>
      </c>
      <c r="C110" s="1">
        <f>ROUND(J110*JL*Frto/8,4)</f>
        <v>10</v>
      </c>
      <c r="D110" t="s">
        <v>165</v>
      </c>
      <c r="E110">
        <f>SUM($O113:$Y113)</f>
        <v>483.09000000000003</v>
      </c>
      <c r="F110">
        <f>SUMIF($O110:$Y110,"&lt;22501",$O113:$Y113)</f>
        <v>114.17999999999999</v>
      </c>
      <c r="G110">
        <f>SUMIFS($O113:$Y113,$O110:$Y110,"&gt;30000",$O110:$Y110,"&lt;50001")</f>
        <v>342.28000000000003</v>
      </c>
      <c r="H110">
        <f>SUMIFS($O113:$Y113,$O110:$Y110,"&gt;60000",$O110:$Y110,"&lt;70001")</f>
        <v>23.2</v>
      </c>
      <c r="I110">
        <v>11</v>
      </c>
      <c r="J110">
        <v>10</v>
      </c>
      <c r="O110">
        <v>10001</v>
      </c>
      <c r="P110">
        <v>10003</v>
      </c>
      <c r="Q110">
        <v>10004</v>
      </c>
      <c r="R110">
        <v>10005</v>
      </c>
      <c r="S110">
        <v>30001</v>
      </c>
      <c r="T110">
        <v>30022</v>
      </c>
      <c r="U110">
        <v>30033</v>
      </c>
      <c r="V110">
        <v>30034</v>
      </c>
      <c r="W110">
        <v>60012</v>
      </c>
      <c r="X110">
        <v>60013</v>
      </c>
      <c r="Y110">
        <v>70001</v>
      </c>
    </row>
    <row r="111" spans="1:25" x14ac:dyDescent="0.2">
      <c r="B111" s="3" t="str">
        <f>A110&amp;"C"</f>
        <v>10022C</v>
      </c>
      <c r="O111">
        <v>6</v>
      </c>
      <c r="P111">
        <v>1</v>
      </c>
      <c r="Q111">
        <v>1</v>
      </c>
      <c r="R111">
        <v>2</v>
      </c>
      <c r="S111">
        <v>10.25</v>
      </c>
      <c r="T111">
        <v>0.18</v>
      </c>
      <c r="U111">
        <v>0.75600000000000001</v>
      </c>
      <c r="V111">
        <v>0.378</v>
      </c>
      <c r="W111">
        <v>1</v>
      </c>
      <c r="X111">
        <v>1</v>
      </c>
      <c r="Y111">
        <v>3</v>
      </c>
    </row>
    <row r="112" spans="1:25" x14ac:dyDescent="0.2">
      <c r="O112">
        <f>IF(O114&gt;10000,HLOOKUP(O114,N110:$O113,4,FALSE),IF(OR(AND(22500&lt;O110,O110&lt;25001),AND(50000&lt;O110,O110&lt;53501),AND(70000&lt;O110,O110&lt;72501)),$F110,IF(OR(AND(25001&lt;O110,O110&lt;27501),AND(53500&lt;O110,O110&lt;57001),AND(72500&lt;O110,O110&lt;75001)),$G110,IF(OR(AND(27500&lt;O110,O110&lt;30001),AND(57000&lt;O110,O110&lt;60001),AND(75000&lt;O110,O110&lt;77500)),$H110,VLOOKUP(O110,BDins,6,FALSE)))))</f>
        <v>12.64</v>
      </c>
      <c r="P112">
        <f>IF(P114&gt;10000,HLOOKUP(P114,O110:$O113,4,FALSE),IF(OR(AND(22500&lt;P110,P110&lt;25001),AND(50000&lt;P110,P110&lt;53501),AND(70000&lt;P110,P110&lt;72501)),$F110,IF(OR(AND(25001&lt;P110,P110&lt;27501),AND(53500&lt;P110,P110&lt;57001),AND(72500&lt;P110,P110&lt;75001)),$G110,IF(OR(AND(27500&lt;P110,P110&lt;30001),AND(57000&lt;P110,P110&lt;60001),AND(75000&lt;P110,P110&lt;77500)),$H110,VLOOKUP(P110,BDins,6,FALSE)))))</f>
        <v>14.12</v>
      </c>
      <c r="Q112">
        <f>IF(Q114&gt;10000,HLOOKUP(Q114,$O110:P113,4,FALSE),IF(OR(AND(22500&lt;Q110,Q110&lt;25001),AND(50000&lt;Q110,Q110&lt;53501),AND(70000&lt;Q110,Q110&lt;72501)),$F110,IF(OR(AND(25001&lt;Q110,Q110&lt;27501),AND(53500&lt;Q110,Q110&lt;57001),AND(72500&lt;Q110,Q110&lt;75001)),$G110,IF(OR(AND(27500&lt;Q110,Q110&lt;30001),AND(57000&lt;Q110,Q110&lt;60001),AND(75000&lt;Q110,Q110&lt;77500)),$H110,VLOOKUP(Q110,BDins,6,FALSE)))))</f>
        <v>17.59</v>
      </c>
      <c r="R112">
        <f>IF(R114&gt;10000,HLOOKUP(R114,$O110:Q113,4,FALSE),IF(OR(AND(22500&lt;R110,R110&lt;25001),AND(50000&lt;R110,R110&lt;53501),AND(70000&lt;R110,R110&lt;72501)),$F110,IF(OR(AND(25001&lt;R110,R110&lt;27501),AND(53500&lt;R110,R110&lt;57001),AND(72500&lt;R110,R110&lt;75001)),$G110,IF(OR(AND(27500&lt;R110,R110&lt;30001),AND(57000&lt;R110,R110&lt;60001),AND(75000&lt;R110,R110&lt;77500)),$H110,VLOOKUP(R110,BDins,6,FALSE)))))</f>
        <v>17.59</v>
      </c>
      <c r="S112">
        <f>IF(S114&gt;10000,HLOOKUP(S114,$O110:R113,4,FALSE),IF(OR(AND(22500&lt;S110,S110&lt;25001),AND(50000&lt;S110,S110&lt;53501),AND(70000&lt;S110,S110&lt;72501)),$F110,IF(OR(AND(25001&lt;S110,S110&lt;27501),AND(53500&lt;S110,S110&lt;57001),AND(72500&lt;S110,S110&lt;75001)),$G110,IF(OR(AND(27500&lt;S110,S110&lt;30001),AND(57000&lt;S110,S110&lt;60001),AND(75000&lt;S110,S110&lt;77500)),$H110,VLOOKUP(S110,BDins,6,FALSE)))))</f>
        <v>27</v>
      </c>
      <c r="T112">
        <f>IF(T114&gt;10000,HLOOKUP(T114,$O110:S113,4,FALSE),IF(OR(AND(22500&lt;T110,T110&lt;25001),AND(50000&lt;T110,T110&lt;53501),AND(70000&lt;T110,T110&lt;72501)),$F110,IF(OR(AND(25001&lt;T110,T110&lt;27501),AND(53500&lt;T110,T110&lt;57001),AND(72500&lt;T110,T110&lt;75001)),$G110,IF(OR(AND(27500&lt;T110,T110&lt;30001),AND(57000&lt;T110,T110&lt;60001),AND(75000&lt;T110,T110&lt;77500)),$H110,VLOOKUP(T110,BDins,6,FALSE)))))</f>
        <v>3.5</v>
      </c>
      <c r="U112">
        <f>IF(U114&gt;10000,HLOOKUP(U114,$O110:T113,4,FALSE),IF(OR(AND(22500&lt;U110,U110&lt;25001),AND(50000&lt;U110,U110&lt;53501),AND(70000&lt;U110,U110&lt;72501)),$F110,IF(OR(AND(25001&lt;U110,U110&lt;27501),AND(53500&lt;U110,U110&lt;57001),AND(72500&lt;U110,U110&lt;75001)),$G110,IF(OR(AND(27500&lt;U110,U110&lt;30001),AND(57000&lt;U110,U110&lt;60001),AND(75000&lt;U110,U110&lt;77500)),$H110,VLOOKUP(U110,BDins,6,FALSE)))))</f>
        <v>60.9</v>
      </c>
      <c r="V112">
        <f>IF(V114&gt;10000,HLOOKUP(V114,$O110:U113,4,FALSE),IF(OR(AND(22500&lt;V110,V110&lt;25001),AND(50000&lt;V110,V110&lt;53501),AND(70000&lt;V110,V110&lt;72501)),$F110,IF(OR(AND(25001&lt;V110,V110&lt;27501),AND(53500&lt;V110,V110&lt;57001),AND(72500&lt;V110,V110&lt;75001)),$G110,IF(OR(AND(27500&lt;V110,V110&lt;30001),AND(57000&lt;V110,V110&lt;60001),AND(75000&lt;V110,V110&lt;77500)),$H110,VLOOKUP(V110,BDins,6,FALSE)))))</f>
        <v>49.9</v>
      </c>
      <c r="W112">
        <f>IF(W114&gt;10000,HLOOKUP(W114,$O110:V113,4,FALSE),IF(OR(AND(22500&lt;W110,W110&lt;25001),AND(50000&lt;W110,W110&lt;53501),AND(70000&lt;W110,W110&lt;72501)),$F110,IF(OR(AND(25001&lt;W110,W110&lt;27501),AND(53500&lt;W110,W110&lt;57001),AND(72500&lt;W110,W110&lt;75001)),$G110,IF(OR(AND(27500&lt;W110,W110&lt;30001),AND(57000&lt;W110,W110&lt;60001),AND(75000&lt;W110,W110&lt;77500)),$H110,VLOOKUP(W110,BDins,6,FALSE)))))</f>
        <v>25</v>
      </c>
      <c r="X112">
        <f>IF(X114&gt;10000,HLOOKUP(X114,$O110:W113,4,FALSE),IF(OR(AND(22500&lt;X110,X110&lt;25001),AND(50000&lt;X110,X110&lt;53501),AND(70000&lt;X110,X110&lt;72501)),$F110,IF(OR(AND(25001&lt;X110,X110&lt;27501),AND(53500&lt;X110,X110&lt;57001),AND(72500&lt;X110,X110&lt;75001)),$G110,IF(OR(AND(27500&lt;X110,X110&lt;30001),AND(57000&lt;X110,X110&lt;60001),AND(75000&lt;X110,X110&lt;77500)),$H110,VLOOKUP(X110,BDins,6,FALSE)))))</f>
        <v>4</v>
      </c>
      <c r="Y112">
        <f>IF(Y114&gt;10000,HLOOKUP(Y114,$O110:X113,4,FALSE),IF(OR(AND(22500&lt;Y110,Y110&lt;25001),AND(50000&lt;Y110,Y110&lt;53501),AND(70000&lt;Y110,Y110&lt;72501)),$F110,IF(OR(AND(25001&lt;Y110,Y110&lt;27501),AND(53500&lt;Y110,Y110&lt;57001),AND(72500&lt;Y110,Y110&lt;75001)),$G110,IF(OR(AND(27500&lt;Y110,Y110&lt;30001),AND(57000&lt;Y110,Y110&lt;60001),AND(75000&lt;Y110,Y110&lt;77500)),$H110,VLOOKUP(Y110,BDins,6,FALSE)))))</f>
        <v>114.17999999999999</v>
      </c>
    </row>
    <row r="113" spans="1:26" x14ac:dyDescent="0.2">
      <c r="O113">
        <f t="shared" ref="O113:Y113" si="11">IF($K110&gt;0,ROUND(O111*$E110/100,DpCU),IF(O114&gt;10000,ROUND(HLOOKUP(O114,$O110:$Y113,4,FALSE)/100*O111,DpCU),IF(OR(O110&lt;20001,O110&gt;95000,AND(60000&lt;O110,O110&lt;70001)),ROUND(ROUND(O111*JL/$C110,DcCU)*O112,DpCU),IF(OR(AND(20000&lt;O110,O110&lt;22501),AND(30000&lt;O110,O110&lt;50001),77500&lt;O110),ROUND(O112*O111,DpCU),IF(OR(AND(22500&lt;O110,O110&lt;25001),AND(50000&lt;O110,O110&lt;53501),AND(70000&lt;O110,O110&lt;72501)),ROUND($F110/100*O111,DpCU),IF(OR(AND(25000&lt;O110,O110&lt;27501),AND(53500&lt;O110,O110&lt;57001),AND(72500&lt;O110,O110&lt;75001)),ROUND($G110/100*O111,DpCU),ROUND($H110/100*O111,DpCU)))))))</f>
        <v>60.67</v>
      </c>
      <c r="P113">
        <f t="shared" si="11"/>
        <v>11.3</v>
      </c>
      <c r="Q113">
        <f t="shared" si="11"/>
        <v>14.07</v>
      </c>
      <c r="R113">
        <f t="shared" si="11"/>
        <v>28.14</v>
      </c>
      <c r="S113">
        <f t="shared" si="11"/>
        <v>276.75</v>
      </c>
      <c r="T113">
        <f t="shared" si="11"/>
        <v>0.63</v>
      </c>
      <c r="U113">
        <f t="shared" si="11"/>
        <v>46.04</v>
      </c>
      <c r="V113">
        <f t="shared" si="11"/>
        <v>18.86</v>
      </c>
      <c r="W113">
        <f t="shared" si="11"/>
        <v>20</v>
      </c>
      <c r="X113">
        <f t="shared" si="11"/>
        <v>3.2</v>
      </c>
      <c r="Y113">
        <f t="shared" si="11"/>
        <v>3.43</v>
      </c>
    </row>
    <row r="114" spans="1:26" x14ac:dyDescent="0.2">
      <c r="B114" s="3" t="str">
        <f>A110&amp;"r"</f>
        <v>10022r</v>
      </c>
    </row>
    <row r="115" spans="1:26" x14ac:dyDescent="0.2">
      <c r="A115">
        <v>10023</v>
      </c>
      <c r="B115" s="3" t="s">
        <v>285</v>
      </c>
      <c r="C115" s="1">
        <f>ROUND(J115*JL*Frto/8,4)</f>
        <v>10.8</v>
      </c>
      <c r="D115" t="s">
        <v>160</v>
      </c>
      <c r="E115">
        <f>SUM($O118:$W118)</f>
        <v>41.52000000000001</v>
      </c>
      <c r="F115">
        <f>SUMIF($O115:$W115,"&lt;22501",$O118:$W118)</f>
        <v>22.39</v>
      </c>
      <c r="G115">
        <f>SUMIFS($O118:$W118,$O115:$W115,"&gt;30000",$O115:$W115,"&lt;50001")</f>
        <v>18.459999999999997</v>
      </c>
      <c r="H115">
        <f>SUMIFS($O118:$W118,$O115:$W115,"&gt;60000",$O115:$W115,"&lt;70001")</f>
        <v>0</v>
      </c>
      <c r="I115">
        <v>9</v>
      </c>
      <c r="J115">
        <v>10.8</v>
      </c>
      <c r="O115">
        <v>10001</v>
      </c>
      <c r="P115">
        <v>10004</v>
      </c>
      <c r="Q115">
        <v>30010</v>
      </c>
      <c r="R115">
        <v>30027</v>
      </c>
      <c r="S115">
        <v>30029</v>
      </c>
      <c r="T115">
        <v>30030</v>
      </c>
      <c r="U115">
        <v>30031</v>
      </c>
      <c r="V115">
        <v>30035</v>
      </c>
      <c r="W115">
        <v>70001</v>
      </c>
    </row>
    <row r="116" spans="1:26" x14ac:dyDescent="0.2">
      <c r="B116" s="3" t="str">
        <f>A115&amp;"C"</f>
        <v>10023C</v>
      </c>
      <c r="O116">
        <v>1</v>
      </c>
      <c r="P116">
        <v>1</v>
      </c>
      <c r="Q116">
        <v>1.96</v>
      </c>
      <c r="R116">
        <v>0.05</v>
      </c>
      <c r="S116">
        <v>0.29330000000000001</v>
      </c>
      <c r="T116">
        <v>0.1</v>
      </c>
      <c r="U116">
        <v>0.1</v>
      </c>
      <c r="V116">
        <v>0.28999999999999998</v>
      </c>
      <c r="W116">
        <v>3</v>
      </c>
    </row>
    <row r="117" spans="1:26" x14ac:dyDescent="0.2">
      <c r="O117">
        <f>IF(O119&gt;10000,HLOOKUP(O119,N115:$O118,4,FALSE),IF(OR(AND(22500&lt;O115,O115&lt;25001),AND(50000&lt;O115,O115&lt;53501),AND(70000&lt;O115,O115&lt;72501)),$F115,IF(OR(AND(25001&lt;O115,O115&lt;27501),AND(53500&lt;O115,O115&lt;57001),AND(72500&lt;O115,O115&lt;75001)),$G115,IF(OR(AND(27500&lt;O115,O115&lt;30001),AND(57000&lt;O115,O115&lt;60001),AND(75000&lt;O115,O115&lt;77500)),$H115,VLOOKUP(O115,BDins,6,FALSE)))))</f>
        <v>12.64</v>
      </c>
      <c r="P117">
        <f>IF(P119&gt;10000,HLOOKUP(P119,O115:$O118,4,FALSE),IF(OR(AND(22500&lt;P115,P115&lt;25001),AND(50000&lt;P115,P115&lt;53501),AND(70000&lt;P115,P115&lt;72501)),$F115,IF(OR(AND(25001&lt;P115,P115&lt;27501),AND(53500&lt;P115,P115&lt;57001),AND(72500&lt;P115,P115&lt;75001)),$G115,IF(OR(AND(27500&lt;P115,P115&lt;30001),AND(57000&lt;P115,P115&lt;60001),AND(75000&lt;P115,P115&lt;77500)),$H115,VLOOKUP(P115,BDins,6,FALSE)))))</f>
        <v>17.59</v>
      </c>
      <c r="Q117">
        <f>IF(Q119&gt;10000,HLOOKUP(Q119,$O115:P118,4,FALSE),IF(OR(AND(22500&lt;Q115,Q115&lt;25001),AND(50000&lt;Q115,Q115&lt;53501),AND(70000&lt;Q115,Q115&lt;72501)),$F115,IF(OR(AND(25001&lt;Q115,Q115&lt;27501),AND(53500&lt;Q115,Q115&lt;57001),AND(72500&lt;Q115,Q115&lt;75001)),$G115,IF(OR(AND(27500&lt;Q115,Q115&lt;30001),AND(57000&lt;Q115,Q115&lt;60001),AND(75000&lt;Q115,Q115&lt;77500)),$H115,VLOOKUP(Q115,BDins,6,FALSE)))))</f>
        <v>7.5</v>
      </c>
      <c r="R117">
        <f>IF(R119&gt;10000,HLOOKUP(R119,$O115:Q118,4,FALSE),IF(OR(AND(22500&lt;R115,R115&lt;25001),AND(50000&lt;R115,R115&lt;53501),AND(70000&lt;R115,R115&lt;72501)),$F115,IF(OR(AND(25001&lt;R115,R115&lt;27501),AND(53500&lt;R115,R115&lt;57001),AND(72500&lt;R115,R115&lt;75001)),$G115,IF(OR(AND(27500&lt;R115,R115&lt;30001),AND(57000&lt;R115,R115&lt;60001),AND(75000&lt;R115,R115&lt;77500)),$H115,VLOOKUP(R115,BDins,6,FALSE)))))</f>
        <v>11.3</v>
      </c>
      <c r="S117">
        <f>IF(S119&gt;10000,HLOOKUP(S119,$O115:R118,4,FALSE),IF(OR(AND(22500&lt;S115,S115&lt;25001),AND(50000&lt;S115,S115&lt;53501),AND(70000&lt;S115,S115&lt;72501)),$F115,IF(OR(AND(25001&lt;S115,S115&lt;27501),AND(53500&lt;S115,S115&lt;57001),AND(72500&lt;S115,S115&lt;75001)),$G115,IF(OR(AND(27500&lt;S115,S115&lt;30001),AND(57000&lt;S115,S115&lt;60001),AND(75000&lt;S115,S115&lt;77500)),$H115,VLOOKUP(S115,BDins,6,FALSE)))))</f>
        <v>4.5</v>
      </c>
      <c r="T117">
        <f>IF(T119&gt;10000,HLOOKUP(T119,$O115:S118,4,FALSE),IF(OR(AND(22500&lt;T115,T115&lt;25001),AND(50000&lt;T115,T115&lt;53501),AND(70000&lt;T115,T115&lt;72501)),$F115,IF(OR(AND(25001&lt;T115,T115&lt;27501),AND(53500&lt;T115,T115&lt;57001),AND(72500&lt;T115,T115&lt;75001)),$G115,IF(OR(AND(27500&lt;T115,T115&lt;30001),AND(57000&lt;T115,T115&lt;60001),AND(75000&lt;T115,T115&lt;77500)),$H115,VLOOKUP(T115,BDins,6,FALSE)))))</f>
        <v>4.5</v>
      </c>
      <c r="U117">
        <f>IF(U119&gt;10000,HLOOKUP(U119,$O115:T118,4,FALSE),IF(OR(AND(22500&lt;U115,U115&lt;25001),AND(50000&lt;U115,U115&lt;53501),AND(70000&lt;U115,U115&lt;72501)),$F115,IF(OR(AND(25001&lt;U115,U115&lt;27501),AND(53500&lt;U115,U115&lt;57001),AND(72500&lt;U115,U115&lt;75001)),$G115,IF(OR(AND(27500&lt;U115,U115&lt;30001),AND(57000&lt;U115,U115&lt;60001),AND(75000&lt;U115,U115&lt;77500)),$H115,VLOOKUP(U115,BDins,6,FALSE)))))</f>
        <v>4.5</v>
      </c>
      <c r="V117">
        <f>IF(V119&gt;10000,HLOOKUP(V119,$O115:U118,4,FALSE),IF(OR(AND(22500&lt;V115,V115&lt;25001),AND(50000&lt;V115,V115&lt;53501),AND(70000&lt;V115,V115&lt;72501)),$F115,IF(OR(AND(25001&lt;V115,V115&lt;27501),AND(53500&lt;V115,V115&lt;57001),AND(72500&lt;V115,V115&lt;75001)),$G115,IF(OR(AND(27500&lt;V115,V115&lt;30001),AND(57000&lt;V115,V115&lt;60001),AND(75000&lt;V115,V115&lt;77500)),$H115,VLOOKUP(V115,BDins,6,FALSE)))))</f>
        <v>3.33</v>
      </c>
      <c r="W117">
        <f>IF(W119&gt;10000,HLOOKUP(W119,$O115:V118,4,FALSE),IF(OR(AND(22500&lt;W115,W115&lt;25001),AND(50000&lt;W115,W115&lt;53501),AND(70000&lt;W115,W115&lt;72501)),$F115,IF(OR(AND(25001&lt;W115,W115&lt;27501),AND(53500&lt;W115,W115&lt;57001),AND(72500&lt;W115,W115&lt;75001)),$G115,IF(OR(AND(27500&lt;W115,W115&lt;30001),AND(57000&lt;W115,W115&lt;60001),AND(75000&lt;W115,W115&lt;77500)),$H115,VLOOKUP(W115,BDins,6,FALSE)))))</f>
        <v>22.39</v>
      </c>
    </row>
    <row r="118" spans="1:26" x14ac:dyDescent="0.2">
      <c r="O118">
        <f t="shared" ref="O118:W118" si="12">IF($K115&gt;0,ROUND(O116*$E115/100,DpCU),IF(O119&gt;10000,ROUND(HLOOKUP(O119,$O115:$W118,4,FALSE)/100*O116,DpCU),IF(OR(O115&lt;20001,O115&gt;95000,AND(60000&lt;O115,O115&lt;70001)),ROUND(ROUND(O116*JL/$C115,DcCU)*O117,DpCU),IF(OR(AND(20000&lt;O115,O115&lt;22501),AND(30000&lt;O115,O115&lt;50001),77500&lt;O115),ROUND(O117*O116,DpCU),IF(OR(AND(22500&lt;O115,O115&lt;25001),AND(50000&lt;O115,O115&lt;53501),AND(70000&lt;O115,O115&lt;72501)),ROUND($F115/100*O116,DpCU),IF(OR(AND(25000&lt;O115,O115&lt;27501),AND(53500&lt;O115,O115&lt;57001),AND(72500&lt;O115,O115&lt;75001)),ROUND($G115/100*O116,DpCU),ROUND($H115/100*O116,DpCU)))))))</f>
        <v>9.36</v>
      </c>
      <c r="P118">
        <f t="shared" si="12"/>
        <v>13.03</v>
      </c>
      <c r="Q118">
        <f t="shared" si="12"/>
        <v>14.7</v>
      </c>
      <c r="R118">
        <f t="shared" si="12"/>
        <v>0.56999999999999995</v>
      </c>
      <c r="S118">
        <f t="shared" si="12"/>
        <v>1.32</v>
      </c>
      <c r="T118">
        <f t="shared" si="12"/>
        <v>0.45</v>
      </c>
      <c r="U118">
        <f t="shared" si="12"/>
        <v>0.45</v>
      </c>
      <c r="V118">
        <f t="shared" si="12"/>
        <v>0.97</v>
      </c>
      <c r="W118">
        <f t="shared" si="12"/>
        <v>0.67</v>
      </c>
    </row>
    <row r="119" spans="1:26" x14ac:dyDescent="0.2">
      <c r="B119" s="3" t="str">
        <f>A115&amp;"r"</f>
        <v>10023r</v>
      </c>
    </row>
    <row r="120" spans="1:26" x14ac:dyDescent="0.2">
      <c r="A120">
        <v>10024</v>
      </c>
      <c r="B120" s="3" t="s">
        <v>288</v>
      </c>
      <c r="C120" s="1">
        <f>ROUND(J120*JL*Frto/8,4)</f>
        <v>250</v>
      </c>
      <c r="D120" t="s">
        <v>169</v>
      </c>
      <c r="E120">
        <f>SUM($O123:$S123)</f>
        <v>4.76</v>
      </c>
      <c r="F120">
        <f>SUMIF($O120:$S120,"&lt;22501",$O123:$S123)</f>
        <v>1.01</v>
      </c>
      <c r="G120">
        <f>SUMIFS($O123:$S123,$O120:$S120,"&gt;30000",$O120:$S120,"&lt;50001")</f>
        <v>3.7</v>
      </c>
      <c r="H120">
        <f>SUMIFS($O123:$S123,$O120:$S120,"&gt;60000",$O120:$S120,"&lt;70001")</f>
        <v>0</v>
      </c>
      <c r="I120">
        <v>5</v>
      </c>
      <c r="J120">
        <v>250</v>
      </c>
      <c r="O120">
        <v>10003</v>
      </c>
      <c r="P120">
        <v>10004</v>
      </c>
      <c r="Q120">
        <v>30035</v>
      </c>
      <c r="R120">
        <v>30036</v>
      </c>
      <c r="S120">
        <v>70001</v>
      </c>
    </row>
    <row r="121" spans="1:26" x14ac:dyDescent="0.2">
      <c r="B121" s="3" t="str">
        <f>A120&amp;"C"</f>
        <v>10024C</v>
      </c>
      <c r="O121">
        <v>1</v>
      </c>
      <c r="P121">
        <v>1</v>
      </c>
      <c r="Q121">
        <v>1.07</v>
      </c>
      <c r="R121">
        <v>0.03</v>
      </c>
      <c r="S121">
        <v>5</v>
      </c>
    </row>
    <row r="122" spans="1:26" x14ac:dyDescent="0.2">
      <c r="O122">
        <f>IF(O124&gt;10000,HLOOKUP(O124,N120:$O123,4,FALSE),IF(OR(AND(22500&lt;O120,O120&lt;25001),AND(50000&lt;O120,O120&lt;53501),AND(70000&lt;O120,O120&lt;72501)),$F120,IF(OR(AND(25001&lt;O120,O120&lt;27501),AND(53500&lt;O120,O120&lt;57001),AND(72500&lt;O120,O120&lt;75001)),$G120,IF(OR(AND(27500&lt;O120,O120&lt;30001),AND(57000&lt;O120,O120&lt;60001),AND(75000&lt;O120,O120&lt;77500)),$H120,VLOOKUP(O120,BDins,6,FALSE)))))</f>
        <v>14.12</v>
      </c>
      <c r="P122">
        <f>IF(P124&gt;10000,HLOOKUP(P124,O120:$O123,4,FALSE),IF(OR(AND(22500&lt;P120,P120&lt;25001),AND(50000&lt;P120,P120&lt;53501),AND(70000&lt;P120,P120&lt;72501)),$F120,IF(OR(AND(25001&lt;P120,P120&lt;27501),AND(53500&lt;P120,P120&lt;57001),AND(72500&lt;P120,P120&lt;75001)),$G120,IF(OR(AND(27500&lt;P120,P120&lt;30001),AND(57000&lt;P120,P120&lt;60001),AND(75000&lt;P120,P120&lt;77500)),$H120,VLOOKUP(P120,BDins,6,FALSE)))))</f>
        <v>17.59</v>
      </c>
      <c r="Q122">
        <f>IF(Q124&gt;10000,HLOOKUP(Q124,$O120:P123,4,FALSE),IF(OR(AND(22500&lt;Q120,Q120&lt;25001),AND(50000&lt;Q120,Q120&lt;53501),AND(70000&lt;Q120,Q120&lt;72501)),$F120,IF(OR(AND(25001&lt;Q120,Q120&lt;27501),AND(53500&lt;Q120,Q120&lt;57001),AND(72500&lt;Q120,Q120&lt;75001)),$G120,IF(OR(AND(27500&lt;Q120,Q120&lt;30001),AND(57000&lt;Q120,Q120&lt;60001),AND(75000&lt;Q120,Q120&lt;77500)),$H120,VLOOKUP(Q120,BDins,6,FALSE)))))</f>
        <v>3.33</v>
      </c>
      <c r="R122">
        <f>IF(R124&gt;10000,HLOOKUP(R124,$O120:Q123,4,FALSE),IF(OR(AND(22500&lt;R120,R120&lt;25001),AND(50000&lt;R120,R120&lt;53501),AND(70000&lt;R120,R120&lt;72501)),$F120,IF(OR(AND(25001&lt;R120,R120&lt;27501),AND(53500&lt;R120,R120&lt;57001),AND(72500&lt;R120,R120&lt;75001)),$G120,IF(OR(AND(27500&lt;R120,R120&lt;30001),AND(57000&lt;R120,R120&lt;60001),AND(75000&lt;R120,R120&lt;77500)),$H120,VLOOKUP(R120,BDins,6,FALSE)))))</f>
        <v>4.5</v>
      </c>
      <c r="S122">
        <f>IF(S124&gt;10000,HLOOKUP(S124,$O120:R123,4,FALSE),IF(OR(AND(22500&lt;S120,S120&lt;25001),AND(50000&lt;S120,S120&lt;53501),AND(70000&lt;S120,S120&lt;72501)),$F120,IF(OR(AND(25001&lt;S120,S120&lt;27501),AND(53500&lt;S120,S120&lt;57001),AND(72500&lt;S120,S120&lt;75001)),$G120,IF(OR(AND(27500&lt;S120,S120&lt;30001),AND(57000&lt;S120,S120&lt;60001),AND(75000&lt;S120,S120&lt;77500)),$H120,VLOOKUP(S120,BDins,6,FALSE)))))</f>
        <v>1.01</v>
      </c>
    </row>
    <row r="123" spans="1:26" x14ac:dyDescent="0.2">
      <c r="O123">
        <f>IF($K120&gt;0,ROUND(O121*$E120/100,DpCU),IF(O124&gt;10000,ROUND(HLOOKUP(O124,$O120:$S123,4,FALSE)/100*O121,DpCU),IF(OR(O120&lt;20001,O120&gt;95000,AND(60000&lt;O120,O120&lt;70001)),ROUND(ROUND(O121*JL/$C120,DcCU)*O122,DpCU),IF(OR(AND(20000&lt;O120,O120&lt;22501),AND(30000&lt;O120,O120&lt;50001),77500&lt;O120),ROUND(O122*O121,DpCU),IF(OR(AND(22500&lt;O120,O120&lt;25001),AND(50000&lt;O120,O120&lt;53501),AND(70000&lt;O120,O120&lt;72501)),ROUND($F120/100*O121,DpCU),IF(OR(AND(25000&lt;O120,O120&lt;27501),AND(53500&lt;O120,O120&lt;57001),AND(72500&lt;O120,O120&lt;75001)),ROUND($G120/100*O121,DpCU),ROUND($H120/100*O121,DpCU)))))))</f>
        <v>0.45</v>
      </c>
      <c r="P123">
        <f>IF($K120&gt;0,ROUND(P121*$E120/100,DpCU),IF(P124&gt;10000,ROUND(HLOOKUP(P124,$O120:$S123,4,FALSE)/100*P121,DpCU),IF(OR(P120&lt;20001,P120&gt;95000,AND(60000&lt;P120,P120&lt;70001)),ROUND(ROUND(P121*JL/$C120,DcCU)*P122,DpCU),IF(OR(AND(20000&lt;P120,P120&lt;22501),AND(30000&lt;P120,P120&lt;50001),77500&lt;P120),ROUND(P122*P121,DpCU),IF(OR(AND(22500&lt;P120,P120&lt;25001),AND(50000&lt;P120,P120&lt;53501),AND(70000&lt;P120,P120&lt;72501)),ROUND($F120/100*P121,DpCU),IF(OR(AND(25000&lt;P120,P120&lt;27501),AND(53500&lt;P120,P120&lt;57001),AND(72500&lt;P120,P120&lt;75001)),ROUND($G120/100*P121,DpCU),ROUND($H120/100*P121,DpCU)))))))</f>
        <v>0.56000000000000005</v>
      </c>
      <c r="Q123">
        <f>IF($K120&gt;0,ROUND(Q121*$E120/100,DpCU),IF(Q124&gt;10000,ROUND(HLOOKUP(Q124,$O120:$S123,4,FALSE)/100*Q121,DpCU),IF(OR(Q120&lt;20001,Q120&gt;95000,AND(60000&lt;Q120,Q120&lt;70001)),ROUND(ROUND(Q121*JL/$C120,DcCU)*Q122,DpCU),IF(OR(AND(20000&lt;Q120,Q120&lt;22501),AND(30000&lt;Q120,Q120&lt;50001),77500&lt;Q120),ROUND(Q122*Q121,DpCU),IF(OR(AND(22500&lt;Q120,Q120&lt;25001),AND(50000&lt;Q120,Q120&lt;53501),AND(70000&lt;Q120,Q120&lt;72501)),ROUND($F120/100*Q121,DpCU),IF(OR(AND(25000&lt;Q120,Q120&lt;27501),AND(53500&lt;Q120,Q120&lt;57001),AND(72500&lt;Q120,Q120&lt;75001)),ROUND($G120/100*Q121,DpCU),ROUND($H120/100*Q121,DpCU)))))))</f>
        <v>3.56</v>
      </c>
      <c r="R123">
        <f>IF($K120&gt;0,ROUND(R121*$E120/100,DpCU),IF(R124&gt;10000,ROUND(HLOOKUP(R124,$O120:$S123,4,FALSE)/100*R121,DpCU),IF(OR(R120&lt;20001,R120&gt;95000,AND(60000&lt;R120,R120&lt;70001)),ROUND(ROUND(R121*JL/$C120,DcCU)*R122,DpCU),IF(OR(AND(20000&lt;R120,R120&lt;22501),AND(30000&lt;R120,R120&lt;50001),77500&lt;R120),ROUND(R122*R121,DpCU),IF(OR(AND(22500&lt;R120,R120&lt;25001),AND(50000&lt;R120,R120&lt;53501),AND(70000&lt;R120,R120&lt;72501)),ROUND($F120/100*R121,DpCU),IF(OR(AND(25000&lt;R120,R120&lt;27501),AND(53500&lt;R120,R120&lt;57001),AND(72500&lt;R120,R120&lt;75001)),ROUND($G120/100*R121,DpCU),ROUND($H120/100*R121,DpCU)))))))</f>
        <v>0.14000000000000001</v>
      </c>
      <c r="S123">
        <f>IF($K120&gt;0,ROUND(S121*$E120/100,DpCU),IF(S124&gt;10000,ROUND(HLOOKUP(S124,$O120:$S123,4,FALSE)/100*S121,DpCU),IF(OR(S120&lt;20001,S120&gt;95000,AND(60000&lt;S120,S120&lt;70001)),ROUND(ROUND(S121*JL/$C120,DcCU)*S122,DpCU),IF(OR(AND(20000&lt;S120,S120&lt;22501),AND(30000&lt;S120,S120&lt;50001),77500&lt;S120),ROUND(S122*S121,DpCU),IF(OR(AND(22500&lt;S120,S120&lt;25001),AND(50000&lt;S120,S120&lt;53501),AND(70000&lt;S120,S120&lt;72501)),ROUND($F120/100*S121,DpCU),IF(OR(AND(25000&lt;S120,S120&lt;27501),AND(53500&lt;S120,S120&lt;57001),AND(72500&lt;S120,S120&lt;75001)),ROUND($G120/100*S121,DpCU),ROUND($H120/100*S121,DpCU)))))))</f>
        <v>0.05</v>
      </c>
    </row>
    <row r="124" spans="1:26" x14ac:dyDescent="0.2">
      <c r="B124" s="3" t="str">
        <f>A120&amp;"r"</f>
        <v>10024r</v>
      </c>
    </row>
    <row r="125" spans="1:26" x14ac:dyDescent="0.2">
      <c r="A125">
        <v>10025</v>
      </c>
      <c r="B125" s="3" t="s">
        <v>293</v>
      </c>
      <c r="C125" s="1">
        <f>ROUND(J125*JL*Frto/8,4)</f>
        <v>10</v>
      </c>
      <c r="D125" t="s">
        <v>165</v>
      </c>
      <c r="E125">
        <f>SUM($O128:$Z128)</f>
        <v>466.41</v>
      </c>
      <c r="F125">
        <f>SUMIF($O125:$Z125,"&lt;22501",$O128:$Z128)</f>
        <v>100.10999999999999</v>
      </c>
      <c r="G125">
        <f>SUMIFS($O128:$Z128,$O125:$Z125,"&gt;30000",$O125:$Z125,"&lt;50001")</f>
        <v>342.90000000000003</v>
      </c>
      <c r="H125">
        <f>SUMIFS($O128:$Z128,$O125:$Z125,"&gt;60000",$O125:$Z125,"&lt;70001")</f>
        <v>23.4</v>
      </c>
      <c r="I125">
        <v>12</v>
      </c>
      <c r="J125">
        <v>10</v>
      </c>
      <c r="O125">
        <v>10001</v>
      </c>
      <c r="P125">
        <v>10003</v>
      </c>
      <c r="Q125">
        <v>10004</v>
      </c>
      <c r="R125">
        <v>10005</v>
      </c>
      <c r="S125">
        <v>30001</v>
      </c>
      <c r="T125">
        <v>30010</v>
      </c>
      <c r="U125">
        <v>30022</v>
      </c>
      <c r="V125">
        <v>30033</v>
      </c>
      <c r="W125">
        <v>30034</v>
      </c>
      <c r="X125">
        <v>60012</v>
      </c>
      <c r="Y125">
        <v>60014</v>
      </c>
      <c r="Z125">
        <v>60015</v>
      </c>
    </row>
    <row r="126" spans="1:26" x14ac:dyDescent="0.2">
      <c r="B126" s="3" t="str">
        <f>A125&amp;"C"</f>
        <v>10025C</v>
      </c>
      <c r="O126">
        <v>6</v>
      </c>
      <c r="P126">
        <v>1</v>
      </c>
      <c r="Q126">
        <v>1</v>
      </c>
      <c r="R126">
        <v>1</v>
      </c>
      <c r="S126">
        <v>10.25</v>
      </c>
      <c r="T126">
        <v>8.3299999999999999E-2</v>
      </c>
      <c r="U126">
        <v>0.18</v>
      </c>
      <c r="V126">
        <v>0.75600000000000001</v>
      </c>
      <c r="W126">
        <v>0.378</v>
      </c>
      <c r="X126">
        <v>1</v>
      </c>
      <c r="Y126">
        <v>1</v>
      </c>
      <c r="Z126">
        <v>1</v>
      </c>
    </row>
    <row r="127" spans="1:26" x14ac:dyDescent="0.2">
      <c r="O127">
        <f>IF(O129&gt;10000,HLOOKUP(O129,N125:$O128,4,FALSE),IF(OR(AND(22500&lt;O125,O125&lt;25001),AND(50000&lt;O125,O125&lt;53501),AND(70000&lt;O125,O125&lt;72501)),$F125,IF(OR(AND(25001&lt;O125,O125&lt;27501),AND(53500&lt;O125,O125&lt;57001),AND(72500&lt;O125,O125&lt;75001)),$G125,IF(OR(AND(27500&lt;O125,O125&lt;30001),AND(57000&lt;O125,O125&lt;60001),AND(75000&lt;O125,O125&lt;77500)),$H125,VLOOKUP(O125,BDins,6,FALSE)))))</f>
        <v>12.64</v>
      </c>
      <c r="P127">
        <f>IF(P129&gt;10000,HLOOKUP(P129,O125:$O128,4,FALSE),IF(OR(AND(22500&lt;P125,P125&lt;25001),AND(50000&lt;P125,P125&lt;53501),AND(70000&lt;P125,P125&lt;72501)),$F125,IF(OR(AND(25001&lt;P125,P125&lt;27501),AND(53500&lt;P125,P125&lt;57001),AND(72500&lt;P125,P125&lt;75001)),$G125,IF(OR(AND(27500&lt;P125,P125&lt;30001),AND(57000&lt;P125,P125&lt;60001),AND(75000&lt;P125,P125&lt;77500)),$H125,VLOOKUP(P125,BDins,6,FALSE)))))</f>
        <v>14.12</v>
      </c>
      <c r="Q127">
        <f>IF(Q129&gt;10000,HLOOKUP(Q129,$O125:P128,4,FALSE),IF(OR(AND(22500&lt;Q125,Q125&lt;25001),AND(50000&lt;Q125,Q125&lt;53501),AND(70000&lt;Q125,Q125&lt;72501)),$F125,IF(OR(AND(25001&lt;Q125,Q125&lt;27501),AND(53500&lt;Q125,Q125&lt;57001),AND(72500&lt;Q125,Q125&lt;75001)),$G125,IF(OR(AND(27500&lt;Q125,Q125&lt;30001),AND(57000&lt;Q125,Q125&lt;60001),AND(75000&lt;Q125,Q125&lt;77500)),$H125,VLOOKUP(Q125,BDins,6,FALSE)))))</f>
        <v>17.59</v>
      </c>
      <c r="R127">
        <f>IF(R129&gt;10000,HLOOKUP(R129,$O125:Q128,4,FALSE),IF(OR(AND(22500&lt;R125,R125&lt;25001),AND(50000&lt;R125,R125&lt;53501),AND(70000&lt;R125,R125&lt;72501)),$F125,IF(OR(AND(25001&lt;R125,R125&lt;27501),AND(53500&lt;R125,R125&lt;57001),AND(72500&lt;R125,R125&lt;75001)),$G125,IF(OR(AND(27500&lt;R125,R125&lt;30001),AND(57000&lt;R125,R125&lt;60001),AND(75000&lt;R125,R125&lt;77500)),$H125,VLOOKUP(R125,BDins,6,FALSE)))))</f>
        <v>17.59</v>
      </c>
      <c r="S127">
        <f>IF(S129&gt;10000,HLOOKUP(S129,$O125:R128,4,FALSE),IF(OR(AND(22500&lt;S125,S125&lt;25001),AND(50000&lt;S125,S125&lt;53501),AND(70000&lt;S125,S125&lt;72501)),$F125,IF(OR(AND(25001&lt;S125,S125&lt;27501),AND(53500&lt;S125,S125&lt;57001),AND(72500&lt;S125,S125&lt;75001)),$G125,IF(OR(AND(27500&lt;S125,S125&lt;30001),AND(57000&lt;S125,S125&lt;60001),AND(75000&lt;S125,S125&lt;77500)),$H125,VLOOKUP(S125,BDins,6,FALSE)))))</f>
        <v>27</v>
      </c>
      <c r="T127">
        <f>IF(T129&gt;10000,HLOOKUP(T129,$O125:S128,4,FALSE),IF(OR(AND(22500&lt;T125,T125&lt;25001),AND(50000&lt;T125,T125&lt;53501),AND(70000&lt;T125,T125&lt;72501)),$F125,IF(OR(AND(25001&lt;T125,T125&lt;27501),AND(53500&lt;T125,T125&lt;57001),AND(72500&lt;T125,T125&lt;75001)),$G125,IF(OR(AND(27500&lt;T125,T125&lt;30001),AND(57000&lt;T125,T125&lt;60001),AND(75000&lt;T125,T125&lt;77500)),$H125,VLOOKUP(T125,BDins,6,FALSE)))))</f>
        <v>7.5</v>
      </c>
      <c r="U127">
        <f>IF(U129&gt;10000,HLOOKUP(U129,$O125:T128,4,FALSE),IF(OR(AND(22500&lt;U125,U125&lt;25001),AND(50000&lt;U125,U125&lt;53501),AND(70000&lt;U125,U125&lt;72501)),$F125,IF(OR(AND(25001&lt;U125,U125&lt;27501),AND(53500&lt;U125,U125&lt;57001),AND(72500&lt;U125,U125&lt;75001)),$G125,IF(OR(AND(27500&lt;U125,U125&lt;30001),AND(57000&lt;U125,U125&lt;60001),AND(75000&lt;U125,U125&lt;77500)),$H125,VLOOKUP(U125,BDins,6,FALSE)))))</f>
        <v>3.5</v>
      </c>
      <c r="V127">
        <f>IF(V129&gt;10000,HLOOKUP(V129,$O125:U128,4,FALSE),IF(OR(AND(22500&lt;V125,V125&lt;25001),AND(50000&lt;V125,V125&lt;53501),AND(70000&lt;V125,V125&lt;72501)),$F125,IF(OR(AND(25001&lt;V125,V125&lt;27501),AND(53500&lt;V125,V125&lt;57001),AND(72500&lt;V125,V125&lt;75001)),$G125,IF(OR(AND(27500&lt;V125,V125&lt;30001),AND(57000&lt;V125,V125&lt;60001),AND(75000&lt;V125,V125&lt;77500)),$H125,VLOOKUP(V125,BDins,6,FALSE)))))</f>
        <v>60.9</v>
      </c>
      <c r="W127">
        <f>IF(W129&gt;10000,HLOOKUP(W129,$O125:V128,4,FALSE),IF(OR(AND(22500&lt;W125,W125&lt;25001),AND(50000&lt;W125,W125&lt;53501),AND(70000&lt;W125,W125&lt;72501)),$F125,IF(OR(AND(25001&lt;W125,W125&lt;27501),AND(53500&lt;W125,W125&lt;57001),AND(72500&lt;W125,W125&lt;75001)),$G125,IF(OR(AND(27500&lt;W125,W125&lt;30001),AND(57000&lt;W125,W125&lt;60001),AND(75000&lt;W125,W125&lt;77500)),$H125,VLOOKUP(W125,BDins,6,FALSE)))))</f>
        <v>49.9</v>
      </c>
      <c r="X127">
        <f>IF(X129&gt;10000,HLOOKUP(X129,$O125:W128,4,FALSE),IF(OR(AND(22500&lt;X125,X125&lt;25001),AND(50000&lt;X125,X125&lt;53501),AND(70000&lt;X125,X125&lt;72501)),$F125,IF(OR(AND(25001&lt;X125,X125&lt;27501),AND(53500&lt;X125,X125&lt;57001),AND(72500&lt;X125,X125&lt;75001)),$G125,IF(OR(AND(27500&lt;X125,X125&lt;30001),AND(57000&lt;X125,X125&lt;60001),AND(75000&lt;X125,X125&lt;77500)),$H125,VLOOKUP(X125,BDins,6,FALSE)))))</f>
        <v>25</v>
      </c>
      <c r="Y127">
        <f>IF(Y129&gt;10000,HLOOKUP(Y129,$O125:X128,4,FALSE),IF(OR(AND(22500&lt;Y125,Y125&lt;25001),AND(50000&lt;Y125,Y125&lt;53501),AND(70000&lt;Y125,Y125&lt;72501)),$F125,IF(OR(AND(25001&lt;Y125,Y125&lt;27501),AND(53500&lt;Y125,Y125&lt;57001),AND(72500&lt;Y125,Y125&lt;75001)),$G125,IF(OR(AND(27500&lt;Y125,Y125&lt;30001),AND(57000&lt;Y125,Y125&lt;60001),AND(75000&lt;Y125,Y125&lt;77500)),$H125,VLOOKUP(Y125,BDins,6,FALSE)))))</f>
        <v>0.5</v>
      </c>
      <c r="Z127">
        <f>IF(Z129&gt;10000,HLOOKUP(Z129,$O125:Y128,4,FALSE),IF(OR(AND(22500&lt;Z125,Z125&lt;25001),AND(50000&lt;Z125,Z125&lt;53501),AND(70000&lt;Z125,Z125&lt;72501)),$F125,IF(OR(AND(25001&lt;Z125,Z125&lt;27501),AND(53500&lt;Z125,Z125&lt;57001),AND(72500&lt;Z125,Z125&lt;75001)),$G125,IF(OR(AND(27500&lt;Z125,Z125&lt;30001),AND(57000&lt;Z125,Z125&lt;60001),AND(75000&lt;Z125,Z125&lt;77500)),$H125,VLOOKUP(Z125,BDins,6,FALSE)))))</f>
        <v>3.75</v>
      </c>
    </row>
    <row r="128" spans="1:26" x14ac:dyDescent="0.2">
      <c r="O128">
        <f t="shared" ref="O128:Z128" si="13">IF($K125&gt;0,ROUND(O126*$E125/100,DpCU),IF(O129&gt;10000,ROUND(HLOOKUP(O129,$O125:$Z128,4,FALSE)/100*O126,DpCU),IF(OR(O125&lt;20001,O125&gt;95000,AND(60000&lt;O125,O125&lt;70001)),ROUND(ROUND(O126*JL/$C125,DcCU)*O127,DpCU),IF(OR(AND(20000&lt;O125,O125&lt;22501),AND(30000&lt;O125,O125&lt;50001),77500&lt;O125),ROUND(O127*O126,DpCU),IF(OR(AND(22500&lt;O125,O125&lt;25001),AND(50000&lt;O125,O125&lt;53501),AND(70000&lt;O125,O125&lt;72501)),ROUND($F125/100*O126,DpCU),IF(OR(AND(25000&lt;O125,O125&lt;27501),AND(53500&lt;O125,O125&lt;57001),AND(72500&lt;O125,O125&lt;75001)),ROUND($G125/100*O126,DpCU),ROUND($H125/100*O126,DpCU)))))))</f>
        <v>60.67</v>
      </c>
      <c r="P128">
        <f t="shared" si="13"/>
        <v>11.3</v>
      </c>
      <c r="Q128">
        <f t="shared" si="13"/>
        <v>14.07</v>
      </c>
      <c r="R128">
        <f t="shared" si="13"/>
        <v>14.07</v>
      </c>
      <c r="S128">
        <f t="shared" si="13"/>
        <v>276.75</v>
      </c>
      <c r="T128">
        <f t="shared" si="13"/>
        <v>0.62</v>
      </c>
      <c r="U128">
        <f t="shared" si="13"/>
        <v>0.63</v>
      </c>
      <c r="V128">
        <f t="shared" si="13"/>
        <v>46.04</v>
      </c>
      <c r="W128">
        <f t="shared" si="13"/>
        <v>18.86</v>
      </c>
      <c r="X128">
        <f t="shared" si="13"/>
        <v>20</v>
      </c>
      <c r="Y128">
        <f t="shared" si="13"/>
        <v>0.4</v>
      </c>
      <c r="Z128">
        <f t="shared" si="13"/>
        <v>3</v>
      </c>
    </row>
    <row r="129" spans="1:26" x14ac:dyDescent="0.2">
      <c r="B129" s="3" t="str">
        <f>A125&amp;"r"</f>
        <v>10025r</v>
      </c>
    </row>
    <row r="130" spans="1:26" x14ac:dyDescent="0.2">
      <c r="A130">
        <v>10026</v>
      </c>
      <c r="B130" s="3" t="s">
        <v>297</v>
      </c>
      <c r="C130" s="1">
        <f>ROUND(J130*JL*Frto/8,4)</f>
        <v>8</v>
      </c>
      <c r="D130" t="s">
        <v>160</v>
      </c>
      <c r="E130">
        <f>SUM($O133:$V133)</f>
        <v>72.910000000000011</v>
      </c>
      <c r="F130">
        <f>SUMIF($O130:$V130,"&lt;22501",$O133:$V133)</f>
        <v>30.23</v>
      </c>
      <c r="G130">
        <f>SUMIFS($O133:$V133,$O130:$V130,"&gt;30000",$O130:$V130,"&lt;50001")</f>
        <v>41.77</v>
      </c>
      <c r="H130">
        <f>SUMIFS($O133:$V133,$O130:$V130,"&gt;60000",$O130:$V130,"&lt;70001")</f>
        <v>0</v>
      </c>
      <c r="I130">
        <v>8</v>
      </c>
      <c r="J130">
        <v>8</v>
      </c>
      <c r="O130">
        <v>10001</v>
      </c>
      <c r="P130">
        <v>10004</v>
      </c>
      <c r="Q130">
        <v>30010</v>
      </c>
      <c r="R130">
        <v>30027</v>
      </c>
      <c r="S130">
        <v>30029</v>
      </c>
      <c r="T130">
        <v>30030</v>
      </c>
      <c r="U130">
        <v>30031</v>
      </c>
      <c r="V130">
        <v>70001</v>
      </c>
    </row>
    <row r="131" spans="1:26" x14ac:dyDescent="0.2">
      <c r="B131" s="3" t="str">
        <f>A130&amp;"C"</f>
        <v>10026C</v>
      </c>
      <c r="O131">
        <v>1</v>
      </c>
      <c r="P131">
        <v>1</v>
      </c>
      <c r="Q131">
        <v>5.16</v>
      </c>
      <c r="R131">
        <v>0.05</v>
      </c>
      <c r="S131">
        <v>0.30499999999999999</v>
      </c>
      <c r="T131">
        <v>0.15</v>
      </c>
      <c r="U131">
        <v>0.1</v>
      </c>
      <c r="V131">
        <v>3</v>
      </c>
    </row>
    <row r="132" spans="1:26" x14ac:dyDescent="0.2">
      <c r="O132">
        <f>IF(O134&gt;10000,HLOOKUP(O134,N130:$O133,4,FALSE),IF(OR(AND(22500&lt;O130,O130&lt;25001),AND(50000&lt;O130,O130&lt;53501),AND(70000&lt;O130,O130&lt;72501)),$F130,IF(OR(AND(25001&lt;O130,O130&lt;27501),AND(53500&lt;O130,O130&lt;57001),AND(72500&lt;O130,O130&lt;75001)),$G130,IF(OR(AND(27500&lt;O130,O130&lt;30001),AND(57000&lt;O130,O130&lt;60001),AND(75000&lt;O130,O130&lt;77500)),$H130,VLOOKUP(O130,BDins,6,FALSE)))))</f>
        <v>12.64</v>
      </c>
      <c r="P132">
        <f>IF(P134&gt;10000,HLOOKUP(P134,O130:$O133,4,FALSE),IF(OR(AND(22500&lt;P130,P130&lt;25001),AND(50000&lt;P130,P130&lt;53501),AND(70000&lt;P130,P130&lt;72501)),$F130,IF(OR(AND(25001&lt;P130,P130&lt;27501),AND(53500&lt;P130,P130&lt;57001),AND(72500&lt;P130,P130&lt;75001)),$G130,IF(OR(AND(27500&lt;P130,P130&lt;30001),AND(57000&lt;P130,P130&lt;60001),AND(75000&lt;P130,P130&lt;77500)),$H130,VLOOKUP(P130,BDins,6,FALSE)))))</f>
        <v>17.59</v>
      </c>
      <c r="Q132">
        <f>IF(Q134&gt;10000,HLOOKUP(Q134,$O130:P133,4,FALSE),IF(OR(AND(22500&lt;Q130,Q130&lt;25001),AND(50000&lt;Q130,Q130&lt;53501),AND(70000&lt;Q130,Q130&lt;72501)),$F130,IF(OR(AND(25001&lt;Q130,Q130&lt;27501),AND(53500&lt;Q130,Q130&lt;57001),AND(72500&lt;Q130,Q130&lt;75001)),$G130,IF(OR(AND(27500&lt;Q130,Q130&lt;30001),AND(57000&lt;Q130,Q130&lt;60001),AND(75000&lt;Q130,Q130&lt;77500)),$H130,VLOOKUP(Q130,BDins,6,FALSE)))))</f>
        <v>7.5</v>
      </c>
      <c r="R132">
        <f>IF(R134&gt;10000,HLOOKUP(R134,$O130:Q133,4,FALSE),IF(OR(AND(22500&lt;R130,R130&lt;25001),AND(50000&lt;R130,R130&lt;53501),AND(70000&lt;R130,R130&lt;72501)),$F130,IF(OR(AND(25001&lt;R130,R130&lt;27501),AND(53500&lt;R130,R130&lt;57001),AND(72500&lt;R130,R130&lt;75001)),$G130,IF(OR(AND(27500&lt;R130,R130&lt;30001),AND(57000&lt;R130,R130&lt;60001),AND(75000&lt;R130,R130&lt;77500)),$H130,VLOOKUP(R130,BDins,6,FALSE)))))</f>
        <v>11.3</v>
      </c>
      <c r="S132">
        <f>IF(S134&gt;10000,HLOOKUP(S134,$O130:R133,4,FALSE),IF(OR(AND(22500&lt;S130,S130&lt;25001),AND(50000&lt;S130,S130&lt;53501),AND(70000&lt;S130,S130&lt;72501)),$F130,IF(OR(AND(25001&lt;S130,S130&lt;27501),AND(53500&lt;S130,S130&lt;57001),AND(72500&lt;S130,S130&lt;75001)),$G130,IF(OR(AND(27500&lt;S130,S130&lt;30001),AND(57000&lt;S130,S130&lt;60001),AND(75000&lt;S130,S130&lt;77500)),$H130,VLOOKUP(S130,BDins,6,FALSE)))))</f>
        <v>4.5</v>
      </c>
      <c r="T132">
        <f>IF(T134&gt;10000,HLOOKUP(T134,$O130:S133,4,FALSE),IF(OR(AND(22500&lt;T130,T130&lt;25001),AND(50000&lt;T130,T130&lt;53501),AND(70000&lt;T130,T130&lt;72501)),$F130,IF(OR(AND(25001&lt;T130,T130&lt;27501),AND(53500&lt;T130,T130&lt;57001),AND(72500&lt;T130,T130&lt;75001)),$G130,IF(OR(AND(27500&lt;T130,T130&lt;30001),AND(57000&lt;T130,T130&lt;60001),AND(75000&lt;T130,T130&lt;77500)),$H130,VLOOKUP(T130,BDins,6,FALSE)))))</f>
        <v>4.5</v>
      </c>
      <c r="U132">
        <f>IF(U134&gt;10000,HLOOKUP(U134,$O130:T133,4,FALSE),IF(OR(AND(22500&lt;U130,U130&lt;25001),AND(50000&lt;U130,U130&lt;53501),AND(70000&lt;U130,U130&lt;72501)),$F130,IF(OR(AND(25001&lt;U130,U130&lt;27501),AND(53500&lt;U130,U130&lt;57001),AND(72500&lt;U130,U130&lt;75001)),$G130,IF(OR(AND(27500&lt;U130,U130&lt;30001),AND(57000&lt;U130,U130&lt;60001),AND(75000&lt;U130,U130&lt;77500)),$H130,VLOOKUP(U130,BDins,6,FALSE)))))</f>
        <v>4.5</v>
      </c>
      <c r="V132">
        <f>IF(V134&gt;10000,HLOOKUP(V134,$O130:U133,4,FALSE),IF(OR(AND(22500&lt;V130,V130&lt;25001),AND(50000&lt;V130,V130&lt;53501),AND(70000&lt;V130,V130&lt;72501)),$F130,IF(OR(AND(25001&lt;V130,V130&lt;27501),AND(53500&lt;V130,V130&lt;57001),AND(72500&lt;V130,V130&lt;75001)),$G130,IF(OR(AND(27500&lt;V130,V130&lt;30001),AND(57000&lt;V130,V130&lt;60001),AND(75000&lt;V130,V130&lt;77500)),$H130,VLOOKUP(V130,BDins,6,FALSE)))))</f>
        <v>30.23</v>
      </c>
    </row>
    <row r="133" spans="1:26" x14ac:dyDescent="0.2">
      <c r="O133">
        <f t="shared" ref="O133:V133" si="14">IF($K130&gt;0,ROUND(O131*$E130/100,DpCU),IF(O134&gt;10000,ROUND(HLOOKUP(O134,$O130:$V133,4,FALSE)/100*O131,DpCU),IF(OR(O130&lt;20001,O130&gt;95000,AND(60000&lt;O130,O130&lt;70001)),ROUND(ROUND(O131*JL/$C130,DcCU)*O132,DpCU),IF(OR(AND(20000&lt;O130,O130&lt;22501),AND(30000&lt;O130,O130&lt;50001),77500&lt;O130),ROUND(O132*O131,DpCU),IF(OR(AND(22500&lt;O130,O130&lt;25001),AND(50000&lt;O130,O130&lt;53501),AND(70000&lt;O130,O130&lt;72501)),ROUND($F130/100*O131,DpCU),IF(OR(AND(25000&lt;O130,O130&lt;27501),AND(53500&lt;O130,O130&lt;57001),AND(72500&lt;O130,O130&lt;75001)),ROUND($G130/100*O131,DpCU),ROUND($H130/100*O131,DpCU)))))))</f>
        <v>12.64</v>
      </c>
      <c r="P133">
        <f t="shared" si="14"/>
        <v>17.59</v>
      </c>
      <c r="Q133">
        <f t="shared" si="14"/>
        <v>38.700000000000003</v>
      </c>
      <c r="R133">
        <f t="shared" si="14"/>
        <v>0.56999999999999995</v>
      </c>
      <c r="S133">
        <f t="shared" si="14"/>
        <v>1.37</v>
      </c>
      <c r="T133">
        <f t="shared" si="14"/>
        <v>0.68</v>
      </c>
      <c r="U133">
        <f t="shared" si="14"/>
        <v>0.45</v>
      </c>
      <c r="V133">
        <f t="shared" si="14"/>
        <v>0.91</v>
      </c>
    </row>
    <row r="134" spans="1:26" x14ac:dyDescent="0.2">
      <c r="B134" s="3" t="str">
        <f>A130&amp;"r"</f>
        <v>10026r</v>
      </c>
    </row>
    <row r="135" spans="1:26" x14ac:dyDescent="0.2">
      <c r="A135">
        <v>10027</v>
      </c>
      <c r="B135" s="3" t="s">
        <v>299</v>
      </c>
      <c r="C135" s="1">
        <f>ROUND(J135*JL*Frto/8,4)</f>
        <v>250</v>
      </c>
      <c r="D135" t="s">
        <v>169</v>
      </c>
      <c r="E135">
        <f>SUM($O138:$S138)</f>
        <v>4.76</v>
      </c>
      <c r="F135">
        <f>SUMIF($O135:$S135,"&lt;22501",$O138:$S138)</f>
        <v>1.01</v>
      </c>
      <c r="G135">
        <f>SUMIFS($O138:$S138,$O135:$S135,"&gt;30000",$O135:$S135,"&lt;50001")</f>
        <v>3.7</v>
      </c>
      <c r="H135">
        <f>SUMIFS($O138:$S138,$O135:$S135,"&gt;60000",$O135:$S135,"&lt;70001")</f>
        <v>0</v>
      </c>
      <c r="I135">
        <v>5</v>
      </c>
      <c r="J135">
        <v>250</v>
      </c>
      <c r="O135">
        <v>10003</v>
      </c>
      <c r="P135">
        <v>10004</v>
      </c>
      <c r="Q135">
        <v>30035</v>
      </c>
      <c r="R135">
        <v>30036</v>
      </c>
      <c r="S135">
        <v>70001</v>
      </c>
    </row>
    <row r="136" spans="1:26" x14ac:dyDescent="0.2">
      <c r="B136" s="3" t="str">
        <f>A135&amp;"C"</f>
        <v>10027C</v>
      </c>
      <c r="O136">
        <v>1</v>
      </c>
      <c r="P136">
        <v>1</v>
      </c>
      <c r="Q136">
        <v>1.07</v>
      </c>
      <c r="R136">
        <v>0.03</v>
      </c>
      <c r="S136">
        <v>5</v>
      </c>
    </row>
    <row r="137" spans="1:26" x14ac:dyDescent="0.2">
      <c r="O137">
        <f>IF(O139&gt;10000,HLOOKUP(O139,N135:$O138,4,FALSE),IF(OR(AND(22500&lt;O135,O135&lt;25001),AND(50000&lt;O135,O135&lt;53501),AND(70000&lt;O135,O135&lt;72501)),$F135,IF(OR(AND(25001&lt;O135,O135&lt;27501),AND(53500&lt;O135,O135&lt;57001),AND(72500&lt;O135,O135&lt;75001)),$G135,IF(OR(AND(27500&lt;O135,O135&lt;30001),AND(57000&lt;O135,O135&lt;60001),AND(75000&lt;O135,O135&lt;77500)),$H135,VLOOKUP(O135,BDins,6,FALSE)))))</f>
        <v>14.12</v>
      </c>
      <c r="P137">
        <f>IF(P139&gt;10000,HLOOKUP(P139,O135:$O138,4,FALSE),IF(OR(AND(22500&lt;P135,P135&lt;25001),AND(50000&lt;P135,P135&lt;53501),AND(70000&lt;P135,P135&lt;72501)),$F135,IF(OR(AND(25001&lt;P135,P135&lt;27501),AND(53500&lt;P135,P135&lt;57001),AND(72500&lt;P135,P135&lt;75001)),$G135,IF(OR(AND(27500&lt;P135,P135&lt;30001),AND(57000&lt;P135,P135&lt;60001),AND(75000&lt;P135,P135&lt;77500)),$H135,VLOOKUP(P135,BDins,6,FALSE)))))</f>
        <v>17.59</v>
      </c>
      <c r="Q137">
        <f>IF(Q139&gt;10000,HLOOKUP(Q139,$O135:P138,4,FALSE),IF(OR(AND(22500&lt;Q135,Q135&lt;25001),AND(50000&lt;Q135,Q135&lt;53501),AND(70000&lt;Q135,Q135&lt;72501)),$F135,IF(OR(AND(25001&lt;Q135,Q135&lt;27501),AND(53500&lt;Q135,Q135&lt;57001),AND(72500&lt;Q135,Q135&lt;75001)),$G135,IF(OR(AND(27500&lt;Q135,Q135&lt;30001),AND(57000&lt;Q135,Q135&lt;60001),AND(75000&lt;Q135,Q135&lt;77500)),$H135,VLOOKUP(Q135,BDins,6,FALSE)))))</f>
        <v>3.33</v>
      </c>
      <c r="R137">
        <f>IF(R139&gt;10000,HLOOKUP(R139,$O135:Q138,4,FALSE),IF(OR(AND(22500&lt;R135,R135&lt;25001),AND(50000&lt;R135,R135&lt;53501),AND(70000&lt;R135,R135&lt;72501)),$F135,IF(OR(AND(25001&lt;R135,R135&lt;27501),AND(53500&lt;R135,R135&lt;57001),AND(72500&lt;R135,R135&lt;75001)),$G135,IF(OR(AND(27500&lt;R135,R135&lt;30001),AND(57000&lt;R135,R135&lt;60001),AND(75000&lt;R135,R135&lt;77500)),$H135,VLOOKUP(R135,BDins,6,FALSE)))))</f>
        <v>4.5</v>
      </c>
      <c r="S137">
        <f>IF(S139&gt;10000,HLOOKUP(S139,$O135:R138,4,FALSE),IF(OR(AND(22500&lt;S135,S135&lt;25001),AND(50000&lt;S135,S135&lt;53501),AND(70000&lt;S135,S135&lt;72501)),$F135,IF(OR(AND(25001&lt;S135,S135&lt;27501),AND(53500&lt;S135,S135&lt;57001),AND(72500&lt;S135,S135&lt;75001)),$G135,IF(OR(AND(27500&lt;S135,S135&lt;30001),AND(57000&lt;S135,S135&lt;60001),AND(75000&lt;S135,S135&lt;77500)),$H135,VLOOKUP(S135,BDins,6,FALSE)))))</f>
        <v>1.01</v>
      </c>
    </row>
    <row r="138" spans="1:26" x14ac:dyDescent="0.2">
      <c r="O138">
        <f>IF($K135&gt;0,ROUND(O136*$E135/100,DpCU),IF(O139&gt;10000,ROUND(HLOOKUP(O139,$O135:$S138,4,FALSE)/100*O136,DpCU),IF(OR(O135&lt;20001,O135&gt;95000,AND(60000&lt;O135,O135&lt;70001)),ROUND(ROUND(O136*JL/$C135,DcCU)*O137,DpCU),IF(OR(AND(20000&lt;O135,O135&lt;22501),AND(30000&lt;O135,O135&lt;50001),77500&lt;O135),ROUND(O137*O136,DpCU),IF(OR(AND(22500&lt;O135,O135&lt;25001),AND(50000&lt;O135,O135&lt;53501),AND(70000&lt;O135,O135&lt;72501)),ROUND($F135/100*O136,DpCU),IF(OR(AND(25000&lt;O135,O135&lt;27501),AND(53500&lt;O135,O135&lt;57001),AND(72500&lt;O135,O135&lt;75001)),ROUND($G135/100*O136,DpCU),ROUND($H135/100*O136,DpCU)))))))</f>
        <v>0.45</v>
      </c>
      <c r="P138">
        <f>IF($K135&gt;0,ROUND(P136*$E135/100,DpCU),IF(P139&gt;10000,ROUND(HLOOKUP(P139,$O135:$S138,4,FALSE)/100*P136,DpCU),IF(OR(P135&lt;20001,P135&gt;95000,AND(60000&lt;P135,P135&lt;70001)),ROUND(ROUND(P136*JL/$C135,DcCU)*P137,DpCU),IF(OR(AND(20000&lt;P135,P135&lt;22501),AND(30000&lt;P135,P135&lt;50001),77500&lt;P135),ROUND(P137*P136,DpCU),IF(OR(AND(22500&lt;P135,P135&lt;25001),AND(50000&lt;P135,P135&lt;53501),AND(70000&lt;P135,P135&lt;72501)),ROUND($F135/100*P136,DpCU),IF(OR(AND(25000&lt;P135,P135&lt;27501),AND(53500&lt;P135,P135&lt;57001),AND(72500&lt;P135,P135&lt;75001)),ROUND($G135/100*P136,DpCU),ROUND($H135/100*P136,DpCU)))))))</f>
        <v>0.56000000000000005</v>
      </c>
      <c r="Q138">
        <f>IF($K135&gt;0,ROUND(Q136*$E135/100,DpCU),IF(Q139&gt;10000,ROUND(HLOOKUP(Q139,$O135:$S138,4,FALSE)/100*Q136,DpCU),IF(OR(Q135&lt;20001,Q135&gt;95000,AND(60000&lt;Q135,Q135&lt;70001)),ROUND(ROUND(Q136*JL/$C135,DcCU)*Q137,DpCU),IF(OR(AND(20000&lt;Q135,Q135&lt;22501),AND(30000&lt;Q135,Q135&lt;50001),77500&lt;Q135),ROUND(Q137*Q136,DpCU),IF(OR(AND(22500&lt;Q135,Q135&lt;25001),AND(50000&lt;Q135,Q135&lt;53501),AND(70000&lt;Q135,Q135&lt;72501)),ROUND($F135/100*Q136,DpCU),IF(OR(AND(25000&lt;Q135,Q135&lt;27501),AND(53500&lt;Q135,Q135&lt;57001),AND(72500&lt;Q135,Q135&lt;75001)),ROUND($G135/100*Q136,DpCU),ROUND($H135/100*Q136,DpCU)))))))</f>
        <v>3.56</v>
      </c>
      <c r="R138">
        <f>IF($K135&gt;0,ROUND(R136*$E135/100,DpCU),IF(R139&gt;10000,ROUND(HLOOKUP(R139,$O135:$S138,4,FALSE)/100*R136,DpCU),IF(OR(R135&lt;20001,R135&gt;95000,AND(60000&lt;R135,R135&lt;70001)),ROUND(ROUND(R136*JL/$C135,DcCU)*R137,DpCU),IF(OR(AND(20000&lt;R135,R135&lt;22501),AND(30000&lt;R135,R135&lt;50001),77500&lt;R135),ROUND(R137*R136,DpCU),IF(OR(AND(22500&lt;R135,R135&lt;25001),AND(50000&lt;R135,R135&lt;53501),AND(70000&lt;R135,R135&lt;72501)),ROUND($F135/100*R136,DpCU),IF(OR(AND(25000&lt;R135,R135&lt;27501),AND(53500&lt;R135,R135&lt;57001),AND(72500&lt;R135,R135&lt;75001)),ROUND($G135/100*R136,DpCU),ROUND($H135/100*R136,DpCU)))))))</f>
        <v>0.14000000000000001</v>
      </c>
      <c r="S138">
        <f>IF($K135&gt;0,ROUND(S136*$E135/100,DpCU),IF(S139&gt;10000,ROUND(HLOOKUP(S139,$O135:$S138,4,FALSE)/100*S136,DpCU),IF(OR(S135&lt;20001,S135&gt;95000,AND(60000&lt;S135,S135&lt;70001)),ROUND(ROUND(S136*JL/$C135,DcCU)*S137,DpCU),IF(OR(AND(20000&lt;S135,S135&lt;22501),AND(30000&lt;S135,S135&lt;50001),77500&lt;S135),ROUND(S137*S136,DpCU),IF(OR(AND(22500&lt;S135,S135&lt;25001),AND(50000&lt;S135,S135&lt;53501),AND(70000&lt;S135,S135&lt;72501)),ROUND($F135/100*S136,DpCU),IF(OR(AND(25000&lt;S135,S135&lt;27501),AND(53500&lt;S135,S135&lt;57001),AND(72500&lt;S135,S135&lt;75001)),ROUND($G135/100*S136,DpCU),ROUND($H135/100*S136,DpCU)))))))</f>
        <v>0.05</v>
      </c>
    </row>
    <row r="139" spans="1:26" x14ac:dyDescent="0.2">
      <c r="B139" s="3" t="str">
        <f>A135&amp;"r"</f>
        <v>10027r</v>
      </c>
    </row>
    <row r="140" spans="1:26" x14ac:dyDescent="0.2">
      <c r="A140">
        <v>10028</v>
      </c>
      <c r="B140" s="3" t="s">
        <v>303</v>
      </c>
      <c r="C140" s="1">
        <f>ROUND(J140*JL*Frto/8,4)</f>
        <v>10</v>
      </c>
      <c r="D140" t="s">
        <v>165</v>
      </c>
      <c r="E140">
        <f>SUM($O143:$Z143)</f>
        <v>468.99</v>
      </c>
      <c r="F140">
        <f>SUMIF($O140:$Z140,"&lt;22501",$O143:$Z143)</f>
        <v>100.10999999999999</v>
      </c>
      <c r="G140">
        <f>SUMIFS($O143:$Z143,$O140:$Z140,"&gt;30000",$O140:$Z140,"&lt;50001")</f>
        <v>342.68</v>
      </c>
      <c r="H140">
        <f>SUMIFS($O143:$Z143,$O140:$Z140,"&gt;60000",$O140:$Z140,"&lt;70001")</f>
        <v>26.2</v>
      </c>
      <c r="I140">
        <v>12</v>
      </c>
      <c r="J140">
        <v>10</v>
      </c>
      <c r="O140">
        <v>10001</v>
      </c>
      <c r="P140">
        <v>10003</v>
      </c>
      <c r="Q140">
        <v>10004</v>
      </c>
      <c r="R140">
        <v>10005</v>
      </c>
      <c r="S140">
        <v>30001</v>
      </c>
      <c r="T140">
        <v>30022</v>
      </c>
      <c r="U140">
        <v>30024</v>
      </c>
      <c r="V140">
        <v>30033</v>
      </c>
      <c r="W140">
        <v>30034</v>
      </c>
      <c r="X140">
        <v>60012</v>
      </c>
      <c r="Y140">
        <v>60013</v>
      </c>
      <c r="Z140">
        <v>60015</v>
      </c>
    </row>
    <row r="141" spans="1:26" x14ac:dyDescent="0.2">
      <c r="B141" s="3" t="str">
        <f>A140&amp;"C"</f>
        <v>10028C</v>
      </c>
      <c r="O141">
        <v>6</v>
      </c>
      <c r="P141">
        <v>1</v>
      </c>
      <c r="Q141">
        <v>1</v>
      </c>
      <c r="R141">
        <v>1</v>
      </c>
      <c r="S141">
        <v>10.25</v>
      </c>
      <c r="T141">
        <v>0.18</v>
      </c>
      <c r="U141">
        <v>0.03</v>
      </c>
      <c r="V141">
        <v>0.75600000000000001</v>
      </c>
      <c r="W141">
        <v>0.378</v>
      </c>
      <c r="X141">
        <v>1</v>
      </c>
      <c r="Y141">
        <v>1</v>
      </c>
      <c r="Z141">
        <v>1</v>
      </c>
    </row>
    <row r="142" spans="1:26" x14ac:dyDescent="0.2">
      <c r="O142">
        <f>IF(O144&gt;10000,HLOOKUP(O144,N140:$O143,4,FALSE),IF(OR(AND(22500&lt;O140,O140&lt;25001),AND(50000&lt;O140,O140&lt;53501),AND(70000&lt;O140,O140&lt;72501)),$F140,IF(OR(AND(25001&lt;O140,O140&lt;27501),AND(53500&lt;O140,O140&lt;57001),AND(72500&lt;O140,O140&lt;75001)),$G140,IF(OR(AND(27500&lt;O140,O140&lt;30001),AND(57000&lt;O140,O140&lt;60001),AND(75000&lt;O140,O140&lt;77500)),$H140,VLOOKUP(O140,BDins,6,FALSE)))))</f>
        <v>12.64</v>
      </c>
      <c r="P142">
        <f>IF(P144&gt;10000,HLOOKUP(P144,O140:$O143,4,FALSE),IF(OR(AND(22500&lt;P140,P140&lt;25001),AND(50000&lt;P140,P140&lt;53501),AND(70000&lt;P140,P140&lt;72501)),$F140,IF(OR(AND(25001&lt;P140,P140&lt;27501),AND(53500&lt;P140,P140&lt;57001),AND(72500&lt;P140,P140&lt;75001)),$G140,IF(OR(AND(27500&lt;P140,P140&lt;30001),AND(57000&lt;P140,P140&lt;60001),AND(75000&lt;P140,P140&lt;77500)),$H140,VLOOKUP(P140,BDins,6,FALSE)))))</f>
        <v>14.12</v>
      </c>
      <c r="Q142">
        <f>IF(Q144&gt;10000,HLOOKUP(Q144,$O140:P143,4,FALSE),IF(OR(AND(22500&lt;Q140,Q140&lt;25001),AND(50000&lt;Q140,Q140&lt;53501),AND(70000&lt;Q140,Q140&lt;72501)),$F140,IF(OR(AND(25001&lt;Q140,Q140&lt;27501),AND(53500&lt;Q140,Q140&lt;57001),AND(72500&lt;Q140,Q140&lt;75001)),$G140,IF(OR(AND(27500&lt;Q140,Q140&lt;30001),AND(57000&lt;Q140,Q140&lt;60001),AND(75000&lt;Q140,Q140&lt;77500)),$H140,VLOOKUP(Q140,BDins,6,FALSE)))))</f>
        <v>17.59</v>
      </c>
      <c r="R142">
        <f>IF(R144&gt;10000,HLOOKUP(R144,$O140:Q143,4,FALSE),IF(OR(AND(22500&lt;R140,R140&lt;25001),AND(50000&lt;R140,R140&lt;53501),AND(70000&lt;R140,R140&lt;72501)),$F140,IF(OR(AND(25001&lt;R140,R140&lt;27501),AND(53500&lt;R140,R140&lt;57001),AND(72500&lt;R140,R140&lt;75001)),$G140,IF(OR(AND(27500&lt;R140,R140&lt;30001),AND(57000&lt;R140,R140&lt;60001),AND(75000&lt;R140,R140&lt;77500)),$H140,VLOOKUP(R140,BDins,6,FALSE)))))</f>
        <v>17.59</v>
      </c>
      <c r="S142">
        <f>IF(S144&gt;10000,HLOOKUP(S144,$O140:R143,4,FALSE),IF(OR(AND(22500&lt;S140,S140&lt;25001),AND(50000&lt;S140,S140&lt;53501),AND(70000&lt;S140,S140&lt;72501)),$F140,IF(OR(AND(25001&lt;S140,S140&lt;27501),AND(53500&lt;S140,S140&lt;57001),AND(72500&lt;S140,S140&lt;75001)),$G140,IF(OR(AND(27500&lt;S140,S140&lt;30001),AND(57000&lt;S140,S140&lt;60001),AND(75000&lt;S140,S140&lt;77500)),$H140,VLOOKUP(S140,BDins,6,FALSE)))))</f>
        <v>27</v>
      </c>
      <c r="T142">
        <f>IF(T144&gt;10000,HLOOKUP(T144,$O140:S143,4,FALSE),IF(OR(AND(22500&lt;T140,T140&lt;25001),AND(50000&lt;T140,T140&lt;53501),AND(70000&lt;T140,T140&lt;72501)),$F140,IF(OR(AND(25001&lt;T140,T140&lt;27501),AND(53500&lt;T140,T140&lt;57001),AND(72500&lt;T140,T140&lt;75001)),$G140,IF(OR(AND(27500&lt;T140,T140&lt;30001),AND(57000&lt;T140,T140&lt;60001),AND(75000&lt;T140,T140&lt;77500)),$H140,VLOOKUP(T140,BDins,6,FALSE)))))</f>
        <v>3.5</v>
      </c>
      <c r="U142">
        <f>IF(U144&gt;10000,HLOOKUP(U144,$O140:T143,4,FALSE),IF(OR(AND(22500&lt;U140,U140&lt;25001),AND(50000&lt;U140,U140&lt;53501),AND(70000&lt;U140,U140&lt;72501)),$F140,IF(OR(AND(25001&lt;U140,U140&lt;27501),AND(53500&lt;U140,U140&lt;57001),AND(72500&lt;U140,U140&lt;75001)),$G140,IF(OR(AND(27500&lt;U140,U140&lt;30001),AND(57000&lt;U140,U140&lt;60001),AND(75000&lt;U140,U140&lt;77500)),$H140,VLOOKUP(U140,BDins,6,FALSE)))))</f>
        <v>13.2</v>
      </c>
      <c r="V142">
        <f>IF(V144&gt;10000,HLOOKUP(V144,$O140:U143,4,FALSE),IF(OR(AND(22500&lt;V140,V140&lt;25001),AND(50000&lt;V140,V140&lt;53501),AND(70000&lt;V140,V140&lt;72501)),$F140,IF(OR(AND(25001&lt;V140,V140&lt;27501),AND(53500&lt;V140,V140&lt;57001),AND(72500&lt;V140,V140&lt;75001)),$G140,IF(OR(AND(27500&lt;V140,V140&lt;30001),AND(57000&lt;V140,V140&lt;60001),AND(75000&lt;V140,V140&lt;77500)),$H140,VLOOKUP(V140,BDins,6,FALSE)))))</f>
        <v>60.9</v>
      </c>
      <c r="W142">
        <f>IF(W144&gt;10000,HLOOKUP(W144,$O140:V143,4,FALSE),IF(OR(AND(22500&lt;W140,W140&lt;25001),AND(50000&lt;W140,W140&lt;53501),AND(70000&lt;W140,W140&lt;72501)),$F140,IF(OR(AND(25001&lt;W140,W140&lt;27501),AND(53500&lt;W140,W140&lt;57001),AND(72500&lt;W140,W140&lt;75001)),$G140,IF(OR(AND(27500&lt;W140,W140&lt;30001),AND(57000&lt;W140,W140&lt;60001),AND(75000&lt;W140,W140&lt;77500)),$H140,VLOOKUP(W140,BDins,6,FALSE)))))</f>
        <v>49.9</v>
      </c>
      <c r="X142">
        <f>IF(X144&gt;10000,HLOOKUP(X144,$O140:W143,4,FALSE),IF(OR(AND(22500&lt;X140,X140&lt;25001),AND(50000&lt;X140,X140&lt;53501),AND(70000&lt;X140,X140&lt;72501)),$F140,IF(OR(AND(25001&lt;X140,X140&lt;27501),AND(53500&lt;X140,X140&lt;57001),AND(72500&lt;X140,X140&lt;75001)),$G140,IF(OR(AND(27500&lt;X140,X140&lt;30001),AND(57000&lt;X140,X140&lt;60001),AND(75000&lt;X140,X140&lt;77500)),$H140,VLOOKUP(X140,BDins,6,FALSE)))))</f>
        <v>25</v>
      </c>
      <c r="Y142">
        <f>IF(Y144&gt;10000,HLOOKUP(Y144,$O140:X143,4,FALSE),IF(OR(AND(22500&lt;Y140,Y140&lt;25001),AND(50000&lt;Y140,Y140&lt;53501),AND(70000&lt;Y140,Y140&lt;72501)),$F140,IF(OR(AND(25001&lt;Y140,Y140&lt;27501),AND(53500&lt;Y140,Y140&lt;57001),AND(72500&lt;Y140,Y140&lt;75001)),$G140,IF(OR(AND(27500&lt;Y140,Y140&lt;30001),AND(57000&lt;Y140,Y140&lt;60001),AND(75000&lt;Y140,Y140&lt;77500)),$H140,VLOOKUP(Y140,BDins,6,FALSE)))))</f>
        <v>4</v>
      </c>
      <c r="Z142">
        <f>IF(Z144&gt;10000,HLOOKUP(Z144,$O140:Y143,4,FALSE),IF(OR(AND(22500&lt;Z140,Z140&lt;25001),AND(50000&lt;Z140,Z140&lt;53501),AND(70000&lt;Z140,Z140&lt;72501)),$F140,IF(OR(AND(25001&lt;Z140,Z140&lt;27501),AND(53500&lt;Z140,Z140&lt;57001),AND(72500&lt;Z140,Z140&lt;75001)),$G140,IF(OR(AND(27500&lt;Z140,Z140&lt;30001),AND(57000&lt;Z140,Z140&lt;60001),AND(75000&lt;Z140,Z140&lt;77500)),$H140,VLOOKUP(Z140,BDins,6,FALSE)))))</f>
        <v>3.75</v>
      </c>
    </row>
    <row r="143" spans="1:26" x14ac:dyDescent="0.2">
      <c r="O143">
        <f t="shared" ref="O143:Z143" si="15">IF($K140&gt;0,ROUND(O141*$E140/100,DpCU),IF(O144&gt;10000,ROUND(HLOOKUP(O144,$O140:$Z143,4,FALSE)/100*O141,DpCU),IF(OR(O140&lt;20001,O140&gt;95000,AND(60000&lt;O140,O140&lt;70001)),ROUND(ROUND(O141*JL/$C140,DcCU)*O142,DpCU),IF(OR(AND(20000&lt;O140,O140&lt;22501),AND(30000&lt;O140,O140&lt;50001),77500&lt;O140),ROUND(O142*O141,DpCU),IF(OR(AND(22500&lt;O140,O140&lt;25001),AND(50000&lt;O140,O140&lt;53501),AND(70000&lt;O140,O140&lt;72501)),ROUND($F140/100*O141,DpCU),IF(OR(AND(25000&lt;O140,O140&lt;27501),AND(53500&lt;O140,O140&lt;57001),AND(72500&lt;O140,O140&lt;75001)),ROUND($G140/100*O141,DpCU),ROUND($H140/100*O141,DpCU)))))))</f>
        <v>60.67</v>
      </c>
      <c r="P143">
        <f t="shared" si="15"/>
        <v>11.3</v>
      </c>
      <c r="Q143">
        <f t="shared" si="15"/>
        <v>14.07</v>
      </c>
      <c r="R143">
        <f t="shared" si="15"/>
        <v>14.07</v>
      </c>
      <c r="S143">
        <f t="shared" si="15"/>
        <v>276.75</v>
      </c>
      <c r="T143">
        <f t="shared" si="15"/>
        <v>0.63</v>
      </c>
      <c r="U143">
        <f t="shared" si="15"/>
        <v>0.4</v>
      </c>
      <c r="V143">
        <f t="shared" si="15"/>
        <v>46.04</v>
      </c>
      <c r="W143">
        <f t="shared" si="15"/>
        <v>18.86</v>
      </c>
      <c r="X143">
        <f t="shared" si="15"/>
        <v>20</v>
      </c>
      <c r="Y143">
        <f t="shared" si="15"/>
        <v>3.2</v>
      </c>
      <c r="Z143">
        <f t="shared" si="15"/>
        <v>3</v>
      </c>
    </row>
    <row r="144" spans="1:26" x14ac:dyDescent="0.2">
      <c r="B144" s="3" t="str">
        <f>A140&amp;"r"</f>
        <v>10028r</v>
      </c>
    </row>
    <row r="145" spans="1:25" x14ac:dyDescent="0.2">
      <c r="A145">
        <v>10029</v>
      </c>
      <c r="B145" s="3" t="s">
        <v>305</v>
      </c>
      <c r="C145" s="1">
        <f>ROUND(J145*JL*Frto/8,4)</f>
        <v>8.5</v>
      </c>
      <c r="D145" t="s">
        <v>160</v>
      </c>
      <c r="E145">
        <f>SUM($O148:$Y148)</f>
        <v>101.71</v>
      </c>
      <c r="F145">
        <f>SUMIF($O145:$Y145,"&lt;22501",$O148:$Y148)</f>
        <v>41.75</v>
      </c>
      <c r="G145">
        <f>SUMIFS($O148:$Y148,$O145:$Y145,"&gt;30000",$O145:$Y145,"&lt;50001")</f>
        <v>58.71</v>
      </c>
      <c r="H145">
        <f>SUMIFS($O148:$Y148,$O145:$Y145,"&gt;60000",$O145:$Y145,"&lt;70001")</f>
        <v>0</v>
      </c>
      <c r="I145">
        <v>11</v>
      </c>
      <c r="J145">
        <v>8.5</v>
      </c>
      <c r="O145">
        <v>10001</v>
      </c>
      <c r="P145">
        <v>10003</v>
      </c>
      <c r="Q145">
        <v>10004</v>
      </c>
      <c r="R145">
        <v>30010</v>
      </c>
      <c r="S145">
        <v>30027</v>
      </c>
      <c r="T145">
        <v>30029</v>
      </c>
      <c r="U145">
        <v>30030</v>
      </c>
      <c r="V145">
        <v>30031</v>
      </c>
      <c r="W145">
        <v>30037</v>
      </c>
      <c r="X145">
        <v>30038</v>
      </c>
      <c r="Y145">
        <v>70001</v>
      </c>
    </row>
    <row r="146" spans="1:25" x14ac:dyDescent="0.2">
      <c r="B146" s="3" t="str">
        <f>A145&amp;"C"</f>
        <v>10029C</v>
      </c>
      <c r="O146">
        <v>1</v>
      </c>
      <c r="P146">
        <v>1</v>
      </c>
      <c r="Q146">
        <v>1</v>
      </c>
      <c r="R146">
        <v>6.7</v>
      </c>
      <c r="S146">
        <v>0.05</v>
      </c>
      <c r="T146">
        <v>0.24679999999999999</v>
      </c>
      <c r="U146">
        <v>0.2</v>
      </c>
      <c r="V146">
        <v>0.2</v>
      </c>
      <c r="W146">
        <v>2.6</v>
      </c>
      <c r="X146">
        <v>2.5999999999999999E-3</v>
      </c>
      <c r="Y146">
        <v>3</v>
      </c>
    </row>
    <row r="147" spans="1:25" x14ac:dyDescent="0.2">
      <c r="O147">
        <f>IF(O149&gt;10000,HLOOKUP(O149,N145:$O148,4,FALSE),IF(OR(AND(22500&lt;O145,O145&lt;25001),AND(50000&lt;O145,O145&lt;53501),AND(70000&lt;O145,O145&lt;72501)),$F145,IF(OR(AND(25001&lt;O145,O145&lt;27501),AND(53500&lt;O145,O145&lt;57001),AND(72500&lt;O145,O145&lt;75001)),$G145,IF(OR(AND(27500&lt;O145,O145&lt;30001),AND(57000&lt;O145,O145&lt;60001),AND(75000&lt;O145,O145&lt;77500)),$H145,VLOOKUP(O145,BDins,6,FALSE)))))</f>
        <v>12.64</v>
      </c>
      <c r="P147">
        <f>IF(P149&gt;10000,HLOOKUP(P149,O145:$O148,4,FALSE),IF(OR(AND(22500&lt;P145,P145&lt;25001),AND(50000&lt;P145,P145&lt;53501),AND(70000&lt;P145,P145&lt;72501)),$F145,IF(OR(AND(25001&lt;P145,P145&lt;27501),AND(53500&lt;P145,P145&lt;57001),AND(72500&lt;P145,P145&lt;75001)),$G145,IF(OR(AND(27500&lt;P145,P145&lt;30001),AND(57000&lt;P145,P145&lt;60001),AND(75000&lt;P145,P145&lt;77500)),$H145,VLOOKUP(P145,BDins,6,FALSE)))))</f>
        <v>14.12</v>
      </c>
      <c r="Q147">
        <f>IF(Q149&gt;10000,HLOOKUP(Q149,$O145:P148,4,FALSE),IF(OR(AND(22500&lt;Q145,Q145&lt;25001),AND(50000&lt;Q145,Q145&lt;53501),AND(70000&lt;Q145,Q145&lt;72501)),$F145,IF(OR(AND(25001&lt;Q145,Q145&lt;27501),AND(53500&lt;Q145,Q145&lt;57001),AND(72500&lt;Q145,Q145&lt;75001)),$G145,IF(OR(AND(27500&lt;Q145,Q145&lt;30001),AND(57000&lt;Q145,Q145&lt;60001),AND(75000&lt;Q145,Q145&lt;77500)),$H145,VLOOKUP(Q145,BDins,6,FALSE)))))</f>
        <v>17.59</v>
      </c>
      <c r="R147">
        <f>IF(R149&gt;10000,HLOOKUP(R149,$O145:Q148,4,FALSE),IF(OR(AND(22500&lt;R145,R145&lt;25001),AND(50000&lt;R145,R145&lt;53501),AND(70000&lt;R145,R145&lt;72501)),$F145,IF(OR(AND(25001&lt;R145,R145&lt;27501),AND(53500&lt;R145,R145&lt;57001),AND(72500&lt;R145,R145&lt;75001)),$G145,IF(OR(AND(27500&lt;R145,R145&lt;30001),AND(57000&lt;R145,R145&lt;60001),AND(75000&lt;R145,R145&lt;77500)),$H145,VLOOKUP(R145,BDins,6,FALSE)))))</f>
        <v>7.5</v>
      </c>
      <c r="S147">
        <f>IF(S149&gt;10000,HLOOKUP(S149,$O145:R148,4,FALSE),IF(OR(AND(22500&lt;S145,S145&lt;25001),AND(50000&lt;S145,S145&lt;53501),AND(70000&lt;S145,S145&lt;72501)),$F145,IF(OR(AND(25001&lt;S145,S145&lt;27501),AND(53500&lt;S145,S145&lt;57001),AND(72500&lt;S145,S145&lt;75001)),$G145,IF(OR(AND(27500&lt;S145,S145&lt;30001),AND(57000&lt;S145,S145&lt;60001),AND(75000&lt;S145,S145&lt;77500)),$H145,VLOOKUP(S145,BDins,6,FALSE)))))</f>
        <v>11.3</v>
      </c>
      <c r="T147">
        <f>IF(T149&gt;10000,HLOOKUP(T149,$O145:S148,4,FALSE),IF(OR(AND(22500&lt;T145,T145&lt;25001),AND(50000&lt;T145,T145&lt;53501),AND(70000&lt;T145,T145&lt;72501)),$F145,IF(OR(AND(25001&lt;T145,T145&lt;27501),AND(53500&lt;T145,T145&lt;57001),AND(72500&lt;T145,T145&lt;75001)),$G145,IF(OR(AND(27500&lt;T145,T145&lt;30001),AND(57000&lt;T145,T145&lt;60001),AND(75000&lt;T145,T145&lt;77500)),$H145,VLOOKUP(T145,BDins,6,FALSE)))))</f>
        <v>4.5</v>
      </c>
      <c r="U147">
        <f>IF(U149&gt;10000,HLOOKUP(U149,$O145:T148,4,FALSE),IF(OR(AND(22500&lt;U145,U145&lt;25001),AND(50000&lt;U145,U145&lt;53501),AND(70000&lt;U145,U145&lt;72501)),$F145,IF(OR(AND(25001&lt;U145,U145&lt;27501),AND(53500&lt;U145,U145&lt;57001),AND(72500&lt;U145,U145&lt;75001)),$G145,IF(OR(AND(27500&lt;U145,U145&lt;30001),AND(57000&lt;U145,U145&lt;60001),AND(75000&lt;U145,U145&lt;77500)),$H145,VLOOKUP(U145,BDins,6,FALSE)))))</f>
        <v>4.5</v>
      </c>
      <c r="V147">
        <f>IF(V149&gt;10000,HLOOKUP(V149,$O145:U148,4,FALSE),IF(OR(AND(22500&lt;V145,V145&lt;25001),AND(50000&lt;V145,V145&lt;53501),AND(70000&lt;V145,V145&lt;72501)),$F145,IF(OR(AND(25001&lt;V145,V145&lt;27501),AND(53500&lt;V145,V145&lt;57001),AND(72500&lt;V145,V145&lt;75001)),$G145,IF(OR(AND(27500&lt;V145,V145&lt;30001),AND(57000&lt;V145,V145&lt;60001),AND(75000&lt;V145,V145&lt;77500)),$H145,VLOOKUP(V145,BDins,6,FALSE)))))</f>
        <v>4.5</v>
      </c>
      <c r="W147">
        <f>IF(W149&gt;10000,HLOOKUP(W149,$O145:V148,4,FALSE),IF(OR(AND(22500&lt;W145,W145&lt;25001),AND(50000&lt;W145,W145&lt;53501),AND(70000&lt;W145,W145&lt;72501)),$F145,IF(OR(AND(25001&lt;W145,W145&lt;27501),AND(53500&lt;W145,W145&lt;57001),AND(72500&lt;W145,W145&lt;75001)),$G145,IF(OR(AND(27500&lt;W145,W145&lt;30001),AND(57000&lt;W145,W145&lt;60001),AND(75000&lt;W145,W145&lt;77500)),$H145,VLOOKUP(W145,BDins,6,FALSE)))))</f>
        <v>1.6</v>
      </c>
      <c r="X147">
        <f>IF(X149&gt;10000,HLOOKUP(X149,$O145:W148,4,FALSE),IF(OR(AND(22500&lt;X145,X145&lt;25001),AND(50000&lt;X145,X145&lt;53501),AND(70000&lt;X145,X145&lt;72501)),$F145,IF(OR(AND(25001&lt;X145,X145&lt;27501),AND(53500&lt;X145,X145&lt;57001),AND(72500&lt;X145,X145&lt;75001)),$G145,IF(OR(AND(27500&lt;X145,X145&lt;30001),AND(57000&lt;X145,X145&lt;60001),AND(75000&lt;X145,X145&lt;77500)),$H145,VLOOKUP(X145,BDins,6,FALSE)))))</f>
        <v>315</v>
      </c>
      <c r="Y147">
        <f>IF(Y149&gt;10000,HLOOKUP(Y149,$O145:X148,4,FALSE),IF(OR(AND(22500&lt;Y145,Y145&lt;25001),AND(50000&lt;Y145,Y145&lt;53501),AND(70000&lt;Y145,Y145&lt;72501)),$F145,IF(OR(AND(25001&lt;Y145,Y145&lt;27501),AND(53500&lt;Y145,Y145&lt;57001),AND(72500&lt;Y145,Y145&lt;75001)),$G145,IF(OR(AND(27500&lt;Y145,Y145&lt;30001),AND(57000&lt;Y145,Y145&lt;60001),AND(75000&lt;Y145,Y145&lt;77500)),$H145,VLOOKUP(Y145,BDins,6,FALSE)))))</f>
        <v>41.75</v>
      </c>
    </row>
    <row r="148" spans="1:25" x14ac:dyDescent="0.2">
      <c r="O148">
        <f t="shared" ref="O148:Y148" si="16">IF($K145&gt;0,ROUND(O146*$E145/100,DpCU),IF(O149&gt;10000,ROUND(HLOOKUP(O149,$O145:$Y148,4,FALSE)/100*O146,DpCU),IF(OR(O145&lt;20001,O145&gt;95000,AND(60000&lt;O145,O145&lt;70001)),ROUND(ROUND(O146*JL/$C145,DcCU)*O147,DpCU),IF(OR(AND(20000&lt;O145,O145&lt;22501),AND(30000&lt;O145,O145&lt;50001),77500&lt;O145),ROUND(O147*O146,DpCU),IF(OR(AND(22500&lt;O145,O145&lt;25001),AND(50000&lt;O145,O145&lt;53501),AND(70000&lt;O145,O145&lt;72501)),ROUND($F145/100*O146,DpCU),IF(OR(AND(25000&lt;O145,O145&lt;27501),AND(53500&lt;O145,O145&lt;57001),AND(72500&lt;O145,O145&lt;75001)),ROUND($G145/100*O146,DpCU),ROUND($H145/100*O146,DpCU)))))))</f>
        <v>11.9</v>
      </c>
      <c r="P148">
        <f t="shared" si="16"/>
        <v>13.29</v>
      </c>
      <c r="Q148">
        <f t="shared" si="16"/>
        <v>16.559999999999999</v>
      </c>
      <c r="R148">
        <f t="shared" si="16"/>
        <v>50.25</v>
      </c>
      <c r="S148">
        <f t="shared" si="16"/>
        <v>0.56999999999999995</v>
      </c>
      <c r="T148">
        <f t="shared" si="16"/>
        <v>1.1100000000000001</v>
      </c>
      <c r="U148">
        <f t="shared" si="16"/>
        <v>0.9</v>
      </c>
      <c r="V148">
        <f t="shared" si="16"/>
        <v>0.9</v>
      </c>
      <c r="W148">
        <f t="shared" si="16"/>
        <v>4.16</v>
      </c>
      <c r="X148">
        <f t="shared" si="16"/>
        <v>0.82</v>
      </c>
      <c r="Y148">
        <f t="shared" si="16"/>
        <v>1.25</v>
      </c>
    </row>
    <row r="149" spans="1:25" x14ac:dyDescent="0.2">
      <c r="B149" s="3" t="str">
        <f>A145&amp;"r"</f>
        <v>10029r</v>
      </c>
    </row>
    <row r="150" spans="1:25" x14ac:dyDescent="0.2">
      <c r="A150">
        <v>10030</v>
      </c>
      <c r="B150" s="3" t="s">
        <v>310</v>
      </c>
      <c r="C150" s="1">
        <f>ROUND(J150*JL*Frto/8,4)</f>
        <v>250</v>
      </c>
      <c r="D150" t="s">
        <v>169</v>
      </c>
      <c r="E150">
        <f>SUM($O153:$S153)</f>
        <v>4.76</v>
      </c>
      <c r="F150">
        <f>SUMIF($O150:$S150,"&lt;22501",$O153:$S153)</f>
        <v>1.01</v>
      </c>
      <c r="G150">
        <f>SUMIFS($O153:$S153,$O150:$S150,"&gt;30000",$O150:$S150,"&lt;50001")</f>
        <v>3.7</v>
      </c>
      <c r="H150">
        <f>SUMIFS($O153:$S153,$O150:$S150,"&gt;60000",$O150:$S150,"&lt;70001")</f>
        <v>0</v>
      </c>
      <c r="I150">
        <v>5</v>
      </c>
      <c r="J150">
        <v>250</v>
      </c>
      <c r="O150">
        <v>10003</v>
      </c>
      <c r="P150">
        <v>10004</v>
      </c>
      <c r="Q150">
        <v>30035</v>
      </c>
      <c r="R150">
        <v>30036</v>
      </c>
      <c r="S150">
        <v>70001</v>
      </c>
    </row>
    <row r="151" spans="1:25" x14ac:dyDescent="0.2">
      <c r="B151" s="3" t="str">
        <f>A150&amp;"C"</f>
        <v>10030C</v>
      </c>
      <c r="O151">
        <v>1</v>
      </c>
      <c r="P151">
        <v>1</v>
      </c>
      <c r="Q151">
        <v>1.07</v>
      </c>
      <c r="R151">
        <v>0.03</v>
      </c>
      <c r="S151">
        <v>5</v>
      </c>
    </row>
    <row r="152" spans="1:25" x14ac:dyDescent="0.2">
      <c r="O152">
        <f>IF(O154&gt;10000,HLOOKUP(O154,N150:$O153,4,FALSE),IF(OR(AND(22500&lt;O150,O150&lt;25001),AND(50000&lt;O150,O150&lt;53501),AND(70000&lt;O150,O150&lt;72501)),$F150,IF(OR(AND(25001&lt;O150,O150&lt;27501),AND(53500&lt;O150,O150&lt;57001),AND(72500&lt;O150,O150&lt;75001)),$G150,IF(OR(AND(27500&lt;O150,O150&lt;30001),AND(57000&lt;O150,O150&lt;60001),AND(75000&lt;O150,O150&lt;77500)),$H150,VLOOKUP(O150,BDins,6,FALSE)))))</f>
        <v>14.12</v>
      </c>
      <c r="P152">
        <f>IF(P154&gt;10000,HLOOKUP(P154,O150:$O153,4,FALSE),IF(OR(AND(22500&lt;P150,P150&lt;25001),AND(50000&lt;P150,P150&lt;53501),AND(70000&lt;P150,P150&lt;72501)),$F150,IF(OR(AND(25001&lt;P150,P150&lt;27501),AND(53500&lt;P150,P150&lt;57001),AND(72500&lt;P150,P150&lt;75001)),$G150,IF(OR(AND(27500&lt;P150,P150&lt;30001),AND(57000&lt;P150,P150&lt;60001),AND(75000&lt;P150,P150&lt;77500)),$H150,VLOOKUP(P150,BDins,6,FALSE)))))</f>
        <v>17.59</v>
      </c>
      <c r="Q152">
        <f>IF(Q154&gt;10000,HLOOKUP(Q154,$O150:P153,4,FALSE),IF(OR(AND(22500&lt;Q150,Q150&lt;25001),AND(50000&lt;Q150,Q150&lt;53501),AND(70000&lt;Q150,Q150&lt;72501)),$F150,IF(OR(AND(25001&lt;Q150,Q150&lt;27501),AND(53500&lt;Q150,Q150&lt;57001),AND(72500&lt;Q150,Q150&lt;75001)),$G150,IF(OR(AND(27500&lt;Q150,Q150&lt;30001),AND(57000&lt;Q150,Q150&lt;60001),AND(75000&lt;Q150,Q150&lt;77500)),$H150,VLOOKUP(Q150,BDins,6,FALSE)))))</f>
        <v>3.33</v>
      </c>
      <c r="R152">
        <f>IF(R154&gt;10000,HLOOKUP(R154,$O150:Q153,4,FALSE),IF(OR(AND(22500&lt;R150,R150&lt;25001),AND(50000&lt;R150,R150&lt;53501),AND(70000&lt;R150,R150&lt;72501)),$F150,IF(OR(AND(25001&lt;R150,R150&lt;27501),AND(53500&lt;R150,R150&lt;57001),AND(72500&lt;R150,R150&lt;75001)),$G150,IF(OR(AND(27500&lt;R150,R150&lt;30001),AND(57000&lt;R150,R150&lt;60001),AND(75000&lt;R150,R150&lt;77500)),$H150,VLOOKUP(R150,BDins,6,FALSE)))))</f>
        <v>4.5</v>
      </c>
      <c r="S152">
        <f>IF(S154&gt;10000,HLOOKUP(S154,$O150:R153,4,FALSE),IF(OR(AND(22500&lt;S150,S150&lt;25001),AND(50000&lt;S150,S150&lt;53501),AND(70000&lt;S150,S150&lt;72501)),$F150,IF(OR(AND(25001&lt;S150,S150&lt;27501),AND(53500&lt;S150,S150&lt;57001),AND(72500&lt;S150,S150&lt;75001)),$G150,IF(OR(AND(27500&lt;S150,S150&lt;30001),AND(57000&lt;S150,S150&lt;60001),AND(75000&lt;S150,S150&lt;77500)),$H150,VLOOKUP(S150,BDins,6,FALSE)))))</f>
        <v>1.01</v>
      </c>
    </row>
    <row r="153" spans="1:25" x14ac:dyDescent="0.2">
      <c r="O153">
        <f>IF($K150&gt;0,ROUND(O151*$E150/100,DpCU),IF(O154&gt;10000,ROUND(HLOOKUP(O154,$O150:$S153,4,FALSE)/100*O151,DpCU),IF(OR(O150&lt;20001,O150&gt;95000,AND(60000&lt;O150,O150&lt;70001)),ROUND(ROUND(O151*JL/$C150,DcCU)*O152,DpCU),IF(OR(AND(20000&lt;O150,O150&lt;22501),AND(30000&lt;O150,O150&lt;50001),77500&lt;O150),ROUND(O152*O151,DpCU),IF(OR(AND(22500&lt;O150,O150&lt;25001),AND(50000&lt;O150,O150&lt;53501),AND(70000&lt;O150,O150&lt;72501)),ROUND($F150/100*O151,DpCU),IF(OR(AND(25000&lt;O150,O150&lt;27501),AND(53500&lt;O150,O150&lt;57001),AND(72500&lt;O150,O150&lt;75001)),ROUND($G150/100*O151,DpCU),ROUND($H150/100*O151,DpCU)))))))</f>
        <v>0.45</v>
      </c>
      <c r="P153">
        <f>IF($K150&gt;0,ROUND(P151*$E150/100,DpCU),IF(P154&gt;10000,ROUND(HLOOKUP(P154,$O150:$S153,4,FALSE)/100*P151,DpCU),IF(OR(P150&lt;20001,P150&gt;95000,AND(60000&lt;P150,P150&lt;70001)),ROUND(ROUND(P151*JL/$C150,DcCU)*P152,DpCU),IF(OR(AND(20000&lt;P150,P150&lt;22501),AND(30000&lt;P150,P150&lt;50001),77500&lt;P150),ROUND(P152*P151,DpCU),IF(OR(AND(22500&lt;P150,P150&lt;25001),AND(50000&lt;P150,P150&lt;53501),AND(70000&lt;P150,P150&lt;72501)),ROUND($F150/100*P151,DpCU),IF(OR(AND(25000&lt;P150,P150&lt;27501),AND(53500&lt;P150,P150&lt;57001),AND(72500&lt;P150,P150&lt;75001)),ROUND($G150/100*P151,DpCU),ROUND($H150/100*P151,DpCU)))))))</f>
        <v>0.56000000000000005</v>
      </c>
      <c r="Q153">
        <f>IF($K150&gt;0,ROUND(Q151*$E150/100,DpCU),IF(Q154&gt;10000,ROUND(HLOOKUP(Q154,$O150:$S153,4,FALSE)/100*Q151,DpCU),IF(OR(Q150&lt;20001,Q150&gt;95000,AND(60000&lt;Q150,Q150&lt;70001)),ROUND(ROUND(Q151*JL/$C150,DcCU)*Q152,DpCU),IF(OR(AND(20000&lt;Q150,Q150&lt;22501),AND(30000&lt;Q150,Q150&lt;50001),77500&lt;Q150),ROUND(Q152*Q151,DpCU),IF(OR(AND(22500&lt;Q150,Q150&lt;25001),AND(50000&lt;Q150,Q150&lt;53501),AND(70000&lt;Q150,Q150&lt;72501)),ROUND($F150/100*Q151,DpCU),IF(OR(AND(25000&lt;Q150,Q150&lt;27501),AND(53500&lt;Q150,Q150&lt;57001),AND(72500&lt;Q150,Q150&lt;75001)),ROUND($G150/100*Q151,DpCU),ROUND($H150/100*Q151,DpCU)))))))</f>
        <v>3.56</v>
      </c>
      <c r="R153">
        <f>IF($K150&gt;0,ROUND(R151*$E150/100,DpCU),IF(R154&gt;10000,ROUND(HLOOKUP(R154,$O150:$S153,4,FALSE)/100*R151,DpCU),IF(OR(R150&lt;20001,R150&gt;95000,AND(60000&lt;R150,R150&lt;70001)),ROUND(ROUND(R151*JL/$C150,DcCU)*R152,DpCU),IF(OR(AND(20000&lt;R150,R150&lt;22501),AND(30000&lt;R150,R150&lt;50001),77500&lt;R150),ROUND(R152*R151,DpCU),IF(OR(AND(22500&lt;R150,R150&lt;25001),AND(50000&lt;R150,R150&lt;53501),AND(70000&lt;R150,R150&lt;72501)),ROUND($F150/100*R151,DpCU),IF(OR(AND(25000&lt;R150,R150&lt;27501),AND(53500&lt;R150,R150&lt;57001),AND(72500&lt;R150,R150&lt;75001)),ROUND($G150/100*R151,DpCU),ROUND($H150/100*R151,DpCU)))))))</f>
        <v>0.14000000000000001</v>
      </c>
      <c r="S153">
        <f>IF($K150&gt;0,ROUND(S151*$E150/100,DpCU),IF(S154&gt;10000,ROUND(HLOOKUP(S154,$O150:$S153,4,FALSE)/100*S151,DpCU),IF(OR(S150&lt;20001,S150&gt;95000,AND(60000&lt;S150,S150&lt;70001)),ROUND(ROUND(S151*JL/$C150,DcCU)*S152,DpCU),IF(OR(AND(20000&lt;S150,S150&lt;22501),AND(30000&lt;S150,S150&lt;50001),77500&lt;S150),ROUND(S152*S151,DpCU),IF(OR(AND(22500&lt;S150,S150&lt;25001),AND(50000&lt;S150,S150&lt;53501),AND(70000&lt;S150,S150&lt;72501)),ROUND($F150/100*S151,DpCU),IF(OR(AND(25000&lt;S150,S150&lt;27501),AND(53500&lt;S150,S150&lt;57001),AND(72500&lt;S150,S150&lt;75001)),ROUND($G150/100*S151,DpCU),ROUND($H150/100*S151,DpCU)))))))</f>
        <v>0.05</v>
      </c>
    </row>
    <row r="154" spans="1:25" x14ac:dyDescent="0.2">
      <c r="B154" s="3" t="str">
        <f>A150&amp;"r"</f>
        <v>10030r</v>
      </c>
    </row>
    <row r="155" spans="1:25" x14ac:dyDescent="0.2">
      <c r="A155">
        <v>10031</v>
      </c>
      <c r="B155" s="3" t="s">
        <v>314</v>
      </c>
      <c r="C155" s="1">
        <f>ROUND(J155*JL*Frto/8,4)</f>
        <v>20</v>
      </c>
      <c r="D155" t="s">
        <v>165</v>
      </c>
      <c r="E155">
        <f>SUM($O158:$Y158)</f>
        <v>475.51</v>
      </c>
      <c r="F155">
        <f>SUMIF($O155:$Y155,"&lt;22501",$O158:$Y158)</f>
        <v>120.63000000000001</v>
      </c>
      <c r="G155">
        <f>SUMIFS($O158:$Y158,$O155:$Y155,"&gt;30000",$O155:$Y155,"&lt;50001")</f>
        <v>342.28000000000003</v>
      </c>
      <c r="H155">
        <f>SUMIFS($O158:$Y158,$O155:$Y155,"&gt;60000",$O155:$Y155,"&lt;70001")</f>
        <v>12.6</v>
      </c>
      <c r="I155">
        <v>11</v>
      </c>
      <c r="J155">
        <v>20</v>
      </c>
      <c r="O155">
        <v>10001</v>
      </c>
      <c r="P155">
        <v>10003</v>
      </c>
      <c r="Q155">
        <v>10004</v>
      </c>
      <c r="R155">
        <v>10005</v>
      </c>
      <c r="S155">
        <v>30001</v>
      </c>
      <c r="T155">
        <v>30022</v>
      </c>
      <c r="U155">
        <v>30033</v>
      </c>
      <c r="V155">
        <v>30034</v>
      </c>
      <c r="W155">
        <v>60012</v>
      </c>
      <c r="X155">
        <v>60014</v>
      </c>
      <c r="Y155">
        <v>60016</v>
      </c>
    </row>
    <row r="156" spans="1:25" x14ac:dyDescent="0.2">
      <c r="B156" s="3" t="str">
        <f>A155&amp;"C"</f>
        <v>10031C</v>
      </c>
      <c r="O156">
        <v>13</v>
      </c>
      <c r="P156">
        <v>1</v>
      </c>
      <c r="Q156">
        <v>4</v>
      </c>
      <c r="R156">
        <v>3</v>
      </c>
      <c r="S156">
        <v>10.25</v>
      </c>
      <c r="T156">
        <v>0.18</v>
      </c>
      <c r="U156">
        <v>0.75600000000000001</v>
      </c>
      <c r="V156">
        <v>0.378</v>
      </c>
      <c r="W156">
        <v>1</v>
      </c>
      <c r="X156">
        <v>1</v>
      </c>
      <c r="Y156">
        <v>1</v>
      </c>
    </row>
    <row r="157" spans="1:25" x14ac:dyDescent="0.2">
      <c r="O157">
        <f>IF(O159&gt;10000,HLOOKUP(O159,N155:$O158,4,FALSE),IF(OR(AND(22500&lt;O155,O155&lt;25001),AND(50000&lt;O155,O155&lt;53501),AND(70000&lt;O155,O155&lt;72501)),$F155,IF(OR(AND(25001&lt;O155,O155&lt;27501),AND(53500&lt;O155,O155&lt;57001),AND(72500&lt;O155,O155&lt;75001)),$G155,IF(OR(AND(27500&lt;O155,O155&lt;30001),AND(57000&lt;O155,O155&lt;60001),AND(75000&lt;O155,O155&lt;77500)),$H155,VLOOKUP(O155,BDins,6,FALSE)))))</f>
        <v>12.64</v>
      </c>
      <c r="P157">
        <f>IF(P159&gt;10000,HLOOKUP(P159,O155:$O158,4,FALSE),IF(OR(AND(22500&lt;P155,P155&lt;25001),AND(50000&lt;P155,P155&lt;53501),AND(70000&lt;P155,P155&lt;72501)),$F155,IF(OR(AND(25001&lt;P155,P155&lt;27501),AND(53500&lt;P155,P155&lt;57001),AND(72500&lt;P155,P155&lt;75001)),$G155,IF(OR(AND(27500&lt;P155,P155&lt;30001),AND(57000&lt;P155,P155&lt;60001),AND(75000&lt;P155,P155&lt;77500)),$H155,VLOOKUP(P155,BDins,6,FALSE)))))</f>
        <v>14.12</v>
      </c>
      <c r="Q157">
        <f>IF(Q159&gt;10000,HLOOKUP(Q159,$O155:P158,4,FALSE),IF(OR(AND(22500&lt;Q155,Q155&lt;25001),AND(50000&lt;Q155,Q155&lt;53501),AND(70000&lt;Q155,Q155&lt;72501)),$F155,IF(OR(AND(25001&lt;Q155,Q155&lt;27501),AND(53500&lt;Q155,Q155&lt;57001),AND(72500&lt;Q155,Q155&lt;75001)),$G155,IF(OR(AND(27500&lt;Q155,Q155&lt;30001),AND(57000&lt;Q155,Q155&lt;60001),AND(75000&lt;Q155,Q155&lt;77500)),$H155,VLOOKUP(Q155,BDins,6,FALSE)))))</f>
        <v>17.59</v>
      </c>
      <c r="R157">
        <f>IF(R159&gt;10000,HLOOKUP(R159,$O155:Q158,4,FALSE),IF(OR(AND(22500&lt;R155,R155&lt;25001),AND(50000&lt;R155,R155&lt;53501),AND(70000&lt;R155,R155&lt;72501)),$F155,IF(OR(AND(25001&lt;R155,R155&lt;27501),AND(53500&lt;R155,R155&lt;57001),AND(72500&lt;R155,R155&lt;75001)),$G155,IF(OR(AND(27500&lt;R155,R155&lt;30001),AND(57000&lt;R155,R155&lt;60001),AND(75000&lt;R155,R155&lt;77500)),$H155,VLOOKUP(R155,BDins,6,FALSE)))))</f>
        <v>17.59</v>
      </c>
      <c r="S157">
        <f>IF(S159&gt;10000,HLOOKUP(S159,$O155:R158,4,FALSE),IF(OR(AND(22500&lt;S155,S155&lt;25001),AND(50000&lt;S155,S155&lt;53501),AND(70000&lt;S155,S155&lt;72501)),$F155,IF(OR(AND(25001&lt;S155,S155&lt;27501),AND(53500&lt;S155,S155&lt;57001),AND(72500&lt;S155,S155&lt;75001)),$G155,IF(OR(AND(27500&lt;S155,S155&lt;30001),AND(57000&lt;S155,S155&lt;60001),AND(75000&lt;S155,S155&lt;77500)),$H155,VLOOKUP(S155,BDins,6,FALSE)))))</f>
        <v>27</v>
      </c>
      <c r="T157">
        <f>IF(T159&gt;10000,HLOOKUP(T159,$O155:S158,4,FALSE),IF(OR(AND(22500&lt;T155,T155&lt;25001),AND(50000&lt;T155,T155&lt;53501),AND(70000&lt;T155,T155&lt;72501)),$F155,IF(OR(AND(25001&lt;T155,T155&lt;27501),AND(53500&lt;T155,T155&lt;57001),AND(72500&lt;T155,T155&lt;75001)),$G155,IF(OR(AND(27500&lt;T155,T155&lt;30001),AND(57000&lt;T155,T155&lt;60001),AND(75000&lt;T155,T155&lt;77500)),$H155,VLOOKUP(T155,BDins,6,FALSE)))))</f>
        <v>3.5</v>
      </c>
      <c r="U157">
        <f>IF(U159&gt;10000,HLOOKUP(U159,$O155:T158,4,FALSE),IF(OR(AND(22500&lt;U155,U155&lt;25001),AND(50000&lt;U155,U155&lt;53501),AND(70000&lt;U155,U155&lt;72501)),$F155,IF(OR(AND(25001&lt;U155,U155&lt;27501),AND(53500&lt;U155,U155&lt;57001),AND(72500&lt;U155,U155&lt;75001)),$G155,IF(OR(AND(27500&lt;U155,U155&lt;30001),AND(57000&lt;U155,U155&lt;60001),AND(75000&lt;U155,U155&lt;77500)),$H155,VLOOKUP(U155,BDins,6,FALSE)))))</f>
        <v>60.9</v>
      </c>
      <c r="V157">
        <f>IF(V159&gt;10000,HLOOKUP(V159,$O155:U158,4,FALSE),IF(OR(AND(22500&lt;V155,V155&lt;25001),AND(50000&lt;V155,V155&lt;53501),AND(70000&lt;V155,V155&lt;72501)),$F155,IF(OR(AND(25001&lt;V155,V155&lt;27501),AND(53500&lt;V155,V155&lt;57001),AND(72500&lt;V155,V155&lt;75001)),$G155,IF(OR(AND(27500&lt;V155,V155&lt;30001),AND(57000&lt;V155,V155&lt;60001),AND(75000&lt;V155,V155&lt;77500)),$H155,VLOOKUP(V155,BDins,6,FALSE)))))</f>
        <v>49.9</v>
      </c>
      <c r="W157">
        <f>IF(W159&gt;10000,HLOOKUP(W159,$O155:V158,4,FALSE),IF(OR(AND(22500&lt;W155,W155&lt;25001),AND(50000&lt;W155,W155&lt;53501),AND(70000&lt;W155,W155&lt;72501)),$F155,IF(OR(AND(25001&lt;W155,W155&lt;27501),AND(53500&lt;W155,W155&lt;57001),AND(72500&lt;W155,W155&lt;75001)),$G155,IF(OR(AND(27500&lt;W155,W155&lt;30001),AND(57000&lt;W155,W155&lt;60001),AND(75000&lt;W155,W155&lt;77500)),$H155,VLOOKUP(W155,BDins,6,FALSE)))))</f>
        <v>25</v>
      </c>
      <c r="X157">
        <f>IF(X159&gt;10000,HLOOKUP(X159,$O155:W158,4,FALSE),IF(OR(AND(22500&lt;X155,X155&lt;25001),AND(50000&lt;X155,X155&lt;53501),AND(70000&lt;X155,X155&lt;72501)),$F155,IF(OR(AND(25001&lt;X155,X155&lt;27501),AND(53500&lt;X155,X155&lt;57001),AND(72500&lt;X155,X155&lt;75001)),$G155,IF(OR(AND(27500&lt;X155,X155&lt;30001),AND(57000&lt;X155,X155&lt;60001),AND(75000&lt;X155,X155&lt;77500)),$H155,VLOOKUP(X155,BDins,6,FALSE)))))</f>
        <v>0.5</v>
      </c>
      <c r="Y157">
        <f>IF(Y159&gt;10000,HLOOKUP(Y159,$O155:X158,4,FALSE),IF(OR(AND(22500&lt;Y155,Y155&lt;25001),AND(50000&lt;Y155,Y155&lt;53501),AND(70000&lt;Y155,Y155&lt;72501)),$F155,IF(OR(AND(25001&lt;Y155,Y155&lt;27501),AND(53500&lt;Y155,Y155&lt;57001),AND(72500&lt;Y155,Y155&lt;75001)),$G155,IF(OR(AND(27500&lt;Y155,Y155&lt;30001),AND(57000&lt;Y155,Y155&lt;60001),AND(75000&lt;Y155,Y155&lt;77500)),$H155,VLOOKUP(Y155,BDins,6,FALSE)))))</f>
        <v>6</v>
      </c>
    </row>
    <row r="158" spans="1:25" x14ac:dyDescent="0.2">
      <c r="O158">
        <f t="shared" ref="O158:Y158" si="17">IF($K155&gt;0,ROUND(O156*$E155/100,DpCU),IF(O159&gt;10000,ROUND(HLOOKUP(O159,$O155:$Y158,4,FALSE)/100*O156,DpCU),IF(OR(O155&lt;20001,O155&gt;95000,AND(60000&lt;O155,O155&lt;70001)),ROUND(ROUND(O156*JL/$C155,DcCU)*O157,DpCU),IF(OR(AND(20000&lt;O155,O155&lt;22501),AND(30000&lt;O155,O155&lt;50001),77500&lt;O155),ROUND(O157*O156,DpCU),IF(OR(AND(22500&lt;O155,O155&lt;25001),AND(50000&lt;O155,O155&lt;53501),AND(70000&lt;O155,O155&lt;72501)),ROUND($F155/100*O156,DpCU),IF(OR(AND(25000&lt;O155,O155&lt;27501),AND(53500&lt;O155,O155&lt;57001),AND(72500&lt;O155,O155&lt;75001)),ROUND($G155/100*O156,DpCU),ROUND($H155/100*O156,DpCU)))))))</f>
        <v>65.73</v>
      </c>
      <c r="P158">
        <f t="shared" si="17"/>
        <v>5.65</v>
      </c>
      <c r="Q158">
        <f t="shared" si="17"/>
        <v>28.14</v>
      </c>
      <c r="R158">
        <f t="shared" si="17"/>
        <v>21.11</v>
      </c>
      <c r="S158">
        <f t="shared" si="17"/>
        <v>276.75</v>
      </c>
      <c r="T158">
        <f t="shared" si="17"/>
        <v>0.63</v>
      </c>
      <c r="U158">
        <f t="shared" si="17"/>
        <v>46.04</v>
      </c>
      <c r="V158">
        <f t="shared" si="17"/>
        <v>18.86</v>
      </c>
      <c r="W158">
        <f t="shared" si="17"/>
        <v>10</v>
      </c>
      <c r="X158">
        <f t="shared" si="17"/>
        <v>0.2</v>
      </c>
      <c r="Y158">
        <f t="shared" si="17"/>
        <v>2.4</v>
      </c>
    </row>
    <row r="159" spans="1:25" x14ac:dyDescent="0.2">
      <c r="B159" s="3" t="str">
        <f>A155&amp;"r"</f>
        <v>10031r</v>
      </c>
    </row>
    <row r="160" spans="1:25" x14ac:dyDescent="0.2">
      <c r="A160">
        <v>10032</v>
      </c>
      <c r="B160" s="3" t="s">
        <v>317</v>
      </c>
      <c r="C160" s="1">
        <f>ROUND(J160*JL*Frto/8,4)</f>
        <v>13</v>
      </c>
      <c r="D160" t="s">
        <v>160</v>
      </c>
      <c r="E160">
        <f>SUM($O163:$W163)</f>
        <v>68.089999999999989</v>
      </c>
      <c r="F160">
        <f>SUMIF($O160:$W160,"&lt;22501",$O163:$W163)</f>
        <v>27.29</v>
      </c>
      <c r="G160">
        <f>SUMIFS($O163:$W163,$O160:$W160,"&gt;30000",$O160:$W160,"&lt;50001")</f>
        <v>39.979999999999997</v>
      </c>
      <c r="H160">
        <f>SUMIFS($O163:$W163,$O160:$W160,"&gt;60000",$O160:$W160,"&lt;70001")</f>
        <v>0</v>
      </c>
      <c r="I160">
        <v>9</v>
      </c>
      <c r="J160">
        <v>13</v>
      </c>
      <c r="O160">
        <v>10001</v>
      </c>
      <c r="P160">
        <v>10003</v>
      </c>
      <c r="Q160">
        <v>10004</v>
      </c>
      <c r="R160">
        <v>30010</v>
      </c>
      <c r="S160">
        <v>30027</v>
      </c>
      <c r="T160">
        <v>30029</v>
      </c>
      <c r="U160">
        <v>30030</v>
      </c>
      <c r="V160">
        <v>30031</v>
      </c>
      <c r="W160">
        <v>70001</v>
      </c>
    </row>
    <row r="161" spans="1:25" x14ac:dyDescent="0.2">
      <c r="B161" s="3" t="str">
        <f>A160&amp;"C"</f>
        <v>10032C</v>
      </c>
      <c r="O161">
        <v>1</v>
      </c>
      <c r="P161">
        <v>1</v>
      </c>
      <c r="Q161">
        <v>1</v>
      </c>
      <c r="R161">
        <v>5.15</v>
      </c>
      <c r="S161">
        <v>0.05</v>
      </c>
      <c r="T161">
        <v>0.05</v>
      </c>
      <c r="U161">
        <v>7.0000000000000007E-2</v>
      </c>
      <c r="V161">
        <v>0.05</v>
      </c>
      <c r="W161">
        <v>3</v>
      </c>
    </row>
    <row r="162" spans="1:25" x14ac:dyDescent="0.2">
      <c r="O162">
        <f>IF(O164&gt;10000,HLOOKUP(O164,N160:$O163,4,FALSE),IF(OR(AND(22500&lt;O160,O160&lt;25001),AND(50000&lt;O160,O160&lt;53501),AND(70000&lt;O160,O160&lt;72501)),$F160,IF(OR(AND(25001&lt;O160,O160&lt;27501),AND(53500&lt;O160,O160&lt;57001),AND(72500&lt;O160,O160&lt;75001)),$G160,IF(OR(AND(27500&lt;O160,O160&lt;30001),AND(57000&lt;O160,O160&lt;60001),AND(75000&lt;O160,O160&lt;77500)),$H160,VLOOKUP(O160,BDins,6,FALSE)))))</f>
        <v>12.64</v>
      </c>
      <c r="P162">
        <f>IF(P164&gt;10000,HLOOKUP(P164,O160:$O163,4,FALSE),IF(OR(AND(22500&lt;P160,P160&lt;25001),AND(50000&lt;P160,P160&lt;53501),AND(70000&lt;P160,P160&lt;72501)),$F160,IF(OR(AND(25001&lt;P160,P160&lt;27501),AND(53500&lt;P160,P160&lt;57001),AND(72500&lt;P160,P160&lt;75001)),$G160,IF(OR(AND(27500&lt;P160,P160&lt;30001),AND(57000&lt;P160,P160&lt;60001),AND(75000&lt;P160,P160&lt;77500)),$H160,VLOOKUP(P160,BDins,6,FALSE)))))</f>
        <v>14.12</v>
      </c>
      <c r="Q162">
        <f>IF(Q164&gt;10000,HLOOKUP(Q164,$O160:P163,4,FALSE),IF(OR(AND(22500&lt;Q160,Q160&lt;25001),AND(50000&lt;Q160,Q160&lt;53501),AND(70000&lt;Q160,Q160&lt;72501)),$F160,IF(OR(AND(25001&lt;Q160,Q160&lt;27501),AND(53500&lt;Q160,Q160&lt;57001),AND(72500&lt;Q160,Q160&lt;75001)),$G160,IF(OR(AND(27500&lt;Q160,Q160&lt;30001),AND(57000&lt;Q160,Q160&lt;60001),AND(75000&lt;Q160,Q160&lt;77500)),$H160,VLOOKUP(Q160,BDins,6,FALSE)))))</f>
        <v>17.59</v>
      </c>
      <c r="R162">
        <f>IF(R164&gt;10000,HLOOKUP(R164,$O160:Q163,4,FALSE),IF(OR(AND(22500&lt;R160,R160&lt;25001),AND(50000&lt;R160,R160&lt;53501),AND(70000&lt;R160,R160&lt;72501)),$F160,IF(OR(AND(25001&lt;R160,R160&lt;27501),AND(53500&lt;R160,R160&lt;57001),AND(72500&lt;R160,R160&lt;75001)),$G160,IF(OR(AND(27500&lt;R160,R160&lt;30001),AND(57000&lt;R160,R160&lt;60001),AND(75000&lt;R160,R160&lt;77500)),$H160,VLOOKUP(R160,BDins,6,FALSE)))))</f>
        <v>7.5</v>
      </c>
      <c r="S162">
        <f>IF(S164&gt;10000,HLOOKUP(S164,$O160:R163,4,FALSE),IF(OR(AND(22500&lt;S160,S160&lt;25001),AND(50000&lt;S160,S160&lt;53501),AND(70000&lt;S160,S160&lt;72501)),$F160,IF(OR(AND(25001&lt;S160,S160&lt;27501),AND(53500&lt;S160,S160&lt;57001),AND(72500&lt;S160,S160&lt;75001)),$G160,IF(OR(AND(27500&lt;S160,S160&lt;30001),AND(57000&lt;S160,S160&lt;60001),AND(75000&lt;S160,S160&lt;77500)),$H160,VLOOKUP(S160,BDins,6,FALSE)))))</f>
        <v>11.3</v>
      </c>
      <c r="T162">
        <f>IF(T164&gt;10000,HLOOKUP(T164,$O160:S163,4,FALSE),IF(OR(AND(22500&lt;T160,T160&lt;25001),AND(50000&lt;T160,T160&lt;53501),AND(70000&lt;T160,T160&lt;72501)),$F160,IF(OR(AND(25001&lt;T160,T160&lt;27501),AND(53500&lt;T160,T160&lt;57001),AND(72500&lt;T160,T160&lt;75001)),$G160,IF(OR(AND(27500&lt;T160,T160&lt;30001),AND(57000&lt;T160,T160&lt;60001),AND(75000&lt;T160,T160&lt;77500)),$H160,VLOOKUP(T160,BDins,6,FALSE)))))</f>
        <v>4.5</v>
      </c>
      <c r="U162">
        <f>IF(U164&gt;10000,HLOOKUP(U164,$O160:T163,4,FALSE),IF(OR(AND(22500&lt;U160,U160&lt;25001),AND(50000&lt;U160,U160&lt;53501),AND(70000&lt;U160,U160&lt;72501)),$F160,IF(OR(AND(25001&lt;U160,U160&lt;27501),AND(53500&lt;U160,U160&lt;57001),AND(72500&lt;U160,U160&lt;75001)),$G160,IF(OR(AND(27500&lt;U160,U160&lt;30001),AND(57000&lt;U160,U160&lt;60001),AND(75000&lt;U160,U160&lt;77500)),$H160,VLOOKUP(U160,BDins,6,FALSE)))))</f>
        <v>4.5</v>
      </c>
      <c r="V162">
        <f>IF(V164&gt;10000,HLOOKUP(V164,$O160:U163,4,FALSE),IF(OR(AND(22500&lt;V160,V160&lt;25001),AND(50000&lt;V160,V160&lt;53501),AND(70000&lt;V160,V160&lt;72501)),$F160,IF(OR(AND(25001&lt;V160,V160&lt;27501),AND(53500&lt;V160,V160&lt;57001),AND(72500&lt;V160,V160&lt;75001)),$G160,IF(OR(AND(27500&lt;V160,V160&lt;30001),AND(57000&lt;V160,V160&lt;60001),AND(75000&lt;V160,V160&lt;77500)),$H160,VLOOKUP(V160,BDins,6,FALSE)))))</f>
        <v>4.5</v>
      </c>
      <c r="W162">
        <f>IF(W164&gt;10000,HLOOKUP(W164,$O160:V163,4,FALSE),IF(OR(AND(22500&lt;W160,W160&lt;25001),AND(50000&lt;W160,W160&lt;53501),AND(70000&lt;W160,W160&lt;72501)),$F160,IF(OR(AND(25001&lt;W160,W160&lt;27501),AND(53500&lt;W160,W160&lt;57001),AND(72500&lt;W160,W160&lt;75001)),$G160,IF(OR(AND(27500&lt;W160,W160&lt;30001),AND(57000&lt;W160,W160&lt;60001),AND(75000&lt;W160,W160&lt;77500)),$H160,VLOOKUP(W160,BDins,6,FALSE)))))</f>
        <v>27.29</v>
      </c>
    </row>
    <row r="163" spans="1:25" x14ac:dyDescent="0.2">
      <c r="O163">
        <f t="shared" ref="O163:W163" si="18">IF($K160&gt;0,ROUND(O161*$E160/100,DpCU),IF(O164&gt;10000,ROUND(HLOOKUP(O164,$O160:$W163,4,FALSE)/100*O161,DpCU),IF(OR(O160&lt;20001,O160&gt;95000,AND(60000&lt;O160,O160&lt;70001)),ROUND(ROUND(O161*JL/$C160,DcCU)*O162,DpCU),IF(OR(AND(20000&lt;O160,O160&lt;22501),AND(30000&lt;O160,O160&lt;50001),77500&lt;O160),ROUND(O162*O161,DpCU),IF(OR(AND(22500&lt;O160,O160&lt;25001),AND(50000&lt;O160,O160&lt;53501),AND(70000&lt;O160,O160&lt;72501)),ROUND($F160/100*O161,DpCU),IF(OR(AND(25000&lt;O160,O160&lt;27501),AND(53500&lt;O160,O160&lt;57001),AND(72500&lt;O160,O160&lt;75001)),ROUND($G160/100*O161,DpCU),ROUND($H160/100*O161,DpCU)))))))</f>
        <v>7.78</v>
      </c>
      <c r="P163">
        <f t="shared" si="18"/>
        <v>8.69</v>
      </c>
      <c r="Q163">
        <f t="shared" si="18"/>
        <v>10.82</v>
      </c>
      <c r="R163">
        <f t="shared" si="18"/>
        <v>38.630000000000003</v>
      </c>
      <c r="S163">
        <f t="shared" si="18"/>
        <v>0.56999999999999995</v>
      </c>
      <c r="T163">
        <f t="shared" si="18"/>
        <v>0.23</v>
      </c>
      <c r="U163">
        <f t="shared" si="18"/>
        <v>0.32</v>
      </c>
      <c r="V163">
        <f t="shared" si="18"/>
        <v>0.23</v>
      </c>
      <c r="W163">
        <f t="shared" si="18"/>
        <v>0.82</v>
      </c>
    </row>
    <row r="164" spans="1:25" x14ac:dyDescent="0.2">
      <c r="B164" s="3" t="str">
        <f>A160&amp;"r"</f>
        <v>10032r</v>
      </c>
    </row>
    <row r="165" spans="1:25" x14ac:dyDescent="0.2">
      <c r="A165">
        <v>10033</v>
      </c>
      <c r="B165" s="3" t="s">
        <v>319</v>
      </c>
      <c r="C165" s="1">
        <f>ROUND(J165*JL*Frto/8,4)</f>
        <v>1600</v>
      </c>
      <c r="D165" t="s">
        <v>320</v>
      </c>
      <c r="E165">
        <f>SUM($O168:$R168)</f>
        <v>2.54</v>
      </c>
      <c r="F165">
        <f>SUMIF($O165:$R165,"&lt;22501",$O168:$R168)</f>
        <v>0.41000000000000003</v>
      </c>
      <c r="G165">
        <f>SUMIFS($O168:$R168,$O165:$R165,"&gt;30000",$O165:$R165,"&lt;50001")</f>
        <v>2.12</v>
      </c>
      <c r="H165">
        <f>SUMIFS($O168:$R168,$O165:$R165,"&gt;60000",$O165:$R165,"&lt;70001")</f>
        <v>0</v>
      </c>
      <c r="I165">
        <v>4</v>
      </c>
      <c r="J165">
        <v>1600</v>
      </c>
      <c r="O165">
        <v>10001</v>
      </c>
      <c r="P165">
        <v>10004</v>
      </c>
      <c r="Q165">
        <v>30039</v>
      </c>
      <c r="R165">
        <v>70001</v>
      </c>
    </row>
    <row r="166" spans="1:25" x14ac:dyDescent="0.2">
      <c r="B166" s="3" t="str">
        <f>A165&amp;"C"</f>
        <v>10033C</v>
      </c>
      <c r="O166">
        <v>5</v>
      </c>
      <c r="P166">
        <v>1</v>
      </c>
      <c r="Q166">
        <v>1.01</v>
      </c>
      <c r="R166">
        <v>3</v>
      </c>
    </row>
    <row r="167" spans="1:25" x14ac:dyDescent="0.2">
      <c r="O167">
        <f>IF(O169&gt;10000,HLOOKUP(O169,N165:$O168,4,FALSE),IF(OR(AND(22500&lt;O165,O165&lt;25001),AND(50000&lt;O165,O165&lt;53501),AND(70000&lt;O165,O165&lt;72501)),$F165,IF(OR(AND(25001&lt;O165,O165&lt;27501),AND(53500&lt;O165,O165&lt;57001),AND(72500&lt;O165,O165&lt;75001)),$G165,IF(OR(AND(27500&lt;O165,O165&lt;30001),AND(57000&lt;O165,O165&lt;60001),AND(75000&lt;O165,O165&lt;77500)),$H165,VLOOKUP(O165,BDins,6,FALSE)))))</f>
        <v>12.64</v>
      </c>
      <c r="P167">
        <f>IF(P169&gt;10000,HLOOKUP(P169,O165:$O168,4,FALSE),IF(OR(AND(22500&lt;P165,P165&lt;25001),AND(50000&lt;P165,P165&lt;53501),AND(70000&lt;P165,P165&lt;72501)),$F165,IF(OR(AND(25001&lt;P165,P165&lt;27501),AND(53500&lt;P165,P165&lt;57001),AND(72500&lt;P165,P165&lt;75001)),$G165,IF(OR(AND(27500&lt;P165,P165&lt;30001),AND(57000&lt;P165,P165&lt;60001),AND(75000&lt;P165,P165&lt;77500)),$H165,VLOOKUP(P165,BDins,6,FALSE)))))</f>
        <v>17.59</v>
      </c>
      <c r="Q167">
        <f>IF(Q169&gt;10000,HLOOKUP(Q169,$O165:P168,4,FALSE),IF(OR(AND(22500&lt;Q165,Q165&lt;25001),AND(50000&lt;Q165,Q165&lt;53501),AND(70000&lt;Q165,Q165&lt;72501)),$F165,IF(OR(AND(25001&lt;Q165,Q165&lt;27501),AND(53500&lt;Q165,Q165&lt;57001),AND(72500&lt;Q165,Q165&lt;75001)),$G165,IF(OR(AND(27500&lt;Q165,Q165&lt;30001),AND(57000&lt;Q165,Q165&lt;60001),AND(75000&lt;Q165,Q165&lt;77500)),$H165,VLOOKUP(Q165,BDins,6,FALSE)))))</f>
        <v>2.1</v>
      </c>
      <c r="R167">
        <f>IF(R169&gt;10000,HLOOKUP(R169,$O165:Q168,4,FALSE),IF(OR(AND(22500&lt;R165,R165&lt;25001),AND(50000&lt;R165,R165&lt;53501),AND(70000&lt;R165,R165&lt;72501)),$F165,IF(OR(AND(25001&lt;R165,R165&lt;27501),AND(53500&lt;R165,R165&lt;57001),AND(72500&lt;R165,R165&lt;75001)),$G165,IF(OR(AND(27500&lt;R165,R165&lt;30001),AND(57000&lt;R165,R165&lt;60001),AND(75000&lt;R165,R165&lt;77500)),$H165,VLOOKUP(R165,BDins,6,FALSE)))))</f>
        <v>0.41000000000000003</v>
      </c>
    </row>
    <row r="168" spans="1:25" x14ac:dyDescent="0.2">
      <c r="O168">
        <f>IF($K165&gt;0,ROUND(O166*$E165/100,DpCU),IF(O169&gt;10000,ROUND(HLOOKUP(O169,$O165:$R168,4,FALSE)/100*O166,DpCU),IF(OR(O165&lt;20001,O165&gt;95000,AND(60000&lt;O165,O165&lt;70001)),ROUND(ROUND(O166*JL/$C165,DcCU)*O167,DpCU),IF(OR(AND(20000&lt;O165,O165&lt;22501),AND(30000&lt;O165,O165&lt;50001),77500&lt;O165),ROUND(O167*O166,DpCU),IF(OR(AND(22500&lt;O165,O165&lt;25001),AND(50000&lt;O165,O165&lt;53501),AND(70000&lt;O165,O165&lt;72501)),ROUND($F165/100*O166,DpCU),IF(OR(AND(25000&lt;O165,O165&lt;27501),AND(53500&lt;O165,O165&lt;57001),AND(72500&lt;O165,O165&lt;75001)),ROUND($G165/100*O166,DpCU),ROUND($H165/100*O166,DpCU)))))))</f>
        <v>0.32</v>
      </c>
      <c r="P168">
        <f>IF($K165&gt;0,ROUND(P166*$E165/100,DpCU),IF(P169&gt;10000,ROUND(HLOOKUP(P169,$O165:$R168,4,FALSE)/100*P166,DpCU),IF(OR(P165&lt;20001,P165&gt;95000,AND(60000&lt;P165,P165&lt;70001)),ROUND(ROUND(P166*JL/$C165,DcCU)*P167,DpCU),IF(OR(AND(20000&lt;P165,P165&lt;22501),AND(30000&lt;P165,P165&lt;50001),77500&lt;P165),ROUND(P167*P166,DpCU),IF(OR(AND(22500&lt;P165,P165&lt;25001),AND(50000&lt;P165,P165&lt;53501),AND(70000&lt;P165,P165&lt;72501)),ROUND($F165/100*P166,DpCU),IF(OR(AND(25000&lt;P165,P165&lt;27501),AND(53500&lt;P165,P165&lt;57001),AND(72500&lt;P165,P165&lt;75001)),ROUND($G165/100*P166,DpCU),ROUND($H165/100*P166,DpCU)))))))</f>
        <v>0.09</v>
      </c>
      <c r="Q168">
        <f>IF($K165&gt;0,ROUND(Q166*$E165/100,DpCU),IF(Q169&gt;10000,ROUND(HLOOKUP(Q169,$O165:$R168,4,FALSE)/100*Q166,DpCU),IF(OR(Q165&lt;20001,Q165&gt;95000,AND(60000&lt;Q165,Q165&lt;70001)),ROUND(ROUND(Q166*JL/$C165,DcCU)*Q167,DpCU),IF(OR(AND(20000&lt;Q165,Q165&lt;22501),AND(30000&lt;Q165,Q165&lt;50001),77500&lt;Q165),ROUND(Q167*Q166,DpCU),IF(OR(AND(22500&lt;Q165,Q165&lt;25001),AND(50000&lt;Q165,Q165&lt;53501),AND(70000&lt;Q165,Q165&lt;72501)),ROUND($F165/100*Q166,DpCU),IF(OR(AND(25000&lt;Q165,Q165&lt;27501),AND(53500&lt;Q165,Q165&lt;57001),AND(72500&lt;Q165,Q165&lt;75001)),ROUND($G165/100*Q166,DpCU),ROUND($H165/100*Q166,DpCU)))))))</f>
        <v>2.12</v>
      </c>
      <c r="R168">
        <f>IF($K165&gt;0,ROUND(R166*$E165/100,DpCU),IF(R169&gt;10000,ROUND(HLOOKUP(R169,$O165:$R168,4,FALSE)/100*R166,DpCU),IF(OR(R165&lt;20001,R165&gt;95000,AND(60000&lt;R165,R165&lt;70001)),ROUND(ROUND(R166*JL/$C165,DcCU)*R167,DpCU),IF(OR(AND(20000&lt;R165,R165&lt;22501),AND(30000&lt;R165,R165&lt;50001),77500&lt;R165),ROUND(R167*R166,DpCU),IF(OR(AND(22500&lt;R165,R165&lt;25001),AND(50000&lt;R165,R165&lt;53501),AND(70000&lt;R165,R165&lt;72501)),ROUND($F165/100*R166,DpCU),IF(OR(AND(25000&lt;R165,R165&lt;27501),AND(53500&lt;R165,R165&lt;57001),AND(72500&lt;R165,R165&lt;75001)),ROUND($G165/100*R166,DpCU),ROUND($H165/100*R166,DpCU)))))))</f>
        <v>0.01</v>
      </c>
    </row>
    <row r="169" spans="1:25" x14ac:dyDescent="0.2">
      <c r="B169" s="3" t="str">
        <f>A165&amp;"r"</f>
        <v>10033r</v>
      </c>
    </row>
    <row r="170" spans="1:25" x14ac:dyDescent="0.2">
      <c r="A170">
        <v>10034</v>
      </c>
      <c r="B170" s="3" t="s">
        <v>323</v>
      </c>
      <c r="C170" s="1">
        <f>ROUND(J170*JL*Frto/8,4)</f>
        <v>250</v>
      </c>
      <c r="D170" t="s">
        <v>169</v>
      </c>
      <c r="E170">
        <f>SUM($O173:$S173)</f>
        <v>4.76</v>
      </c>
      <c r="F170">
        <f>SUMIF($O170:$S170,"&lt;22501",$O173:$S173)</f>
        <v>1.01</v>
      </c>
      <c r="G170">
        <f>SUMIFS($O173:$S173,$O170:$S170,"&gt;30000",$O170:$S170,"&lt;50001")</f>
        <v>3.7</v>
      </c>
      <c r="H170">
        <f>SUMIFS($O173:$S173,$O170:$S170,"&gt;60000",$O170:$S170,"&lt;70001")</f>
        <v>0</v>
      </c>
      <c r="I170">
        <v>5</v>
      </c>
      <c r="J170">
        <v>250</v>
      </c>
      <c r="O170">
        <v>10003</v>
      </c>
      <c r="P170">
        <v>10004</v>
      </c>
      <c r="Q170">
        <v>30035</v>
      </c>
      <c r="R170">
        <v>30036</v>
      </c>
      <c r="S170">
        <v>70001</v>
      </c>
    </row>
    <row r="171" spans="1:25" x14ac:dyDescent="0.2">
      <c r="B171" s="3" t="str">
        <f>A170&amp;"C"</f>
        <v>10034C</v>
      </c>
      <c r="O171">
        <v>1</v>
      </c>
      <c r="P171">
        <v>1</v>
      </c>
      <c r="Q171">
        <v>1.07</v>
      </c>
      <c r="R171">
        <v>0.03</v>
      </c>
      <c r="S171">
        <v>5</v>
      </c>
    </row>
    <row r="172" spans="1:25" x14ac:dyDescent="0.2">
      <c r="O172">
        <f>IF(O174&gt;10000,HLOOKUP(O174,N170:$O173,4,FALSE),IF(OR(AND(22500&lt;O170,O170&lt;25001),AND(50000&lt;O170,O170&lt;53501),AND(70000&lt;O170,O170&lt;72501)),$F170,IF(OR(AND(25001&lt;O170,O170&lt;27501),AND(53500&lt;O170,O170&lt;57001),AND(72500&lt;O170,O170&lt;75001)),$G170,IF(OR(AND(27500&lt;O170,O170&lt;30001),AND(57000&lt;O170,O170&lt;60001),AND(75000&lt;O170,O170&lt;77500)),$H170,VLOOKUP(O170,BDins,6,FALSE)))))</f>
        <v>14.12</v>
      </c>
      <c r="P172">
        <f>IF(P174&gt;10000,HLOOKUP(P174,O170:$O173,4,FALSE),IF(OR(AND(22500&lt;P170,P170&lt;25001),AND(50000&lt;P170,P170&lt;53501),AND(70000&lt;P170,P170&lt;72501)),$F170,IF(OR(AND(25001&lt;P170,P170&lt;27501),AND(53500&lt;P170,P170&lt;57001),AND(72500&lt;P170,P170&lt;75001)),$G170,IF(OR(AND(27500&lt;P170,P170&lt;30001),AND(57000&lt;P170,P170&lt;60001),AND(75000&lt;P170,P170&lt;77500)),$H170,VLOOKUP(P170,BDins,6,FALSE)))))</f>
        <v>17.59</v>
      </c>
      <c r="Q172">
        <f>IF(Q174&gt;10000,HLOOKUP(Q174,$O170:P173,4,FALSE),IF(OR(AND(22500&lt;Q170,Q170&lt;25001),AND(50000&lt;Q170,Q170&lt;53501),AND(70000&lt;Q170,Q170&lt;72501)),$F170,IF(OR(AND(25001&lt;Q170,Q170&lt;27501),AND(53500&lt;Q170,Q170&lt;57001),AND(72500&lt;Q170,Q170&lt;75001)),$G170,IF(OR(AND(27500&lt;Q170,Q170&lt;30001),AND(57000&lt;Q170,Q170&lt;60001),AND(75000&lt;Q170,Q170&lt;77500)),$H170,VLOOKUP(Q170,BDins,6,FALSE)))))</f>
        <v>3.33</v>
      </c>
      <c r="R172">
        <f>IF(R174&gt;10000,HLOOKUP(R174,$O170:Q173,4,FALSE),IF(OR(AND(22500&lt;R170,R170&lt;25001),AND(50000&lt;R170,R170&lt;53501),AND(70000&lt;R170,R170&lt;72501)),$F170,IF(OR(AND(25001&lt;R170,R170&lt;27501),AND(53500&lt;R170,R170&lt;57001),AND(72500&lt;R170,R170&lt;75001)),$G170,IF(OR(AND(27500&lt;R170,R170&lt;30001),AND(57000&lt;R170,R170&lt;60001),AND(75000&lt;R170,R170&lt;77500)),$H170,VLOOKUP(R170,BDins,6,FALSE)))))</f>
        <v>4.5</v>
      </c>
      <c r="S172">
        <f>IF(S174&gt;10000,HLOOKUP(S174,$O170:R173,4,FALSE),IF(OR(AND(22500&lt;S170,S170&lt;25001),AND(50000&lt;S170,S170&lt;53501),AND(70000&lt;S170,S170&lt;72501)),$F170,IF(OR(AND(25001&lt;S170,S170&lt;27501),AND(53500&lt;S170,S170&lt;57001),AND(72500&lt;S170,S170&lt;75001)),$G170,IF(OR(AND(27500&lt;S170,S170&lt;30001),AND(57000&lt;S170,S170&lt;60001),AND(75000&lt;S170,S170&lt;77500)),$H170,VLOOKUP(S170,BDins,6,FALSE)))))</f>
        <v>1.01</v>
      </c>
    </row>
    <row r="173" spans="1:25" x14ac:dyDescent="0.2">
      <c r="O173">
        <f>IF($K170&gt;0,ROUND(O171*$E170/100,DpCU),IF(O174&gt;10000,ROUND(HLOOKUP(O174,$O170:$S173,4,FALSE)/100*O171,DpCU),IF(OR(O170&lt;20001,O170&gt;95000,AND(60000&lt;O170,O170&lt;70001)),ROUND(ROUND(O171*JL/$C170,DcCU)*O172,DpCU),IF(OR(AND(20000&lt;O170,O170&lt;22501),AND(30000&lt;O170,O170&lt;50001),77500&lt;O170),ROUND(O172*O171,DpCU),IF(OR(AND(22500&lt;O170,O170&lt;25001),AND(50000&lt;O170,O170&lt;53501),AND(70000&lt;O170,O170&lt;72501)),ROUND($F170/100*O171,DpCU),IF(OR(AND(25000&lt;O170,O170&lt;27501),AND(53500&lt;O170,O170&lt;57001),AND(72500&lt;O170,O170&lt;75001)),ROUND($G170/100*O171,DpCU),ROUND($H170/100*O171,DpCU)))))))</f>
        <v>0.45</v>
      </c>
      <c r="P173">
        <f>IF($K170&gt;0,ROUND(P171*$E170/100,DpCU),IF(P174&gt;10000,ROUND(HLOOKUP(P174,$O170:$S173,4,FALSE)/100*P171,DpCU),IF(OR(P170&lt;20001,P170&gt;95000,AND(60000&lt;P170,P170&lt;70001)),ROUND(ROUND(P171*JL/$C170,DcCU)*P172,DpCU),IF(OR(AND(20000&lt;P170,P170&lt;22501),AND(30000&lt;P170,P170&lt;50001),77500&lt;P170),ROUND(P172*P171,DpCU),IF(OR(AND(22500&lt;P170,P170&lt;25001),AND(50000&lt;P170,P170&lt;53501),AND(70000&lt;P170,P170&lt;72501)),ROUND($F170/100*P171,DpCU),IF(OR(AND(25000&lt;P170,P170&lt;27501),AND(53500&lt;P170,P170&lt;57001),AND(72500&lt;P170,P170&lt;75001)),ROUND($G170/100*P171,DpCU),ROUND($H170/100*P171,DpCU)))))))</f>
        <v>0.56000000000000005</v>
      </c>
      <c r="Q173">
        <f>IF($K170&gt;0,ROUND(Q171*$E170/100,DpCU),IF(Q174&gt;10000,ROUND(HLOOKUP(Q174,$O170:$S173,4,FALSE)/100*Q171,DpCU),IF(OR(Q170&lt;20001,Q170&gt;95000,AND(60000&lt;Q170,Q170&lt;70001)),ROUND(ROUND(Q171*JL/$C170,DcCU)*Q172,DpCU),IF(OR(AND(20000&lt;Q170,Q170&lt;22501),AND(30000&lt;Q170,Q170&lt;50001),77500&lt;Q170),ROUND(Q172*Q171,DpCU),IF(OR(AND(22500&lt;Q170,Q170&lt;25001),AND(50000&lt;Q170,Q170&lt;53501),AND(70000&lt;Q170,Q170&lt;72501)),ROUND($F170/100*Q171,DpCU),IF(OR(AND(25000&lt;Q170,Q170&lt;27501),AND(53500&lt;Q170,Q170&lt;57001),AND(72500&lt;Q170,Q170&lt;75001)),ROUND($G170/100*Q171,DpCU),ROUND($H170/100*Q171,DpCU)))))))</f>
        <v>3.56</v>
      </c>
      <c r="R173">
        <f>IF($K170&gt;0,ROUND(R171*$E170/100,DpCU),IF(R174&gt;10000,ROUND(HLOOKUP(R174,$O170:$S173,4,FALSE)/100*R171,DpCU),IF(OR(R170&lt;20001,R170&gt;95000,AND(60000&lt;R170,R170&lt;70001)),ROUND(ROUND(R171*JL/$C170,DcCU)*R172,DpCU),IF(OR(AND(20000&lt;R170,R170&lt;22501),AND(30000&lt;R170,R170&lt;50001),77500&lt;R170),ROUND(R172*R171,DpCU),IF(OR(AND(22500&lt;R170,R170&lt;25001),AND(50000&lt;R170,R170&lt;53501),AND(70000&lt;R170,R170&lt;72501)),ROUND($F170/100*R171,DpCU),IF(OR(AND(25000&lt;R170,R170&lt;27501),AND(53500&lt;R170,R170&lt;57001),AND(72500&lt;R170,R170&lt;75001)),ROUND($G170/100*R171,DpCU),ROUND($H170/100*R171,DpCU)))))))</f>
        <v>0.14000000000000001</v>
      </c>
      <c r="S173">
        <f>IF($K170&gt;0,ROUND(S171*$E170/100,DpCU),IF(S174&gt;10000,ROUND(HLOOKUP(S174,$O170:$S173,4,FALSE)/100*S171,DpCU),IF(OR(S170&lt;20001,S170&gt;95000,AND(60000&lt;S170,S170&lt;70001)),ROUND(ROUND(S171*JL/$C170,DcCU)*S172,DpCU),IF(OR(AND(20000&lt;S170,S170&lt;22501),AND(30000&lt;S170,S170&lt;50001),77500&lt;S170),ROUND(S172*S171,DpCU),IF(OR(AND(22500&lt;S170,S170&lt;25001),AND(50000&lt;S170,S170&lt;53501),AND(70000&lt;S170,S170&lt;72501)),ROUND($F170/100*S171,DpCU),IF(OR(AND(25000&lt;S170,S170&lt;27501),AND(53500&lt;S170,S170&lt;57001),AND(72500&lt;S170,S170&lt;75001)),ROUND($G170/100*S171,DpCU),ROUND($H170/100*S171,DpCU)))))))</f>
        <v>0.05</v>
      </c>
    </row>
    <row r="174" spans="1:25" x14ac:dyDescent="0.2">
      <c r="B174" s="3" t="str">
        <f>A170&amp;"r"</f>
        <v>10034r</v>
      </c>
    </row>
    <row r="175" spans="1:25" x14ac:dyDescent="0.2">
      <c r="A175">
        <v>10035</v>
      </c>
      <c r="B175" s="3" t="s">
        <v>327</v>
      </c>
      <c r="C175" s="1">
        <f>ROUND(J175*JL*Frto/8,4)</f>
        <v>20</v>
      </c>
      <c r="D175" t="s">
        <v>165</v>
      </c>
      <c r="E175">
        <f>SUM($O178:$Y178)</f>
        <v>458.02</v>
      </c>
      <c r="F175">
        <f>SUMIF($O175:$Y175,"&lt;22501",$O178:$Y178)</f>
        <v>120.63000000000001</v>
      </c>
      <c r="G175">
        <f>SUMIFS($O178:$Y178,$O175:$Y175,"&gt;30000",$O175:$Y175,"&lt;50001")</f>
        <v>323.39</v>
      </c>
      <c r="H175">
        <f>SUMIFS($O178:$Y178,$O175:$Y175,"&gt;60000",$O175:$Y175,"&lt;70001")</f>
        <v>14</v>
      </c>
      <c r="I175">
        <v>11</v>
      </c>
      <c r="J175">
        <v>20</v>
      </c>
      <c r="O175">
        <v>10001</v>
      </c>
      <c r="P175">
        <v>10003</v>
      </c>
      <c r="Q175">
        <v>10004</v>
      </c>
      <c r="R175">
        <v>10005</v>
      </c>
      <c r="S175">
        <v>30001</v>
      </c>
      <c r="T175">
        <v>30022</v>
      </c>
      <c r="U175">
        <v>30033</v>
      </c>
      <c r="V175">
        <v>30034</v>
      </c>
      <c r="W175">
        <v>60012</v>
      </c>
      <c r="X175">
        <v>60013</v>
      </c>
      <c r="Y175">
        <v>60016</v>
      </c>
    </row>
    <row r="176" spans="1:25" x14ac:dyDescent="0.2">
      <c r="B176" s="3" t="str">
        <f>A175&amp;"C"</f>
        <v>10035C</v>
      </c>
      <c r="O176">
        <v>13</v>
      </c>
      <c r="P176">
        <v>1</v>
      </c>
      <c r="Q176">
        <v>4</v>
      </c>
      <c r="R176">
        <v>3</v>
      </c>
      <c r="S176">
        <v>9</v>
      </c>
      <c r="T176">
        <v>0.18</v>
      </c>
      <c r="U176">
        <v>0.9</v>
      </c>
      <c r="V176">
        <v>0.5</v>
      </c>
      <c r="W176">
        <v>1</v>
      </c>
      <c r="X176">
        <v>1</v>
      </c>
      <c r="Y176">
        <v>1</v>
      </c>
    </row>
    <row r="177" spans="1:25" x14ac:dyDescent="0.2">
      <c r="O177">
        <f>IF(O179&gt;10000,HLOOKUP(O179,N175:$O178,4,FALSE),IF(OR(AND(22500&lt;O175,O175&lt;25001),AND(50000&lt;O175,O175&lt;53501),AND(70000&lt;O175,O175&lt;72501)),$F175,IF(OR(AND(25001&lt;O175,O175&lt;27501),AND(53500&lt;O175,O175&lt;57001),AND(72500&lt;O175,O175&lt;75001)),$G175,IF(OR(AND(27500&lt;O175,O175&lt;30001),AND(57000&lt;O175,O175&lt;60001),AND(75000&lt;O175,O175&lt;77500)),$H175,VLOOKUP(O175,BDins,6,FALSE)))))</f>
        <v>12.64</v>
      </c>
      <c r="P177">
        <f>IF(P179&gt;10000,HLOOKUP(P179,O175:$O178,4,FALSE),IF(OR(AND(22500&lt;P175,P175&lt;25001),AND(50000&lt;P175,P175&lt;53501),AND(70000&lt;P175,P175&lt;72501)),$F175,IF(OR(AND(25001&lt;P175,P175&lt;27501),AND(53500&lt;P175,P175&lt;57001),AND(72500&lt;P175,P175&lt;75001)),$G175,IF(OR(AND(27500&lt;P175,P175&lt;30001),AND(57000&lt;P175,P175&lt;60001),AND(75000&lt;P175,P175&lt;77500)),$H175,VLOOKUP(P175,BDins,6,FALSE)))))</f>
        <v>14.12</v>
      </c>
      <c r="Q177">
        <f>IF(Q179&gt;10000,HLOOKUP(Q179,$O175:P178,4,FALSE),IF(OR(AND(22500&lt;Q175,Q175&lt;25001),AND(50000&lt;Q175,Q175&lt;53501),AND(70000&lt;Q175,Q175&lt;72501)),$F175,IF(OR(AND(25001&lt;Q175,Q175&lt;27501),AND(53500&lt;Q175,Q175&lt;57001),AND(72500&lt;Q175,Q175&lt;75001)),$G175,IF(OR(AND(27500&lt;Q175,Q175&lt;30001),AND(57000&lt;Q175,Q175&lt;60001),AND(75000&lt;Q175,Q175&lt;77500)),$H175,VLOOKUP(Q175,BDins,6,FALSE)))))</f>
        <v>17.59</v>
      </c>
      <c r="R177">
        <f>IF(R179&gt;10000,HLOOKUP(R179,$O175:Q178,4,FALSE),IF(OR(AND(22500&lt;R175,R175&lt;25001),AND(50000&lt;R175,R175&lt;53501),AND(70000&lt;R175,R175&lt;72501)),$F175,IF(OR(AND(25001&lt;R175,R175&lt;27501),AND(53500&lt;R175,R175&lt;57001),AND(72500&lt;R175,R175&lt;75001)),$G175,IF(OR(AND(27500&lt;R175,R175&lt;30001),AND(57000&lt;R175,R175&lt;60001),AND(75000&lt;R175,R175&lt;77500)),$H175,VLOOKUP(R175,BDins,6,FALSE)))))</f>
        <v>17.59</v>
      </c>
      <c r="S177">
        <f>IF(S179&gt;10000,HLOOKUP(S179,$O175:R178,4,FALSE),IF(OR(AND(22500&lt;S175,S175&lt;25001),AND(50000&lt;S175,S175&lt;53501),AND(70000&lt;S175,S175&lt;72501)),$F175,IF(OR(AND(25001&lt;S175,S175&lt;27501),AND(53500&lt;S175,S175&lt;57001),AND(72500&lt;S175,S175&lt;75001)),$G175,IF(OR(AND(27500&lt;S175,S175&lt;30001),AND(57000&lt;S175,S175&lt;60001),AND(75000&lt;S175,S175&lt;77500)),$H175,VLOOKUP(S175,BDins,6,FALSE)))))</f>
        <v>27</v>
      </c>
      <c r="T177">
        <f>IF(T179&gt;10000,HLOOKUP(T179,$O175:S178,4,FALSE),IF(OR(AND(22500&lt;T175,T175&lt;25001),AND(50000&lt;T175,T175&lt;53501),AND(70000&lt;T175,T175&lt;72501)),$F175,IF(OR(AND(25001&lt;T175,T175&lt;27501),AND(53500&lt;T175,T175&lt;57001),AND(72500&lt;T175,T175&lt;75001)),$G175,IF(OR(AND(27500&lt;T175,T175&lt;30001),AND(57000&lt;T175,T175&lt;60001),AND(75000&lt;T175,T175&lt;77500)),$H175,VLOOKUP(T175,BDins,6,FALSE)))))</f>
        <v>3.5</v>
      </c>
      <c r="U177">
        <f>IF(U179&gt;10000,HLOOKUP(U179,$O175:T178,4,FALSE),IF(OR(AND(22500&lt;U175,U175&lt;25001),AND(50000&lt;U175,U175&lt;53501),AND(70000&lt;U175,U175&lt;72501)),$F175,IF(OR(AND(25001&lt;U175,U175&lt;27501),AND(53500&lt;U175,U175&lt;57001),AND(72500&lt;U175,U175&lt;75001)),$G175,IF(OR(AND(27500&lt;U175,U175&lt;30001),AND(57000&lt;U175,U175&lt;60001),AND(75000&lt;U175,U175&lt;77500)),$H175,VLOOKUP(U175,BDins,6,FALSE)))))</f>
        <v>60.9</v>
      </c>
      <c r="V177">
        <f>IF(V179&gt;10000,HLOOKUP(V179,$O175:U178,4,FALSE),IF(OR(AND(22500&lt;V175,V175&lt;25001),AND(50000&lt;V175,V175&lt;53501),AND(70000&lt;V175,V175&lt;72501)),$F175,IF(OR(AND(25001&lt;V175,V175&lt;27501),AND(53500&lt;V175,V175&lt;57001),AND(72500&lt;V175,V175&lt;75001)),$G175,IF(OR(AND(27500&lt;V175,V175&lt;30001),AND(57000&lt;V175,V175&lt;60001),AND(75000&lt;V175,V175&lt;77500)),$H175,VLOOKUP(V175,BDins,6,FALSE)))))</f>
        <v>49.9</v>
      </c>
      <c r="W177">
        <f>IF(W179&gt;10000,HLOOKUP(W179,$O175:V178,4,FALSE),IF(OR(AND(22500&lt;W175,W175&lt;25001),AND(50000&lt;W175,W175&lt;53501),AND(70000&lt;W175,W175&lt;72501)),$F175,IF(OR(AND(25001&lt;W175,W175&lt;27501),AND(53500&lt;W175,W175&lt;57001),AND(72500&lt;W175,W175&lt;75001)),$G175,IF(OR(AND(27500&lt;W175,W175&lt;30001),AND(57000&lt;W175,W175&lt;60001),AND(75000&lt;W175,W175&lt;77500)),$H175,VLOOKUP(W175,BDins,6,FALSE)))))</f>
        <v>25</v>
      </c>
      <c r="X177">
        <f>IF(X179&gt;10000,HLOOKUP(X179,$O175:W178,4,FALSE),IF(OR(AND(22500&lt;X175,X175&lt;25001),AND(50000&lt;X175,X175&lt;53501),AND(70000&lt;X175,X175&lt;72501)),$F175,IF(OR(AND(25001&lt;X175,X175&lt;27501),AND(53500&lt;X175,X175&lt;57001),AND(72500&lt;X175,X175&lt;75001)),$G175,IF(OR(AND(27500&lt;X175,X175&lt;30001),AND(57000&lt;X175,X175&lt;60001),AND(75000&lt;X175,X175&lt;77500)),$H175,VLOOKUP(X175,BDins,6,FALSE)))))</f>
        <v>4</v>
      </c>
      <c r="Y177">
        <f>IF(Y179&gt;10000,HLOOKUP(Y179,$O175:X178,4,FALSE),IF(OR(AND(22500&lt;Y175,Y175&lt;25001),AND(50000&lt;Y175,Y175&lt;53501),AND(70000&lt;Y175,Y175&lt;72501)),$F175,IF(OR(AND(25001&lt;Y175,Y175&lt;27501),AND(53500&lt;Y175,Y175&lt;57001),AND(72500&lt;Y175,Y175&lt;75001)),$G175,IF(OR(AND(27500&lt;Y175,Y175&lt;30001),AND(57000&lt;Y175,Y175&lt;60001),AND(75000&lt;Y175,Y175&lt;77500)),$H175,VLOOKUP(Y175,BDins,6,FALSE)))))</f>
        <v>6</v>
      </c>
    </row>
    <row r="178" spans="1:25" x14ac:dyDescent="0.2">
      <c r="O178">
        <f t="shared" ref="O178:Y178" si="19">IF($K175&gt;0,ROUND(O176*$E175/100,DpCU),IF(O179&gt;10000,ROUND(HLOOKUP(O179,$O175:$Y178,4,FALSE)/100*O176,DpCU),IF(OR(O175&lt;20001,O175&gt;95000,AND(60000&lt;O175,O175&lt;70001)),ROUND(ROUND(O176*JL/$C175,DcCU)*O177,DpCU),IF(OR(AND(20000&lt;O175,O175&lt;22501),AND(30000&lt;O175,O175&lt;50001),77500&lt;O175),ROUND(O177*O176,DpCU),IF(OR(AND(22500&lt;O175,O175&lt;25001),AND(50000&lt;O175,O175&lt;53501),AND(70000&lt;O175,O175&lt;72501)),ROUND($F175/100*O176,DpCU),IF(OR(AND(25000&lt;O175,O175&lt;27501),AND(53500&lt;O175,O175&lt;57001),AND(72500&lt;O175,O175&lt;75001)),ROUND($G175/100*O176,DpCU),ROUND($H175/100*O176,DpCU)))))))</f>
        <v>65.73</v>
      </c>
      <c r="P178">
        <f t="shared" si="19"/>
        <v>5.65</v>
      </c>
      <c r="Q178">
        <f t="shared" si="19"/>
        <v>28.14</v>
      </c>
      <c r="R178">
        <f t="shared" si="19"/>
        <v>21.11</v>
      </c>
      <c r="S178">
        <f t="shared" si="19"/>
        <v>243</v>
      </c>
      <c r="T178">
        <f t="shared" si="19"/>
        <v>0.63</v>
      </c>
      <c r="U178">
        <f t="shared" si="19"/>
        <v>54.81</v>
      </c>
      <c r="V178">
        <f t="shared" si="19"/>
        <v>24.95</v>
      </c>
      <c r="W178">
        <f t="shared" si="19"/>
        <v>10</v>
      </c>
      <c r="X178">
        <f t="shared" si="19"/>
        <v>1.6</v>
      </c>
      <c r="Y178">
        <f t="shared" si="19"/>
        <v>2.4</v>
      </c>
    </row>
    <row r="179" spans="1:25" x14ac:dyDescent="0.2">
      <c r="B179" s="3" t="str">
        <f>A175&amp;"r"</f>
        <v>10035r</v>
      </c>
    </row>
    <row r="180" spans="1:25" x14ac:dyDescent="0.2">
      <c r="A180">
        <v>10036</v>
      </c>
      <c r="B180" s="3" t="s">
        <v>329</v>
      </c>
      <c r="C180" s="1">
        <f>ROUND(J180*JL*Frto/8,4)</f>
        <v>6</v>
      </c>
      <c r="D180" t="s">
        <v>160</v>
      </c>
      <c r="E180">
        <f>SUM($O183:$V183)</f>
        <v>87.07</v>
      </c>
      <c r="F180">
        <f>SUMIF($O180:$V180,"&lt;22501",$O183:$V183)</f>
        <v>40.299999999999997</v>
      </c>
      <c r="G180">
        <f>SUMIFS($O183:$V183,$O180:$V180,"&gt;30000",$O180:$V180,"&lt;50001")</f>
        <v>45.560000000000009</v>
      </c>
      <c r="H180">
        <f>SUMIFS($O183:$V183,$O180:$V180,"&gt;60000",$O180:$V180,"&lt;70001")</f>
        <v>0</v>
      </c>
      <c r="I180">
        <v>8</v>
      </c>
      <c r="J180">
        <v>6</v>
      </c>
      <c r="O180">
        <v>10001</v>
      </c>
      <c r="P180">
        <v>10004</v>
      </c>
      <c r="Q180">
        <v>30010</v>
      </c>
      <c r="R180">
        <v>30027</v>
      </c>
      <c r="S180">
        <v>30029</v>
      </c>
      <c r="T180">
        <v>30030</v>
      </c>
      <c r="U180">
        <v>30031</v>
      </c>
      <c r="V180">
        <v>70001</v>
      </c>
    </row>
    <row r="181" spans="1:25" x14ac:dyDescent="0.2">
      <c r="B181" s="3" t="str">
        <f>A180&amp;"C"</f>
        <v>10036C</v>
      </c>
      <c r="O181">
        <v>1</v>
      </c>
      <c r="P181">
        <v>1</v>
      </c>
      <c r="Q181">
        <v>5.77</v>
      </c>
      <c r="R181">
        <v>0.05</v>
      </c>
      <c r="S181">
        <v>0.1</v>
      </c>
      <c r="T181">
        <v>0.1</v>
      </c>
      <c r="U181">
        <v>0.18</v>
      </c>
      <c r="V181">
        <v>3</v>
      </c>
    </row>
    <row r="182" spans="1:25" x14ac:dyDescent="0.2">
      <c r="O182">
        <f>IF(O184&gt;10000,HLOOKUP(O184,N180:$O183,4,FALSE),IF(OR(AND(22500&lt;O180,O180&lt;25001),AND(50000&lt;O180,O180&lt;53501),AND(70000&lt;O180,O180&lt;72501)),$F180,IF(OR(AND(25001&lt;O180,O180&lt;27501),AND(53500&lt;O180,O180&lt;57001),AND(72500&lt;O180,O180&lt;75001)),$G180,IF(OR(AND(27500&lt;O180,O180&lt;30001),AND(57000&lt;O180,O180&lt;60001),AND(75000&lt;O180,O180&lt;77500)),$H180,VLOOKUP(O180,BDins,6,FALSE)))))</f>
        <v>12.64</v>
      </c>
      <c r="P182">
        <f>IF(P184&gt;10000,HLOOKUP(P184,O180:$O183,4,FALSE),IF(OR(AND(22500&lt;P180,P180&lt;25001),AND(50000&lt;P180,P180&lt;53501),AND(70000&lt;P180,P180&lt;72501)),$F180,IF(OR(AND(25001&lt;P180,P180&lt;27501),AND(53500&lt;P180,P180&lt;57001),AND(72500&lt;P180,P180&lt;75001)),$G180,IF(OR(AND(27500&lt;P180,P180&lt;30001),AND(57000&lt;P180,P180&lt;60001),AND(75000&lt;P180,P180&lt;77500)),$H180,VLOOKUP(P180,BDins,6,FALSE)))))</f>
        <v>17.59</v>
      </c>
      <c r="Q182">
        <f>IF(Q184&gt;10000,HLOOKUP(Q184,$O180:P183,4,FALSE),IF(OR(AND(22500&lt;Q180,Q180&lt;25001),AND(50000&lt;Q180,Q180&lt;53501),AND(70000&lt;Q180,Q180&lt;72501)),$F180,IF(OR(AND(25001&lt;Q180,Q180&lt;27501),AND(53500&lt;Q180,Q180&lt;57001),AND(72500&lt;Q180,Q180&lt;75001)),$G180,IF(OR(AND(27500&lt;Q180,Q180&lt;30001),AND(57000&lt;Q180,Q180&lt;60001),AND(75000&lt;Q180,Q180&lt;77500)),$H180,VLOOKUP(Q180,BDins,6,FALSE)))))</f>
        <v>7.5</v>
      </c>
      <c r="R182">
        <f>IF(R184&gt;10000,HLOOKUP(R184,$O180:Q183,4,FALSE),IF(OR(AND(22500&lt;R180,R180&lt;25001),AND(50000&lt;R180,R180&lt;53501),AND(70000&lt;R180,R180&lt;72501)),$F180,IF(OR(AND(25001&lt;R180,R180&lt;27501),AND(53500&lt;R180,R180&lt;57001),AND(72500&lt;R180,R180&lt;75001)),$G180,IF(OR(AND(27500&lt;R180,R180&lt;30001),AND(57000&lt;R180,R180&lt;60001),AND(75000&lt;R180,R180&lt;77500)),$H180,VLOOKUP(R180,BDins,6,FALSE)))))</f>
        <v>11.3</v>
      </c>
      <c r="S182">
        <f>IF(S184&gt;10000,HLOOKUP(S184,$O180:R183,4,FALSE),IF(OR(AND(22500&lt;S180,S180&lt;25001),AND(50000&lt;S180,S180&lt;53501),AND(70000&lt;S180,S180&lt;72501)),$F180,IF(OR(AND(25001&lt;S180,S180&lt;27501),AND(53500&lt;S180,S180&lt;57001),AND(72500&lt;S180,S180&lt;75001)),$G180,IF(OR(AND(27500&lt;S180,S180&lt;30001),AND(57000&lt;S180,S180&lt;60001),AND(75000&lt;S180,S180&lt;77500)),$H180,VLOOKUP(S180,BDins,6,FALSE)))))</f>
        <v>4.5</v>
      </c>
      <c r="T182">
        <f>IF(T184&gt;10000,HLOOKUP(T184,$O180:S183,4,FALSE),IF(OR(AND(22500&lt;T180,T180&lt;25001),AND(50000&lt;T180,T180&lt;53501),AND(70000&lt;T180,T180&lt;72501)),$F180,IF(OR(AND(25001&lt;T180,T180&lt;27501),AND(53500&lt;T180,T180&lt;57001),AND(72500&lt;T180,T180&lt;75001)),$G180,IF(OR(AND(27500&lt;T180,T180&lt;30001),AND(57000&lt;T180,T180&lt;60001),AND(75000&lt;T180,T180&lt;77500)),$H180,VLOOKUP(T180,BDins,6,FALSE)))))</f>
        <v>4.5</v>
      </c>
      <c r="U182">
        <f>IF(U184&gt;10000,HLOOKUP(U184,$O180:T183,4,FALSE),IF(OR(AND(22500&lt;U180,U180&lt;25001),AND(50000&lt;U180,U180&lt;53501),AND(70000&lt;U180,U180&lt;72501)),$F180,IF(OR(AND(25001&lt;U180,U180&lt;27501),AND(53500&lt;U180,U180&lt;57001),AND(72500&lt;U180,U180&lt;75001)),$G180,IF(OR(AND(27500&lt;U180,U180&lt;30001),AND(57000&lt;U180,U180&lt;60001),AND(75000&lt;U180,U180&lt;77500)),$H180,VLOOKUP(U180,BDins,6,FALSE)))))</f>
        <v>4.5</v>
      </c>
      <c r="V182">
        <f>IF(V184&gt;10000,HLOOKUP(V184,$O180:U183,4,FALSE),IF(OR(AND(22500&lt;V180,V180&lt;25001),AND(50000&lt;V180,V180&lt;53501),AND(70000&lt;V180,V180&lt;72501)),$F180,IF(OR(AND(25001&lt;V180,V180&lt;27501),AND(53500&lt;V180,V180&lt;57001),AND(72500&lt;V180,V180&lt;75001)),$G180,IF(OR(AND(27500&lt;V180,V180&lt;30001),AND(57000&lt;V180,V180&lt;60001),AND(75000&lt;V180,V180&lt;77500)),$H180,VLOOKUP(V180,BDins,6,FALSE)))))</f>
        <v>40.299999999999997</v>
      </c>
    </row>
    <row r="183" spans="1:25" x14ac:dyDescent="0.2">
      <c r="O183">
        <f t="shared" ref="O183:V183" si="20">IF($K180&gt;0,ROUND(O181*$E180/100,DpCU),IF(O184&gt;10000,ROUND(HLOOKUP(O184,$O180:$V183,4,FALSE)/100*O181,DpCU),IF(OR(O180&lt;20001,O180&gt;95000,AND(60000&lt;O180,O180&lt;70001)),ROUND(ROUND(O181*JL/$C180,DcCU)*O182,DpCU),IF(OR(AND(20000&lt;O180,O180&lt;22501),AND(30000&lt;O180,O180&lt;50001),77500&lt;O180),ROUND(O182*O181,DpCU),IF(OR(AND(22500&lt;O180,O180&lt;25001),AND(50000&lt;O180,O180&lt;53501),AND(70000&lt;O180,O180&lt;72501)),ROUND($F180/100*O181,DpCU),IF(OR(AND(25000&lt;O180,O180&lt;27501),AND(53500&lt;O180,O180&lt;57001),AND(72500&lt;O180,O180&lt;75001)),ROUND($G180/100*O181,DpCU),ROUND($H180/100*O181,DpCU)))))))</f>
        <v>16.850000000000001</v>
      </c>
      <c r="P183">
        <f t="shared" si="20"/>
        <v>23.45</v>
      </c>
      <c r="Q183">
        <f t="shared" si="20"/>
        <v>43.28</v>
      </c>
      <c r="R183">
        <f t="shared" si="20"/>
        <v>0.56999999999999995</v>
      </c>
      <c r="S183">
        <f t="shared" si="20"/>
        <v>0.45</v>
      </c>
      <c r="T183">
        <f t="shared" si="20"/>
        <v>0.45</v>
      </c>
      <c r="U183">
        <f t="shared" si="20"/>
        <v>0.81</v>
      </c>
      <c r="V183">
        <f t="shared" si="20"/>
        <v>1.21</v>
      </c>
    </row>
    <row r="184" spans="1:25" x14ac:dyDescent="0.2">
      <c r="B184" s="3" t="str">
        <f>A180&amp;"r"</f>
        <v>10036r</v>
      </c>
    </row>
    <row r="185" spans="1:25" x14ac:dyDescent="0.2">
      <c r="A185">
        <v>10037</v>
      </c>
      <c r="B185" s="3" t="s">
        <v>331</v>
      </c>
      <c r="C185" s="1">
        <f>ROUND(J185*JL*Frto/8,4)</f>
        <v>250</v>
      </c>
      <c r="D185" t="s">
        <v>169</v>
      </c>
      <c r="E185">
        <f>SUM($O188:$S188)</f>
        <v>4.76</v>
      </c>
      <c r="F185">
        <f>SUMIF($O185:$S185,"&lt;22501",$O188:$S188)</f>
        <v>1.01</v>
      </c>
      <c r="G185">
        <f>SUMIFS($O188:$S188,$O185:$S185,"&gt;30000",$O185:$S185,"&lt;50001")</f>
        <v>3.7</v>
      </c>
      <c r="H185">
        <f>SUMIFS($O188:$S188,$O185:$S185,"&gt;60000",$O185:$S185,"&lt;70001")</f>
        <v>0</v>
      </c>
      <c r="I185">
        <v>5</v>
      </c>
      <c r="J185">
        <v>250</v>
      </c>
      <c r="O185">
        <v>10003</v>
      </c>
      <c r="P185">
        <v>10004</v>
      </c>
      <c r="Q185">
        <v>30035</v>
      </c>
      <c r="R185">
        <v>30036</v>
      </c>
      <c r="S185">
        <v>70001</v>
      </c>
    </row>
    <row r="186" spans="1:25" x14ac:dyDescent="0.2">
      <c r="B186" s="3" t="str">
        <f>A185&amp;"C"</f>
        <v>10037C</v>
      </c>
      <c r="O186">
        <v>1</v>
      </c>
      <c r="P186">
        <v>1</v>
      </c>
      <c r="Q186">
        <v>1.07</v>
      </c>
      <c r="R186">
        <v>0.03</v>
      </c>
      <c r="S186">
        <v>5</v>
      </c>
    </row>
    <row r="187" spans="1:25" x14ac:dyDescent="0.2">
      <c r="O187">
        <f>IF(O189&gt;10000,HLOOKUP(O189,N185:$O188,4,FALSE),IF(OR(AND(22500&lt;O185,O185&lt;25001),AND(50000&lt;O185,O185&lt;53501),AND(70000&lt;O185,O185&lt;72501)),$F185,IF(OR(AND(25001&lt;O185,O185&lt;27501),AND(53500&lt;O185,O185&lt;57001),AND(72500&lt;O185,O185&lt;75001)),$G185,IF(OR(AND(27500&lt;O185,O185&lt;30001),AND(57000&lt;O185,O185&lt;60001),AND(75000&lt;O185,O185&lt;77500)),$H185,VLOOKUP(O185,BDins,6,FALSE)))))</f>
        <v>14.12</v>
      </c>
      <c r="P187">
        <f>IF(P189&gt;10000,HLOOKUP(P189,O185:$O188,4,FALSE),IF(OR(AND(22500&lt;P185,P185&lt;25001),AND(50000&lt;P185,P185&lt;53501),AND(70000&lt;P185,P185&lt;72501)),$F185,IF(OR(AND(25001&lt;P185,P185&lt;27501),AND(53500&lt;P185,P185&lt;57001),AND(72500&lt;P185,P185&lt;75001)),$G185,IF(OR(AND(27500&lt;P185,P185&lt;30001),AND(57000&lt;P185,P185&lt;60001),AND(75000&lt;P185,P185&lt;77500)),$H185,VLOOKUP(P185,BDins,6,FALSE)))))</f>
        <v>17.59</v>
      </c>
      <c r="Q187">
        <f>IF(Q189&gt;10000,HLOOKUP(Q189,$O185:P188,4,FALSE),IF(OR(AND(22500&lt;Q185,Q185&lt;25001),AND(50000&lt;Q185,Q185&lt;53501),AND(70000&lt;Q185,Q185&lt;72501)),$F185,IF(OR(AND(25001&lt;Q185,Q185&lt;27501),AND(53500&lt;Q185,Q185&lt;57001),AND(72500&lt;Q185,Q185&lt;75001)),$G185,IF(OR(AND(27500&lt;Q185,Q185&lt;30001),AND(57000&lt;Q185,Q185&lt;60001),AND(75000&lt;Q185,Q185&lt;77500)),$H185,VLOOKUP(Q185,BDins,6,FALSE)))))</f>
        <v>3.33</v>
      </c>
      <c r="R187">
        <f>IF(R189&gt;10000,HLOOKUP(R189,$O185:Q188,4,FALSE),IF(OR(AND(22500&lt;R185,R185&lt;25001),AND(50000&lt;R185,R185&lt;53501),AND(70000&lt;R185,R185&lt;72501)),$F185,IF(OR(AND(25001&lt;R185,R185&lt;27501),AND(53500&lt;R185,R185&lt;57001),AND(72500&lt;R185,R185&lt;75001)),$G185,IF(OR(AND(27500&lt;R185,R185&lt;30001),AND(57000&lt;R185,R185&lt;60001),AND(75000&lt;R185,R185&lt;77500)),$H185,VLOOKUP(R185,BDins,6,FALSE)))))</f>
        <v>4.5</v>
      </c>
      <c r="S187">
        <f>IF(S189&gt;10000,HLOOKUP(S189,$O185:R188,4,FALSE),IF(OR(AND(22500&lt;S185,S185&lt;25001),AND(50000&lt;S185,S185&lt;53501),AND(70000&lt;S185,S185&lt;72501)),$F185,IF(OR(AND(25001&lt;S185,S185&lt;27501),AND(53500&lt;S185,S185&lt;57001),AND(72500&lt;S185,S185&lt;75001)),$G185,IF(OR(AND(27500&lt;S185,S185&lt;30001),AND(57000&lt;S185,S185&lt;60001),AND(75000&lt;S185,S185&lt;77500)),$H185,VLOOKUP(S185,BDins,6,FALSE)))))</f>
        <v>1.01</v>
      </c>
    </row>
    <row r="188" spans="1:25" x14ac:dyDescent="0.2">
      <c r="O188">
        <f>IF($K185&gt;0,ROUND(O186*$E185/100,DpCU),IF(O189&gt;10000,ROUND(HLOOKUP(O189,$O185:$S188,4,FALSE)/100*O186,DpCU),IF(OR(O185&lt;20001,O185&gt;95000,AND(60000&lt;O185,O185&lt;70001)),ROUND(ROUND(O186*JL/$C185,DcCU)*O187,DpCU),IF(OR(AND(20000&lt;O185,O185&lt;22501),AND(30000&lt;O185,O185&lt;50001),77500&lt;O185),ROUND(O187*O186,DpCU),IF(OR(AND(22500&lt;O185,O185&lt;25001),AND(50000&lt;O185,O185&lt;53501),AND(70000&lt;O185,O185&lt;72501)),ROUND($F185/100*O186,DpCU),IF(OR(AND(25000&lt;O185,O185&lt;27501),AND(53500&lt;O185,O185&lt;57001),AND(72500&lt;O185,O185&lt;75001)),ROUND($G185/100*O186,DpCU),ROUND($H185/100*O186,DpCU)))))))</f>
        <v>0.45</v>
      </c>
      <c r="P188">
        <f>IF($K185&gt;0,ROUND(P186*$E185/100,DpCU),IF(P189&gt;10000,ROUND(HLOOKUP(P189,$O185:$S188,4,FALSE)/100*P186,DpCU),IF(OR(P185&lt;20001,P185&gt;95000,AND(60000&lt;P185,P185&lt;70001)),ROUND(ROUND(P186*JL/$C185,DcCU)*P187,DpCU),IF(OR(AND(20000&lt;P185,P185&lt;22501),AND(30000&lt;P185,P185&lt;50001),77500&lt;P185),ROUND(P187*P186,DpCU),IF(OR(AND(22500&lt;P185,P185&lt;25001),AND(50000&lt;P185,P185&lt;53501),AND(70000&lt;P185,P185&lt;72501)),ROUND($F185/100*P186,DpCU),IF(OR(AND(25000&lt;P185,P185&lt;27501),AND(53500&lt;P185,P185&lt;57001),AND(72500&lt;P185,P185&lt;75001)),ROUND($G185/100*P186,DpCU),ROUND($H185/100*P186,DpCU)))))))</f>
        <v>0.56000000000000005</v>
      </c>
      <c r="Q188">
        <f>IF($K185&gt;0,ROUND(Q186*$E185/100,DpCU),IF(Q189&gt;10000,ROUND(HLOOKUP(Q189,$O185:$S188,4,FALSE)/100*Q186,DpCU),IF(OR(Q185&lt;20001,Q185&gt;95000,AND(60000&lt;Q185,Q185&lt;70001)),ROUND(ROUND(Q186*JL/$C185,DcCU)*Q187,DpCU),IF(OR(AND(20000&lt;Q185,Q185&lt;22501),AND(30000&lt;Q185,Q185&lt;50001),77500&lt;Q185),ROUND(Q187*Q186,DpCU),IF(OR(AND(22500&lt;Q185,Q185&lt;25001),AND(50000&lt;Q185,Q185&lt;53501),AND(70000&lt;Q185,Q185&lt;72501)),ROUND($F185/100*Q186,DpCU),IF(OR(AND(25000&lt;Q185,Q185&lt;27501),AND(53500&lt;Q185,Q185&lt;57001),AND(72500&lt;Q185,Q185&lt;75001)),ROUND($G185/100*Q186,DpCU),ROUND($H185/100*Q186,DpCU)))))))</f>
        <v>3.56</v>
      </c>
      <c r="R188">
        <f>IF($K185&gt;0,ROUND(R186*$E185/100,DpCU),IF(R189&gt;10000,ROUND(HLOOKUP(R189,$O185:$S188,4,FALSE)/100*R186,DpCU),IF(OR(R185&lt;20001,R185&gt;95000,AND(60000&lt;R185,R185&lt;70001)),ROUND(ROUND(R186*JL/$C185,DcCU)*R187,DpCU),IF(OR(AND(20000&lt;R185,R185&lt;22501),AND(30000&lt;R185,R185&lt;50001),77500&lt;R185),ROUND(R187*R186,DpCU),IF(OR(AND(22500&lt;R185,R185&lt;25001),AND(50000&lt;R185,R185&lt;53501),AND(70000&lt;R185,R185&lt;72501)),ROUND($F185/100*R186,DpCU),IF(OR(AND(25000&lt;R185,R185&lt;27501),AND(53500&lt;R185,R185&lt;57001),AND(72500&lt;R185,R185&lt;75001)),ROUND($G185/100*R186,DpCU),ROUND($H185/100*R186,DpCU)))))))</f>
        <v>0.14000000000000001</v>
      </c>
      <c r="S188">
        <f>IF($K185&gt;0,ROUND(S186*$E185/100,DpCU),IF(S189&gt;10000,ROUND(HLOOKUP(S189,$O185:$S188,4,FALSE)/100*S186,DpCU),IF(OR(S185&lt;20001,S185&gt;95000,AND(60000&lt;S185,S185&lt;70001)),ROUND(ROUND(S186*JL/$C185,DcCU)*S187,DpCU),IF(OR(AND(20000&lt;S185,S185&lt;22501),AND(30000&lt;S185,S185&lt;50001),77500&lt;S185),ROUND(S187*S186,DpCU),IF(OR(AND(22500&lt;S185,S185&lt;25001),AND(50000&lt;S185,S185&lt;53501),AND(70000&lt;S185,S185&lt;72501)),ROUND($F185/100*S186,DpCU),IF(OR(AND(25000&lt;S185,S185&lt;27501),AND(53500&lt;S185,S185&lt;57001),AND(72500&lt;S185,S185&lt;75001)),ROUND($G185/100*S186,DpCU),ROUND($H185/100*S186,DpCU)))))))</f>
        <v>0.05</v>
      </c>
    </row>
    <row r="189" spans="1:25" x14ac:dyDescent="0.2">
      <c r="B189" s="3" t="str">
        <f>A185&amp;"r"</f>
        <v>10037r</v>
      </c>
    </row>
    <row r="190" spans="1:25" x14ac:dyDescent="0.2">
      <c r="A190">
        <v>10038</v>
      </c>
      <c r="B190" s="3" t="s">
        <v>337</v>
      </c>
      <c r="C190" s="1">
        <f>ROUND(J190*JL*Frto/8,4)</f>
        <v>5</v>
      </c>
      <c r="D190" t="s">
        <v>160</v>
      </c>
      <c r="E190">
        <f>SUM($O193:$V193)</f>
        <v>112.09</v>
      </c>
      <c r="F190">
        <f>SUMIF($O190:$V190,"&lt;22501",$O193:$V193)</f>
        <v>48.36</v>
      </c>
      <c r="G190">
        <f>SUMIFS($O193:$V193,$O190:$V190,"&gt;30000",$O190:$V190,"&lt;50001")</f>
        <v>63.730000000000004</v>
      </c>
      <c r="H190">
        <f>SUMIFS($O193:$V193,$O190:$V190,"&gt;60000",$O190:$V190,"&lt;70001")</f>
        <v>0</v>
      </c>
      <c r="I190">
        <v>8</v>
      </c>
      <c r="J190">
        <v>5</v>
      </c>
      <c r="O190">
        <v>10001</v>
      </c>
      <c r="P190">
        <v>10004</v>
      </c>
      <c r="Q190">
        <v>30001</v>
      </c>
      <c r="R190">
        <v>30010</v>
      </c>
      <c r="S190">
        <v>30022</v>
      </c>
      <c r="T190">
        <v>30034</v>
      </c>
      <c r="U190">
        <v>30040</v>
      </c>
      <c r="V190">
        <v>30041</v>
      </c>
    </row>
    <row r="191" spans="1:25" x14ac:dyDescent="0.2">
      <c r="B191" s="3" t="str">
        <f>A190&amp;"C"</f>
        <v>10038C</v>
      </c>
      <c r="O191">
        <v>1</v>
      </c>
      <c r="P191">
        <v>1</v>
      </c>
      <c r="Q191">
        <v>0.40560000000000002</v>
      </c>
      <c r="R191">
        <v>0.27210000000000001</v>
      </c>
      <c r="S191">
        <v>2.01E-2</v>
      </c>
      <c r="T191">
        <v>6.2899999999999998E-2</v>
      </c>
      <c r="U191">
        <v>0.2772</v>
      </c>
      <c r="V191">
        <v>6.8000000000000005E-2</v>
      </c>
    </row>
    <row r="192" spans="1:25" x14ac:dyDescent="0.2">
      <c r="O192">
        <f>IF(O194&gt;10000,HLOOKUP(O194,N190:$O193,4,FALSE),IF(OR(AND(22500&lt;O190,O190&lt;25001),AND(50000&lt;O190,O190&lt;53501),AND(70000&lt;O190,O190&lt;72501)),$F190,IF(OR(AND(25001&lt;O190,O190&lt;27501),AND(53500&lt;O190,O190&lt;57001),AND(72500&lt;O190,O190&lt;75001)),$G190,IF(OR(AND(27500&lt;O190,O190&lt;30001),AND(57000&lt;O190,O190&lt;60001),AND(75000&lt;O190,O190&lt;77500)),$H190,VLOOKUP(O190,BDins,6,FALSE)))))</f>
        <v>12.64</v>
      </c>
      <c r="P192">
        <f>IF(P194&gt;10000,HLOOKUP(P194,O190:$O193,4,FALSE),IF(OR(AND(22500&lt;P190,P190&lt;25001),AND(50000&lt;P190,P190&lt;53501),AND(70000&lt;P190,P190&lt;72501)),$F190,IF(OR(AND(25001&lt;P190,P190&lt;27501),AND(53500&lt;P190,P190&lt;57001),AND(72500&lt;P190,P190&lt;75001)),$G190,IF(OR(AND(27500&lt;P190,P190&lt;30001),AND(57000&lt;P190,P190&lt;60001),AND(75000&lt;P190,P190&lt;77500)),$H190,VLOOKUP(P190,BDins,6,FALSE)))))</f>
        <v>17.59</v>
      </c>
      <c r="Q192">
        <f>IF(Q194&gt;10000,HLOOKUP(Q194,$O190:P193,4,FALSE),IF(OR(AND(22500&lt;Q190,Q190&lt;25001),AND(50000&lt;Q190,Q190&lt;53501),AND(70000&lt;Q190,Q190&lt;72501)),$F190,IF(OR(AND(25001&lt;Q190,Q190&lt;27501),AND(53500&lt;Q190,Q190&lt;57001),AND(72500&lt;Q190,Q190&lt;75001)),$G190,IF(OR(AND(27500&lt;Q190,Q190&lt;30001),AND(57000&lt;Q190,Q190&lt;60001),AND(75000&lt;Q190,Q190&lt;77500)),$H190,VLOOKUP(Q190,BDins,6,FALSE)))))</f>
        <v>27</v>
      </c>
      <c r="R192">
        <f>IF(R194&gt;10000,HLOOKUP(R194,$O190:Q193,4,FALSE),IF(OR(AND(22500&lt;R190,R190&lt;25001),AND(50000&lt;R190,R190&lt;53501),AND(70000&lt;R190,R190&lt;72501)),$F190,IF(OR(AND(25001&lt;R190,R190&lt;27501),AND(53500&lt;R190,R190&lt;57001),AND(72500&lt;R190,R190&lt;75001)),$G190,IF(OR(AND(27500&lt;R190,R190&lt;30001),AND(57000&lt;R190,R190&lt;60001),AND(75000&lt;R190,R190&lt;77500)),$H190,VLOOKUP(R190,BDins,6,FALSE)))))</f>
        <v>7.5</v>
      </c>
      <c r="S192">
        <f>IF(S194&gt;10000,HLOOKUP(S194,$O190:R193,4,FALSE),IF(OR(AND(22500&lt;S190,S190&lt;25001),AND(50000&lt;S190,S190&lt;53501),AND(70000&lt;S190,S190&lt;72501)),$F190,IF(OR(AND(25001&lt;S190,S190&lt;27501),AND(53500&lt;S190,S190&lt;57001),AND(72500&lt;S190,S190&lt;75001)),$G190,IF(OR(AND(27500&lt;S190,S190&lt;30001),AND(57000&lt;S190,S190&lt;60001),AND(75000&lt;S190,S190&lt;77500)),$H190,VLOOKUP(S190,BDins,6,FALSE)))))</f>
        <v>3.5</v>
      </c>
      <c r="T192">
        <f>IF(T194&gt;10000,HLOOKUP(T194,$O190:S193,4,FALSE),IF(OR(AND(22500&lt;T190,T190&lt;25001),AND(50000&lt;T190,T190&lt;53501),AND(70000&lt;T190,T190&lt;72501)),$F190,IF(OR(AND(25001&lt;T190,T190&lt;27501),AND(53500&lt;T190,T190&lt;57001),AND(72500&lt;T190,T190&lt;75001)),$G190,IF(OR(AND(27500&lt;T190,T190&lt;30001),AND(57000&lt;T190,T190&lt;60001),AND(75000&lt;T190,T190&lt;77500)),$H190,VLOOKUP(T190,BDins,6,FALSE)))))</f>
        <v>49.9</v>
      </c>
      <c r="U192">
        <f>IF(U194&gt;10000,HLOOKUP(U194,$O190:T193,4,FALSE),IF(OR(AND(22500&lt;U190,U190&lt;25001),AND(50000&lt;U190,U190&lt;53501),AND(70000&lt;U190,U190&lt;72501)),$F190,IF(OR(AND(25001&lt;U190,U190&lt;27501),AND(53500&lt;U190,U190&lt;57001),AND(72500&lt;U190,U190&lt;75001)),$G190,IF(OR(AND(27500&lt;U190,U190&lt;30001),AND(57000&lt;U190,U190&lt;60001),AND(75000&lt;U190,U190&lt;77500)),$H190,VLOOKUP(U190,BDins,6,FALSE)))))</f>
        <v>12</v>
      </c>
      <c r="V192">
        <f>IF(V194&gt;10000,HLOOKUP(V194,$O190:U193,4,FALSE),IF(OR(AND(22500&lt;V190,V190&lt;25001),AND(50000&lt;V190,V190&lt;53501),AND(70000&lt;V190,V190&lt;72501)),$F190,IF(OR(AND(25001&lt;V190,V190&lt;27501),AND(53500&lt;V190,V190&lt;57001),AND(72500&lt;V190,V190&lt;75001)),$G190,IF(OR(AND(27500&lt;V190,V190&lt;30001),AND(57000&lt;V190,V190&lt;60001),AND(75000&lt;V190,V190&lt;77500)),$H190,VLOOKUP(V190,BDins,6,FALSE)))))</f>
        <v>650</v>
      </c>
    </row>
    <row r="193" spans="1:22" x14ac:dyDescent="0.2">
      <c r="O193">
        <f t="shared" ref="O193:V193" si="21">IF($K190&gt;0,ROUND(O191*$E190/100,DpCU),IF(O194&gt;10000,ROUND(HLOOKUP(O194,$O190:$V193,4,FALSE)/100*O191,DpCU),IF(OR(O190&lt;20001,O190&gt;95000,AND(60000&lt;O190,O190&lt;70001)),ROUND(ROUND(O191*JL/$C190,DcCU)*O192,DpCU),IF(OR(AND(20000&lt;O190,O190&lt;22501),AND(30000&lt;O190,O190&lt;50001),77500&lt;O190),ROUND(O192*O191,DpCU),IF(OR(AND(22500&lt;O190,O190&lt;25001),AND(50000&lt;O190,O190&lt;53501),AND(70000&lt;O190,O190&lt;72501)),ROUND($F190/100*O191,DpCU),IF(OR(AND(25000&lt;O190,O190&lt;27501),AND(53500&lt;O190,O190&lt;57001),AND(72500&lt;O190,O190&lt;75001)),ROUND($G190/100*O191,DpCU),ROUND($H190/100*O191,DpCU)))))))</f>
        <v>20.22</v>
      </c>
      <c r="P193">
        <f t="shared" si="21"/>
        <v>28.14</v>
      </c>
      <c r="Q193">
        <f t="shared" si="21"/>
        <v>10.95</v>
      </c>
      <c r="R193">
        <f t="shared" si="21"/>
        <v>2.04</v>
      </c>
      <c r="S193">
        <f t="shared" si="21"/>
        <v>7.0000000000000007E-2</v>
      </c>
      <c r="T193">
        <f t="shared" si="21"/>
        <v>3.14</v>
      </c>
      <c r="U193">
        <f t="shared" si="21"/>
        <v>3.33</v>
      </c>
      <c r="V193">
        <f t="shared" si="21"/>
        <v>44.2</v>
      </c>
    </row>
    <row r="194" spans="1:22" x14ac:dyDescent="0.2">
      <c r="B194" s="3" t="str">
        <f>A190&amp;"r"</f>
        <v>10038r</v>
      </c>
    </row>
    <row r="195" spans="1:22" x14ac:dyDescent="0.2">
      <c r="A195">
        <v>10039</v>
      </c>
      <c r="B195" s="3" t="s">
        <v>341</v>
      </c>
      <c r="C195" s="1">
        <f>ROUND(J195*JL*Frto/8,4)</f>
        <v>5</v>
      </c>
      <c r="D195" t="s">
        <v>160</v>
      </c>
      <c r="E195">
        <f>SUM($O198:$V198)</f>
        <v>84.82</v>
      </c>
      <c r="F195">
        <f>SUMIF($O195:$V195,"&lt;22501",$O198:$V198)</f>
        <v>48.36</v>
      </c>
      <c r="G195">
        <f>SUMIFS($O198:$V198,$O195:$V195,"&gt;30000",$O195:$V195,"&lt;50001")</f>
        <v>36.46</v>
      </c>
      <c r="H195">
        <f>SUMIFS($O198:$V198,$O195:$V195,"&gt;60000",$O195:$V195,"&lt;70001")</f>
        <v>0</v>
      </c>
      <c r="I195">
        <v>8</v>
      </c>
      <c r="J195">
        <v>5</v>
      </c>
      <c r="O195">
        <v>10001</v>
      </c>
      <c r="P195">
        <v>10004</v>
      </c>
      <c r="Q195">
        <v>30001</v>
      </c>
      <c r="R195">
        <v>30010</v>
      </c>
      <c r="S195">
        <v>30022</v>
      </c>
      <c r="T195">
        <v>30034</v>
      </c>
      <c r="U195">
        <v>30040</v>
      </c>
      <c r="V195">
        <v>30041</v>
      </c>
    </row>
    <row r="196" spans="1:22" x14ac:dyDescent="0.2">
      <c r="B196" s="3" t="str">
        <f>A195&amp;"C"</f>
        <v>10039C</v>
      </c>
      <c r="O196">
        <v>1</v>
      </c>
      <c r="P196">
        <v>1</v>
      </c>
      <c r="Q196">
        <v>0.19320000000000001</v>
      </c>
      <c r="R196">
        <v>0.27210000000000001</v>
      </c>
      <c r="S196">
        <v>9.5999999999999992E-3</v>
      </c>
      <c r="T196">
        <v>3.1899999999999998E-2</v>
      </c>
      <c r="U196">
        <v>0.13200000000000001</v>
      </c>
      <c r="V196">
        <v>0.04</v>
      </c>
    </row>
    <row r="197" spans="1:22" x14ac:dyDescent="0.2">
      <c r="O197">
        <f>IF(O199&gt;10000,HLOOKUP(O199,N195:$O198,4,FALSE),IF(OR(AND(22500&lt;O195,O195&lt;25001),AND(50000&lt;O195,O195&lt;53501),AND(70000&lt;O195,O195&lt;72501)),$F195,IF(OR(AND(25001&lt;O195,O195&lt;27501),AND(53500&lt;O195,O195&lt;57001),AND(72500&lt;O195,O195&lt;75001)),$G195,IF(OR(AND(27500&lt;O195,O195&lt;30001),AND(57000&lt;O195,O195&lt;60001),AND(75000&lt;O195,O195&lt;77500)),$H195,VLOOKUP(O195,BDins,6,FALSE)))))</f>
        <v>12.64</v>
      </c>
      <c r="P197">
        <f>IF(P199&gt;10000,HLOOKUP(P199,O195:$O198,4,FALSE),IF(OR(AND(22500&lt;P195,P195&lt;25001),AND(50000&lt;P195,P195&lt;53501),AND(70000&lt;P195,P195&lt;72501)),$F195,IF(OR(AND(25001&lt;P195,P195&lt;27501),AND(53500&lt;P195,P195&lt;57001),AND(72500&lt;P195,P195&lt;75001)),$G195,IF(OR(AND(27500&lt;P195,P195&lt;30001),AND(57000&lt;P195,P195&lt;60001),AND(75000&lt;P195,P195&lt;77500)),$H195,VLOOKUP(P195,BDins,6,FALSE)))))</f>
        <v>17.59</v>
      </c>
      <c r="Q197">
        <f>IF(Q199&gt;10000,HLOOKUP(Q199,$O195:P198,4,FALSE),IF(OR(AND(22500&lt;Q195,Q195&lt;25001),AND(50000&lt;Q195,Q195&lt;53501),AND(70000&lt;Q195,Q195&lt;72501)),$F195,IF(OR(AND(25001&lt;Q195,Q195&lt;27501),AND(53500&lt;Q195,Q195&lt;57001),AND(72500&lt;Q195,Q195&lt;75001)),$G195,IF(OR(AND(27500&lt;Q195,Q195&lt;30001),AND(57000&lt;Q195,Q195&lt;60001),AND(75000&lt;Q195,Q195&lt;77500)),$H195,VLOOKUP(Q195,BDins,6,FALSE)))))</f>
        <v>27</v>
      </c>
      <c r="R197">
        <f>IF(R199&gt;10000,HLOOKUP(R199,$O195:Q198,4,FALSE),IF(OR(AND(22500&lt;R195,R195&lt;25001),AND(50000&lt;R195,R195&lt;53501),AND(70000&lt;R195,R195&lt;72501)),$F195,IF(OR(AND(25001&lt;R195,R195&lt;27501),AND(53500&lt;R195,R195&lt;57001),AND(72500&lt;R195,R195&lt;75001)),$G195,IF(OR(AND(27500&lt;R195,R195&lt;30001),AND(57000&lt;R195,R195&lt;60001),AND(75000&lt;R195,R195&lt;77500)),$H195,VLOOKUP(R195,BDins,6,FALSE)))))</f>
        <v>7.5</v>
      </c>
      <c r="S197">
        <f>IF(S199&gt;10000,HLOOKUP(S199,$O195:R198,4,FALSE),IF(OR(AND(22500&lt;S195,S195&lt;25001),AND(50000&lt;S195,S195&lt;53501),AND(70000&lt;S195,S195&lt;72501)),$F195,IF(OR(AND(25001&lt;S195,S195&lt;27501),AND(53500&lt;S195,S195&lt;57001),AND(72500&lt;S195,S195&lt;75001)),$G195,IF(OR(AND(27500&lt;S195,S195&lt;30001),AND(57000&lt;S195,S195&lt;60001),AND(75000&lt;S195,S195&lt;77500)),$H195,VLOOKUP(S195,BDins,6,FALSE)))))</f>
        <v>3.5</v>
      </c>
      <c r="T197">
        <f>IF(T199&gt;10000,HLOOKUP(T199,$O195:S198,4,FALSE),IF(OR(AND(22500&lt;T195,T195&lt;25001),AND(50000&lt;T195,T195&lt;53501),AND(70000&lt;T195,T195&lt;72501)),$F195,IF(OR(AND(25001&lt;T195,T195&lt;27501),AND(53500&lt;T195,T195&lt;57001),AND(72500&lt;T195,T195&lt;75001)),$G195,IF(OR(AND(27500&lt;T195,T195&lt;30001),AND(57000&lt;T195,T195&lt;60001),AND(75000&lt;T195,T195&lt;77500)),$H195,VLOOKUP(T195,BDins,6,FALSE)))))</f>
        <v>49.9</v>
      </c>
      <c r="U197">
        <f>IF(U199&gt;10000,HLOOKUP(U199,$O195:T198,4,FALSE),IF(OR(AND(22500&lt;U195,U195&lt;25001),AND(50000&lt;U195,U195&lt;53501),AND(70000&lt;U195,U195&lt;72501)),$F195,IF(OR(AND(25001&lt;U195,U195&lt;27501),AND(53500&lt;U195,U195&lt;57001),AND(72500&lt;U195,U195&lt;75001)),$G195,IF(OR(AND(27500&lt;U195,U195&lt;30001),AND(57000&lt;U195,U195&lt;60001),AND(75000&lt;U195,U195&lt;77500)),$H195,VLOOKUP(U195,BDins,6,FALSE)))))</f>
        <v>12</v>
      </c>
      <c r="V197">
        <f>IF(V199&gt;10000,HLOOKUP(V199,$O195:U198,4,FALSE),IF(OR(AND(22500&lt;V195,V195&lt;25001),AND(50000&lt;V195,V195&lt;53501),AND(70000&lt;V195,V195&lt;72501)),$F195,IF(OR(AND(25001&lt;V195,V195&lt;27501),AND(53500&lt;V195,V195&lt;57001),AND(72500&lt;V195,V195&lt;75001)),$G195,IF(OR(AND(27500&lt;V195,V195&lt;30001),AND(57000&lt;V195,V195&lt;60001),AND(75000&lt;V195,V195&lt;77500)),$H195,VLOOKUP(V195,BDins,6,FALSE)))))</f>
        <v>650</v>
      </c>
    </row>
    <row r="198" spans="1:22" x14ac:dyDescent="0.2">
      <c r="O198">
        <f t="shared" ref="O198:V198" si="22">IF($K195&gt;0,ROUND(O196*$E195/100,DpCU),IF(O199&gt;10000,ROUND(HLOOKUP(O199,$O195:$V198,4,FALSE)/100*O196,DpCU),IF(OR(O195&lt;20001,O195&gt;95000,AND(60000&lt;O195,O195&lt;70001)),ROUND(ROUND(O196*JL/$C195,DcCU)*O197,DpCU),IF(OR(AND(20000&lt;O195,O195&lt;22501),AND(30000&lt;O195,O195&lt;50001),77500&lt;O195),ROUND(O197*O196,DpCU),IF(OR(AND(22500&lt;O195,O195&lt;25001),AND(50000&lt;O195,O195&lt;53501),AND(70000&lt;O195,O195&lt;72501)),ROUND($F195/100*O196,DpCU),IF(OR(AND(25000&lt;O195,O195&lt;27501),AND(53500&lt;O195,O195&lt;57001),AND(72500&lt;O195,O195&lt;75001)),ROUND($G195/100*O196,DpCU),ROUND($H195/100*O196,DpCU)))))))</f>
        <v>20.22</v>
      </c>
      <c r="P198">
        <f t="shared" si="22"/>
        <v>28.14</v>
      </c>
      <c r="Q198">
        <f t="shared" si="22"/>
        <v>5.22</v>
      </c>
      <c r="R198">
        <f t="shared" si="22"/>
        <v>2.04</v>
      </c>
      <c r="S198">
        <f t="shared" si="22"/>
        <v>0.03</v>
      </c>
      <c r="T198">
        <f t="shared" si="22"/>
        <v>1.59</v>
      </c>
      <c r="U198">
        <f t="shared" si="22"/>
        <v>1.58</v>
      </c>
      <c r="V198">
        <f t="shared" si="22"/>
        <v>26</v>
      </c>
    </row>
    <row r="199" spans="1:22" x14ac:dyDescent="0.2">
      <c r="B199" s="3" t="str">
        <f>A195&amp;"r"</f>
        <v>10039r</v>
      </c>
    </row>
    <row r="200" spans="1:22" x14ac:dyDescent="0.2">
      <c r="A200">
        <v>10040</v>
      </c>
      <c r="B200" s="3" t="s">
        <v>345</v>
      </c>
      <c r="C200" s="1">
        <f>ROUND(J200*JL*Frto/8,4)</f>
        <v>14</v>
      </c>
      <c r="D200" t="s">
        <v>160</v>
      </c>
      <c r="E200">
        <f>SUM($O203:$U203)</f>
        <v>22.740000000000002</v>
      </c>
      <c r="F200">
        <f>SUMIF($O200:$U200,"&lt;22501",$O203:$U203)</f>
        <v>13.66</v>
      </c>
      <c r="G200">
        <f>SUMIFS($O203:$U203,$O200:$U200,"&gt;30000",$O200:$U200,"&lt;50001")</f>
        <v>9.0799999999999983</v>
      </c>
      <c r="H200">
        <f>SUMIFS($O203:$U203,$O200:$U200,"&gt;60000",$O200:$U200,"&lt;70001")</f>
        <v>0</v>
      </c>
      <c r="I200">
        <v>7</v>
      </c>
      <c r="J200">
        <v>14</v>
      </c>
      <c r="O200">
        <v>10001</v>
      </c>
      <c r="P200">
        <v>10004</v>
      </c>
      <c r="Q200">
        <v>30001</v>
      </c>
      <c r="R200">
        <v>30010</v>
      </c>
      <c r="S200">
        <v>30022</v>
      </c>
      <c r="T200">
        <v>30042</v>
      </c>
      <c r="U200">
        <v>30043</v>
      </c>
    </row>
    <row r="201" spans="1:22" x14ac:dyDescent="0.2">
      <c r="B201" s="3" t="str">
        <f>A200&amp;"C"</f>
        <v>10040C</v>
      </c>
      <c r="O201">
        <v>0.5</v>
      </c>
      <c r="P201">
        <v>1</v>
      </c>
      <c r="Q201">
        <v>0.16650000000000001</v>
      </c>
      <c r="R201">
        <v>0.434</v>
      </c>
      <c r="S201">
        <v>6.0000000000000001E-3</v>
      </c>
      <c r="T201">
        <v>2.3599999999999999E-2</v>
      </c>
      <c r="U201">
        <v>2E-3</v>
      </c>
    </row>
    <row r="202" spans="1:22" x14ac:dyDescent="0.2">
      <c r="O202">
        <f>IF(O204&gt;10000,HLOOKUP(O204,N200:$O203,4,FALSE),IF(OR(AND(22500&lt;O200,O200&lt;25001),AND(50000&lt;O200,O200&lt;53501),AND(70000&lt;O200,O200&lt;72501)),$F200,IF(OR(AND(25001&lt;O200,O200&lt;27501),AND(53500&lt;O200,O200&lt;57001),AND(72500&lt;O200,O200&lt;75001)),$G200,IF(OR(AND(27500&lt;O200,O200&lt;30001),AND(57000&lt;O200,O200&lt;60001),AND(75000&lt;O200,O200&lt;77500)),$H200,VLOOKUP(O200,BDins,6,FALSE)))))</f>
        <v>12.64</v>
      </c>
      <c r="P202">
        <f>IF(P204&gt;10000,HLOOKUP(P204,O200:$O203,4,FALSE),IF(OR(AND(22500&lt;P200,P200&lt;25001),AND(50000&lt;P200,P200&lt;53501),AND(70000&lt;P200,P200&lt;72501)),$F200,IF(OR(AND(25001&lt;P200,P200&lt;27501),AND(53500&lt;P200,P200&lt;57001),AND(72500&lt;P200,P200&lt;75001)),$G200,IF(OR(AND(27500&lt;P200,P200&lt;30001),AND(57000&lt;P200,P200&lt;60001),AND(75000&lt;P200,P200&lt;77500)),$H200,VLOOKUP(P200,BDins,6,FALSE)))))</f>
        <v>17.59</v>
      </c>
      <c r="Q202">
        <f>IF(Q204&gt;10000,HLOOKUP(Q204,$O200:P203,4,FALSE),IF(OR(AND(22500&lt;Q200,Q200&lt;25001),AND(50000&lt;Q200,Q200&lt;53501),AND(70000&lt;Q200,Q200&lt;72501)),$F200,IF(OR(AND(25001&lt;Q200,Q200&lt;27501),AND(53500&lt;Q200,Q200&lt;57001),AND(72500&lt;Q200,Q200&lt;75001)),$G200,IF(OR(AND(27500&lt;Q200,Q200&lt;30001),AND(57000&lt;Q200,Q200&lt;60001),AND(75000&lt;Q200,Q200&lt;77500)),$H200,VLOOKUP(Q200,BDins,6,FALSE)))))</f>
        <v>27</v>
      </c>
      <c r="R202">
        <f>IF(R204&gt;10000,HLOOKUP(R204,$O200:Q203,4,FALSE),IF(OR(AND(22500&lt;R200,R200&lt;25001),AND(50000&lt;R200,R200&lt;53501),AND(70000&lt;R200,R200&lt;72501)),$F200,IF(OR(AND(25001&lt;R200,R200&lt;27501),AND(53500&lt;R200,R200&lt;57001),AND(72500&lt;R200,R200&lt;75001)),$G200,IF(OR(AND(27500&lt;R200,R200&lt;30001),AND(57000&lt;R200,R200&lt;60001),AND(75000&lt;R200,R200&lt;77500)),$H200,VLOOKUP(R200,BDins,6,FALSE)))))</f>
        <v>7.5</v>
      </c>
      <c r="S202">
        <f>IF(S204&gt;10000,HLOOKUP(S204,$O200:R203,4,FALSE),IF(OR(AND(22500&lt;S200,S200&lt;25001),AND(50000&lt;S200,S200&lt;53501),AND(70000&lt;S200,S200&lt;72501)),$F200,IF(OR(AND(25001&lt;S200,S200&lt;27501),AND(53500&lt;S200,S200&lt;57001),AND(72500&lt;S200,S200&lt;75001)),$G200,IF(OR(AND(27500&lt;S200,S200&lt;30001),AND(57000&lt;S200,S200&lt;60001),AND(75000&lt;S200,S200&lt;77500)),$H200,VLOOKUP(S200,BDins,6,FALSE)))))</f>
        <v>3.5</v>
      </c>
      <c r="T202">
        <f>IF(T204&gt;10000,HLOOKUP(T204,$O200:S203,4,FALSE),IF(OR(AND(22500&lt;T200,T200&lt;25001),AND(50000&lt;T200,T200&lt;53501),AND(70000&lt;T200,T200&lt;72501)),$F200,IF(OR(AND(25001&lt;T200,T200&lt;27501),AND(53500&lt;T200,T200&lt;57001),AND(72500&lt;T200,T200&lt;75001)),$G200,IF(OR(AND(27500&lt;T200,T200&lt;30001),AND(57000&lt;T200,T200&lt;60001),AND(75000&lt;T200,T200&lt;77500)),$H200,VLOOKUP(T200,BDins,6,FALSE)))))</f>
        <v>49.9</v>
      </c>
      <c r="U202">
        <f>IF(U204&gt;10000,HLOOKUP(U204,$O200:T203,4,FALSE),IF(OR(AND(22500&lt;U200,U200&lt;25001),AND(50000&lt;U200,U200&lt;53501),AND(70000&lt;U200,U200&lt;72501)),$F200,IF(OR(AND(25001&lt;U200,U200&lt;27501),AND(53500&lt;U200,U200&lt;57001),AND(72500&lt;U200,U200&lt;75001)),$G200,IF(OR(AND(27500&lt;U200,U200&lt;30001),AND(57000&lt;U200,U200&lt;60001),AND(75000&lt;U200,U200&lt;77500)),$H200,VLOOKUP(U200,BDins,6,FALSE)))))</f>
        <v>60</v>
      </c>
    </row>
    <row r="203" spans="1:22" x14ac:dyDescent="0.2">
      <c r="O203">
        <f t="shared" ref="O203:U203" si="23">IF($K200&gt;0,ROUND(O201*$E200/100,DpCU),IF(O204&gt;10000,ROUND(HLOOKUP(O204,$O200:$U203,4,FALSE)/100*O201,DpCU),IF(OR(O200&lt;20001,O200&gt;95000,AND(60000&lt;O200,O200&lt;70001)),ROUND(ROUND(O201*JL/$C200,DcCU)*O202,DpCU),IF(OR(AND(20000&lt;O200,O200&lt;22501),AND(30000&lt;O200,O200&lt;50001),77500&lt;O200),ROUND(O202*O201,DpCU),IF(OR(AND(22500&lt;O200,O200&lt;25001),AND(50000&lt;O200,O200&lt;53501),AND(70000&lt;O200,O200&lt;72501)),ROUND($F200/100*O201,DpCU),IF(OR(AND(25000&lt;O200,O200&lt;27501),AND(53500&lt;O200,O200&lt;57001),AND(72500&lt;O200,O200&lt;75001)),ROUND($G200/100*O201,DpCU),ROUND($H200/100*O201,DpCU)))))))</f>
        <v>3.61</v>
      </c>
      <c r="P203">
        <f t="shared" si="23"/>
        <v>10.050000000000001</v>
      </c>
      <c r="Q203">
        <f t="shared" si="23"/>
        <v>4.5</v>
      </c>
      <c r="R203">
        <f t="shared" si="23"/>
        <v>3.26</v>
      </c>
      <c r="S203">
        <f t="shared" si="23"/>
        <v>0.02</v>
      </c>
      <c r="T203">
        <f t="shared" si="23"/>
        <v>1.18</v>
      </c>
      <c r="U203">
        <f t="shared" si="23"/>
        <v>0.12</v>
      </c>
    </row>
    <row r="204" spans="1:22" x14ac:dyDescent="0.2">
      <c r="B204" s="3" t="str">
        <f>A200&amp;"r"</f>
        <v>10040r</v>
      </c>
    </row>
    <row r="205" spans="1:22" x14ac:dyDescent="0.2">
      <c r="A205">
        <v>10041</v>
      </c>
      <c r="B205" s="3" t="s">
        <v>349</v>
      </c>
      <c r="C205" s="1">
        <f>ROUND(J205*JL*Frto/8,4)</f>
        <v>10</v>
      </c>
      <c r="D205" t="s">
        <v>160</v>
      </c>
      <c r="E205">
        <f>SUM($O208:$V208)</f>
        <v>34.22</v>
      </c>
      <c r="F205">
        <f>SUMIF($O205:$V205,"&lt;22501",$O208:$V208)</f>
        <v>21.65</v>
      </c>
      <c r="G205">
        <f>SUMIFS($O208:$V208,$O205:$V205,"&gt;30000",$O205:$V205,"&lt;50001")</f>
        <v>6.5699999999999994</v>
      </c>
      <c r="H205">
        <f>SUMIFS($O208:$V208,$O205:$V205,"&gt;60000",$O205:$V205,"&lt;70001")</f>
        <v>6</v>
      </c>
      <c r="I205">
        <v>8</v>
      </c>
      <c r="J205">
        <v>10</v>
      </c>
      <c r="O205">
        <v>10001</v>
      </c>
      <c r="P205">
        <v>10004</v>
      </c>
      <c r="Q205">
        <v>30001</v>
      </c>
      <c r="R205">
        <v>30010</v>
      </c>
      <c r="S205">
        <v>30022</v>
      </c>
      <c r="T205">
        <v>30042</v>
      </c>
      <c r="U205">
        <v>30043</v>
      </c>
      <c r="V205">
        <v>60015</v>
      </c>
    </row>
    <row r="206" spans="1:22" x14ac:dyDescent="0.2">
      <c r="B206" s="3" t="str">
        <f>A205&amp;"C"</f>
        <v>10041C</v>
      </c>
      <c r="O206">
        <v>0.75</v>
      </c>
      <c r="P206">
        <v>1</v>
      </c>
      <c r="Q206">
        <v>0.16650000000000001</v>
      </c>
      <c r="R206">
        <v>0.1</v>
      </c>
      <c r="S206">
        <v>6.7999999999999996E-3</v>
      </c>
      <c r="T206">
        <v>2.3599999999999999E-2</v>
      </c>
      <c r="U206">
        <v>2E-3</v>
      </c>
      <c r="V206">
        <v>2</v>
      </c>
    </row>
    <row r="207" spans="1:22" x14ac:dyDescent="0.2">
      <c r="O207">
        <f>IF(O209&gt;10000,HLOOKUP(O209,N205:$O208,4,FALSE),IF(OR(AND(22500&lt;O205,O205&lt;25001),AND(50000&lt;O205,O205&lt;53501),AND(70000&lt;O205,O205&lt;72501)),$F205,IF(OR(AND(25001&lt;O205,O205&lt;27501),AND(53500&lt;O205,O205&lt;57001),AND(72500&lt;O205,O205&lt;75001)),$G205,IF(OR(AND(27500&lt;O205,O205&lt;30001),AND(57000&lt;O205,O205&lt;60001),AND(75000&lt;O205,O205&lt;77500)),$H205,VLOOKUP(O205,BDins,6,FALSE)))))</f>
        <v>12.64</v>
      </c>
      <c r="P207">
        <f>IF(P209&gt;10000,HLOOKUP(P209,O205:$O208,4,FALSE),IF(OR(AND(22500&lt;P205,P205&lt;25001),AND(50000&lt;P205,P205&lt;53501),AND(70000&lt;P205,P205&lt;72501)),$F205,IF(OR(AND(25001&lt;P205,P205&lt;27501),AND(53500&lt;P205,P205&lt;57001),AND(72500&lt;P205,P205&lt;75001)),$G205,IF(OR(AND(27500&lt;P205,P205&lt;30001),AND(57000&lt;P205,P205&lt;60001),AND(75000&lt;P205,P205&lt;77500)),$H205,VLOOKUP(P205,BDins,6,FALSE)))))</f>
        <v>17.59</v>
      </c>
      <c r="Q207">
        <f>IF(Q209&gt;10000,HLOOKUP(Q209,$O205:P208,4,FALSE),IF(OR(AND(22500&lt;Q205,Q205&lt;25001),AND(50000&lt;Q205,Q205&lt;53501),AND(70000&lt;Q205,Q205&lt;72501)),$F205,IF(OR(AND(25001&lt;Q205,Q205&lt;27501),AND(53500&lt;Q205,Q205&lt;57001),AND(72500&lt;Q205,Q205&lt;75001)),$G205,IF(OR(AND(27500&lt;Q205,Q205&lt;30001),AND(57000&lt;Q205,Q205&lt;60001),AND(75000&lt;Q205,Q205&lt;77500)),$H205,VLOOKUP(Q205,BDins,6,FALSE)))))</f>
        <v>27</v>
      </c>
      <c r="R207">
        <f>IF(R209&gt;10000,HLOOKUP(R209,$O205:Q208,4,FALSE),IF(OR(AND(22500&lt;R205,R205&lt;25001),AND(50000&lt;R205,R205&lt;53501),AND(70000&lt;R205,R205&lt;72501)),$F205,IF(OR(AND(25001&lt;R205,R205&lt;27501),AND(53500&lt;R205,R205&lt;57001),AND(72500&lt;R205,R205&lt;75001)),$G205,IF(OR(AND(27500&lt;R205,R205&lt;30001),AND(57000&lt;R205,R205&lt;60001),AND(75000&lt;R205,R205&lt;77500)),$H205,VLOOKUP(R205,BDins,6,FALSE)))))</f>
        <v>7.5</v>
      </c>
      <c r="S207">
        <f>IF(S209&gt;10000,HLOOKUP(S209,$O205:R208,4,FALSE),IF(OR(AND(22500&lt;S205,S205&lt;25001),AND(50000&lt;S205,S205&lt;53501),AND(70000&lt;S205,S205&lt;72501)),$F205,IF(OR(AND(25001&lt;S205,S205&lt;27501),AND(53500&lt;S205,S205&lt;57001),AND(72500&lt;S205,S205&lt;75001)),$G205,IF(OR(AND(27500&lt;S205,S205&lt;30001),AND(57000&lt;S205,S205&lt;60001),AND(75000&lt;S205,S205&lt;77500)),$H205,VLOOKUP(S205,BDins,6,FALSE)))))</f>
        <v>3.5</v>
      </c>
      <c r="T207">
        <f>IF(T209&gt;10000,HLOOKUP(T209,$O205:S208,4,FALSE),IF(OR(AND(22500&lt;T205,T205&lt;25001),AND(50000&lt;T205,T205&lt;53501),AND(70000&lt;T205,T205&lt;72501)),$F205,IF(OR(AND(25001&lt;T205,T205&lt;27501),AND(53500&lt;T205,T205&lt;57001),AND(72500&lt;T205,T205&lt;75001)),$G205,IF(OR(AND(27500&lt;T205,T205&lt;30001),AND(57000&lt;T205,T205&lt;60001),AND(75000&lt;T205,T205&lt;77500)),$H205,VLOOKUP(T205,BDins,6,FALSE)))))</f>
        <v>49.9</v>
      </c>
      <c r="U207">
        <f>IF(U209&gt;10000,HLOOKUP(U209,$O205:T208,4,FALSE),IF(OR(AND(22500&lt;U205,U205&lt;25001),AND(50000&lt;U205,U205&lt;53501),AND(70000&lt;U205,U205&lt;72501)),$F205,IF(OR(AND(25001&lt;U205,U205&lt;27501),AND(53500&lt;U205,U205&lt;57001),AND(72500&lt;U205,U205&lt;75001)),$G205,IF(OR(AND(27500&lt;U205,U205&lt;30001),AND(57000&lt;U205,U205&lt;60001),AND(75000&lt;U205,U205&lt;77500)),$H205,VLOOKUP(U205,BDins,6,FALSE)))))</f>
        <v>60</v>
      </c>
      <c r="V207">
        <f>IF(V209&gt;10000,HLOOKUP(V209,$O205:U208,4,FALSE),IF(OR(AND(22500&lt;V205,V205&lt;25001),AND(50000&lt;V205,V205&lt;53501),AND(70000&lt;V205,V205&lt;72501)),$F205,IF(OR(AND(25001&lt;V205,V205&lt;27501),AND(53500&lt;V205,V205&lt;57001),AND(72500&lt;V205,V205&lt;75001)),$G205,IF(OR(AND(27500&lt;V205,V205&lt;30001),AND(57000&lt;V205,V205&lt;60001),AND(75000&lt;V205,V205&lt;77500)),$H205,VLOOKUP(V205,BDins,6,FALSE)))))</f>
        <v>3.75</v>
      </c>
    </row>
    <row r="208" spans="1:22" x14ac:dyDescent="0.2">
      <c r="O208">
        <f t="shared" ref="O208:V208" si="24">IF($K205&gt;0,ROUND(O206*$E205/100,DpCU),IF(O209&gt;10000,ROUND(HLOOKUP(O209,$O205:$V208,4,FALSE)/100*O206,DpCU),IF(OR(O205&lt;20001,O205&gt;95000,AND(60000&lt;O205,O205&lt;70001)),ROUND(ROUND(O206*JL/$C205,DcCU)*O207,DpCU),IF(OR(AND(20000&lt;O205,O205&lt;22501),AND(30000&lt;O205,O205&lt;50001),77500&lt;O205),ROUND(O207*O206,DpCU),IF(OR(AND(22500&lt;O205,O205&lt;25001),AND(50000&lt;O205,O205&lt;53501),AND(70000&lt;O205,O205&lt;72501)),ROUND($F205/100*O206,DpCU),IF(OR(AND(25000&lt;O205,O205&lt;27501),AND(53500&lt;O205,O205&lt;57001),AND(72500&lt;O205,O205&lt;75001)),ROUND($G205/100*O206,DpCU),ROUND($H205/100*O206,DpCU)))))))</f>
        <v>7.58</v>
      </c>
      <c r="P208">
        <f t="shared" si="24"/>
        <v>14.07</v>
      </c>
      <c r="Q208">
        <f t="shared" si="24"/>
        <v>4.5</v>
      </c>
      <c r="R208">
        <f t="shared" si="24"/>
        <v>0.75</v>
      </c>
      <c r="S208">
        <f t="shared" si="24"/>
        <v>0.02</v>
      </c>
      <c r="T208">
        <f t="shared" si="24"/>
        <v>1.18</v>
      </c>
      <c r="U208">
        <f t="shared" si="24"/>
        <v>0.12</v>
      </c>
      <c r="V208">
        <f t="shared" si="24"/>
        <v>6</v>
      </c>
    </row>
    <row r="209" spans="1:22" x14ac:dyDescent="0.2">
      <c r="B209" s="3" t="str">
        <f>A205&amp;"r"</f>
        <v>10041r</v>
      </c>
    </row>
    <row r="210" spans="1:22" x14ac:dyDescent="0.2">
      <c r="A210">
        <v>10042</v>
      </c>
      <c r="B210" s="3" t="s">
        <v>351</v>
      </c>
      <c r="C210" s="1">
        <f>ROUND(J210*JL*Frto/8,4)</f>
        <v>6</v>
      </c>
      <c r="D210" t="s">
        <v>160</v>
      </c>
      <c r="E210">
        <f>SUM($O213:$V213)</f>
        <v>44.129999999999995</v>
      </c>
      <c r="F210">
        <f>SUMIF($O210:$V210,"&lt;22501",$O213:$V213)</f>
        <v>31.88</v>
      </c>
      <c r="G210">
        <f>SUMIFS($O213:$V213,$O210:$V210,"&gt;30000",$O210:$V210,"&lt;50001")</f>
        <v>7.2500000000000009</v>
      </c>
      <c r="H210">
        <f>SUMIFS($O213:$V213,$O210:$V210,"&gt;60000",$O210:$V210,"&lt;70001")</f>
        <v>5</v>
      </c>
      <c r="I210">
        <v>8</v>
      </c>
      <c r="J210">
        <v>6</v>
      </c>
      <c r="O210">
        <v>10001</v>
      </c>
      <c r="P210">
        <v>10004</v>
      </c>
      <c r="Q210">
        <v>30001</v>
      </c>
      <c r="R210">
        <v>30010</v>
      </c>
      <c r="S210">
        <v>30022</v>
      </c>
      <c r="T210">
        <v>30042</v>
      </c>
      <c r="U210">
        <v>30043</v>
      </c>
      <c r="V210">
        <v>60015</v>
      </c>
    </row>
    <row r="211" spans="1:22" x14ac:dyDescent="0.2">
      <c r="B211" s="3" t="str">
        <f>A210&amp;"C"</f>
        <v>10042C</v>
      </c>
      <c r="O211">
        <v>0.5</v>
      </c>
      <c r="P211">
        <v>1</v>
      </c>
      <c r="Q211">
        <v>0.17499999999999999</v>
      </c>
      <c r="R211">
        <v>0.13</v>
      </c>
      <c r="S211">
        <v>6.0000000000000001E-3</v>
      </c>
      <c r="T211">
        <v>2.8000000000000001E-2</v>
      </c>
      <c r="U211">
        <v>2E-3</v>
      </c>
      <c r="V211">
        <v>1</v>
      </c>
    </row>
    <row r="212" spans="1:22" x14ac:dyDescent="0.2">
      <c r="O212">
        <f>IF(O214&gt;10000,HLOOKUP(O214,N210:$O213,4,FALSE),IF(OR(AND(22500&lt;O210,O210&lt;25001),AND(50000&lt;O210,O210&lt;53501),AND(70000&lt;O210,O210&lt;72501)),$F210,IF(OR(AND(25001&lt;O210,O210&lt;27501),AND(53500&lt;O210,O210&lt;57001),AND(72500&lt;O210,O210&lt;75001)),$G210,IF(OR(AND(27500&lt;O210,O210&lt;30001),AND(57000&lt;O210,O210&lt;60001),AND(75000&lt;O210,O210&lt;77500)),$H210,VLOOKUP(O210,BDins,6,FALSE)))))</f>
        <v>12.64</v>
      </c>
      <c r="P212">
        <f>IF(P214&gt;10000,HLOOKUP(P214,O210:$O213,4,FALSE),IF(OR(AND(22500&lt;P210,P210&lt;25001),AND(50000&lt;P210,P210&lt;53501),AND(70000&lt;P210,P210&lt;72501)),$F210,IF(OR(AND(25001&lt;P210,P210&lt;27501),AND(53500&lt;P210,P210&lt;57001),AND(72500&lt;P210,P210&lt;75001)),$G210,IF(OR(AND(27500&lt;P210,P210&lt;30001),AND(57000&lt;P210,P210&lt;60001),AND(75000&lt;P210,P210&lt;77500)),$H210,VLOOKUP(P210,BDins,6,FALSE)))))</f>
        <v>17.59</v>
      </c>
      <c r="Q212">
        <f>IF(Q214&gt;10000,HLOOKUP(Q214,$O210:P213,4,FALSE),IF(OR(AND(22500&lt;Q210,Q210&lt;25001),AND(50000&lt;Q210,Q210&lt;53501),AND(70000&lt;Q210,Q210&lt;72501)),$F210,IF(OR(AND(25001&lt;Q210,Q210&lt;27501),AND(53500&lt;Q210,Q210&lt;57001),AND(72500&lt;Q210,Q210&lt;75001)),$G210,IF(OR(AND(27500&lt;Q210,Q210&lt;30001),AND(57000&lt;Q210,Q210&lt;60001),AND(75000&lt;Q210,Q210&lt;77500)),$H210,VLOOKUP(Q210,BDins,6,FALSE)))))</f>
        <v>27</v>
      </c>
      <c r="R212">
        <f>IF(R214&gt;10000,HLOOKUP(R214,$O210:Q213,4,FALSE),IF(OR(AND(22500&lt;R210,R210&lt;25001),AND(50000&lt;R210,R210&lt;53501),AND(70000&lt;R210,R210&lt;72501)),$F210,IF(OR(AND(25001&lt;R210,R210&lt;27501),AND(53500&lt;R210,R210&lt;57001),AND(72500&lt;R210,R210&lt;75001)),$G210,IF(OR(AND(27500&lt;R210,R210&lt;30001),AND(57000&lt;R210,R210&lt;60001),AND(75000&lt;R210,R210&lt;77500)),$H210,VLOOKUP(R210,BDins,6,FALSE)))))</f>
        <v>7.5</v>
      </c>
      <c r="S212">
        <f>IF(S214&gt;10000,HLOOKUP(S214,$O210:R213,4,FALSE),IF(OR(AND(22500&lt;S210,S210&lt;25001),AND(50000&lt;S210,S210&lt;53501),AND(70000&lt;S210,S210&lt;72501)),$F210,IF(OR(AND(25001&lt;S210,S210&lt;27501),AND(53500&lt;S210,S210&lt;57001),AND(72500&lt;S210,S210&lt;75001)),$G210,IF(OR(AND(27500&lt;S210,S210&lt;30001),AND(57000&lt;S210,S210&lt;60001),AND(75000&lt;S210,S210&lt;77500)),$H210,VLOOKUP(S210,BDins,6,FALSE)))))</f>
        <v>3.5</v>
      </c>
      <c r="T212">
        <f>IF(T214&gt;10000,HLOOKUP(T214,$O210:S213,4,FALSE),IF(OR(AND(22500&lt;T210,T210&lt;25001),AND(50000&lt;T210,T210&lt;53501),AND(70000&lt;T210,T210&lt;72501)),$F210,IF(OR(AND(25001&lt;T210,T210&lt;27501),AND(53500&lt;T210,T210&lt;57001),AND(72500&lt;T210,T210&lt;75001)),$G210,IF(OR(AND(27500&lt;T210,T210&lt;30001),AND(57000&lt;T210,T210&lt;60001),AND(75000&lt;T210,T210&lt;77500)),$H210,VLOOKUP(T210,BDins,6,FALSE)))))</f>
        <v>49.9</v>
      </c>
      <c r="U212">
        <f>IF(U214&gt;10000,HLOOKUP(U214,$O210:T213,4,FALSE),IF(OR(AND(22500&lt;U210,U210&lt;25001),AND(50000&lt;U210,U210&lt;53501),AND(70000&lt;U210,U210&lt;72501)),$F210,IF(OR(AND(25001&lt;U210,U210&lt;27501),AND(53500&lt;U210,U210&lt;57001),AND(72500&lt;U210,U210&lt;75001)),$G210,IF(OR(AND(27500&lt;U210,U210&lt;30001),AND(57000&lt;U210,U210&lt;60001),AND(75000&lt;U210,U210&lt;77500)),$H210,VLOOKUP(U210,BDins,6,FALSE)))))</f>
        <v>60</v>
      </c>
      <c r="V212">
        <f>IF(V214&gt;10000,HLOOKUP(V214,$O210:U213,4,FALSE),IF(OR(AND(22500&lt;V210,V210&lt;25001),AND(50000&lt;V210,V210&lt;53501),AND(70000&lt;V210,V210&lt;72501)),$F210,IF(OR(AND(25001&lt;V210,V210&lt;27501),AND(53500&lt;V210,V210&lt;57001),AND(72500&lt;V210,V210&lt;75001)),$G210,IF(OR(AND(27500&lt;V210,V210&lt;30001),AND(57000&lt;V210,V210&lt;60001),AND(75000&lt;V210,V210&lt;77500)),$H210,VLOOKUP(V210,BDins,6,FALSE)))))</f>
        <v>3.75</v>
      </c>
    </row>
    <row r="213" spans="1:22" x14ac:dyDescent="0.2">
      <c r="O213">
        <f t="shared" ref="O213:V213" si="25">IF($K210&gt;0,ROUND(O211*$E210/100,DpCU),IF(O214&gt;10000,ROUND(HLOOKUP(O214,$O210:$V213,4,FALSE)/100*O211,DpCU),IF(OR(O210&lt;20001,O210&gt;95000,AND(60000&lt;O210,O210&lt;70001)),ROUND(ROUND(O211*JL/$C210,DcCU)*O212,DpCU),IF(OR(AND(20000&lt;O210,O210&lt;22501),AND(30000&lt;O210,O210&lt;50001),77500&lt;O210),ROUND(O212*O211,DpCU),IF(OR(AND(22500&lt;O210,O210&lt;25001),AND(50000&lt;O210,O210&lt;53501),AND(70000&lt;O210,O210&lt;72501)),ROUND($F210/100*O211,DpCU),IF(OR(AND(25000&lt;O210,O210&lt;27501),AND(53500&lt;O210,O210&lt;57001),AND(72500&lt;O210,O210&lt;75001)),ROUND($G210/100*O211,DpCU),ROUND($H210/100*O211,DpCU)))))))</f>
        <v>8.43</v>
      </c>
      <c r="P213">
        <f t="shared" si="25"/>
        <v>23.45</v>
      </c>
      <c r="Q213">
        <f t="shared" si="25"/>
        <v>4.7300000000000004</v>
      </c>
      <c r="R213">
        <f t="shared" si="25"/>
        <v>0.98</v>
      </c>
      <c r="S213">
        <f t="shared" si="25"/>
        <v>0.02</v>
      </c>
      <c r="T213">
        <f t="shared" si="25"/>
        <v>1.4</v>
      </c>
      <c r="U213">
        <f t="shared" si="25"/>
        <v>0.12</v>
      </c>
      <c r="V213">
        <f t="shared" si="25"/>
        <v>5</v>
      </c>
    </row>
    <row r="214" spans="1:22" x14ac:dyDescent="0.2">
      <c r="B214" s="3" t="str">
        <f>A210&amp;"r"</f>
        <v>10042r</v>
      </c>
    </row>
    <row r="215" spans="1:22" x14ac:dyDescent="0.2">
      <c r="A215">
        <v>10043</v>
      </c>
      <c r="B215" s="3" t="s">
        <v>353</v>
      </c>
      <c r="C215" s="1">
        <f>ROUND(J215*JL*Frto/8,4)</f>
        <v>6</v>
      </c>
      <c r="D215" t="s">
        <v>160</v>
      </c>
      <c r="E215">
        <f>SUM($O218:$V218)</f>
        <v>44.129999999999995</v>
      </c>
      <c r="F215">
        <f>SUMIF($O215:$V215,"&lt;22501",$O218:$V218)</f>
        <v>31.88</v>
      </c>
      <c r="G215">
        <f>SUMIFS($O218:$V218,$O215:$V215,"&gt;30000",$O215:$V215,"&lt;50001")</f>
        <v>7.2500000000000009</v>
      </c>
      <c r="H215">
        <f>SUMIFS($O218:$V218,$O215:$V215,"&gt;60000",$O215:$V215,"&lt;70001")</f>
        <v>5</v>
      </c>
      <c r="I215">
        <v>8</v>
      </c>
      <c r="J215">
        <v>6</v>
      </c>
      <c r="O215">
        <v>10001</v>
      </c>
      <c r="P215">
        <v>10004</v>
      </c>
      <c r="Q215">
        <v>30001</v>
      </c>
      <c r="R215">
        <v>30010</v>
      </c>
      <c r="S215">
        <v>30022</v>
      </c>
      <c r="T215">
        <v>30042</v>
      </c>
      <c r="U215">
        <v>30043</v>
      </c>
      <c r="V215">
        <v>60015</v>
      </c>
    </row>
    <row r="216" spans="1:22" x14ac:dyDescent="0.2">
      <c r="B216" s="3" t="str">
        <f>A215&amp;"C"</f>
        <v>10043C</v>
      </c>
      <c r="O216">
        <v>0.5</v>
      </c>
      <c r="P216">
        <v>1</v>
      </c>
      <c r="Q216">
        <v>0.17499999999999999</v>
      </c>
      <c r="R216">
        <v>0.13</v>
      </c>
      <c r="S216">
        <v>6.0000000000000001E-3</v>
      </c>
      <c r="T216">
        <v>2.8000000000000001E-2</v>
      </c>
      <c r="U216">
        <v>2E-3</v>
      </c>
      <c r="V216">
        <v>1</v>
      </c>
    </row>
    <row r="217" spans="1:22" x14ac:dyDescent="0.2">
      <c r="O217">
        <f>IF(O219&gt;10000,HLOOKUP(O219,N215:$O218,4,FALSE),IF(OR(AND(22500&lt;O215,O215&lt;25001),AND(50000&lt;O215,O215&lt;53501),AND(70000&lt;O215,O215&lt;72501)),$F215,IF(OR(AND(25001&lt;O215,O215&lt;27501),AND(53500&lt;O215,O215&lt;57001),AND(72500&lt;O215,O215&lt;75001)),$G215,IF(OR(AND(27500&lt;O215,O215&lt;30001),AND(57000&lt;O215,O215&lt;60001),AND(75000&lt;O215,O215&lt;77500)),$H215,VLOOKUP(O215,BDins,6,FALSE)))))</f>
        <v>12.64</v>
      </c>
      <c r="P217">
        <f>IF(P219&gt;10000,HLOOKUP(P219,O215:$O218,4,FALSE),IF(OR(AND(22500&lt;P215,P215&lt;25001),AND(50000&lt;P215,P215&lt;53501),AND(70000&lt;P215,P215&lt;72501)),$F215,IF(OR(AND(25001&lt;P215,P215&lt;27501),AND(53500&lt;P215,P215&lt;57001),AND(72500&lt;P215,P215&lt;75001)),$G215,IF(OR(AND(27500&lt;P215,P215&lt;30001),AND(57000&lt;P215,P215&lt;60001),AND(75000&lt;P215,P215&lt;77500)),$H215,VLOOKUP(P215,BDins,6,FALSE)))))</f>
        <v>17.59</v>
      </c>
      <c r="Q217">
        <f>IF(Q219&gt;10000,HLOOKUP(Q219,$O215:P218,4,FALSE),IF(OR(AND(22500&lt;Q215,Q215&lt;25001),AND(50000&lt;Q215,Q215&lt;53501),AND(70000&lt;Q215,Q215&lt;72501)),$F215,IF(OR(AND(25001&lt;Q215,Q215&lt;27501),AND(53500&lt;Q215,Q215&lt;57001),AND(72500&lt;Q215,Q215&lt;75001)),$G215,IF(OR(AND(27500&lt;Q215,Q215&lt;30001),AND(57000&lt;Q215,Q215&lt;60001),AND(75000&lt;Q215,Q215&lt;77500)),$H215,VLOOKUP(Q215,BDins,6,FALSE)))))</f>
        <v>27</v>
      </c>
      <c r="R217">
        <f>IF(R219&gt;10000,HLOOKUP(R219,$O215:Q218,4,FALSE),IF(OR(AND(22500&lt;R215,R215&lt;25001),AND(50000&lt;R215,R215&lt;53501),AND(70000&lt;R215,R215&lt;72501)),$F215,IF(OR(AND(25001&lt;R215,R215&lt;27501),AND(53500&lt;R215,R215&lt;57001),AND(72500&lt;R215,R215&lt;75001)),$G215,IF(OR(AND(27500&lt;R215,R215&lt;30001),AND(57000&lt;R215,R215&lt;60001),AND(75000&lt;R215,R215&lt;77500)),$H215,VLOOKUP(R215,BDins,6,FALSE)))))</f>
        <v>7.5</v>
      </c>
      <c r="S217">
        <f>IF(S219&gt;10000,HLOOKUP(S219,$O215:R218,4,FALSE),IF(OR(AND(22500&lt;S215,S215&lt;25001),AND(50000&lt;S215,S215&lt;53501),AND(70000&lt;S215,S215&lt;72501)),$F215,IF(OR(AND(25001&lt;S215,S215&lt;27501),AND(53500&lt;S215,S215&lt;57001),AND(72500&lt;S215,S215&lt;75001)),$G215,IF(OR(AND(27500&lt;S215,S215&lt;30001),AND(57000&lt;S215,S215&lt;60001),AND(75000&lt;S215,S215&lt;77500)),$H215,VLOOKUP(S215,BDins,6,FALSE)))))</f>
        <v>3.5</v>
      </c>
      <c r="T217">
        <f>IF(T219&gt;10000,HLOOKUP(T219,$O215:S218,4,FALSE),IF(OR(AND(22500&lt;T215,T215&lt;25001),AND(50000&lt;T215,T215&lt;53501),AND(70000&lt;T215,T215&lt;72501)),$F215,IF(OR(AND(25001&lt;T215,T215&lt;27501),AND(53500&lt;T215,T215&lt;57001),AND(72500&lt;T215,T215&lt;75001)),$G215,IF(OR(AND(27500&lt;T215,T215&lt;30001),AND(57000&lt;T215,T215&lt;60001),AND(75000&lt;T215,T215&lt;77500)),$H215,VLOOKUP(T215,BDins,6,FALSE)))))</f>
        <v>49.9</v>
      </c>
      <c r="U217">
        <f>IF(U219&gt;10000,HLOOKUP(U219,$O215:T218,4,FALSE),IF(OR(AND(22500&lt;U215,U215&lt;25001),AND(50000&lt;U215,U215&lt;53501),AND(70000&lt;U215,U215&lt;72501)),$F215,IF(OR(AND(25001&lt;U215,U215&lt;27501),AND(53500&lt;U215,U215&lt;57001),AND(72500&lt;U215,U215&lt;75001)),$G215,IF(OR(AND(27500&lt;U215,U215&lt;30001),AND(57000&lt;U215,U215&lt;60001),AND(75000&lt;U215,U215&lt;77500)),$H215,VLOOKUP(U215,BDins,6,FALSE)))))</f>
        <v>60</v>
      </c>
      <c r="V217">
        <f>IF(V219&gt;10000,HLOOKUP(V219,$O215:U218,4,FALSE),IF(OR(AND(22500&lt;V215,V215&lt;25001),AND(50000&lt;V215,V215&lt;53501),AND(70000&lt;V215,V215&lt;72501)),$F215,IF(OR(AND(25001&lt;V215,V215&lt;27501),AND(53500&lt;V215,V215&lt;57001),AND(72500&lt;V215,V215&lt;75001)),$G215,IF(OR(AND(27500&lt;V215,V215&lt;30001),AND(57000&lt;V215,V215&lt;60001),AND(75000&lt;V215,V215&lt;77500)),$H215,VLOOKUP(V215,BDins,6,FALSE)))))</f>
        <v>3.75</v>
      </c>
    </row>
    <row r="218" spans="1:22" x14ac:dyDescent="0.2">
      <c r="O218">
        <f t="shared" ref="O218:V218" si="26">IF($K215&gt;0,ROUND(O216*$E215/100,DpCU),IF(O219&gt;10000,ROUND(HLOOKUP(O219,$O215:$V218,4,FALSE)/100*O216,DpCU),IF(OR(O215&lt;20001,O215&gt;95000,AND(60000&lt;O215,O215&lt;70001)),ROUND(ROUND(O216*JL/$C215,DcCU)*O217,DpCU),IF(OR(AND(20000&lt;O215,O215&lt;22501),AND(30000&lt;O215,O215&lt;50001),77500&lt;O215),ROUND(O217*O216,DpCU),IF(OR(AND(22500&lt;O215,O215&lt;25001),AND(50000&lt;O215,O215&lt;53501),AND(70000&lt;O215,O215&lt;72501)),ROUND($F215/100*O216,DpCU),IF(OR(AND(25000&lt;O215,O215&lt;27501),AND(53500&lt;O215,O215&lt;57001),AND(72500&lt;O215,O215&lt;75001)),ROUND($G215/100*O216,DpCU),ROUND($H215/100*O216,DpCU)))))))</f>
        <v>8.43</v>
      </c>
      <c r="P218">
        <f t="shared" si="26"/>
        <v>23.45</v>
      </c>
      <c r="Q218">
        <f t="shared" si="26"/>
        <v>4.7300000000000004</v>
      </c>
      <c r="R218">
        <f t="shared" si="26"/>
        <v>0.98</v>
      </c>
      <c r="S218">
        <f t="shared" si="26"/>
        <v>0.02</v>
      </c>
      <c r="T218">
        <f t="shared" si="26"/>
        <v>1.4</v>
      </c>
      <c r="U218">
        <f t="shared" si="26"/>
        <v>0.12</v>
      </c>
      <c r="V218">
        <f t="shared" si="26"/>
        <v>5</v>
      </c>
    </row>
    <row r="219" spans="1:22" x14ac:dyDescent="0.2">
      <c r="B219" s="3" t="str">
        <f>A215&amp;"r"</f>
        <v>10043r</v>
      </c>
    </row>
    <row r="220" spans="1:22" x14ac:dyDescent="0.2">
      <c r="A220">
        <v>10044</v>
      </c>
      <c r="B220" s="3" t="s">
        <v>355</v>
      </c>
      <c r="C220" s="1">
        <f>ROUND(J220*JL*Frto/8,4)</f>
        <v>15</v>
      </c>
      <c r="D220" t="s">
        <v>356</v>
      </c>
      <c r="E220">
        <f>SUM($O223:$S223)</f>
        <v>16.700000000000003</v>
      </c>
      <c r="F220">
        <f>SUMIF($O220:$S220,"&lt;22501",$O223:$S223)</f>
        <v>12.75</v>
      </c>
      <c r="G220">
        <f>SUMIFS($O223:$S223,$O220:$S220,"&gt;30000",$O220:$S220,"&lt;50001")</f>
        <v>3.95</v>
      </c>
      <c r="H220">
        <f>SUMIFS($O223:$S223,$O220:$S220,"&gt;60000",$O220:$S220,"&lt;70001")</f>
        <v>0</v>
      </c>
      <c r="I220">
        <v>5</v>
      </c>
      <c r="J220">
        <v>15</v>
      </c>
      <c r="O220">
        <v>10001</v>
      </c>
      <c r="P220">
        <v>10004</v>
      </c>
      <c r="Q220">
        <v>30001</v>
      </c>
      <c r="R220">
        <v>30022</v>
      </c>
      <c r="S220">
        <v>30042</v>
      </c>
    </row>
    <row r="221" spans="1:22" x14ac:dyDescent="0.2">
      <c r="B221" s="3" t="str">
        <f>A220&amp;"C"</f>
        <v>10044C</v>
      </c>
      <c r="O221">
        <v>0.5</v>
      </c>
      <c r="P221">
        <v>1</v>
      </c>
      <c r="Q221">
        <v>3.3300000000000003E-2</v>
      </c>
      <c r="R221">
        <v>0.83250000000000002</v>
      </c>
      <c r="S221">
        <v>2.8999999999999998E-3</v>
      </c>
    </row>
    <row r="222" spans="1:22" x14ac:dyDescent="0.2">
      <c r="O222">
        <f>IF(O224&gt;10000,HLOOKUP(O224,N220:$O223,4,FALSE),IF(OR(AND(22500&lt;O220,O220&lt;25001),AND(50000&lt;O220,O220&lt;53501),AND(70000&lt;O220,O220&lt;72501)),$F220,IF(OR(AND(25001&lt;O220,O220&lt;27501),AND(53500&lt;O220,O220&lt;57001),AND(72500&lt;O220,O220&lt;75001)),$G220,IF(OR(AND(27500&lt;O220,O220&lt;30001),AND(57000&lt;O220,O220&lt;60001),AND(75000&lt;O220,O220&lt;77500)),$H220,VLOOKUP(O220,BDins,6,FALSE)))))</f>
        <v>12.64</v>
      </c>
      <c r="P222">
        <f>IF(P224&gt;10000,HLOOKUP(P224,O220:$O223,4,FALSE),IF(OR(AND(22500&lt;P220,P220&lt;25001),AND(50000&lt;P220,P220&lt;53501),AND(70000&lt;P220,P220&lt;72501)),$F220,IF(OR(AND(25001&lt;P220,P220&lt;27501),AND(53500&lt;P220,P220&lt;57001),AND(72500&lt;P220,P220&lt;75001)),$G220,IF(OR(AND(27500&lt;P220,P220&lt;30001),AND(57000&lt;P220,P220&lt;60001),AND(75000&lt;P220,P220&lt;77500)),$H220,VLOOKUP(P220,BDins,6,FALSE)))))</f>
        <v>17.59</v>
      </c>
      <c r="Q222">
        <f>IF(Q224&gt;10000,HLOOKUP(Q224,$O220:P223,4,FALSE),IF(OR(AND(22500&lt;Q220,Q220&lt;25001),AND(50000&lt;Q220,Q220&lt;53501),AND(70000&lt;Q220,Q220&lt;72501)),$F220,IF(OR(AND(25001&lt;Q220,Q220&lt;27501),AND(53500&lt;Q220,Q220&lt;57001),AND(72500&lt;Q220,Q220&lt;75001)),$G220,IF(OR(AND(27500&lt;Q220,Q220&lt;30001),AND(57000&lt;Q220,Q220&lt;60001),AND(75000&lt;Q220,Q220&lt;77500)),$H220,VLOOKUP(Q220,BDins,6,FALSE)))))</f>
        <v>27</v>
      </c>
      <c r="R222">
        <f>IF(R224&gt;10000,HLOOKUP(R224,$O220:Q223,4,FALSE),IF(OR(AND(22500&lt;R220,R220&lt;25001),AND(50000&lt;R220,R220&lt;53501),AND(70000&lt;R220,R220&lt;72501)),$F220,IF(OR(AND(25001&lt;R220,R220&lt;27501),AND(53500&lt;R220,R220&lt;57001),AND(72500&lt;R220,R220&lt;75001)),$G220,IF(OR(AND(27500&lt;R220,R220&lt;30001),AND(57000&lt;R220,R220&lt;60001),AND(75000&lt;R220,R220&lt;77500)),$H220,VLOOKUP(R220,BDins,6,FALSE)))))</f>
        <v>3.5</v>
      </c>
      <c r="S222">
        <f>IF(S224&gt;10000,HLOOKUP(S224,$O220:R223,4,FALSE),IF(OR(AND(22500&lt;S220,S220&lt;25001),AND(50000&lt;S220,S220&lt;53501),AND(70000&lt;S220,S220&lt;72501)),$F220,IF(OR(AND(25001&lt;S220,S220&lt;27501),AND(53500&lt;S220,S220&lt;57001),AND(72500&lt;S220,S220&lt;75001)),$G220,IF(OR(AND(27500&lt;S220,S220&lt;30001),AND(57000&lt;S220,S220&lt;60001),AND(75000&lt;S220,S220&lt;77500)),$H220,VLOOKUP(S220,BDins,6,FALSE)))))</f>
        <v>49.9</v>
      </c>
    </row>
    <row r="223" spans="1:22" x14ac:dyDescent="0.2">
      <c r="O223">
        <f>IF($K220&gt;0,ROUND(O221*$E220/100,DpCU),IF(O224&gt;10000,ROUND(HLOOKUP(O224,$O220:$S223,4,FALSE)/100*O221,DpCU),IF(OR(O220&lt;20001,O220&gt;95000,AND(60000&lt;O220,O220&lt;70001)),ROUND(ROUND(O221*JL/$C220,DcCU)*O222,DpCU),IF(OR(AND(20000&lt;O220,O220&lt;22501),AND(30000&lt;O220,O220&lt;50001),77500&lt;O220),ROUND(O222*O221,DpCU),IF(OR(AND(22500&lt;O220,O220&lt;25001),AND(50000&lt;O220,O220&lt;53501),AND(70000&lt;O220,O220&lt;72501)),ROUND($F220/100*O221,DpCU),IF(OR(AND(25000&lt;O220,O220&lt;27501),AND(53500&lt;O220,O220&lt;57001),AND(72500&lt;O220,O220&lt;75001)),ROUND($G220/100*O221,DpCU),ROUND($H220/100*O221,DpCU)))))))</f>
        <v>3.37</v>
      </c>
      <c r="P223">
        <f>IF($K220&gt;0,ROUND(P221*$E220/100,DpCU),IF(P224&gt;10000,ROUND(HLOOKUP(P224,$O220:$S223,4,FALSE)/100*P221,DpCU),IF(OR(P220&lt;20001,P220&gt;95000,AND(60000&lt;P220,P220&lt;70001)),ROUND(ROUND(P221*JL/$C220,DcCU)*P222,DpCU),IF(OR(AND(20000&lt;P220,P220&lt;22501),AND(30000&lt;P220,P220&lt;50001),77500&lt;P220),ROUND(P222*P221,DpCU),IF(OR(AND(22500&lt;P220,P220&lt;25001),AND(50000&lt;P220,P220&lt;53501),AND(70000&lt;P220,P220&lt;72501)),ROUND($F220/100*P221,DpCU),IF(OR(AND(25000&lt;P220,P220&lt;27501),AND(53500&lt;P220,P220&lt;57001),AND(72500&lt;P220,P220&lt;75001)),ROUND($G220/100*P221,DpCU),ROUND($H220/100*P221,DpCU)))))))</f>
        <v>9.3800000000000008</v>
      </c>
      <c r="Q223">
        <f>IF($K220&gt;0,ROUND(Q221*$E220/100,DpCU),IF(Q224&gt;10000,ROUND(HLOOKUP(Q224,$O220:$S223,4,FALSE)/100*Q221,DpCU),IF(OR(Q220&lt;20001,Q220&gt;95000,AND(60000&lt;Q220,Q220&lt;70001)),ROUND(ROUND(Q221*JL/$C220,DcCU)*Q222,DpCU),IF(OR(AND(20000&lt;Q220,Q220&lt;22501),AND(30000&lt;Q220,Q220&lt;50001),77500&lt;Q220),ROUND(Q222*Q221,DpCU),IF(OR(AND(22500&lt;Q220,Q220&lt;25001),AND(50000&lt;Q220,Q220&lt;53501),AND(70000&lt;Q220,Q220&lt;72501)),ROUND($F220/100*Q221,DpCU),IF(OR(AND(25000&lt;Q220,Q220&lt;27501),AND(53500&lt;Q220,Q220&lt;57001),AND(72500&lt;Q220,Q220&lt;75001)),ROUND($G220/100*Q221,DpCU),ROUND($H220/100*Q221,DpCU)))))))</f>
        <v>0.9</v>
      </c>
      <c r="R223">
        <f>IF($K220&gt;0,ROUND(R221*$E220/100,DpCU),IF(R224&gt;10000,ROUND(HLOOKUP(R224,$O220:$S223,4,FALSE)/100*R221,DpCU),IF(OR(R220&lt;20001,R220&gt;95000,AND(60000&lt;R220,R220&lt;70001)),ROUND(ROUND(R221*JL/$C220,DcCU)*R222,DpCU),IF(OR(AND(20000&lt;R220,R220&lt;22501),AND(30000&lt;R220,R220&lt;50001),77500&lt;R220),ROUND(R222*R221,DpCU),IF(OR(AND(22500&lt;R220,R220&lt;25001),AND(50000&lt;R220,R220&lt;53501),AND(70000&lt;R220,R220&lt;72501)),ROUND($F220/100*R221,DpCU),IF(OR(AND(25000&lt;R220,R220&lt;27501),AND(53500&lt;R220,R220&lt;57001),AND(72500&lt;R220,R220&lt;75001)),ROUND($G220/100*R221,DpCU),ROUND($H220/100*R221,DpCU)))))))</f>
        <v>2.91</v>
      </c>
      <c r="S223">
        <f>IF($K220&gt;0,ROUND(S221*$E220/100,DpCU),IF(S224&gt;10000,ROUND(HLOOKUP(S224,$O220:$S223,4,FALSE)/100*S221,DpCU),IF(OR(S220&lt;20001,S220&gt;95000,AND(60000&lt;S220,S220&lt;70001)),ROUND(ROUND(S221*JL/$C220,DcCU)*S222,DpCU),IF(OR(AND(20000&lt;S220,S220&lt;22501),AND(30000&lt;S220,S220&lt;50001),77500&lt;S220),ROUND(S222*S221,DpCU),IF(OR(AND(22500&lt;S220,S220&lt;25001),AND(50000&lt;S220,S220&lt;53501),AND(70000&lt;S220,S220&lt;72501)),ROUND($F220/100*S221,DpCU),IF(OR(AND(25000&lt;S220,S220&lt;27501),AND(53500&lt;S220,S220&lt;57001),AND(72500&lt;S220,S220&lt;75001)),ROUND($G220/100*S221,DpCU),ROUND($H220/100*S221,DpCU)))))))</f>
        <v>0.14000000000000001</v>
      </c>
    </row>
    <row r="224" spans="1:22" x14ac:dyDescent="0.2">
      <c r="B224" s="3" t="str">
        <f>A220&amp;"r"</f>
        <v>10044r</v>
      </c>
    </row>
    <row r="225" spans="1:22" x14ac:dyDescent="0.2">
      <c r="A225">
        <v>10045</v>
      </c>
      <c r="B225" s="3" t="s">
        <v>358</v>
      </c>
      <c r="C225" s="1">
        <f>ROUND(J225*JL*Frto/8,4)</f>
        <v>1</v>
      </c>
      <c r="D225" t="s">
        <v>165</v>
      </c>
      <c r="E225">
        <f>SUM($O228:$P228)</f>
        <v>290.2</v>
      </c>
      <c r="F225">
        <f>SUMIF($O225:$P225,"&lt;22501",$O228:$P228)</f>
        <v>0</v>
      </c>
      <c r="G225">
        <f>SUMIFS($O228:$P228,$O225:$P225,"&gt;30000",$O225:$P225,"&lt;50001")</f>
        <v>290.2</v>
      </c>
      <c r="H225">
        <f>SUMIFS($O228:$P228,$O225:$P225,"&gt;60000",$O225:$P225,"&lt;70001")</f>
        <v>0</v>
      </c>
      <c r="I225">
        <v>2</v>
      </c>
      <c r="J225">
        <v>1</v>
      </c>
      <c r="M225">
        <v>90001</v>
      </c>
      <c r="O225">
        <v>30001</v>
      </c>
      <c r="P225">
        <v>30042</v>
      </c>
    </row>
    <row r="226" spans="1:22" x14ac:dyDescent="0.2">
      <c r="B226" s="3" t="str">
        <f>A225&amp;"C"</f>
        <v>10045C</v>
      </c>
      <c r="O226">
        <v>8.9</v>
      </c>
      <c r="P226">
        <v>1</v>
      </c>
    </row>
    <row r="227" spans="1:22" x14ac:dyDescent="0.2">
      <c r="O227">
        <f>IF(O229&gt;10000,HLOOKUP(O229,N225:$O228,4,FALSE),IF(OR(AND(22500&lt;O225,O225&lt;25001),AND(50000&lt;O225,O225&lt;53501),AND(70000&lt;O225,O225&lt;72501)),$F225,IF(OR(AND(25001&lt;O225,O225&lt;27501),AND(53500&lt;O225,O225&lt;57001),AND(72500&lt;O225,O225&lt;75001)),$G225,IF(OR(AND(27500&lt;O225,O225&lt;30001),AND(57000&lt;O225,O225&lt;60001),AND(75000&lt;O225,O225&lt;77500)),$H225,VLOOKUP(O225,BDins,6,FALSE)))))</f>
        <v>27</v>
      </c>
      <c r="P227">
        <f>IF(P229&gt;10000,HLOOKUP(P229,O225:$O228,4,FALSE),IF(OR(AND(22500&lt;P225,P225&lt;25001),AND(50000&lt;P225,P225&lt;53501),AND(70000&lt;P225,P225&lt;72501)),$F225,IF(OR(AND(25001&lt;P225,P225&lt;27501),AND(53500&lt;P225,P225&lt;57001),AND(72500&lt;P225,P225&lt;75001)),$G225,IF(OR(AND(27500&lt;P225,P225&lt;30001),AND(57000&lt;P225,P225&lt;60001),AND(75000&lt;P225,P225&lt;77500)),$H225,VLOOKUP(P225,BDins,6,FALSE)))))</f>
        <v>49.9</v>
      </c>
    </row>
    <row r="228" spans="1:22" x14ac:dyDescent="0.2">
      <c r="O228">
        <f>IF($K225&gt;0,ROUND(O226*$E225/100,DpCU),IF(O229&gt;10000,ROUND(HLOOKUP(O229,$O225:$P228,4,FALSE)/100*O226,DpCU),IF(OR(O225&lt;20001,O225&gt;95000,AND(60000&lt;O225,O225&lt;70001)),ROUND(ROUND(O226*JL/$C225,DcCU)*O227,DpCU),IF(OR(AND(20000&lt;O225,O225&lt;22501),AND(30000&lt;O225,O225&lt;50001),77500&lt;O225),ROUND(O227*O226,DpCU),IF(OR(AND(22500&lt;O225,O225&lt;25001),AND(50000&lt;O225,O225&lt;53501),AND(70000&lt;O225,O225&lt;72501)),ROUND($F225/100*O226,DpCU),IF(OR(AND(25000&lt;O225,O225&lt;27501),AND(53500&lt;O225,O225&lt;57001),AND(72500&lt;O225,O225&lt;75001)),ROUND($G225/100*O226,DpCU),ROUND($H225/100*O226,DpCU)))))))</f>
        <v>240.3</v>
      </c>
      <c r="P228">
        <f>IF($K225&gt;0,ROUND(P226*$E225/100,DpCU),IF(P229&gt;10000,ROUND(HLOOKUP(P229,$O225:$P228,4,FALSE)/100*P226,DpCU),IF(OR(P225&lt;20001,P225&gt;95000,AND(60000&lt;P225,P225&lt;70001)),ROUND(ROUND(P226*JL/$C225,DcCU)*P227,DpCU),IF(OR(AND(20000&lt;P225,P225&lt;22501),AND(30000&lt;P225,P225&lt;50001),77500&lt;P225),ROUND(P227*P226,DpCU),IF(OR(AND(22500&lt;P225,P225&lt;25001),AND(50000&lt;P225,P225&lt;53501),AND(70000&lt;P225,P225&lt;72501)),ROUND($F225/100*P226,DpCU),IF(OR(AND(25000&lt;P225,P225&lt;27501),AND(53500&lt;P225,P225&lt;57001),AND(72500&lt;P225,P225&lt;75001)),ROUND($G225/100*P226,DpCU),ROUND($H225/100*P226,DpCU)))))))</f>
        <v>49.9</v>
      </c>
    </row>
    <row r="229" spans="1:22" x14ac:dyDescent="0.2">
      <c r="B229" s="3" t="str">
        <f>A225&amp;"r"</f>
        <v>10045r</v>
      </c>
    </row>
    <row r="230" spans="1:22" x14ac:dyDescent="0.2">
      <c r="A230">
        <v>10046</v>
      </c>
      <c r="B230" s="3" t="s">
        <v>359</v>
      </c>
      <c r="C230" s="1">
        <f>ROUND(J230*JL*Frto/8,4)</f>
        <v>40</v>
      </c>
      <c r="D230" t="s">
        <v>356</v>
      </c>
      <c r="E230">
        <f>SUM($O233:$U233)</f>
        <v>7.64</v>
      </c>
      <c r="F230">
        <f>SUMIF($O230:$U230,"&lt;22501",$O233:$U233)</f>
        <v>4.78</v>
      </c>
      <c r="G230">
        <f>SUMIFS($O233:$U233,$O230:$U230,"&gt;30000",$O230:$U230,"&lt;50001")</f>
        <v>0.19</v>
      </c>
      <c r="H230">
        <f>SUMIFS($O233:$U233,$O230:$U230,"&gt;60000",$O230:$U230,"&lt;70001")</f>
        <v>0.75</v>
      </c>
      <c r="I230">
        <v>7</v>
      </c>
      <c r="J230">
        <v>40</v>
      </c>
      <c r="O230">
        <v>10001</v>
      </c>
      <c r="P230">
        <v>10004</v>
      </c>
      <c r="Q230">
        <v>30010</v>
      </c>
      <c r="R230">
        <v>30022</v>
      </c>
      <c r="S230">
        <v>30043</v>
      </c>
      <c r="T230">
        <v>60015</v>
      </c>
      <c r="U230">
        <v>90001</v>
      </c>
    </row>
    <row r="231" spans="1:22" x14ac:dyDescent="0.2">
      <c r="B231" s="3" t="str">
        <f>A230&amp;"C"</f>
        <v>10046C</v>
      </c>
      <c r="O231">
        <v>0.5</v>
      </c>
      <c r="P231">
        <v>1</v>
      </c>
      <c r="Q231">
        <v>1.66E-2</v>
      </c>
      <c r="R231">
        <v>3.0000000000000001E-3</v>
      </c>
      <c r="S231">
        <v>1E-3</v>
      </c>
      <c r="T231">
        <v>1</v>
      </c>
      <c r="U231">
        <v>6.6E-3</v>
      </c>
    </row>
    <row r="232" spans="1:22" x14ac:dyDescent="0.2">
      <c r="O232">
        <f>IF(O234&gt;10000,HLOOKUP(O234,N230:$O233,4,FALSE),IF(OR(AND(22500&lt;O230,O230&lt;25001),AND(50000&lt;O230,O230&lt;53501),AND(70000&lt;O230,O230&lt;72501)),$F230,IF(OR(AND(25001&lt;O230,O230&lt;27501),AND(53500&lt;O230,O230&lt;57001),AND(72500&lt;O230,O230&lt;75001)),$G230,IF(OR(AND(27500&lt;O230,O230&lt;30001),AND(57000&lt;O230,O230&lt;60001),AND(75000&lt;O230,O230&lt;77500)),$H230,VLOOKUP(O230,BDins,6,FALSE)))))</f>
        <v>12.64</v>
      </c>
      <c r="P232">
        <f>IF(P234&gt;10000,HLOOKUP(P234,O230:$O233,4,FALSE),IF(OR(AND(22500&lt;P230,P230&lt;25001),AND(50000&lt;P230,P230&lt;53501),AND(70000&lt;P230,P230&lt;72501)),$F230,IF(OR(AND(25001&lt;P230,P230&lt;27501),AND(53500&lt;P230,P230&lt;57001),AND(72500&lt;P230,P230&lt;75001)),$G230,IF(OR(AND(27500&lt;P230,P230&lt;30001),AND(57000&lt;P230,P230&lt;60001),AND(75000&lt;P230,P230&lt;77500)),$H230,VLOOKUP(P230,BDins,6,FALSE)))))</f>
        <v>17.59</v>
      </c>
      <c r="Q232">
        <f>IF(Q234&gt;10000,HLOOKUP(Q234,$O230:P233,4,FALSE),IF(OR(AND(22500&lt;Q230,Q230&lt;25001),AND(50000&lt;Q230,Q230&lt;53501),AND(70000&lt;Q230,Q230&lt;72501)),$F230,IF(OR(AND(25001&lt;Q230,Q230&lt;27501),AND(53500&lt;Q230,Q230&lt;57001),AND(72500&lt;Q230,Q230&lt;75001)),$G230,IF(OR(AND(27500&lt;Q230,Q230&lt;30001),AND(57000&lt;Q230,Q230&lt;60001),AND(75000&lt;Q230,Q230&lt;77500)),$H230,VLOOKUP(Q230,BDins,6,FALSE)))))</f>
        <v>7.5</v>
      </c>
      <c r="R232">
        <f>IF(R234&gt;10000,HLOOKUP(R234,$O230:Q233,4,FALSE),IF(OR(AND(22500&lt;R230,R230&lt;25001),AND(50000&lt;R230,R230&lt;53501),AND(70000&lt;R230,R230&lt;72501)),$F230,IF(OR(AND(25001&lt;R230,R230&lt;27501),AND(53500&lt;R230,R230&lt;57001),AND(72500&lt;R230,R230&lt;75001)),$G230,IF(OR(AND(27500&lt;R230,R230&lt;30001),AND(57000&lt;R230,R230&lt;60001),AND(75000&lt;R230,R230&lt;77500)),$H230,VLOOKUP(R230,BDins,6,FALSE)))))</f>
        <v>3.5</v>
      </c>
      <c r="S232">
        <f>IF(S234&gt;10000,HLOOKUP(S234,$O230:R233,4,FALSE),IF(OR(AND(22500&lt;S230,S230&lt;25001),AND(50000&lt;S230,S230&lt;53501),AND(70000&lt;S230,S230&lt;72501)),$F230,IF(OR(AND(25001&lt;S230,S230&lt;27501),AND(53500&lt;S230,S230&lt;57001),AND(72500&lt;S230,S230&lt;75001)),$G230,IF(OR(AND(27500&lt;S230,S230&lt;30001),AND(57000&lt;S230,S230&lt;60001),AND(75000&lt;S230,S230&lt;77500)),$H230,VLOOKUP(S230,BDins,6,FALSE)))))</f>
        <v>60</v>
      </c>
      <c r="T232">
        <f>IF(T234&gt;10000,HLOOKUP(T234,$O230:S233,4,FALSE),IF(OR(AND(22500&lt;T230,T230&lt;25001),AND(50000&lt;T230,T230&lt;53501),AND(70000&lt;T230,T230&lt;72501)),$F230,IF(OR(AND(25001&lt;T230,T230&lt;27501),AND(53500&lt;T230,T230&lt;57001),AND(72500&lt;T230,T230&lt;75001)),$G230,IF(OR(AND(27500&lt;T230,T230&lt;30001),AND(57000&lt;T230,T230&lt;60001),AND(75000&lt;T230,T230&lt;77500)),$H230,VLOOKUP(T230,BDins,6,FALSE)))))</f>
        <v>3.75</v>
      </c>
      <c r="U232">
        <f>IF(U234&gt;10000,HLOOKUP(U234,$O230:T233,4,FALSE),IF(OR(AND(22500&lt;U230,U230&lt;25001),AND(50000&lt;U230,U230&lt;53501),AND(70000&lt;U230,U230&lt;72501)),$F230,IF(OR(AND(25001&lt;U230,U230&lt;27501),AND(53500&lt;U230,U230&lt;57001),AND(72500&lt;U230,U230&lt;75001)),$G230,IF(OR(AND(27500&lt;U230,U230&lt;30001),AND(57000&lt;U230,U230&lt;60001),AND(75000&lt;U230,U230&lt;77500)),$H230,VLOOKUP(U230,BDins,6,FALSE)))))</f>
        <v>290.2</v>
      </c>
    </row>
    <row r="233" spans="1:22" x14ac:dyDescent="0.2">
      <c r="O233">
        <f t="shared" ref="O233:U233" si="27">IF($K230&gt;0,ROUND(O231*$E230/100,DpCU),IF(O234&gt;10000,ROUND(HLOOKUP(O234,$O230:$U233,4,FALSE)/100*O231,DpCU),IF(OR(O230&lt;20001,O230&gt;95000,AND(60000&lt;O230,O230&lt;70001)),ROUND(ROUND(O231*JL/$C230,DcCU)*O232,DpCU),IF(OR(AND(20000&lt;O230,O230&lt;22501),AND(30000&lt;O230,O230&lt;50001),77500&lt;O230),ROUND(O232*O231,DpCU),IF(OR(AND(22500&lt;O230,O230&lt;25001),AND(50000&lt;O230,O230&lt;53501),AND(70000&lt;O230,O230&lt;72501)),ROUND($F230/100*O231,DpCU),IF(OR(AND(25000&lt;O230,O230&lt;27501),AND(53500&lt;O230,O230&lt;57001),AND(72500&lt;O230,O230&lt;75001)),ROUND($G230/100*O231,DpCU),ROUND($H230/100*O231,DpCU)))))))</f>
        <v>1.26</v>
      </c>
      <c r="P233">
        <f t="shared" si="27"/>
        <v>3.52</v>
      </c>
      <c r="Q233">
        <f t="shared" si="27"/>
        <v>0.12</v>
      </c>
      <c r="R233">
        <f t="shared" si="27"/>
        <v>0.01</v>
      </c>
      <c r="S233">
        <f t="shared" si="27"/>
        <v>0.06</v>
      </c>
      <c r="T233">
        <f t="shared" si="27"/>
        <v>0.75</v>
      </c>
      <c r="U233">
        <f t="shared" si="27"/>
        <v>1.92</v>
      </c>
    </row>
    <row r="234" spans="1:22" x14ac:dyDescent="0.2">
      <c r="B234" s="3" t="str">
        <f>A230&amp;"r"</f>
        <v>10046r</v>
      </c>
    </row>
    <row r="235" spans="1:22" x14ac:dyDescent="0.2">
      <c r="A235">
        <v>10047</v>
      </c>
      <c r="B235" s="3" t="s">
        <v>363</v>
      </c>
      <c r="C235" s="1">
        <f>ROUND(J235*JL*Frto/8,4)</f>
        <v>10</v>
      </c>
      <c r="D235" t="s">
        <v>160</v>
      </c>
      <c r="E235">
        <f>SUM($O238:$V238)</f>
        <v>148.51000000000002</v>
      </c>
      <c r="F235">
        <f>SUMIF($O235:$V235,"&lt;22501",$O238:$V238)</f>
        <v>49.55</v>
      </c>
      <c r="G235">
        <f>SUMIFS($O238:$V238,$O235:$V235,"&gt;30000",$O235:$V235,"&lt;50001")</f>
        <v>96.47999999999999</v>
      </c>
      <c r="H235">
        <f>SUMIFS($O238:$V238,$O235:$V235,"&gt;60000",$O235:$V235,"&lt;70001")</f>
        <v>0</v>
      </c>
      <c r="I235">
        <v>8</v>
      </c>
      <c r="J235">
        <v>10</v>
      </c>
      <c r="O235">
        <v>10001</v>
      </c>
      <c r="P235">
        <v>10003</v>
      </c>
      <c r="Q235">
        <v>10004</v>
      </c>
      <c r="R235">
        <v>30010</v>
      </c>
      <c r="S235">
        <v>30044</v>
      </c>
      <c r="T235">
        <v>30045</v>
      </c>
      <c r="U235">
        <v>30046</v>
      </c>
      <c r="V235">
        <v>70001</v>
      </c>
    </row>
    <row r="236" spans="1:22" x14ac:dyDescent="0.2">
      <c r="B236" s="3" t="str">
        <f>A235&amp;"C"</f>
        <v>10047C</v>
      </c>
      <c r="O236">
        <v>1</v>
      </c>
      <c r="P236">
        <v>1</v>
      </c>
      <c r="Q236">
        <v>2</v>
      </c>
      <c r="R236">
        <v>11.55</v>
      </c>
      <c r="S236">
        <v>0.5</v>
      </c>
      <c r="T236">
        <v>0.1</v>
      </c>
      <c r="U236">
        <v>0.08</v>
      </c>
      <c r="V236">
        <v>5</v>
      </c>
    </row>
    <row r="237" spans="1:22" x14ac:dyDescent="0.2">
      <c r="O237">
        <f>IF(O239&gt;10000,HLOOKUP(O239,N235:$O238,4,FALSE),IF(OR(AND(22500&lt;O235,O235&lt;25001),AND(50000&lt;O235,O235&lt;53501),AND(70000&lt;O235,O235&lt;72501)),$F235,IF(OR(AND(25001&lt;O235,O235&lt;27501),AND(53500&lt;O235,O235&lt;57001),AND(72500&lt;O235,O235&lt;75001)),$G235,IF(OR(AND(27500&lt;O235,O235&lt;30001),AND(57000&lt;O235,O235&lt;60001),AND(75000&lt;O235,O235&lt;77500)),$H235,VLOOKUP(O235,BDins,6,FALSE)))))</f>
        <v>12.64</v>
      </c>
      <c r="P237">
        <f>IF(P239&gt;10000,HLOOKUP(P239,O235:$O238,4,FALSE),IF(OR(AND(22500&lt;P235,P235&lt;25001),AND(50000&lt;P235,P235&lt;53501),AND(70000&lt;P235,P235&lt;72501)),$F235,IF(OR(AND(25001&lt;P235,P235&lt;27501),AND(53500&lt;P235,P235&lt;57001),AND(72500&lt;P235,P235&lt;75001)),$G235,IF(OR(AND(27500&lt;P235,P235&lt;30001),AND(57000&lt;P235,P235&lt;60001),AND(75000&lt;P235,P235&lt;77500)),$H235,VLOOKUP(P235,BDins,6,FALSE)))))</f>
        <v>14.12</v>
      </c>
      <c r="Q237">
        <f>IF(Q239&gt;10000,HLOOKUP(Q239,$O235:P238,4,FALSE),IF(OR(AND(22500&lt;Q235,Q235&lt;25001),AND(50000&lt;Q235,Q235&lt;53501),AND(70000&lt;Q235,Q235&lt;72501)),$F235,IF(OR(AND(25001&lt;Q235,Q235&lt;27501),AND(53500&lt;Q235,Q235&lt;57001),AND(72500&lt;Q235,Q235&lt;75001)),$G235,IF(OR(AND(27500&lt;Q235,Q235&lt;30001),AND(57000&lt;Q235,Q235&lt;60001),AND(75000&lt;Q235,Q235&lt;77500)),$H235,VLOOKUP(Q235,BDins,6,FALSE)))))</f>
        <v>17.59</v>
      </c>
      <c r="R237">
        <f>IF(R239&gt;10000,HLOOKUP(R239,$O235:Q238,4,FALSE),IF(OR(AND(22500&lt;R235,R235&lt;25001),AND(50000&lt;R235,R235&lt;53501),AND(70000&lt;R235,R235&lt;72501)),$F235,IF(OR(AND(25001&lt;R235,R235&lt;27501),AND(53500&lt;R235,R235&lt;57001),AND(72500&lt;R235,R235&lt;75001)),$G235,IF(OR(AND(27500&lt;R235,R235&lt;30001),AND(57000&lt;R235,R235&lt;60001),AND(75000&lt;R235,R235&lt;77500)),$H235,VLOOKUP(R235,BDins,6,FALSE)))))</f>
        <v>7.5</v>
      </c>
      <c r="S237">
        <f>IF(S239&gt;10000,HLOOKUP(S239,$O235:R238,4,FALSE),IF(OR(AND(22500&lt;S235,S235&lt;25001),AND(50000&lt;S235,S235&lt;53501),AND(70000&lt;S235,S235&lt;72501)),$F235,IF(OR(AND(25001&lt;S235,S235&lt;27501),AND(53500&lt;S235,S235&lt;57001),AND(72500&lt;S235,S235&lt;75001)),$G235,IF(OR(AND(27500&lt;S235,S235&lt;30001),AND(57000&lt;S235,S235&lt;60001),AND(75000&lt;S235,S235&lt;77500)),$H235,VLOOKUP(S235,BDins,6,FALSE)))))</f>
        <v>4.5</v>
      </c>
      <c r="T237">
        <f>IF(T239&gt;10000,HLOOKUP(T239,$O235:S238,4,FALSE),IF(OR(AND(22500&lt;T235,T235&lt;25001),AND(50000&lt;T235,T235&lt;53501),AND(70000&lt;T235,T235&lt;72501)),$F235,IF(OR(AND(25001&lt;T235,T235&lt;27501),AND(53500&lt;T235,T235&lt;57001),AND(72500&lt;T235,T235&lt;75001)),$G235,IF(OR(AND(27500&lt;T235,T235&lt;30001),AND(57000&lt;T235,T235&lt;60001),AND(75000&lt;T235,T235&lt;77500)),$H235,VLOOKUP(T235,BDins,6,FALSE)))))</f>
        <v>28</v>
      </c>
      <c r="U237">
        <f>IF(U239&gt;10000,HLOOKUP(U239,$O235:T238,4,FALSE),IF(OR(AND(22500&lt;U235,U235&lt;25001),AND(50000&lt;U235,U235&lt;53501),AND(70000&lt;U235,U235&lt;72501)),$F235,IF(OR(AND(25001&lt;U235,U235&lt;27501),AND(53500&lt;U235,U235&lt;57001),AND(72500&lt;U235,U235&lt;75001)),$G235,IF(OR(AND(27500&lt;U235,U235&lt;30001),AND(57000&lt;U235,U235&lt;60001),AND(75000&lt;U235,U235&lt;77500)),$H235,VLOOKUP(U235,BDins,6,FALSE)))))</f>
        <v>60</v>
      </c>
      <c r="V237">
        <f>IF(V239&gt;10000,HLOOKUP(V239,$O235:U238,4,FALSE),IF(OR(AND(22500&lt;V235,V235&lt;25001),AND(50000&lt;V235,V235&lt;53501),AND(70000&lt;V235,V235&lt;72501)),$F235,IF(OR(AND(25001&lt;V235,V235&lt;27501),AND(53500&lt;V235,V235&lt;57001),AND(72500&lt;V235,V235&lt;75001)),$G235,IF(OR(AND(27500&lt;V235,V235&lt;30001),AND(57000&lt;V235,V235&lt;60001),AND(75000&lt;V235,V235&lt;77500)),$H235,VLOOKUP(V235,BDins,6,FALSE)))))</f>
        <v>49.55</v>
      </c>
    </row>
    <row r="238" spans="1:22" x14ac:dyDescent="0.2">
      <c r="O238">
        <f t="shared" ref="O238:V238" si="28">IF($K235&gt;0,ROUND(O236*$E235/100,DpCU),IF(O239&gt;10000,ROUND(HLOOKUP(O239,$O235:$V238,4,FALSE)/100*O236,DpCU),IF(OR(O235&lt;20001,O235&gt;95000,AND(60000&lt;O235,O235&lt;70001)),ROUND(ROUND(O236*JL/$C235,DcCU)*O237,DpCU),IF(OR(AND(20000&lt;O235,O235&lt;22501),AND(30000&lt;O235,O235&lt;50001),77500&lt;O235),ROUND(O237*O236,DpCU),IF(OR(AND(22500&lt;O235,O235&lt;25001),AND(50000&lt;O235,O235&lt;53501),AND(70000&lt;O235,O235&lt;72501)),ROUND($F235/100*O236,DpCU),IF(OR(AND(25000&lt;O235,O235&lt;27501),AND(53500&lt;O235,O235&lt;57001),AND(72500&lt;O235,O235&lt;75001)),ROUND($G235/100*O236,DpCU),ROUND($H235/100*O236,DpCU)))))))</f>
        <v>10.11</v>
      </c>
      <c r="P238">
        <f t="shared" si="28"/>
        <v>11.3</v>
      </c>
      <c r="Q238">
        <f t="shared" si="28"/>
        <v>28.14</v>
      </c>
      <c r="R238">
        <f t="shared" si="28"/>
        <v>86.63</v>
      </c>
      <c r="S238">
        <f t="shared" si="28"/>
        <v>2.25</v>
      </c>
      <c r="T238">
        <f t="shared" si="28"/>
        <v>2.8</v>
      </c>
      <c r="U238">
        <f t="shared" si="28"/>
        <v>4.8</v>
      </c>
      <c r="V238">
        <f t="shared" si="28"/>
        <v>2.48</v>
      </c>
    </row>
    <row r="239" spans="1:22" x14ac:dyDescent="0.2">
      <c r="B239" s="3" t="str">
        <f>A235&amp;"r"</f>
        <v>10047r</v>
      </c>
    </row>
    <row r="240" spans="1:22" x14ac:dyDescent="0.2">
      <c r="A240">
        <v>10048</v>
      </c>
      <c r="B240" s="3" t="s">
        <v>368</v>
      </c>
      <c r="C240" s="1">
        <f>ROUND(J240*JL*Frto/8,4)</f>
        <v>10</v>
      </c>
      <c r="D240" t="s">
        <v>160</v>
      </c>
      <c r="E240">
        <f>SUM($O243:$U243)</f>
        <v>31.259999999999998</v>
      </c>
      <c r="F240">
        <f>SUMIF($O240:$U240,"&lt;22501",$O243:$U243)</f>
        <v>21.65</v>
      </c>
      <c r="G240">
        <f>SUMIFS($O243:$U243,$O240:$U240,"&gt;30000",$O240:$U240,"&lt;50001")</f>
        <v>9.61</v>
      </c>
      <c r="H240">
        <f>SUMIFS($O243:$U243,$O240:$U240,"&gt;60000",$O240:$U240,"&lt;70001")</f>
        <v>0</v>
      </c>
      <c r="I240">
        <v>7</v>
      </c>
      <c r="J240">
        <v>10</v>
      </c>
      <c r="O240">
        <v>10001</v>
      </c>
      <c r="P240">
        <v>10004</v>
      </c>
      <c r="Q240">
        <v>30001</v>
      </c>
      <c r="R240">
        <v>30010</v>
      </c>
      <c r="S240">
        <v>30022</v>
      </c>
      <c r="T240">
        <v>30042</v>
      </c>
      <c r="U240">
        <v>30043</v>
      </c>
    </row>
    <row r="241" spans="1:23" x14ac:dyDescent="0.2">
      <c r="B241" s="3" t="str">
        <f>A240&amp;"C"</f>
        <v>10048C</v>
      </c>
      <c r="O241">
        <v>0.75</v>
      </c>
      <c r="P241">
        <v>1</v>
      </c>
      <c r="Q241">
        <v>0.17799999999999999</v>
      </c>
      <c r="R241">
        <v>0.434</v>
      </c>
      <c r="S241">
        <v>5.4000000000000003E-3</v>
      </c>
      <c r="T241">
        <v>2.8000000000000001E-2</v>
      </c>
      <c r="U241">
        <v>2E-3</v>
      </c>
    </row>
    <row r="242" spans="1:23" x14ac:dyDescent="0.2">
      <c r="O242">
        <f>IF(O244&gt;10000,HLOOKUP(O244,N240:$O243,4,FALSE),IF(OR(AND(22500&lt;O240,O240&lt;25001),AND(50000&lt;O240,O240&lt;53501),AND(70000&lt;O240,O240&lt;72501)),$F240,IF(OR(AND(25001&lt;O240,O240&lt;27501),AND(53500&lt;O240,O240&lt;57001),AND(72500&lt;O240,O240&lt;75001)),$G240,IF(OR(AND(27500&lt;O240,O240&lt;30001),AND(57000&lt;O240,O240&lt;60001),AND(75000&lt;O240,O240&lt;77500)),$H240,VLOOKUP(O240,BDins,6,FALSE)))))</f>
        <v>12.64</v>
      </c>
      <c r="P242">
        <f>IF(P244&gt;10000,HLOOKUP(P244,O240:$O243,4,FALSE),IF(OR(AND(22500&lt;P240,P240&lt;25001),AND(50000&lt;P240,P240&lt;53501),AND(70000&lt;P240,P240&lt;72501)),$F240,IF(OR(AND(25001&lt;P240,P240&lt;27501),AND(53500&lt;P240,P240&lt;57001),AND(72500&lt;P240,P240&lt;75001)),$G240,IF(OR(AND(27500&lt;P240,P240&lt;30001),AND(57000&lt;P240,P240&lt;60001),AND(75000&lt;P240,P240&lt;77500)),$H240,VLOOKUP(P240,BDins,6,FALSE)))))</f>
        <v>17.59</v>
      </c>
      <c r="Q242">
        <f>IF(Q244&gt;10000,HLOOKUP(Q244,$O240:P243,4,FALSE),IF(OR(AND(22500&lt;Q240,Q240&lt;25001),AND(50000&lt;Q240,Q240&lt;53501),AND(70000&lt;Q240,Q240&lt;72501)),$F240,IF(OR(AND(25001&lt;Q240,Q240&lt;27501),AND(53500&lt;Q240,Q240&lt;57001),AND(72500&lt;Q240,Q240&lt;75001)),$G240,IF(OR(AND(27500&lt;Q240,Q240&lt;30001),AND(57000&lt;Q240,Q240&lt;60001),AND(75000&lt;Q240,Q240&lt;77500)),$H240,VLOOKUP(Q240,BDins,6,FALSE)))))</f>
        <v>27</v>
      </c>
      <c r="R242">
        <f>IF(R244&gt;10000,HLOOKUP(R244,$O240:Q243,4,FALSE),IF(OR(AND(22500&lt;R240,R240&lt;25001),AND(50000&lt;R240,R240&lt;53501),AND(70000&lt;R240,R240&lt;72501)),$F240,IF(OR(AND(25001&lt;R240,R240&lt;27501),AND(53500&lt;R240,R240&lt;57001),AND(72500&lt;R240,R240&lt;75001)),$G240,IF(OR(AND(27500&lt;R240,R240&lt;30001),AND(57000&lt;R240,R240&lt;60001),AND(75000&lt;R240,R240&lt;77500)),$H240,VLOOKUP(R240,BDins,6,FALSE)))))</f>
        <v>7.5</v>
      </c>
      <c r="S242">
        <f>IF(S244&gt;10000,HLOOKUP(S244,$O240:R243,4,FALSE),IF(OR(AND(22500&lt;S240,S240&lt;25001),AND(50000&lt;S240,S240&lt;53501),AND(70000&lt;S240,S240&lt;72501)),$F240,IF(OR(AND(25001&lt;S240,S240&lt;27501),AND(53500&lt;S240,S240&lt;57001),AND(72500&lt;S240,S240&lt;75001)),$G240,IF(OR(AND(27500&lt;S240,S240&lt;30001),AND(57000&lt;S240,S240&lt;60001),AND(75000&lt;S240,S240&lt;77500)),$H240,VLOOKUP(S240,BDins,6,FALSE)))))</f>
        <v>3.5</v>
      </c>
      <c r="T242">
        <f>IF(T244&gt;10000,HLOOKUP(T244,$O240:S243,4,FALSE),IF(OR(AND(22500&lt;T240,T240&lt;25001),AND(50000&lt;T240,T240&lt;53501),AND(70000&lt;T240,T240&lt;72501)),$F240,IF(OR(AND(25001&lt;T240,T240&lt;27501),AND(53500&lt;T240,T240&lt;57001),AND(72500&lt;T240,T240&lt;75001)),$G240,IF(OR(AND(27500&lt;T240,T240&lt;30001),AND(57000&lt;T240,T240&lt;60001),AND(75000&lt;T240,T240&lt;77500)),$H240,VLOOKUP(T240,BDins,6,FALSE)))))</f>
        <v>49.9</v>
      </c>
      <c r="U242">
        <f>IF(U244&gt;10000,HLOOKUP(U244,$O240:T243,4,FALSE),IF(OR(AND(22500&lt;U240,U240&lt;25001),AND(50000&lt;U240,U240&lt;53501),AND(70000&lt;U240,U240&lt;72501)),$F240,IF(OR(AND(25001&lt;U240,U240&lt;27501),AND(53500&lt;U240,U240&lt;57001),AND(72500&lt;U240,U240&lt;75001)),$G240,IF(OR(AND(27500&lt;U240,U240&lt;30001),AND(57000&lt;U240,U240&lt;60001),AND(75000&lt;U240,U240&lt;77500)),$H240,VLOOKUP(U240,BDins,6,FALSE)))))</f>
        <v>60</v>
      </c>
    </row>
    <row r="243" spans="1:23" x14ac:dyDescent="0.2">
      <c r="O243">
        <f t="shared" ref="O243:U243" si="29">IF($K240&gt;0,ROUND(O241*$E240/100,DpCU),IF(O244&gt;10000,ROUND(HLOOKUP(O244,$O240:$U243,4,FALSE)/100*O241,DpCU),IF(OR(O240&lt;20001,O240&gt;95000,AND(60000&lt;O240,O240&lt;70001)),ROUND(ROUND(O241*JL/$C240,DcCU)*O242,DpCU),IF(OR(AND(20000&lt;O240,O240&lt;22501),AND(30000&lt;O240,O240&lt;50001),77500&lt;O240),ROUND(O242*O241,DpCU),IF(OR(AND(22500&lt;O240,O240&lt;25001),AND(50000&lt;O240,O240&lt;53501),AND(70000&lt;O240,O240&lt;72501)),ROUND($F240/100*O241,DpCU),IF(OR(AND(25000&lt;O240,O240&lt;27501),AND(53500&lt;O240,O240&lt;57001),AND(72500&lt;O240,O240&lt;75001)),ROUND($G240/100*O241,DpCU),ROUND($H240/100*O241,DpCU)))))))</f>
        <v>7.58</v>
      </c>
      <c r="P243">
        <f t="shared" si="29"/>
        <v>14.07</v>
      </c>
      <c r="Q243">
        <f t="shared" si="29"/>
        <v>4.8099999999999996</v>
      </c>
      <c r="R243">
        <f t="shared" si="29"/>
        <v>3.26</v>
      </c>
      <c r="S243">
        <f t="shared" si="29"/>
        <v>0.02</v>
      </c>
      <c r="T243">
        <f t="shared" si="29"/>
        <v>1.4</v>
      </c>
      <c r="U243">
        <f t="shared" si="29"/>
        <v>0.12</v>
      </c>
    </row>
    <row r="244" spans="1:23" x14ac:dyDescent="0.2">
      <c r="B244" s="3" t="str">
        <f>A240&amp;"r"</f>
        <v>10048r</v>
      </c>
    </row>
    <row r="245" spans="1:23" x14ac:dyDescent="0.2">
      <c r="A245">
        <v>10049</v>
      </c>
      <c r="B245" s="3" t="s">
        <v>371</v>
      </c>
      <c r="C245" s="1">
        <f>ROUND(J245*JL*Frto/8,4)</f>
        <v>100</v>
      </c>
      <c r="D245" t="s">
        <v>160</v>
      </c>
      <c r="E245">
        <f>SUM($O248:$W248)</f>
        <v>27.810000000000002</v>
      </c>
      <c r="F245">
        <f>SUMIF($O245:$W245,"&lt;22501",$O248:$W248)</f>
        <v>12.83</v>
      </c>
      <c r="G245">
        <f>SUMIFS($O248:$W248,$O245:$W245,"&gt;30000",$O245:$W245,"&lt;50001")</f>
        <v>12.98</v>
      </c>
      <c r="H245">
        <f>SUMIFS($O248:$W248,$O245:$W245,"&gt;60000",$O245:$W245,"&lt;70001")</f>
        <v>2</v>
      </c>
      <c r="I245">
        <v>9</v>
      </c>
      <c r="J245">
        <v>100</v>
      </c>
      <c r="O245">
        <v>10001</v>
      </c>
      <c r="P245">
        <v>10003</v>
      </c>
      <c r="Q245">
        <v>10004</v>
      </c>
      <c r="R245">
        <v>30001</v>
      </c>
      <c r="S245">
        <v>30022</v>
      </c>
      <c r="T245">
        <v>30024</v>
      </c>
      <c r="U245">
        <v>30034</v>
      </c>
      <c r="V245">
        <v>30047</v>
      </c>
      <c r="W245">
        <v>60012</v>
      </c>
    </row>
    <row r="246" spans="1:23" x14ac:dyDescent="0.2">
      <c r="B246" s="3" t="str">
        <f>A245&amp;"C"</f>
        <v>10049C</v>
      </c>
      <c r="O246">
        <v>6</v>
      </c>
      <c r="P246">
        <v>1</v>
      </c>
      <c r="Q246">
        <v>4</v>
      </c>
      <c r="R246">
        <v>0.37</v>
      </c>
      <c r="S246">
        <v>1.29E-2</v>
      </c>
      <c r="T246">
        <v>0.02</v>
      </c>
      <c r="U246">
        <v>5.0999999999999997E-2</v>
      </c>
      <c r="V246">
        <v>2E-3</v>
      </c>
      <c r="W246">
        <v>1</v>
      </c>
    </row>
    <row r="247" spans="1:23" x14ac:dyDescent="0.2">
      <c r="O247">
        <f>IF(O249&gt;10000,HLOOKUP(O249,N245:$O248,4,FALSE),IF(OR(AND(22500&lt;O245,O245&lt;25001),AND(50000&lt;O245,O245&lt;53501),AND(70000&lt;O245,O245&lt;72501)),$F245,IF(OR(AND(25001&lt;O245,O245&lt;27501),AND(53500&lt;O245,O245&lt;57001),AND(72500&lt;O245,O245&lt;75001)),$G245,IF(OR(AND(27500&lt;O245,O245&lt;30001),AND(57000&lt;O245,O245&lt;60001),AND(75000&lt;O245,O245&lt;77500)),$H245,VLOOKUP(O245,BDins,6,FALSE)))))</f>
        <v>12.64</v>
      </c>
      <c r="P247">
        <f>IF(P249&gt;10000,HLOOKUP(P249,O245:$O248,4,FALSE),IF(OR(AND(22500&lt;P245,P245&lt;25001),AND(50000&lt;P245,P245&lt;53501),AND(70000&lt;P245,P245&lt;72501)),$F245,IF(OR(AND(25001&lt;P245,P245&lt;27501),AND(53500&lt;P245,P245&lt;57001),AND(72500&lt;P245,P245&lt;75001)),$G245,IF(OR(AND(27500&lt;P245,P245&lt;30001),AND(57000&lt;P245,P245&lt;60001),AND(75000&lt;P245,P245&lt;77500)),$H245,VLOOKUP(P245,BDins,6,FALSE)))))</f>
        <v>14.12</v>
      </c>
      <c r="Q247">
        <f>IF(Q249&gt;10000,HLOOKUP(Q249,$O245:P248,4,FALSE),IF(OR(AND(22500&lt;Q245,Q245&lt;25001),AND(50000&lt;Q245,Q245&lt;53501),AND(70000&lt;Q245,Q245&lt;72501)),$F245,IF(OR(AND(25001&lt;Q245,Q245&lt;27501),AND(53500&lt;Q245,Q245&lt;57001),AND(72500&lt;Q245,Q245&lt;75001)),$G245,IF(OR(AND(27500&lt;Q245,Q245&lt;30001),AND(57000&lt;Q245,Q245&lt;60001),AND(75000&lt;Q245,Q245&lt;77500)),$H245,VLOOKUP(Q245,BDins,6,FALSE)))))</f>
        <v>17.59</v>
      </c>
      <c r="R247">
        <f>IF(R249&gt;10000,HLOOKUP(R249,$O245:Q248,4,FALSE),IF(OR(AND(22500&lt;R245,R245&lt;25001),AND(50000&lt;R245,R245&lt;53501),AND(70000&lt;R245,R245&lt;72501)),$F245,IF(OR(AND(25001&lt;R245,R245&lt;27501),AND(53500&lt;R245,R245&lt;57001),AND(72500&lt;R245,R245&lt;75001)),$G245,IF(OR(AND(27500&lt;R245,R245&lt;30001),AND(57000&lt;R245,R245&lt;60001),AND(75000&lt;R245,R245&lt;77500)),$H245,VLOOKUP(R245,BDins,6,FALSE)))))</f>
        <v>27</v>
      </c>
      <c r="S247">
        <f>IF(S249&gt;10000,HLOOKUP(S249,$O245:R248,4,FALSE),IF(OR(AND(22500&lt;S245,S245&lt;25001),AND(50000&lt;S245,S245&lt;53501),AND(70000&lt;S245,S245&lt;72501)),$F245,IF(OR(AND(25001&lt;S245,S245&lt;27501),AND(53500&lt;S245,S245&lt;57001),AND(72500&lt;S245,S245&lt;75001)),$G245,IF(OR(AND(27500&lt;S245,S245&lt;30001),AND(57000&lt;S245,S245&lt;60001),AND(75000&lt;S245,S245&lt;77500)),$H245,VLOOKUP(S245,BDins,6,FALSE)))))</f>
        <v>3.5</v>
      </c>
      <c r="T247">
        <f>IF(T249&gt;10000,HLOOKUP(T249,$O245:S248,4,FALSE),IF(OR(AND(22500&lt;T245,T245&lt;25001),AND(50000&lt;T245,T245&lt;53501),AND(70000&lt;T245,T245&lt;72501)),$F245,IF(OR(AND(25001&lt;T245,T245&lt;27501),AND(53500&lt;T245,T245&lt;57001),AND(72500&lt;T245,T245&lt;75001)),$G245,IF(OR(AND(27500&lt;T245,T245&lt;30001),AND(57000&lt;T245,T245&lt;60001),AND(75000&lt;T245,T245&lt;77500)),$H245,VLOOKUP(T245,BDins,6,FALSE)))))</f>
        <v>13.2</v>
      </c>
      <c r="U247">
        <f>IF(U249&gt;10000,HLOOKUP(U249,$O245:T248,4,FALSE),IF(OR(AND(22500&lt;U245,U245&lt;25001),AND(50000&lt;U245,U245&lt;53501),AND(70000&lt;U245,U245&lt;72501)),$F245,IF(OR(AND(25001&lt;U245,U245&lt;27501),AND(53500&lt;U245,U245&lt;57001),AND(72500&lt;U245,U245&lt;75001)),$G245,IF(OR(AND(27500&lt;U245,U245&lt;30001),AND(57000&lt;U245,U245&lt;60001),AND(75000&lt;U245,U245&lt;77500)),$H245,VLOOKUP(U245,BDins,6,FALSE)))))</f>
        <v>49.9</v>
      </c>
      <c r="V247">
        <f>IF(V249&gt;10000,HLOOKUP(V249,$O245:U248,4,FALSE),IF(OR(AND(22500&lt;V245,V245&lt;25001),AND(50000&lt;V245,V245&lt;53501),AND(70000&lt;V245,V245&lt;72501)),$F245,IF(OR(AND(25001&lt;V245,V245&lt;27501),AND(53500&lt;V245,V245&lt;57001),AND(72500&lt;V245,V245&lt;75001)),$G245,IF(OR(AND(27500&lt;V245,V245&lt;30001),AND(57000&lt;V245,V245&lt;60001),AND(75000&lt;V245,V245&lt;77500)),$H245,VLOOKUP(V245,BDins,6,FALSE)))))</f>
        <v>72</v>
      </c>
      <c r="W247">
        <f>IF(W249&gt;10000,HLOOKUP(W249,$O245:V248,4,FALSE),IF(OR(AND(22500&lt;W245,W245&lt;25001),AND(50000&lt;W245,W245&lt;53501),AND(70000&lt;W245,W245&lt;72501)),$F245,IF(OR(AND(25001&lt;W245,W245&lt;27501),AND(53500&lt;W245,W245&lt;57001),AND(72500&lt;W245,W245&lt;75001)),$G245,IF(OR(AND(27500&lt;W245,W245&lt;30001),AND(57000&lt;W245,W245&lt;60001),AND(75000&lt;W245,W245&lt;77500)),$H245,VLOOKUP(W245,BDins,6,FALSE)))))</f>
        <v>25</v>
      </c>
    </row>
    <row r="248" spans="1:23" x14ac:dyDescent="0.2">
      <c r="O248">
        <f t="shared" ref="O248:W248" si="30">IF($K245&gt;0,ROUND(O246*$E245/100,DpCU),IF(O249&gt;10000,ROUND(HLOOKUP(O249,$O245:$W248,4,FALSE)/100*O246,DpCU),IF(OR(O245&lt;20001,O245&gt;95000,AND(60000&lt;O245,O245&lt;70001)),ROUND(ROUND(O246*JL/$C245,DcCU)*O247,DpCU),IF(OR(AND(20000&lt;O245,O245&lt;22501),AND(30000&lt;O245,O245&lt;50001),77500&lt;O245),ROUND(O247*O246,DpCU),IF(OR(AND(22500&lt;O245,O245&lt;25001),AND(50000&lt;O245,O245&lt;53501),AND(70000&lt;O245,O245&lt;72501)),ROUND($F245/100*O246,DpCU),IF(OR(AND(25000&lt;O245,O245&lt;27501),AND(53500&lt;O245,O245&lt;57001),AND(72500&lt;O245,O245&lt;75001)),ROUND($G245/100*O246,DpCU),ROUND($H245/100*O246,DpCU)))))))</f>
        <v>6.07</v>
      </c>
      <c r="P248">
        <f t="shared" si="30"/>
        <v>1.1299999999999999</v>
      </c>
      <c r="Q248">
        <f t="shared" si="30"/>
        <v>5.63</v>
      </c>
      <c r="R248">
        <f t="shared" si="30"/>
        <v>9.99</v>
      </c>
      <c r="S248">
        <f t="shared" si="30"/>
        <v>0.05</v>
      </c>
      <c r="T248">
        <f t="shared" si="30"/>
        <v>0.26</v>
      </c>
      <c r="U248">
        <f t="shared" si="30"/>
        <v>2.54</v>
      </c>
      <c r="V248">
        <f t="shared" si="30"/>
        <v>0.14000000000000001</v>
      </c>
      <c r="W248">
        <f t="shared" si="30"/>
        <v>2</v>
      </c>
    </row>
    <row r="249" spans="1:23" x14ac:dyDescent="0.2">
      <c r="B249" s="3" t="str">
        <f>A245&amp;"r"</f>
        <v>10049r</v>
      </c>
    </row>
    <row r="250" spans="1:23" x14ac:dyDescent="0.2">
      <c r="A250">
        <v>10050</v>
      </c>
      <c r="B250" s="3" t="s">
        <v>374</v>
      </c>
      <c r="C250" s="1">
        <f>ROUND(J250*JL*Frto/8,4)</f>
        <v>5</v>
      </c>
      <c r="D250" t="s">
        <v>160</v>
      </c>
      <c r="E250">
        <f>SUM($O253:$R253)</f>
        <v>62</v>
      </c>
      <c r="F250">
        <f>SUMIF($O250:$R250,"&lt;22501",$O253:$R253)</f>
        <v>38.25</v>
      </c>
      <c r="G250">
        <f>SUMIFS($O253:$R253,$O250:$R250,"&gt;30000",$O250:$R250,"&lt;50001")</f>
        <v>23.75</v>
      </c>
      <c r="H250">
        <f>SUMIFS($O253:$R253,$O250:$R250,"&gt;60000",$O250:$R250,"&lt;70001")</f>
        <v>0</v>
      </c>
      <c r="I250">
        <v>4</v>
      </c>
      <c r="J250">
        <v>5</v>
      </c>
      <c r="O250">
        <v>10001</v>
      </c>
      <c r="P250">
        <v>10004</v>
      </c>
      <c r="Q250">
        <v>30001</v>
      </c>
      <c r="R250">
        <v>30048</v>
      </c>
    </row>
    <row r="251" spans="1:23" x14ac:dyDescent="0.2">
      <c r="B251" s="3" t="str">
        <f>A250&amp;"C"</f>
        <v>10050C</v>
      </c>
      <c r="O251">
        <v>0.5</v>
      </c>
      <c r="P251">
        <v>1</v>
      </c>
      <c r="Q251">
        <v>0.25</v>
      </c>
      <c r="R251">
        <v>1.03</v>
      </c>
    </row>
    <row r="252" spans="1:23" x14ac:dyDescent="0.2">
      <c r="O252">
        <f>IF(O254&gt;10000,HLOOKUP(O254,N250:$O253,4,FALSE),IF(OR(AND(22500&lt;O250,O250&lt;25001),AND(50000&lt;O250,O250&lt;53501),AND(70000&lt;O250,O250&lt;72501)),$F250,IF(OR(AND(25001&lt;O250,O250&lt;27501),AND(53500&lt;O250,O250&lt;57001),AND(72500&lt;O250,O250&lt;75001)),$G250,IF(OR(AND(27500&lt;O250,O250&lt;30001),AND(57000&lt;O250,O250&lt;60001),AND(75000&lt;O250,O250&lt;77500)),$H250,VLOOKUP(O250,BDins,6,FALSE)))))</f>
        <v>12.64</v>
      </c>
      <c r="P252">
        <f>IF(P254&gt;10000,HLOOKUP(P254,O250:$O253,4,FALSE),IF(OR(AND(22500&lt;P250,P250&lt;25001),AND(50000&lt;P250,P250&lt;53501),AND(70000&lt;P250,P250&lt;72501)),$F250,IF(OR(AND(25001&lt;P250,P250&lt;27501),AND(53500&lt;P250,P250&lt;57001),AND(72500&lt;P250,P250&lt;75001)),$G250,IF(OR(AND(27500&lt;P250,P250&lt;30001),AND(57000&lt;P250,P250&lt;60001),AND(75000&lt;P250,P250&lt;77500)),$H250,VLOOKUP(P250,BDins,6,FALSE)))))</f>
        <v>17.59</v>
      </c>
      <c r="Q252">
        <f>IF(Q254&gt;10000,HLOOKUP(Q254,$O250:P253,4,FALSE),IF(OR(AND(22500&lt;Q250,Q250&lt;25001),AND(50000&lt;Q250,Q250&lt;53501),AND(70000&lt;Q250,Q250&lt;72501)),$F250,IF(OR(AND(25001&lt;Q250,Q250&lt;27501),AND(53500&lt;Q250,Q250&lt;57001),AND(72500&lt;Q250,Q250&lt;75001)),$G250,IF(OR(AND(27500&lt;Q250,Q250&lt;30001),AND(57000&lt;Q250,Q250&lt;60001),AND(75000&lt;Q250,Q250&lt;77500)),$H250,VLOOKUP(Q250,BDins,6,FALSE)))))</f>
        <v>27</v>
      </c>
      <c r="R252">
        <f>IF(R254&gt;10000,HLOOKUP(R254,$O250:Q253,4,FALSE),IF(OR(AND(22500&lt;R250,R250&lt;25001),AND(50000&lt;R250,R250&lt;53501),AND(70000&lt;R250,R250&lt;72501)),$F250,IF(OR(AND(25001&lt;R250,R250&lt;27501),AND(53500&lt;R250,R250&lt;57001),AND(72500&lt;R250,R250&lt;75001)),$G250,IF(OR(AND(27500&lt;R250,R250&lt;30001),AND(57000&lt;R250,R250&lt;60001),AND(75000&lt;R250,R250&lt;77500)),$H250,VLOOKUP(R250,BDins,6,FALSE)))))</f>
        <v>16.5</v>
      </c>
    </row>
    <row r="253" spans="1:23" x14ac:dyDescent="0.2">
      <c r="O253">
        <f>IF($K250&gt;0,ROUND(O251*$E250/100,DpCU),IF(O254&gt;10000,ROUND(HLOOKUP(O254,$O250:$R253,4,FALSE)/100*O251,DpCU),IF(OR(O250&lt;20001,O250&gt;95000,AND(60000&lt;O250,O250&lt;70001)),ROUND(ROUND(O251*JL/$C250,DcCU)*O252,DpCU),IF(OR(AND(20000&lt;O250,O250&lt;22501),AND(30000&lt;O250,O250&lt;50001),77500&lt;O250),ROUND(O252*O251,DpCU),IF(OR(AND(22500&lt;O250,O250&lt;25001),AND(50000&lt;O250,O250&lt;53501),AND(70000&lt;O250,O250&lt;72501)),ROUND($F250/100*O251,DpCU),IF(OR(AND(25000&lt;O250,O250&lt;27501),AND(53500&lt;O250,O250&lt;57001),AND(72500&lt;O250,O250&lt;75001)),ROUND($G250/100*O251,DpCU),ROUND($H250/100*O251,DpCU)))))))</f>
        <v>10.11</v>
      </c>
      <c r="P253">
        <f>IF($K250&gt;0,ROUND(P251*$E250/100,DpCU),IF(P254&gt;10000,ROUND(HLOOKUP(P254,$O250:$R253,4,FALSE)/100*P251,DpCU),IF(OR(P250&lt;20001,P250&gt;95000,AND(60000&lt;P250,P250&lt;70001)),ROUND(ROUND(P251*JL/$C250,DcCU)*P252,DpCU),IF(OR(AND(20000&lt;P250,P250&lt;22501),AND(30000&lt;P250,P250&lt;50001),77500&lt;P250),ROUND(P252*P251,DpCU),IF(OR(AND(22500&lt;P250,P250&lt;25001),AND(50000&lt;P250,P250&lt;53501),AND(70000&lt;P250,P250&lt;72501)),ROUND($F250/100*P251,DpCU),IF(OR(AND(25000&lt;P250,P250&lt;27501),AND(53500&lt;P250,P250&lt;57001),AND(72500&lt;P250,P250&lt;75001)),ROUND($G250/100*P251,DpCU),ROUND($H250/100*P251,DpCU)))))))</f>
        <v>28.14</v>
      </c>
      <c r="Q253">
        <f>IF($K250&gt;0,ROUND(Q251*$E250/100,DpCU),IF(Q254&gt;10000,ROUND(HLOOKUP(Q254,$O250:$R253,4,FALSE)/100*Q251,DpCU),IF(OR(Q250&lt;20001,Q250&gt;95000,AND(60000&lt;Q250,Q250&lt;70001)),ROUND(ROUND(Q251*JL/$C250,DcCU)*Q252,DpCU),IF(OR(AND(20000&lt;Q250,Q250&lt;22501),AND(30000&lt;Q250,Q250&lt;50001),77500&lt;Q250),ROUND(Q252*Q251,DpCU),IF(OR(AND(22500&lt;Q250,Q250&lt;25001),AND(50000&lt;Q250,Q250&lt;53501),AND(70000&lt;Q250,Q250&lt;72501)),ROUND($F250/100*Q251,DpCU),IF(OR(AND(25000&lt;Q250,Q250&lt;27501),AND(53500&lt;Q250,Q250&lt;57001),AND(72500&lt;Q250,Q250&lt;75001)),ROUND($G250/100*Q251,DpCU),ROUND($H250/100*Q251,DpCU)))))))</f>
        <v>6.75</v>
      </c>
      <c r="R253">
        <f>IF($K250&gt;0,ROUND(R251*$E250/100,DpCU),IF(R254&gt;10000,ROUND(HLOOKUP(R254,$O250:$R253,4,FALSE)/100*R251,DpCU),IF(OR(R250&lt;20001,R250&gt;95000,AND(60000&lt;R250,R250&lt;70001)),ROUND(ROUND(R251*JL/$C250,DcCU)*R252,DpCU),IF(OR(AND(20000&lt;R250,R250&lt;22501),AND(30000&lt;R250,R250&lt;50001),77500&lt;R250),ROUND(R252*R251,DpCU),IF(OR(AND(22500&lt;R250,R250&lt;25001),AND(50000&lt;R250,R250&lt;53501),AND(70000&lt;R250,R250&lt;72501)),ROUND($F250/100*R251,DpCU),IF(OR(AND(25000&lt;R250,R250&lt;27501),AND(53500&lt;R250,R250&lt;57001),AND(72500&lt;R250,R250&lt;75001)),ROUND($G250/100*R251,DpCU),ROUND($H250/100*R251,DpCU)))))))</f>
        <v>17</v>
      </c>
    </row>
    <row r="254" spans="1:23" x14ac:dyDescent="0.2">
      <c r="B254" s="3" t="str">
        <f>A250&amp;"r"</f>
        <v>10050r</v>
      </c>
    </row>
    <row r="255" spans="1:23" x14ac:dyDescent="0.2">
      <c r="A255">
        <v>10051</v>
      </c>
      <c r="B255" s="3" t="s">
        <v>377</v>
      </c>
      <c r="C255" s="1">
        <f>ROUND(J255*JL*Frto/8,4)</f>
        <v>20</v>
      </c>
      <c r="D255" t="s">
        <v>160</v>
      </c>
      <c r="E255">
        <f>SUM($O258:$P258)</f>
        <v>9.8500000000000014</v>
      </c>
      <c r="F255">
        <f>SUMIF($O255:$P255,"&lt;22501",$O258:$P258)</f>
        <v>5.65</v>
      </c>
      <c r="G255">
        <f>SUMIFS($O258:$P258,$O255:$P255,"&gt;30000",$O255:$P255,"&lt;50001")</f>
        <v>4.2</v>
      </c>
      <c r="H255">
        <f>SUMIFS($O258:$P258,$O255:$P255,"&gt;60000",$O255:$P255,"&lt;70001")</f>
        <v>0</v>
      </c>
      <c r="I255">
        <v>2</v>
      </c>
      <c r="J255">
        <v>20</v>
      </c>
      <c r="M255">
        <v>90002</v>
      </c>
      <c r="O255">
        <v>10003</v>
      </c>
      <c r="P255">
        <v>30049</v>
      </c>
    </row>
    <row r="256" spans="1:23" x14ac:dyDescent="0.2">
      <c r="B256" s="3" t="str">
        <f>A255&amp;"C"</f>
        <v>10051C</v>
      </c>
      <c r="O256">
        <v>1</v>
      </c>
      <c r="P256">
        <v>0.7</v>
      </c>
    </row>
    <row r="257" spans="1:24" x14ac:dyDescent="0.2">
      <c r="O257">
        <f>IF(O259&gt;10000,HLOOKUP(O259,N255:$O258,4,FALSE),IF(OR(AND(22500&lt;O255,O255&lt;25001),AND(50000&lt;O255,O255&lt;53501),AND(70000&lt;O255,O255&lt;72501)),$F255,IF(OR(AND(25001&lt;O255,O255&lt;27501),AND(53500&lt;O255,O255&lt;57001),AND(72500&lt;O255,O255&lt;75001)),$G255,IF(OR(AND(27500&lt;O255,O255&lt;30001),AND(57000&lt;O255,O255&lt;60001),AND(75000&lt;O255,O255&lt;77500)),$H255,VLOOKUP(O255,BDins,6,FALSE)))))</f>
        <v>14.12</v>
      </c>
      <c r="P257">
        <f>IF(P259&gt;10000,HLOOKUP(P259,O255:$O258,4,FALSE),IF(OR(AND(22500&lt;P255,P255&lt;25001),AND(50000&lt;P255,P255&lt;53501),AND(70000&lt;P255,P255&lt;72501)),$F255,IF(OR(AND(25001&lt;P255,P255&lt;27501),AND(53500&lt;P255,P255&lt;57001),AND(72500&lt;P255,P255&lt;75001)),$G255,IF(OR(AND(27500&lt;P255,P255&lt;30001),AND(57000&lt;P255,P255&lt;60001),AND(75000&lt;P255,P255&lt;77500)),$H255,VLOOKUP(P255,BDins,6,FALSE)))))</f>
        <v>6</v>
      </c>
    </row>
    <row r="258" spans="1:24" x14ac:dyDescent="0.2">
      <c r="O258">
        <f>IF($K255&gt;0,ROUND(O256*$E255/100,DpCU),IF(O259&gt;10000,ROUND(HLOOKUP(O259,$O255:$P258,4,FALSE)/100*O256,DpCU),IF(OR(O255&lt;20001,O255&gt;95000,AND(60000&lt;O255,O255&lt;70001)),ROUND(ROUND(O256*JL/$C255,DcCU)*O257,DpCU),IF(OR(AND(20000&lt;O255,O255&lt;22501),AND(30000&lt;O255,O255&lt;50001),77500&lt;O255),ROUND(O257*O256,DpCU),IF(OR(AND(22500&lt;O255,O255&lt;25001),AND(50000&lt;O255,O255&lt;53501),AND(70000&lt;O255,O255&lt;72501)),ROUND($F255/100*O256,DpCU),IF(OR(AND(25000&lt;O255,O255&lt;27501),AND(53500&lt;O255,O255&lt;57001),AND(72500&lt;O255,O255&lt;75001)),ROUND($G255/100*O256,DpCU),ROUND($H255/100*O256,DpCU)))))))</f>
        <v>5.65</v>
      </c>
      <c r="P258">
        <f>IF($K255&gt;0,ROUND(P256*$E255/100,DpCU),IF(P259&gt;10000,ROUND(HLOOKUP(P259,$O255:$P258,4,FALSE)/100*P256,DpCU),IF(OR(P255&lt;20001,P255&gt;95000,AND(60000&lt;P255,P255&lt;70001)),ROUND(ROUND(P256*JL/$C255,DcCU)*P257,DpCU),IF(OR(AND(20000&lt;P255,P255&lt;22501),AND(30000&lt;P255,P255&lt;50001),77500&lt;P255),ROUND(P257*P256,DpCU),IF(OR(AND(22500&lt;P255,P255&lt;25001),AND(50000&lt;P255,P255&lt;53501),AND(70000&lt;P255,P255&lt;72501)),ROUND($F255/100*P256,DpCU),IF(OR(AND(25000&lt;P255,P255&lt;27501),AND(53500&lt;P255,P255&lt;57001),AND(72500&lt;P255,P255&lt;75001)),ROUND($G255/100*P256,DpCU),ROUND($H255/100*P256,DpCU)))))))</f>
        <v>4.2</v>
      </c>
    </row>
    <row r="259" spans="1:24" x14ac:dyDescent="0.2">
      <c r="B259" s="3" t="str">
        <f>A255&amp;"r"</f>
        <v>10051r</v>
      </c>
    </row>
    <row r="260" spans="1:24" x14ac:dyDescent="0.2">
      <c r="A260">
        <v>10052</v>
      </c>
      <c r="B260" s="3" t="s">
        <v>379</v>
      </c>
      <c r="C260" s="1">
        <f>ROUND(J260*JL*Frto/8,4)</f>
        <v>5</v>
      </c>
      <c r="D260" t="s">
        <v>160</v>
      </c>
      <c r="E260">
        <f>SUM($O263:$T263)</f>
        <v>187.92</v>
      </c>
      <c r="F260">
        <f>SUMIF($O260:$T260,"&lt;22501",$O263:$T263)</f>
        <v>129.26</v>
      </c>
      <c r="G260">
        <f>SUMIFS($O263:$T263,$O260:$T260,"&gt;30000",$O260:$T260,"&lt;50001")</f>
        <v>48.81</v>
      </c>
      <c r="H260">
        <f>SUMIFS($O263:$T263,$O260:$T260,"&gt;60000",$O260:$T260,"&lt;70001")</f>
        <v>0</v>
      </c>
      <c r="I260">
        <v>6</v>
      </c>
      <c r="J260">
        <v>5</v>
      </c>
      <c r="O260">
        <v>10001</v>
      </c>
      <c r="P260">
        <v>10004</v>
      </c>
      <c r="Q260">
        <v>30043</v>
      </c>
      <c r="R260">
        <v>30050</v>
      </c>
      <c r="S260">
        <v>30051</v>
      </c>
      <c r="T260">
        <v>90002</v>
      </c>
    </row>
    <row r="261" spans="1:24" x14ac:dyDescent="0.2">
      <c r="B261" s="3" t="str">
        <f>A260&amp;"C"</f>
        <v>10052C</v>
      </c>
      <c r="O261">
        <v>5</v>
      </c>
      <c r="P261">
        <v>1</v>
      </c>
      <c r="Q261">
        <v>3.5000000000000001E-3</v>
      </c>
      <c r="R261">
        <v>4.5</v>
      </c>
      <c r="S261">
        <v>1.02</v>
      </c>
      <c r="T261">
        <v>1</v>
      </c>
    </row>
    <row r="262" spans="1:24" x14ac:dyDescent="0.2">
      <c r="O262">
        <f>IF(O264&gt;10000,HLOOKUP(O264,N260:$O263,4,FALSE),IF(OR(AND(22500&lt;O260,O260&lt;25001),AND(50000&lt;O260,O260&lt;53501),AND(70000&lt;O260,O260&lt;72501)),$F260,IF(OR(AND(25001&lt;O260,O260&lt;27501),AND(53500&lt;O260,O260&lt;57001),AND(72500&lt;O260,O260&lt;75001)),$G260,IF(OR(AND(27500&lt;O260,O260&lt;30001),AND(57000&lt;O260,O260&lt;60001),AND(75000&lt;O260,O260&lt;77500)),$H260,VLOOKUP(O260,BDins,6,FALSE)))))</f>
        <v>12.64</v>
      </c>
      <c r="P262">
        <f>IF(P264&gt;10000,HLOOKUP(P264,O260:$O263,4,FALSE),IF(OR(AND(22500&lt;P260,P260&lt;25001),AND(50000&lt;P260,P260&lt;53501),AND(70000&lt;P260,P260&lt;72501)),$F260,IF(OR(AND(25001&lt;P260,P260&lt;27501),AND(53500&lt;P260,P260&lt;57001),AND(72500&lt;P260,P260&lt;75001)),$G260,IF(OR(AND(27500&lt;P260,P260&lt;30001),AND(57000&lt;P260,P260&lt;60001),AND(75000&lt;P260,P260&lt;77500)),$H260,VLOOKUP(P260,BDins,6,FALSE)))))</f>
        <v>17.59</v>
      </c>
      <c r="Q262">
        <f>IF(Q264&gt;10000,HLOOKUP(Q264,$O260:P263,4,FALSE),IF(OR(AND(22500&lt;Q260,Q260&lt;25001),AND(50000&lt;Q260,Q260&lt;53501),AND(70000&lt;Q260,Q260&lt;72501)),$F260,IF(OR(AND(25001&lt;Q260,Q260&lt;27501),AND(53500&lt;Q260,Q260&lt;57001),AND(72500&lt;Q260,Q260&lt;75001)),$G260,IF(OR(AND(27500&lt;Q260,Q260&lt;30001),AND(57000&lt;Q260,Q260&lt;60001),AND(75000&lt;Q260,Q260&lt;77500)),$H260,VLOOKUP(Q260,BDins,6,FALSE)))))</f>
        <v>60</v>
      </c>
      <c r="R262">
        <f>IF(R264&gt;10000,HLOOKUP(R264,$O260:Q263,4,FALSE),IF(OR(AND(22500&lt;R260,R260&lt;25001),AND(50000&lt;R260,R260&lt;53501),AND(70000&lt;R260,R260&lt;72501)),$F260,IF(OR(AND(25001&lt;R260,R260&lt;27501),AND(53500&lt;R260,R260&lt;57001),AND(72500&lt;R260,R260&lt;75001)),$G260,IF(OR(AND(27500&lt;R260,R260&lt;30001),AND(57000&lt;R260,R260&lt;60001),AND(75000&lt;R260,R260&lt;77500)),$H260,VLOOKUP(R260,BDins,6,FALSE)))))</f>
        <v>0.6</v>
      </c>
      <c r="S262">
        <f>IF(S264&gt;10000,HLOOKUP(S264,$O260:R263,4,FALSE),IF(OR(AND(22500&lt;S260,S260&lt;25001),AND(50000&lt;S260,S260&lt;53501),AND(70000&lt;S260,S260&lt;72501)),$F260,IF(OR(AND(25001&lt;S260,S260&lt;27501),AND(53500&lt;S260,S260&lt;57001),AND(72500&lt;S260,S260&lt;75001)),$G260,IF(OR(AND(27500&lt;S260,S260&lt;30001),AND(57000&lt;S260,S260&lt;60001),AND(75000&lt;S260,S260&lt;77500)),$H260,VLOOKUP(S260,BDins,6,FALSE)))))</f>
        <v>45</v>
      </c>
      <c r="T262">
        <f>IF(T264&gt;10000,HLOOKUP(T264,$O260:S263,4,FALSE),IF(OR(AND(22500&lt;T260,T260&lt;25001),AND(50000&lt;T260,T260&lt;53501),AND(70000&lt;T260,T260&lt;72501)),$F260,IF(OR(AND(25001&lt;T260,T260&lt;27501),AND(53500&lt;T260,T260&lt;57001),AND(72500&lt;T260,T260&lt;75001)),$G260,IF(OR(AND(27500&lt;T260,T260&lt;30001),AND(57000&lt;T260,T260&lt;60001),AND(75000&lt;T260,T260&lt;77500)),$H260,VLOOKUP(T260,BDins,6,FALSE)))))</f>
        <v>9.8500000000000014</v>
      </c>
    </row>
    <row r="263" spans="1:24" x14ac:dyDescent="0.2">
      <c r="O263">
        <f t="shared" ref="O263:T263" si="31">IF($K260&gt;0,ROUND(O261*$E260/100,DpCU),IF(O264&gt;10000,ROUND(HLOOKUP(O264,$O260:$T263,4,FALSE)/100*O261,DpCU),IF(OR(O260&lt;20001,O260&gt;95000,AND(60000&lt;O260,O260&lt;70001)),ROUND(ROUND(O261*JL/$C260,DcCU)*O262,DpCU),IF(OR(AND(20000&lt;O260,O260&lt;22501),AND(30000&lt;O260,O260&lt;50001),77500&lt;O260),ROUND(O262*O261,DpCU),IF(OR(AND(22500&lt;O260,O260&lt;25001),AND(50000&lt;O260,O260&lt;53501),AND(70000&lt;O260,O260&lt;72501)),ROUND($F260/100*O261,DpCU),IF(OR(AND(25000&lt;O260,O260&lt;27501),AND(53500&lt;O260,O260&lt;57001),AND(72500&lt;O260,O260&lt;75001)),ROUND($G260/100*O261,DpCU),ROUND($H260/100*O261,DpCU)))))))</f>
        <v>101.12</v>
      </c>
      <c r="P263">
        <f t="shared" si="31"/>
        <v>28.14</v>
      </c>
      <c r="Q263">
        <f t="shared" si="31"/>
        <v>0.21</v>
      </c>
      <c r="R263">
        <f t="shared" si="31"/>
        <v>2.7</v>
      </c>
      <c r="S263">
        <f t="shared" si="31"/>
        <v>45.9</v>
      </c>
      <c r="T263">
        <f t="shared" si="31"/>
        <v>9.85</v>
      </c>
    </row>
    <row r="264" spans="1:24" x14ac:dyDescent="0.2">
      <c r="B264" s="3" t="str">
        <f>A260&amp;"r"</f>
        <v>10052r</v>
      </c>
    </row>
    <row r="265" spans="1:24" x14ac:dyDescent="0.2">
      <c r="A265">
        <v>10053</v>
      </c>
      <c r="B265" s="3" t="s">
        <v>383</v>
      </c>
      <c r="C265" s="1">
        <f>ROUND(J265*JL*Frto/8,4)</f>
        <v>100</v>
      </c>
      <c r="D265" t="s">
        <v>160</v>
      </c>
      <c r="E265">
        <f>SUM($O268:$X268)</f>
        <v>27.930000000000003</v>
      </c>
      <c r="F265">
        <f>SUMIF($O265:$X265,"&lt;22501",$O268:$X268)</f>
        <v>12.83</v>
      </c>
      <c r="G265">
        <f>SUMIFS($O268:$X268,$O265:$X265,"&gt;30000",$O265:$X265,"&lt;50001")</f>
        <v>13.1</v>
      </c>
      <c r="H265">
        <f>SUMIFS($O268:$X268,$O265:$X265,"&gt;60000",$O265:$X265,"&lt;70001")</f>
        <v>2</v>
      </c>
      <c r="I265">
        <v>10</v>
      </c>
      <c r="J265">
        <v>100</v>
      </c>
      <c r="O265">
        <v>10001</v>
      </c>
      <c r="P265">
        <v>10003</v>
      </c>
      <c r="Q265">
        <v>10004</v>
      </c>
      <c r="R265">
        <v>30001</v>
      </c>
      <c r="S265">
        <v>30022</v>
      </c>
      <c r="T265">
        <v>30024</v>
      </c>
      <c r="U265">
        <v>30034</v>
      </c>
      <c r="V265">
        <v>30047</v>
      </c>
      <c r="W265">
        <v>30052</v>
      </c>
      <c r="X265">
        <v>60011</v>
      </c>
    </row>
    <row r="266" spans="1:24" x14ac:dyDescent="0.2">
      <c r="B266" s="3" t="str">
        <f>A265&amp;"C"</f>
        <v>10053C</v>
      </c>
      <c r="O266">
        <v>6</v>
      </c>
      <c r="P266">
        <v>1</v>
      </c>
      <c r="Q266">
        <v>4</v>
      </c>
      <c r="R266">
        <v>0.37</v>
      </c>
      <c r="S266">
        <v>1.29E-2</v>
      </c>
      <c r="T266">
        <v>0.02</v>
      </c>
      <c r="U266">
        <v>5.0999999999999997E-2</v>
      </c>
      <c r="V266">
        <v>2E-3</v>
      </c>
      <c r="W266">
        <v>0.01</v>
      </c>
      <c r="X266">
        <v>1</v>
      </c>
    </row>
    <row r="267" spans="1:24" x14ac:dyDescent="0.2">
      <c r="O267">
        <f>IF(O269&gt;10000,HLOOKUP(O269,N265:$O268,4,FALSE),IF(OR(AND(22500&lt;O265,O265&lt;25001),AND(50000&lt;O265,O265&lt;53501),AND(70000&lt;O265,O265&lt;72501)),$F265,IF(OR(AND(25001&lt;O265,O265&lt;27501),AND(53500&lt;O265,O265&lt;57001),AND(72500&lt;O265,O265&lt;75001)),$G265,IF(OR(AND(27500&lt;O265,O265&lt;30001),AND(57000&lt;O265,O265&lt;60001),AND(75000&lt;O265,O265&lt;77500)),$H265,VLOOKUP(O265,BDins,6,FALSE)))))</f>
        <v>12.64</v>
      </c>
      <c r="P267">
        <f>IF(P269&gt;10000,HLOOKUP(P269,O265:$O268,4,FALSE),IF(OR(AND(22500&lt;P265,P265&lt;25001),AND(50000&lt;P265,P265&lt;53501),AND(70000&lt;P265,P265&lt;72501)),$F265,IF(OR(AND(25001&lt;P265,P265&lt;27501),AND(53500&lt;P265,P265&lt;57001),AND(72500&lt;P265,P265&lt;75001)),$G265,IF(OR(AND(27500&lt;P265,P265&lt;30001),AND(57000&lt;P265,P265&lt;60001),AND(75000&lt;P265,P265&lt;77500)),$H265,VLOOKUP(P265,BDins,6,FALSE)))))</f>
        <v>14.12</v>
      </c>
      <c r="Q267">
        <f>IF(Q269&gt;10000,HLOOKUP(Q269,$O265:P268,4,FALSE),IF(OR(AND(22500&lt;Q265,Q265&lt;25001),AND(50000&lt;Q265,Q265&lt;53501),AND(70000&lt;Q265,Q265&lt;72501)),$F265,IF(OR(AND(25001&lt;Q265,Q265&lt;27501),AND(53500&lt;Q265,Q265&lt;57001),AND(72500&lt;Q265,Q265&lt;75001)),$G265,IF(OR(AND(27500&lt;Q265,Q265&lt;30001),AND(57000&lt;Q265,Q265&lt;60001),AND(75000&lt;Q265,Q265&lt;77500)),$H265,VLOOKUP(Q265,BDins,6,FALSE)))))</f>
        <v>17.59</v>
      </c>
      <c r="R267">
        <f>IF(R269&gt;10000,HLOOKUP(R269,$O265:Q268,4,FALSE),IF(OR(AND(22500&lt;R265,R265&lt;25001),AND(50000&lt;R265,R265&lt;53501),AND(70000&lt;R265,R265&lt;72501)),$F265,IF(OR(AND(25001&lt;R265,R265&lt;27501),AND(53500&lt;R265,R265&lt;57001),AND(72500&lt;R265,R265&lt;75001)),$G265,IF(OR(AND(27500&lt;R265,R265&lt;30001),AND(57000&lt;R265,R265&lt;60001),AND(75000&lt;R265,R265&lt;77500)),$H265,VLOOKUP(R265,BDins,6,FALSE)))))</f>
        <v>27</v>
      </c>
      <c r="S267">
        <f>IF(S269&gt;10000,HLOOKUP(S269,$O265:R268,4,FALSE),IF(OR(AND(22500&lt;S265,S265&lt;25001),AND(50000&lt;S265,S265&lt;53501),AND(70000&lt;S265,S265&lt;72501)),$F265,IF(OR(AND(25001&lt;S265,S265&lt;27501),AND(53500&lt;S265,S265&lt;57001),AND(72500&lt;S265,S265&lt;75001)),$G265,IF(OR(AND(27500&lt;S265,S265&lt;30001),AND(57000&lt;S265,S265&lt;60001),AND(75000&lt;S265,S265&lt;77500)),$H265,VLOOKUP(S265,BDins,6,FALSE)))))</f>
        <v>3.5</v>
      </c>
      <c r="T267">
        <f>IF(T269&gt;10000,HLOOKUP(T269,$O265:S268,4,FALSE),IF(OR(AND(22500&lt;T265,T265&lt;25001),AND(50000&lt;T265,T265&lt;53501),AND(70000&lt;T265,T265&lt;72501)),$F265,IF(OR(AND(25001&lt;T265,T265&lt;27501),AND(53500&lt;T265,T265&lt;57001),AND(72500&lt;T265,T265&lt;75001)),$G265,IF(OR(AND(27500&lt;T265,T265&lt;30001),AND(57000&lt;T265,T265&lt;60001),AND(75000&lt;T265,T265&lt;77500)),$H265,VLOOKUP(T265,BDins,6,FALSE)))))</f>
        <v>13.2</v>
      </c>
      <c r="U267">
        <f>IF(U269&gt;10000,HLOOKUP(U269,$O265:T268,4,FALSE),IF(OR(AND(22500&lt;U265,U265&lt;25001),AND(50000&lt;U265,U265&lt;53501),AND(70000&lt;U265,U265&lt;72501)),$F265,IF(OR(AND(25001&lt;U265,U265&lt;27501),AND(53500&lt;U265,U265&lt;57001),AND(72500&lt;U265,U265&lt;75001)),$G265,IF(OR(AND(27500&lt;U265,U265&lt;30001),AND(57000&lt;U265,U265&lt;60001),AND(75000&lt;U265,U265&lt;77500)),$H265,VLOOKUP(U265,BDins,6,FALSE)))))</f>
        <v>49.9</v>
      </c>
      <c r="V267">
        <f>IF(V269&gt;10000,HLOOKUP(V269,$O265:U268,4,FALSE),IF(OR(AND(22500&lt;V265,V265&lt;25001),AND(50000&lt;V265,V265&lt;53501),AND(70000&lt;V265,V265&lt;72501)),$F265,IF(OR(AND(25001&lt;V265,V265&lt;27501),AND(53500&lt;V265,V265&lt;57001),AND(72500&lt;V265,V265&lt;75001)),$G265,IF(OR(AND(27500&lt;V265,V265&lt;30001),AND(57000&lt;V265,V265&lt;60001),AND(75000&lt;V265,V265&lt;77500)),$H265,VLOOKUP(V265,BDins,6,FALSE)))))</f>
        <v>72</v>
      </c>
      <c r="W267">
        <f>IF(W269&gt;10000,HLOOKUP(W269,$O265:V268,4,FALSE),IF(OR(AND(22500&lt;W265,W265&lt;25001),AND(50000&lt;W265,W265&lt;53501),AND(70000&lt;W265,W265&lt;72501)),$F265,IF(OR(AND(25001&lt;W265,W265&lt;27501),AND(53500&lt;W265,W265&lt;57001),AND(72500&lt;W265,W265&lt;75001)),$G265,IF(OR(AND(27500&lt;W265,W265&lt;30001),AND(57000&lt;W265,W265&lt;60001),AND(75000&lt;W265,W265&lt;77500)),$H265,VLOOKUP(W265,BDins,6,FALSE)))))</f>
        <v>12</v>
      </c>
      <c r="X267">
        <f>IF(X269&gt;10000,HLOOKUP(X269,$O265:W268,4,FALSE),IF(OR(AND(22500&lt;X265,X265&lt;25001),AND(50000&lt;X265,X265&lt;53501),AND(70000&lt;X265,X265&lt;72501)),$F265,IF(OR(AND(25001&lt;X265,X265&lt;27501),AND(53500&lt;X265,X265&lt;57001),AND(72500&lt;X265,X265&lt;75001)),$G265,IF(OR(AND(27500&lt;X265,X265&lt;30001),AND(57000&lt;X265,X265&lt;60001),AND(75000&lt;X265,X265&lt;77500)),$H265,VLOOKUP(X265,BDins,6,FALSE)))))</f>
        <v>25</v>
      </c>
    </row>
    <row r="268" spans="1:24" x14ac:dyDescent="0.2">
      <c r="O268">
        <f t="shared" ref="O268:X268" si="32">IF($K265&gt;0,ROUND(O266*$E265/100,DpCU),IF(O269&gt;10000,ROUND(HLOOKUP(O269,$O265:$X268,4,FALSE)/100*O266,DpCU),IF(OR(O265&lt;20001,O265&gt;95000,AND(60000&lt;O265,O265&lt;70001)),ROUND(ROUND(O266*JL/$C265,DcCU)*O267,DpCU),IF(OR(AND(20000&lt;O265,O265&lt;22501),AND(30000&lt;O265,O265&lt;50001),77500&lt;O265),ROUND(O267*O266,DpCU),IF(OR(AND(22500&lt;O265,O265&lt;25001),AND(50000&lt;O265,O265&lt;53501),AND(70000&lt;O265,O265&lt;72501)),ROUND($F265/100*O266,DpCU),IF(OR(AND(25000&lt;O265,O265&lt;27501),AND(53500&lt;O265,O265&lt;57001),AND(72500&lt;O265,O265&lt;75001)),ROUND($G265/100*O266,DpCU),ROUND($H265/100*O266,DpCU)))))))</f>
        <v>6.07</v>
      </c>
      <c r="P268">
        <f t="shared" si="32"/>
        <v>1.1299999999999999</v>
      </c>
      <c r="Q268">
        <f t="shared" si="32"/>
        <v>5.63</v>
      </c>
      <c r="R268">
        <f t="shared" si="32"/>
        <v>9.99</v>
      </c>
      <c r="S268">
        <f t="shared" si="32"/>
        <v>0.05</v>
      </c>
      <c r="T268">
        <f t="shared" si="32"/>
        <v>0.26</v>
      </c>
      <c r="U268">
        <f t="shared" si="32"/>
        <v>2.54</v>
      </c>
      <c r="V268">
        <f t="shared" si="32"/>
        <v>0.14000000000000001</v>
      </c>
      <c r="W268">
        <f t="shared" si="32"/>
        <v>0.12</v>
      </c>
      <c r="X268">
        <f t="shared" si="32"/>
        <v>2</v>
      </c>
    </row>
    <row r="269" spans="1:24" x14ac:dyDescent="0.2">
      <c r="B269" s="3" t="str">
        <f>A265&amp;"r"</f>
        <v>10053r</v>
      </c>
    </row>
    <row r="270" spans="1:24" x14ac:dyDescent="0.2">
      <c r="A270">
        <v>10054</v>
      </c>
      <c r="B270" s="3" t="s">
        <v>388</v>
      </c>
      <c r="C270" s="1">
        <f>ROUND(J270*JL*Frto/8,4)</f>
        <v>180</v>
      </c>
      <c r="D270" t="s">
        <v>160</v>
      </c>
      <c r="E270">
        <f>SUM($O273:$U273)</f>
        <v>13.64</v>
      </c>
      <c r="F270">
        <f>SUMIF($O270:$U270,"&lt;22501",$O273:$U273)</f>
        <v>2.31</v>
      </c>
      <c r="G270">
        <f>SUMIFS($O273:$U273,$O270:$U270,"&gt;30000",$O270:$U270,"&lt;50001")</f>
        <v>5.55</v>
      </c>
      <c r="H270">
        <f>SUMIFS($O273:$U273,$O270:$U270,"&gt;60000",$O270:$U270,"&lt;70001")</f>
        <v>5.78</v>
      </c>
      <c r="I270">
        <v>7</v>
      </c>
      <c r="J270">
        <v>180</v>
      </c>
      <c r="M270">
        <v>90003</v>
      </c>
      <c r="O270">
        <v>10001</v>
      </c>
      <c r="P270">
        <v>10003</v>
      </c>
      <c r="Q270">
        <v>30022</v>
      </c>
      <c r="R270">
        <v>30024</v>
      </c>
      <c r="S270">
        <v>30025</v>
      </c>
      <c r="T270">
        <v>60008</v>
      </c>
      <c r="U270">
        <v>60009</v>
      </c>
    </row>
    <row r="271" spans="1:24" x14ac:dyDescent="0.2">
      <c r="B271" s="3" t="str">
        <f>A270&amp;"C"</f>
        <v>10054C</v>
      </c>
      <c r="O271">
        <v>3</v>
      </c>
      <c r="P271">
        <v>1</v>
      </c>
      <c r="Q271">
        <v>1.5599999999999999E-2</v>
      </c>
      <c r="R271">
        <v>3.3300000000000003E-2</v>
      </c>
      <c r="S271">
        <v>0.13</v>
      </c>
      <c r="T271">
        <v>1</v>
      </c>
      <c r="U271">
        <v>1</v>
      </c>
    </row>
    <row r="272" spans="1:24" x14ac:dyDescent="0.2">
      <c r="O272">
        <f>IF(O274&gt;10000,HLOOKUP(O274,N270:$O273,4,FALSE),IF(OR(AND(22500&lt;O270,O270&lt;25001),AND(50000&lt;O270,O270&lt;53501),AND(70000&lt;O270,O270&lt;72501)),$F270,IF(OR(AND(25001&lt;O270,O270&lt;27501),AND(53500&lt;O270,O270&lt;57001),AND(72500&lt;O270,O270&lt;75001)),$G270,IF(OR(AND(27500&lt;O270,O270&lt;30001),AND(57000&lt;O270,O270&lt;60001),AND(75000&lt;O270,O270&lt;77500)),$H270,VLOOKUP(O270,BDins,6,FALSE)))))</f>
        <v>12.64</v>
      </c>
      <c r="P272">
        <f>IF(P274&gt;10000,HLOOKUP(P274,O270:$O273,4,FALSE),IF(OR(AND(22500&lt;P270,P270&lt;25001),AND(50000&lt;P270,P270&lt;53501),AND(70000&lt;P270,P270&lt;72501)),$F270,IF(OR(AND(25001&lt;P270,P270&lt;27501),AND(53500&lt;P270,P270&lt;57001),AND(72500&lt;P270,P270&lt;75001)),$G270,IF(OR(AND(27500&lt;P270,P270&lt;30001),AND(57000&lt;P270,P270&lt;60001),AND(75000&lt;P270,P270&lt;77500)),$H270,VLOOKUP(P270,BDins,6,FALSE)))))</f>
        <v>14.12</v>
      </c>
      <c r="Q272">
        <f>IF(Q274&gt;10000,HLOOKUP(Q274,$O270:P273,4,FALSE),IF(OR(AND(22500&lt;Q270,Q270&lt;25001),AND(50000&lt;Q270,Q270&lt;53501),AND(70000&lt;Q270,Q270&lt;72501)),$F270,IF(OR(AND(25001&lt;Q270,Q270&lt;27501),AND(53500&lt;Q270,Q270&lt;57001),AND(72500&lt;Q270,Q270&lt;75001)),$G270,IF(OR(AND(27500&lt;Q270,Q270&lt;30001),AND(57000&lt;Q270,Q270&lt;60001),AND(75000&lt;Q270,Q270&lt;77500)),$H270,VLOOKUP(Q270,BDins,6,FALSE)))))</f>
        <v>3.5</v>
      </c>
      <c r="R272">
        <f>IF(R274&gt;10000,HLOOKUP(R274,$O270:Q273,4,FALSE),IF(OR(AND(22500&lt;R270,R270&lt;25001),AND(50000&lt;R270,R270&lt;53501),AND(70000&lt;R270,R270&lt;72501)),$F270,IF(OR(AND(25001&lt;R270,R270&lt;27501),AND(53500&lt;R270,R270&lt;57001),AND(72500&lt;R270,R270&lt;75001)),$G270,IF(OR(AND(27500&lt;R270,R270&lt;30001),AND(57000&lt;R270,R270&lt;60001),AND(75000&lt;R270,R270&lt;77500)),$H270,VLOOKUP(R270,BDins,6,FALSE)))))</f>
        <v>13.2</v>
      </c>
      <c r="S272">
        <f>IF(S274&gt;10000,HLOOKUP(S274,$O270:R273,4,FALSE),IF(OR(AND(22500&lt;S270,S270&lt;25001),AND(50000&lt;S270,S270&lt;53501),AND(70000&lt;S270,S270&lt;72501)),$F270,IF(OR(AND(25001&lt;S270,S270&lt;27501),AND(53500&lt;S270,S270&lt;57001),AND(72500&lt;S270,S270&lt;75001)),$G270,IF(OR(AND(27500&lt;S270,S270&lt;30001),AND(57000&lt;S270,S270&lt;60001),AND(75000&lt;S270,S270&lt;77500)),$H270,VLOOKUP(S270,BDins,6,FALSE)))))</f>
        <v>38.94</v>
      </c>
      <c r="T272">
        <f>IF(T274&gt;10000,HLOOKUP(T274,$O270:S273,4,FALSE),IF(OR(AND(22500&lt;T270,T270&lt;25001),AND(50000&lt;T270,T270&lt;53501),AND(70000&lt;T270,T270&lt;72501)),$F270,IF(OR(AND(25001&lt;T270,T270&lt;27501),AND(53500&lt;T270,T270&lt;57001),AND(72500&lt;T270,T270&lt;75001)),$G270,IF(OR(AND(27500&lt;T270,T270&lt;30001),AND(57000&lt;T270,T270&lt;60001),AND(75000&lt;T270,T270&lt;77500)),$H270,VLOOKUP(T270,BDins,6,FALSE)))))</f>
        <v>15</v>
      </c>
      <c r="U272">
        <f>IF(U274&gt;10000,HLOOKUP(U274,$O270:T273,4,FALSE),IF(OR(AND(22500&lt;U270,U270&lt;25001),AND(50000&lt;U270,U270&lt;53501),AND(70000&lt;U270,U270&lt;72501)),$F270,IF(OR(AND(25001&lt;U270,U270&lt;27501),AND(53500&lt;U270,U270&lt;57001),AND(72500&lt;U270,U270&lt;75001)),$G270,IF(OR(AND(27500&lt;U270,U270&lt;30001),AND(57000&lt;U270,U270&lt;60001),AND(75000&lt;U270,U270&lt;77500)),$H270,VLOOKUP(U270,BDins,6,FALSE)))))</f>
        <v>115</v>
      </c>
    </row>
    <row r="273" spans="1:24" x14ac:dyDescent="0.2">
      <c r="O273">
        <f t="shared" ref="O273:U273" si="33">IF($K270&gt;0,ROUND(O271*$E270/100,DpCU),IF(O274&gt;10000,ROUND(HLOOKUP(O274,$O270:$U273,4,FALSE)/100*O271,DpCU),IF(OR(O270&lt;20001,O270&gt;95000,AND(60000&lt;O270,O270&lt;70001)),ROUND(ROUND(O271*JL/$C270,DcCU)*O272,DpCU),IF(OR(AND(20000&lt;O270,O270&lt;22501),AND(30000&lt;O270,O270&lt;50001),77500&lt;O270),ROUND(O272*O271,DpCU),IF(OR(AND(22500&lt;O270,O270&lt;25001),AND(50000&lt;O270,O270&lt;53501),AND(70000&lt;O270,O270&lt;72501)),ROUND($F270/100*O271,DpCU),IF(OR(AND(25000&lt;O270,O270&lt;27501),AND(53500&lt;O270,O270&lt;57001),AND(72500&lt;O270,O270&lt;75001)),ROUND($G270/100*O271,DpCU),ROUND($H270/100*O271,DpCU)))))))</f>
        <v>1.68</v>
      </c>
      <c r="P273">
        <f t="shared" si="33"/>
        <v>0.63</v>
      </c>
      <c r="Q273">
        <f t="shared" si="33"/>
        <v>0.05</v>
      </c>
      <c r="R273">
        <f t="shared" si="33"/>
        <v>0.44</v>
      </c>
      <c r="S273">
        <f t="shared" si="33"/>
        <v>5.0599999999999996</v>
      </c>
      <c r="T273">
        <f t="shared" si="33"/>
        <v>0.67</v>
      </c>
      <c r="U273">
        <f t="shared" si="33"/>
        <v>5.1100000000000003</v>
      </c>
    </row>
    <row r="274" spans="1:24" x14ac:dyDescent="0.2">
      <c r="B274" s="3" t="str">
        <f>A270&amp;"r"</f>
        <v>10054r</v>
      </c>
    </row>
    <row r="275" spans="1:24" x14ac:dyDescent="0.2">
      <c r="A275">
        <v>10055</v>
      </c>
      <c r="B275" s="3" t="s">
        <v>389</v>
      </c>
      <c r="C275" s="1">
        <f>ROUND(J275*JL*Frto/8,4)</f>
        <v>200</v>
      </c>
      <c r="D275" t="s">
        <v>160</v>
      </c>
      <c r="E275">
        <f>SUM($O278:$X278)</f>
        <v>62.860000000000007</v>
      </c>
      <c r="F275">
        <f>SUMIF($O275:$X275,"&lt;22501",$O278:$X278)</f>
        <v>9.2199999999999989</v>
      </c>
      <c r="G275">
        <f>SUMIFS($O278:$X278,$O275:$X275,"&gt;30000",$O275:$X275,"&lt;50001")</f>
        <v>38.980000000000004</v>
      </c>
      <c r="H275">
        <f>SUMIFS($O278:$X278,$O275:$X275,"&gt;60000",$O275:$X275,"&lt;70001")</f>
        <v>1.02</v>
      </c>
      <c r="I275">
        <v>10</v>
      </c>
      <c r="J275">
        <v>200</v>
      </c>
      <c r="O275">
        <v>10001</v>
      </c>
      <c r="P275">
        <v>10003</v>
      </c>
      <c r="Q275">
        <v>10004</v>
      </c>
      <c r="R275">
        <v>30001</v>
      </c>
      <c r="S275">
        <v>30022</v>
      </c>
      <c r="T275">
        <v>30033</v>
      </c>
      <c r="U275">
        <v>30034</v>
      </c>
      <c r="V275">
        <v>60011</v>
      </c>
      <c r="W275">
        <v>60014</v>
      </c>
      <c r="X275">
        <v>90003</v>
      </c>
    </row>
    <row r="276" spans="1:24" x14ac:dyDescent="0.2">
      <c r="B276" s="3" t="str">
        <f>A275&amp;"C"</f>
        <v>10055C</v>
      </c>
      <c r="O276">
        <v>6</v>
      </c>
      <c r="P276">
        <v>1</v>
      </c>
      <c r="Q276">
        <v>8</v>
      </c>
      <c r="R276">
        <v>1.1380999999999999</v>
      </c>
      <c r="S276">
        <v>2.5000000000000001E-2</v>
      </c>
      <c r="T276">
        <v>7.4300000000000005E-2</v>
      </c>
      <c r="U276">
        <v>7.2900000000000006E-2</v>
      </c>
      <c r="V276">
        <v>1</v>
      </c>
      <c r="W276">
        <v>1</v>
      </c>
      <c r="X276">
        <v>1</v>
      </c>
    </row>
    <row r="277" spans="1:24" x14ac:dyDescent="0.2">
      <c r="O277">
        <f>IF(O279&gt;10000,HLOOKUP(O279,N275:$O278,4,FALSE),IF(OR(AND(22500&lt;O275,O275&lt;25001),AND(50000&lt;O275,O275&lt;53501),AND(70000&lt;O275,O275&lt;72501)),$F275,IF(OR(AND(25001&lt;O275,O275&lt;27501),AND(53500&lt;O275,O275&lt;57001),AND(72500&lt;O275,O275&lt;75001)),$G275,IF(OR(AND(27500&lt;O275,O275&lt;30001),AND(57000&lt;O275,O275&lt;60001),AND(75000&lt;O275,O275&lt;77500)),$H275,VLOOKUP(O275,BDins,6,FALSE)))))</f>
        <v>12.64</v>
      </c>
      <c r="P277">
        <f>IF(P279&gt;10000,HLOOKUP(P279,O275:$O278,4,FALSE),IF(OR(AND(22500&lt;P275,P275&lt;25001),AND(50000&lt;P275,P275&lt;53501),AND(70000&lt;P275,P275&lt;72501)),$F275,IF(OR(AND(25001&lt;P275,P275&lt;27501),AND(53500&lt;P275,P275&lt;57001),AND(72500&lt;P275,P275&lt;75001)),$G275,IF(OR(AND(27500&lt;P275,P275&lt;30001),AND(57000&lt;P275,P275&lt;60001),AND(75000&lt;P275,P275&lt;77500)),$H275,VLOOKUP(P275,BDins,6,FALSE)))))</f>
        <v>14.12</v>
      </c>
      <c r="Q277">
        <f>IF(Q279&gt;10000,HLOOKUP(Q279,$O275:P278,4,FALSE),IF(OR(AND(22500&lt;Q275,Q275&lt;25001),AND(50000&lt;Q275,Q275&lt;53501),AND(70000&lt;Q275,Q275&lt;72501)),$F275,IF(OR(AND(25001&lt;Q275,Q275&lt;27501),AND(53500&lt;Q275,Q275&lt;57001),AND(72500&lt;Q275,Q275&lt;75001)),$G275,IF(OR(AND(27500&lt;Q275,Q275&lt;30001),AND(57000&lt;Q275,Q275&lt;60001),AND(75000&lt;Q275,Q275&lt;77500)),$H275,VLOOKUP(Q275,BDins,6,FALSE)))))</f>
        <v>17.59</v>
      </c>
      <c r="R277">
        <f>IF(R279&gt;10000,HLOOKUP(R279,$O275:Q278,4,FALSE),IF(OR(AND(22500&lt;R275,R275&lt;25001),AND(50000&lt;R275,R275&lt;53501),AND(70000&lt;R275,R275&lt;72501)),$F275,IF(OR(AND(25001&lt;R275,R275&lt;27501),AND(53500&lt;R275,R275&lt;57001),AND(72500&lt;R275,R275&lt;75001)),$G275,IF(OR(AND(27500&lt;R275,R275&lt;30001),AND(57000&lt;R275,R275&lt;60001),AND(75000&lt;R275,R275&lt;77500)),$H275,VLOOKUP(R275,BDins,6,FALSE)))))</f>
        <v>27</v>
      </c>
      <c r="S277">
        <f>IF(S279&gt;10000,HLOOKUP(S279,$O275:R278,4,FALSE),IF(OR(AND(22500&lt;S275,S275&lt;25001),AND(50000&lt;S275,S275&lt;53501),AND(70000&lt;S275,S275&lt;72501)),$F275,IF(OR(AND(25001&lt;S275,S275&lt;27501),AND(53500&lt;S275,S275&lt;57001),AND(72500&lt;S275,S275&lt;75001)),$G275,IF(OR(AND(27500&lt;S275,S275&lt;30001),AND(57000&lt;S275,S275&lt;60001),AND(75000&lt;S275,S275&lt;77500)),$H275,VLOOKUP(S275,BDins,6,FALSE)))))</f>
        <v>3.5</v>
      </c>
      <c r="T277">
        <f>IF(T279&gt;10000,HLOOKUP(T279,$O275:S278,4,FALSE),IF(OR(AND(22500&lt;T275,T275&lt;25001),AND(50000&lt;T275,T275&lt;53501),AND(70000&lt;T275,T275&lt;72501)),$F275,IF(OR(AND(25001&lt;T275,T275&lt;27501),AND(53500&lt;T275,T275&lt;57001),AND(72500&lt;T275,T275&lt;75001)),$G275,IF(OR(AND(27500&lt;T275,T275&lt;30001),AND(57000&lt;T275,T275&lt;60001),AND(75000&lt;T275,T275&lt;77500)),$H275,VLOOKUP(T275,BDins,6,FALSE)))))</f>
        <v>60.9</v>
      </c>
      <c r="U277">
        <f>IF(U279&gt;10000,HLOOKUP(U279,$O275:T278,4,FALSE),IF(OR(AND(22500&lt;U275,U275&lt;25001),AND(50000&lt;U275,U275&lt;53501),AND(70000&lt;U275,U275&lt;72501)),$F275,IF(OR(AND(25001&lt;U275,U275&lt;27501),AND(53500&lt;U275,U275&lt;57001),AND(72500&lt;U275,U275&lt;75001)),$G275,IF(OR(AND(27500&lt;U275,U275&lt;30001),AND(57000&lt;U275,U275&lt;60001),AND(75000&lt;U275,U275&lt;77500)),$H275,VLOOKUP(U275,BDins,6,FALSE)))))</f>
        <v>49.9</v>
      </c>
      <c r="V277">
        <f>IF(V279&gt;10000,HLOOKUP(V279,$O275:U278,4,FALSE),IF(OR(AND(22500&lt;V275,V275&lt;25001),AND(50000&lt;V275,V275&lt;53501),AND(70000&lt;V275,V275&lt;72501)),$F275,IF(OR(AND(25001&lt;V275,V275&lt;27501),AND(53500&lt;V275,V275&lt;57001),AND(72500&lt;V275,V275&lt;75001)),$G275,IF(OR(AND(27500&lt;V275,V275&lt;30001),AND(57000&lt;V275,V275&lt;60001),AND(75000&lt;V275,V275&lt;77500)),$H275,VLOOKUP(V275,BDins,6,FALSE)))))</f>
        <v>25</v>
      </c>
      <c r="W277">
        <f>IF(W279&gt;10000,HLOOKUP(W279,$O275:V278,4,FALSE),IF(OR(AND(22500&lt;W275,W275&lt;25001),AND(50000&lt;W275,W275&lt;53501),AND(70000&lt;W275,W275&lt;72501)),$F275,IF(OR(AND(25001&lt;W275,W275&lt;27501),AND(53500&lt;W275,W275&lt;57001),AND(72500&lt;W275,W275&lt;75001)),$G275,IF(OR(AND(27500&lt;W275,W275&lt;30001),AND(57000&lt;W275,W275&lt;60001),AND(75000&lt;W275,W275&lt;77500)),$H275,VLOOKUP(W275,BDins,6,FALSE)))))</f>
        <v>0.5</v>
      </c>
      <c r="X277">
        <f>IF(X279&gt;10000,HLOOKUP(X279,$O275:W278,4,FALSE),IF(OR(AND(22500&lt;X275,X275&lt;25001),AND(50000&lt;X275,X275&lt;53501),AND(70000&lt;X275,X275&lt;72501)),$F275,IF(OR(AND(25001&lt;X275,X275&lt;27501),AND(53500&lt;X275,X275&lt;57001),AND(72500&lt;X275,X275&lt;75001)),$G275,IF(OR(AND(27500&lt;X275,X275&lt;30001),AND(57000&lt;X275,X275&lt;60001),AND(75000&lt;X275,X275&lt;77500)),$H275,VLOOKUP(X275,BDins,6,FALSE)))))</f>
        <v>13.64</v>
      </c>
    </row>
    <row r="278" spans="1:24" x14ac:dyDescent="0.2">
      <c r="O278">
        <f t="shared" ref="O278:X278" si="34">IF($K275&gt;0,ROUND(O276*$E275/100,DpCU),IF(O279&gt;10000,ROUND(HLOOKUP(O279,$O275:$X278,4,FALSE)/100*O276,DpCU),IF(OR(O275&lt;20001,O275&gt;95000,AND(60000&lt;O275,O275&lt;70001)),ROUND(ROUND(O276*JL/$C275,DcCU)*O277,DpCU),IF(OR(AND(20000&lt;O275,O275&lt;22501),AND(30000&lt;O275,O275&lt;50001),77500&lt;O275),ROUND(O277*O276,DpCU),IF(OR(AND(22500&lt;O275,O275&lt;25001),AND(50000&lt;O275,O275&lt;53501),AND(70000&lt;O275,O275&lt;72501)),ROUND($F275/100*O276,DpCU),IF(OR(AND(25000&lt;O275,O275&lt;27501),AND(53500&lt;O275,O275&lt;57001),AND(72500&lt;O275,O275&lt;75001)),ROUND($G275/100*O276,DpCU),ROUND($H275/100*O276,DpCU)))))))</f>
        <v>3.03</v>
      </c>
      <c r="P278">
        <f t="shared" si="34"/>
        <v>0.56000000000000005</v>
      </c>
      <c r="Q278">
        <f t="shared" si="34"/>
        <v>5.63</v>
      </c>
      <c r="R278">
        <f t="shared" si="34"/>
        <v>30.73</v>
      </c>
      <c r="S278">
        <f t="shared" si="34"/>
        <v>0.09</v>
      </c>
      <c r="T278">
        <f t="shared" si="34"/>
        <v>4.5199999999999996</v>
      </c>
      <c r="U278">
        <f t="shared" si="34"/>
        <v>3.64</v>
      </c>
      <c r="V278">
        <f t="shared" si="34"/>
        <v>1</v>
      </c>
      <c r="W278">
        <f t="shared" si="34"/>
        <v>0.02</v>
      </c>
      <c r="X278">
        <f t="shared" si="34"/>
        <v>13.64</v>
      </c>
    </row>
    <row r="279" spans="1:24" x14ac:dyDescent="0.2">
      <c r="B279" s="3" t="str">
        <f>A275&amp;"r"</f>
        <v>10055r</v>
      </c>
    </row>
    <row r="280" spans="1:24" x14ac:dyDescent="0.2">
      <c r="A280">
        <v>10056</v>
      </c>
      <c r="B280" s="3" t="s">
        <v>393</v>
      </c>
      <c r="C280" s="1">
        <f>ROUND(J280*JL*Frto/8,4)</f>
        <v>20</v>
      </c>
      <c r="D280" t="s">
        <v>160</v>
      </c>
      <c r="E280">
        <f>SUM($O283:$P283)</f>
        <v>7.15</v>
      </c>
      <c r="F280">
        <f>SUMIF($O280:$P280,"&lt;22501",$O283:$P283)</f>
        <v>5.65</v>
      </c>
      <c r="G280">
        <f>SUMIFS($O283:$P283,$O280:$P280,"&gt;30000",$O280:$P280,"&lt;50001")</f>
        <v>1.5</v>
      </c>
      <c r="H280">
        <f>SUMIFS($O283:$P283,$O280:$P280,"&gt;60000",$O280:$P280,"&lt;70001")</f>
        <v>0</v>
      </c>
      <c r="I280">
        <v>2</v>
      </c>
      <c r="J280">
        <v>20</v>
      </c>
      <c r="M280">
        <v>90004</v>
      </c>
      <c r="O280">
        <v>10003</v>
      </c>
      <c r="P280">
        <v>30053</v>
      </c>
    </row>
    <row r="281" spans="1:24" x14ac:dyDescent="0.2">
      <c r="B281" s="3" t="str">
        <f>A280&amp;"C"</f>
        <v>10056C</v>
      </c>
      <c r="O281">
        <v>1</v>
      </c>
      <c r="P281">
        <v>0.25</v>
      </c>
    </row>
    <row r="282" spans="1:24" x14ac:dyDescent="0.2">
      <c r="O282">
        <f>IF(O284&gt;10000,HLOOKUP(O284,N280:$O283,4,FALSE),IF(OR(AND(22500&lt;O280,O280&lt;25001),AND(50000&lt;O280,O280&lt;53501),AND(70000&lt;O280,O280&lt;72501)),$F280,IF(OR(AND(25001&lt;O280,O280&lt;27501),AND(53500&lt;O280,O280&lt;57001),AND(72500&lt;O280,O280&lt;75001)),$G280,IF(OR(AND(27500&lt;O280,O280&lt;30001),AND(57000&lt;O280,O280&lt;60001),AND(75000&lt;O280,O280&lt;77500)),$H280,VLOOKUP(O280,BDins,6,FALSE)))))</f>
        <v>14.12</v>
      </c>
      <c r="P282">
        <f>IF(P284&gt;10000,HLOOKUP(P284,O280:$O283,4,FALSE),IF(OR(AND(22500&lt;P280,P280&lt;25001),AND(50000&lt;P280,P280&lt;53501),AND(70000&lt;P280,P280&lt;72501)),$F280,IF(OR(AND(25001&lt;P280,P280&lt;27501),AND(53500&lt;P280,P280&lt;57001),AND(72500&lt;P280,P280&lt;75001)),$G280,IF(OR(AND(27500&lt;P280,P280&lt;30001),AND(57000&lt;P280,P280&lt;60001),AND(75000&lt;P280,P280&lt;77500)),$H280,VLOOKUP(P280,BDins,6,FALSE)))))</f>
        <v>6</v>
      </c>
    </row>
    <row r="283" spans="1:24" x14ac:dyDescent="0.2">
      <c r="O283">
        <f>IF($K280&gt;0,ROUND(O281*$E280/100,DpCU),IF(O284&gt;10000,ROUND(HLOOKUP(O284,$O280:$P283,4,FALSE)/100*O281,DpCU),IF(OR(O280&lt;20001,O280&gt;95000,AND(60000&lt;O280,O280&lt;70001)),ROUND(ROUND(O281*JL/$C280,DcCU)*O282,DpCU),IF(OR(AND(20000&lt;O280,O280&lt;22501),AND(30000&lt;O280,O280&lt;50001),77500&lt;O280),ROUND(O282*O281,DpCU),IF(OR(AND(22500&lt;O280,O280&lt;25001),AND(50000&lt;O280,O280&lt;53501),AND(70000&lt;O280,O280&lt;72501)),ROUND($F280/100*O281,DpCU),IF(OR(AND(25000&lt;O280,O280&lt;27501),AND(53500&lt;O280,O280&lt;57001),AND(72500&lt;O280,O280&lt;75001)),ROUND($G280/100*O281,DpCU),ROUND($H280/100*O281,DpCU)))))))</f>
        <v>5.65</v>
      </c>
      <c r="P283">
        <f>IF($K280&gt;0,ROUND(P281*$E280/100,DpCU),IF(P284&gt;10000,ROUND(HLOOKUP(P284,$O280:$P283,4,FALSE)/100*P281,DpCU),IF(OR(P280&lt;20001,P280&gt;95000,AND(60000&lt;P280,P280&lt;70001)),ROUND(ROUND(P281*JL/$C280,DcCU)*P282,DpCU),IF(OR(AND(20000&lt;P280,P280&lt;22501),AND(30000&lt;P280,P280&lt;50001),77500&lt;P280),ROUND(P282*P281,DpCU),IF(OR(AND(22500&lt;P280,P280&lt;25001),AND(50000&lt;P280,P280&lt;53501),AND(70000&lt;P280,P280&lt;72501)),ROUND($F280/100*P281,DpCU),IF(OR(AND(25000&lt;P280,P280&lt;27501),AND(53500&lt;P280,P280&lt;57001),AND(72500&lt;P280,P280&lt;75001)),ROUND($G280/100*P281,DpCU),ROUND($H280/100*P281,DpCU)))))))</f>
        <v>1.5</v>
      </c>
    </row>
    <row r="284" spans="1:24" x14ac:dyDescent="0.2">
      <c r="B284" s="3" t="str">
        <f>A280&amp;"r"</f>
        <v>10056r</v>
      </c>
    </row>
    <row r="285" spans="1:24" x14ac:dyDescent="0.2">
      <c r="A285">
        <v>10057</v>
      </c>
      <c r="B285" s="3" t="s">
        <v>395</v>
      </c>
      <c r="C285" s="1">
        <f>ROUND(J285*JL*Frto/8,4)</f>
        <v>25</v>
      </c>
      <c r="D285" t="s">
        <v>356</v>
      </c>
      <c r="E285">
        <f>SUM($O288:$T288)</f>
        <v>19.549999999999997</v>
      </c>
      <c r="F285">
        <f>SUMIF($O285:$T285,"&lt;22501",$O288:$T288)</f>
        <v>6.64</v>
      </c>
      <c r="G285">
        <f>SUMIFS($O288:$T288,$O285:$T285,"&gt;30000",$O285:$T285,"&lt;50001")</f>
        <v>12.19</v>
      </c>
      <c r="H285">
        <f>SUMIFS($O288:$T288,$O285:$T285,"&gt;60000",$O285:$T285,"&lt;70001")</f>
        <v>0</v>
      </c>
      <c r="I285">
        <v>6</v>
      </c>
      <c r="J285">
        <v>25</v>
      </c>
      <c r="O285">
        <v>10001</v>
      </c>
      <c r="P285">
        <v>10004</v>
      </c>
      <c r="Q285">
        <v>30043</v>
      </c>
      <c r="R285">
        <v>30050</v>
      </c>
      <c r="S285">
        <v>30054</v>
      </c>
      <c r="T285">
        <v>90004</v>
      </c>
    </row>
    <row r="286" spans="1:24" x14ac:dyDescent="0.2">
      <c r="B286" s="3" t="str">
        <f>A285&amp;"C"</f>
        <v>10057C</v>
      </c>
      <c r="O286">
        <v>0.25</v>
      </c>
      <c r="P286">
        <v>1</v>
      </c>
      <c r="Q286">
        <v>4.0000000000000002E-4</v>
      </c>
      <c r="R286">
        <v>1.5</v>
      </c>
      <c r="S286">
        <v>0.15029999999999999</v>
      </c>
      <c r="T286">
        <v>0.1</v>
      </c>
    </row>
    <row r="287" spans="1:24" x14ac:dyDescent="0.2">
      <c r="O287">
        <f>IF(O289&gt;10000,HLOOKUP(O289,N285:$O288,4,FALSE),IF(OR(AND(22500&lt;O285,O285&lt;25001),AND(50000&lt;O285,O285&lt;53501),AND(70000&lt;O285,O285&lt;72501)),$F285,IF(OR(AND(25001&lt;O285,O285&lt;27501),AND(53500&lt;O285,O285&lt;57001),AND(72500&lt;O285,O285&lt;75001)),$G285,IF(OR(AND(27500&lt;O285,O285&lt;30001),AND(57000&lt;O285,O285&lt;60001),AND(75000&lt;O285,O285&lt;77500)),$H285,VLOOKUP(O285,BDins,6,FALSE)))))</f>
        <v>12.64</v>
      </c>
      <c r="P287">
        <f>IF(P289&gt;10000,HLOOKUP(P289,O285:$O288,4,FALSE),IF(OR(AND(22500&lt;P285,P285&lt;25001),AND(50000&lt;P285,P285&lt;53501),AND(70000&lt;P285,P285&lt;72501)),$F285,IF(OR(AND(25001&lt;P285,P285&lt;27501),AND(53500&lt;P285,P285&lt;57001),AND(72500&lt;P285,P285&lt;75001)),$G285,IF(OR(AND(27500&lt;P285,P285&lt;30001),AND(57000&lt;P285,P285&lt;60001),AND(75000&lt;P285,P285&lt;77500)),$H285,VLOOKUP(P285,BDins,6,FALSE)))))</f>
        <v>17.59</v>
      </c>
      <c r="Q287">
        <f>IF(Q289&gt;10000,HLOOKUP(Q289,$O285:P288,4,FALSE),IF(OR(AND(22500&lt;Q285,Q285&lt;25001),AND(50000&lt;Q285,Q285&lt;53501),AND(70000&lt;Q285,Q285&lt;72501)),$F285,IF(OR(AND(25001&lt;Q285,Q285&lt;27501),AND(53500&lt;Q285,Q285&lt;57001),AND(72500&lt;Q285,Q285&lt;75001)),$G285,IF(OR(AND(27500&lt;Q285,Q285&lt;30001),AND(57000&lt;Q285,Q285&lt;60001),AND(75000&lt;Q285,Q285&lt;77500)),$H285,VLOOKUP(Q285,BDins,6,FALSE)))))</f>
        <v>60</v>
      </c>
      <c r="R287">
        <f>IF(R289&gt;10000,HLOOKUP(R289,$O285:Q288,4,FALSE),IF(OR(AND(22500&lt;R285,R285&lt;25001),AND(50000&lt;R285,R285&lt;53501),AND(70000&lt;R285,R285&lt;72501)),$F285,IF(OR(AND(25001&lt;R285,R285&lt;27501),AND(53500&lt;R285,R285&lt;57001),AND(72500&lt;R285,R285&lt;75001)),$G285,IF(OR(AND(27500&lt;R285,R285&lt;30001),AND(57000&lt;R285,R285&lt;60001),AND(75000&lt;R285,R285&lt;77500)),$H285,VLOOKUP(R285,BDins,6,FALSE)))))</f>
        <v>0.6</v>
      </c>
      <c r="S287">
        <f>IF(S289&gt;10000,HLOOKUP(S289,$O285:R288,4,FALSE),IF(OR(AND(22500&lt;S285,S285&lt;25001),AND(50000&lt;S285,S285&lt;53501),AND(70000&lt;S285,S285&lt;72501)),$F285,IF(OR(AND(25001&lt;S285,S285&lt;27501),AND(53500&lt;S285,S285&lt;57001),AND(72500&lt;S285,S285&lt;75001)),$G285,IF(OR(AND(27500&lt;S285,S285&lt;30001),AND(57000&lt;S285,S285&lt;60001),AND(75000&lt;S285,S285&lt;77500)),$H285,VLOOKUP(S285,BDins,6,FALSE)))))</f>
        <v>75</v>
      </c>
      <c r="T287">
        <f>IF(T289&gt;10000,HLOOKUP(T289,$O285:S288,4,FALSE),IF(OR(AND(22500&lt;T285,T285&lt;25001),AND(50000&lt;T285,T285&lt;53501),AND(70000&lt;T285,T285&lt;72501)),$F285,IF(OR(AND(25001&lt;T285,T285&lt;27501),AND(53500&lt;T285,T285&lt;57001),AND(72500&lt;T285,T285&lt;75001)),$G285,IF(OR(AND(27500&lt;T285,T285&lt;30001),AND(57000&lt;T285,T285&lt;60001),AND(75000&lt;T285,T285&lt;77500)),$H285,VLOOKUP(T285,BDins,6,FALSE)))))</f>
        <v>7.15</v>
      </c>
    </row>
    <row r="288" spans="1:24" x14ac:dyDescent="0.2">
      <c r="O288">
        <f t="shared" ref="O288:T288" si="35">IF($K285&gt;0,ROUND(O286*$E285/100,DpCU),IF(O289&gt;10000,ROUND(HLOOKUP(O289,$O285:$T288,4,FALSE)/100*O286,DpCU),IF(OR(O285&lt;20001,O285&gt;95000,AND(60000&lt;O285,O285&lt;70001)),ROUND(ROUND(O286*JL/$C285,DcCU)*O287,DpCU),IF(OR(AND(20000&lt;O285,O285&lt;22501),AND(30000&lt;O285,O285&lt;50001),77500&lt;O285),ROUND(O287*O286,DpCU),IF(OR(AND(22500&lt;O285,O285&lt;25001),AND(50000&lt;O285,O285&lt;53501),AND(70000&lt;O285,O285&lt;72501)),ROUND($F285/100*O286,DpCU),IF(OR(AND(25000&lt;O285,O285&lt;27501),AND(53500&lt;O285,O285&lt;57001),AND(72500&lt;O285,O285&lt;75001)),ROUND($G285/100*O286,DpCU),ROUND($H285/100*O286,DpCU)))))))</f>
        <v>1.01</v>
      </c>
      <c r="P288">
        <f t="shared" si="35"/>
        <v>5.63</v>
      </c>
      <c r="Q288">
        <f t="shared" si="35"/>
        <v>0.02</v>
      </c>
      <c r="R288">
        <f t="shared" si="35"/>
        <v>0.9</v>
      </c>
      <c r="S288">
        <f t="shared" si="35"/>
        <v>11.27</v>
      </c>
      <c r="T288">
        <f t="shared" si="35"/>
        <v>0.72</v>
      </c>
    </row>
    <row r="289" spans="1:21" x14ac:dyDescent="0.2">
      <c r="B289" s="3" t="str">
        <f>A285&amp;"r"</f>
        <v>10057r</v>
      </c>
    </row>
    <row r="290" spans="1:21" x14ac:dyDescent="0.2">
      <c r="A290">
        <v>10058</v>
      </c>
      <c r="B290" s="3" t="s">
        <v>400</v>
      </c>
      <c r="C290" s="1">
        <f>ROUND(J290*JL*Frto/8,4)</f>
        <v>4</v>
      </c>
      <c r="D290" t="s">
        <v>160</v>
      </c>
      <c r="E290">
        <f>SUM($O293:$S293)</f>
        <v>121.87</v>
      </c>
      <c r="F290">
        <f>SUMIF($O290:$S290,"&lt;22501",$O293:$S293)</f>
        <v>41.5</v>
      </c>
      <c r="G290">
        <f>SUMIFS($O293:$S293,$O290:$S290,"&gt;30000",$O290:$S290,"&lt;50001")</f>
        <v>79.650000000000006</v>
      </c>
      <c r="H290">
        <f>SUMIFS($O293:$S293,$O290:$S290,"&gt;60000",$O290:$S290,"&lt;70001")</f>
        <v>0</v>
      </c>
      <c r="I290">
        <v>5</v>
      </c>
      <c r="J290">
        <v>4</v>
      </c>
      <c r="O290">
        <v>10001</v>
      </c>
      <c r="P290">
        <v>10004</v>
      </c>
      <c r="Q290">
        <v>30054</v>
      </c>
      <c r="R290">
        <v>30055</v>
      </c>
      <c r="S290">
        <v>90004</v>
      </c>
    </row>
    <row r="291" spans="1:21" x14ac:dyDescent="0.2">
      <c r="B291" s="3" t="str">
        <f>A290&amp;"C"</f>
        <v>10058C</v>
      </c>
      <c r="O291">
        <v>0.25</v>
      </c>
      <c r="P291">
        <v>1</v>
      </c>
      <c r="Q291">
        <v>1.03</v>
      </c>
      <c r="R291">
        <v>4</v>
      </c>
      <c r="S291">
        <v>0.1</v>
      </c>
    </row>
    <row r="292" spans="1:21" x14ac:dyDescent="0.2">
      <c r="O292">
        <f>IF(O294&gt;10000,HLOOKUP(O294,N290:$O293,4,FALSE),IF(OR(AND(22500&lt;O290,O290&lt;25001),AND(50000&lt;O290,O290&lt;53501),AND(70000&lt;O290,O290&lt;72501)),$F290,IF(OR(AND(25001&lt;O290,O290&lt;27501),AND(53500&lt;O290,O290&lt;57001),AND(72500&lt;O290,O290&lt;75001)),$G290,IF(OR(AND(27500&lt;O290,O290&lt;30001),AND(57000&lt;O290,O290&lt;60001),AND(75000&lt;O290,O290&lt;77500)),$H290,VLOOKUP(O290,BDins,6,FALSE)))))</f>
        <v>12.64</v>
      </c>
      <c r="P292">
        <f>IF(P294&gt;10000,HLOOKUP(P294,O290:$O293,4,FALSE),IF(OR(AND(22500&lt;P290,P290&lt;25001),AND(50000&lt;P290,P290&lt;53501),AND(70000&lt;P290,P290&lt;72501)),$F290,IF(OR(AND(25001&lt;P290,P290&lt;27501),AND(53500&lt;P290,P290&lt;57001),AND(72500&lt;P290,P290&lt;75001)),$G290,IF(OR(AND(27500&lt;P290,P290&lt;30001),AND(57000&lt;P290,P290&lt;60001),AND(75000&lt;P290,P290&lt;77500)),$H290,VLOOKUP(P290,BDins,6,FALSE)))))</f>
        <v>17.59</v>
      </c>
      <c r="Q292">
        <f>IF(Q294&gt;10000,HLOOKUP(Q294,$O290:P293,4,FALSE),IF(OR(AND(22500&lt;Q290,Q290&lt;25001),AND(50000&lt;Q290,Q290&lt;53501),AND(70000&lt;Q290,Q290&lt;72501)),$F290,IF(OR(AND(25001&lt;Q290,Q290&lt;27501),AND(53500&lt;Q290,Q290&lt;57001),AND(72500&lt;Q290,Q290&lt;75001)),$G290,IF(OR(AND(27500&lt;Q290,Q290&lt;30001),AND(57000&lt;Q290,Q290&lt;60001),AND(75000&lt;Q290,Q290&lt;77500)),$H290,VLOOKUP(Q290,BDins,6,FALSE)))))</f>
        <v>75</v>
      </c>
      <c r="R292">
        <f>IF(R294&gt;10000,HLOOKUP(R294,$O290:Q293,4,FALSE),IF(OR(AND(22500&lt;R290,R290&lt;25001),AND(50000&lt;R290,R290&lt;53501),AND(70000&lt;R290,R290&lt;72501)),$F290,IF(OR(AND(25001&lt;R290,R290&lt;27501),AND(53500&lt;R290,R290&lt;57001),AND(72500&lt;R290,R290&lt;75001)),$G290,IF(OR(AND(27500&lt;R290,R290&lt;30001),AND(57000&lt;R290,R290&lt;60001),AND(75000&lt;R290,R290&lt;77500)),$H290,VLOOKUP(R290,BDins,6,FALSE)))))</f>
        <v>0.6</v>
      </c>
      <c r="S292">
        <f>IF(S294&gt;10000,HLOOKUP(S294,$O290:R293,4,FALSE),IF(OR(AND(22500&lt;S290,S290&lt;25001),AND(50000&lt;S290,S290&lt;53501),AND(70000&lt;S290,S290&lt;72501)),$F290,IF(OR(AND(25001&lt;S290,S290&lt;27501),AND(53500&lt;S290,S290&lt;57001),AND(72500&lt;S290,S290&lt;75001)),$G290,IF(OR(AND(27500&lt;S290,S290&lt;30001),AND(57000&lt;S290,S290&lt;60001),AND(75000&lt;S290,S290&lt;77500)),$H290,VLOOKUP(S290,BDins,6,FALSE)))))</f>
        <v>7.15</v>
      </c>
    </row>
    <row r="293" spans="1:21" x14ac:dyDescent="0.2">
      <c r="O293">
        <f>IF($K290&gt;0,ROUND(O291*$E290/100,DpCU),IF(O294&gt;10000,ROUND(HLOOKUP(O294,$O290:$S293,4,FALSE)/100*O291,DpCU),IF(OR(O290&lt;20001,O290&gt;95000,AND(60000&lt;O290,O290&lt;70001)),ROUND(ROUND(O291*JL/$C290,DcCU)*O292,DpCU),IF(OR(AND(20000&lt;O290,O290&lt;22501),AND(30000&lt;O290,O290&lt;50001),77500&lt;O290),ROUND(O292*O291,DpCU),IF(OR(AND(22500&lt;O290,O290&lt;25001),AND(50000&lt;O290,O290&lt;53501),AND(70000&lt;O290,O290&lt;72501)),ROUND($F290/100*O291,DpCU),IF(OR(AND(25000&lt;O290,O290&lt;27501),AND(53500&lt;O290,O290&lt;57001),AND(72500&lt;O290,O290&lt;75001)),ROUND($G290/100*O291,DpCU),ROUND($H290/100*O291,DpCU)))))))</f>
        <v>6.32</v>
      </c>
      <c r="P293">
        <f>IF($K290&gt;0,ROUND(P291*$E290/100,DpCU),IF(P294&gt;10000,ROUND(HLOOKUP(P294,$O290:$S293,4,FALSE)/100*P291,DpCU),IF(OR(P290&lt;20001,P290&gt;95000,AND(60000&lt;P290,P290&lt;70001)),ROUND(ROUND(P291*JL/$C290,DcCU)*P292,DpCU),IF(OR(AND(20000&lt;P290,P290&lt;22501),AND(30000&lt;P290,P290&lt;50001),77500&lt;P290),ROUND(P292*P291,DpCU),IF(OR(AND(22500&lt;P290,P290&lt;25001),AND(50000&lt;P290,P290&lt;53501),AND(70000&lt;P290,P290&lt;72501)),ROUND($F290/100*P291,DpCU),IF(OR(AND(25000&lt;P290,P290&lt;27501),AND(53500&lt;P290,P290&lt;57001),AND(72500&lt;P290,P290&lt;75001)),ROUND($G290/100*P291,DpCU),ROUND($H290/100*P291,DpCU)))))))</f>
        <v>35.18</v>
      </c>
      <c r="Q293">
        <f>IF($K290&gt;0,ROUND(Q291*$E290/100,DpCU),IF(Q294&gt;10000,ROUND(HLOOKUP(Q294,$O290:$S293,4,FALSE)/100*Q291,DpCU),IF(OR(Q290&lt;20001,Q290&gt;95000,AND(60000&lt;Q290,Q290&lt;70001)),ROUND(ROUND(Q291*JL/$C290,DcCU)*Q292,DpCU),IF(OR(AND(20000&lt;Q290,Q290&lt;22501),AND(30000&lt;Q290,Q290&lt;50001),77500&lt;Q290),ROUND(Q292*Q291,DpCU),IF(OR(AND(22500&lt;Q290,Q290&lt;25001),AND(50000&lt;Q290,Q290&lt;53501),AND(70000&lt;Q290,Q290&lt;72501)),ROUND($F290/100*Q291,DpCU),IF(OR(AND(25000&lt;Q290,Q290&lt;27501),AND(53500&lt;Q290,Q290&lt;57001),AND(72500&lt;Q290,Q290&lt;75001)),ROUND($G290/100*Q291,DpCU),ROUND($H290/100*Q291,DpCU)))))))</f>
        <v>77.25</v>
      </c>
      <c r="R293">
        <f>IF($K290&gt;0,ROUND(R291*$E290/100,DpCU),IF(R294&gt;10000,ROUND(HLOOKUP(R294,$O290:$S293,4,FALSE)/100*R291,DpCU),IF(OR(R290&lt;20001,R290&gt;95000,AND(60000&lt;R290,R290&lt;70001)),ROUND(ROUND(R291*JL/$C290,DcCU)*R292,DpCU),IF(OR(AND(20000&lt;R290,R290&lt;22501),AND(30000&lt;R290,R290&lt;50001),77500&lt;R290),ROUND(R292*R291,DpCU),IF(OR(AND(22500&lt;R290,R290&lt;25001),AND(50000&lt;R290,R290&lt;53501),AND(70000&lt;R290,R290&lt;72501)),ROUND($F290/100*R291,DpCU),IF(OR(AND(25000&lt;R290,R290&lt;27501),AND(53500&lt;R290,R290&lt;57001),AND(72500&lt;R290,R290&lt;75001)),ROUND($G290/100*R291,DpCU),ROUND($H290/100*R291,DpCU)))))))</f>
        <v>2.4</v>
      </c>
      <c r="S293">
        <f>IF($K290&gt;0,ROUND(S291*$E290/100,DpCU),IF(S294&gt;10000,ROUND(HLOOKUP(S294,$O290:$S293,4,FALSE)/100*S291,DpCU),IF(OR(S290&lt;20001,S290&gt;95000,AND(60000&lt;S290,S290&lt;70001)),ROUND(ROUND(S291*JL/$C290,DcCU)*S292,DpCU),IF(OR(AND(20000&lt;S290,S290&lt;22501),AND(30000&lt;S290,S290&lt;50001),77500&lt;S290),ROUND(S292*S291,DpCU),IF(OR(AND(22500&lt;S290,S290&lt;25001),AND(50000&lt;S290,S290&lt;53501),AND(70000&lt;S290,S290&lt;72501)),ROUND($F290/100*S291,DpCU),IF(OR(AND(25000&lt;S290,S290&lt;27501),AND(53500&lt;S290,S290&lt;57001),AND(72500&lt;S290,S290&lt;75001)),ROUND($G290/100*S291,DpCU),ROUND($H290/100*S291,DpCU)))))))</f>
        <v>0.72</v>
      </c>
    </row>
    <row r="294" spans="1:21" x14ac:dyDescent="0.2">
      <c r="B294" s="3" t="str">
        <f>A290&amp;"r"</f>
        <v>10058r</v>
      </c>
    </row>
    <row r="295" spans="1:21" x14ac:dyDescent="0.2">
      <c r="A295">
        <v>10059</v>
      </c>
      <c r="B295" s="3" t="s">
        <v>406</v>
      </c>
      <c r="C295" s="1">
        <f>ROUND(J295*JL*Frto/8,4)</f>
        <v>10</v>
      </c>
      <c r="D295" t="s">
        <v>160</v>
      </c>
      <c r="E295">
        <f>SUM($O298:$U298)</f>
        <v>31.259999999999998</v>
      </c>
      <c r="F295">
        <f>SUMIF($O295:$U295,"&lt;22501",$O298:$U298)</f>
        <v>21.65</v>
      </c>
      <c r="G295">
        <f>SUMIFS($O298:$U298,$O295:$U295,"&gt;30000",$O295:$U295,"&lt;50001")</f>
        <v>9.61</v>
      </c>
      <c r="H295">
        <f>SUMIFS($O298:$U298,$O295:$U295,"&gt;60000",$O295:$U295,"&lt;70001")</f>
        <v>0</v>
      </c>
      <c r="I295">
        <v>7</v>
      </c>
      <c r="J295">
        <v>10</v>
      </c>
      <c r="O295">
        <v>10001</v>
      </c>
      <c r="P295">
        <v>10004</v>
      </c>
      <c r="Q295">
        <v>30001</v>
      </c>
      <c r="R295">
        <v>30010</v>
      </c>
      <c r="S295">
        <v>30022</v>
      </c>
      <c r="T295">
        <v>30042</v>
      </c>
      <c r="U295">
        <v>30043</v>
      </c>
    </row>
    <row r="296" spans="1:21" x14ac:dyDescent="0.2">
      <c r="B296" s="3" t="str">
        <f>A295&amp;"C"</f>
        <v>10059C</v>
      </c>
      <c r="O296">
        <v>0.75</v>
      </c>
      <c r="P296">
        <v>1</v>
      </c>
      <c r="Q296">
        <v>0.17799999999999999</v>
      </c>
      <c r="R296">
        <v>0.434</v>
      </c>
      <c r="S296">
        <v>5.4000000000000003E-3</v>
      </c>
      <c r="T296">
        <v>2.8000000000000001E-2</v>
      </c>
      <c r="U296">
        <v>2E-3</v>
      </c>
    </row>
    <row r="297" spans="1:21" x14ac:dyDescent="0.2">
      <c r="O297">
        <f>IF(O299&gt;10000,HLOOKUP(O299,N295:$O298,4,FALSE),IF(OR(AND(22500&lt;O295,O295&lt;25001),AND(50000&lt;O295,O295&lt;53501),AND(70000&lt;O295,O295&lt;72501)),$F295,IF(OR(AND(25001&lt;O295,O295&lt;27501),AND(53500&lt;O295,O295&lt;57001),AND(72500&lt;O295,O295&lt;75001)),$G295,IF(OR(AND(27500&lt;O295,O295&lt;30001),AND(57000&lt;O295,O295&lt;60001),AND(75000&lt;O295,O295&lt;77500)),$H295,VLOOKUP(O295,BDins,6,FALSE)))))</f>
        <v>12.64</v>
      </c>
      <c r="P297">
        <f>IF(P299&gt;10000,HLOOKUP(P299,O295:$O298,4,FALSE),IF(OR(AND(22500&lt;P295,P295&lt;25001),AND(50000&lt;P295,P295&lt;53501),AND(70000&lt;P295,P295&lt;72501)),$F295,IF(OR(AND(25001&lt;P295,P295&lt;27501),AND(53500&lt;P295,P295&lt;57001),AND(72500&lt;P295,P295&lt;75001)),$G295,IF(OR(AND(27500&lt;P295,P295&lt;30001),AND(57000&lt;P295,P295&lt;60001),AND(75000&lt;P295,P295&lt;77500)),$H295,VLOOKUP(P295,BDins,6,FALSE)))))</f>
        <v>17.59</v>
      </c>
      <c r="Q297">
        <f>IF(Q299&gt;10000,HLOOKUP(Q299,$O295:P298,4,FALSE),IF(OR(AND(22500&lt;Q295,Q295&lt;25001),AND(50000&lt;Q295,Q295&lt;53501),AND(70000&lt;Q295,Q295&lt;72501)),$F295,IF(OR(AND(25001&lt;Q295,Q295&lt;27501),AND(53500&lt;Q295,Q295&lt;57001),AND(72500&lt;Q295,Q295&lt;75001)),$G295,IF(OR(AND(27500&lt;Q295,Q295&lt;30001),AND(57000&lt;Q295,Q295&lt;60001),AND(75000&lt;Q295,Q295&lt;77500)),$H295,VLOOKUP(Q295,BDins,6,FALSE)))))</f>
        <v>27</v>
      </c>
      <c r="R297">
        <f>IF(R299&gt;10000,HLOOKUP(R299,$O295:Q298,4,FALSE),IF(OR(AND(22500&lt;R295,R295&lt;25001),AND(50000&lt;R295,R295&lt;53501),AND(70000&lt;R295,R295&lt;72501)),$F295,IF(OR(AND(25001&lt;R295,R295&lt;27501),AND(53500&lt;R295,R295&lt;57001),AND(72500&lt;R295,R295&lt;75001)),$G295,IF(OR(AND(27500&lt;R295,R295&lt;30001),AND(57000&lt;R295,R295&lt;60001),AND(75000&lt;R295,R295&lt;77500)),$H295,VLOOKUP(R295,BDins,6,FALSE)))))</f>
        <v>7.5</v>
      </c>
      <c r="S297">
        <f>IF(S299&gt;10000,HLOOKUP(S299,$O295:R298,4,FALSE),IF(OR(AND(22500&lt;S295,S295&lt;25001),AND(50000&lt;S295,S295&lt;53501),AND(70000&lt;S295,S295&lt;72501)),$F295,IF(OR(AND(25001&lt;S295,S295&lt;27501),AND(53500&lt;S295,S295&lt;57001),AND(72500&lt;S295,S295&lt;75001)),$G295,IF(OR(AND(27500&lt;S295,S295&lt;30001),AND(57000&lt;S295,S295&lt;60001),AND(75000&lt;S295,S295&lt;77500)),$H295,VLOOKUP(S295,BDins,6,FALSE)))))</f>
        <v>3.5</v>
      </c>
      <c r="T297">
        <f>IF(T299&gt;10000,HLOOKUP(T299,$O295:S298,4,FALSE),IF(OR(AND(22500&lt;T295,T295&lt;25001),AND(50000&lt;T295,T295&lt;53501),AND(70000&lt;T295,T295&lt;72501)),$F295,IF(OR(AND(25001&lt;T295,T295&lt;27501),AND(53500&lt;T295,T295&lt;57001),AND(72500&lt;T295,T295&lt;75001)),$G295,IF(OR(AND(27500&lt;T295,T295&lt;30001),AND(57000&lt;T295,T295&lt;60001),AND(75000&lt;T295,T295&lt;77500)),$H295,VLOOKUP(T295,BDins,6,FALSE)))))</f>
        <v>49.9</v>
      </c>
      <c r="U297">
        <f>IF(U299&gt;10000,HLOOKUP(U299,$O295:T298,4,FALSE),IF(OR(AND(22500&lt;U295,U295&lt;25001),AND(50000&lt;U295,U295&lt;53501),AND(70000&lt;U295,U295&lt;72501)),$F295,IF(OR(AND(25001&lt;U295,U295&lt;27501),AND(53500&lt;U295,U295&lt;57001),AND(72500&lt;U295,U295&lt;75001)),$G295,IF(OR(AND(27500&lt;U295,U295&lt;30001),AND(57000&lt;U295,U295&lt;60001),AND(75000&lt;U295,U295&lt;77500)),$H295,VLOOKUP(U295,BDins,6,FALSE)))))</f>
        <v>60</v>
      </c>
    </row>
    <row r="298" spans="1:21" x14ac:dyDescent="0.2">
      <c r="O298">
        <f t="shared" ref="O298:U298" si="36">IF($K295&gt;0,ROUND(O296*$E295/100,DpCU),IF(O299&gt;10000,ROUND(HLOOKUP(O299,$O295:$U298,4,FALSE)/100*O296,DpCU),IF(OR(O295&lt;20001,O295&gt;95000,AND(60000&lt;O295,O295&lt;70001)),ROUND(ROUND(O296*JL/$C295,DcCU)*O297,DpCU),IF(OR(AND(20000&lt;O295,O295&lt;22501),AND(30000&lt;O295,O295&lt;50001),77500&lt;O295),ROUND(O297*O296,DpCU),IF(OR(AND(22500&lt;O295,O295&lt;25001),AND(50000&lt;O295,O295&lt;53501),AND(70000&lt;O295,O295&lt;72501)),ROUND($F295/100*O296,DpCU),IF(OR(AND(25000&lt;O295,O295&lt;27501),AND(53500&lt;O295,O295&lt;57001),AND(72500&lt;O295,O295&lt;75001)),ROUND($G295/100*O296,DpCU),ROUND($H295/100*O296,DpCU)))))))</f>
        <v>7.58</v>
      </c>
      <c r="P298">
        <f t="shared" si="36"/>
        <v>14.07</v>
      </c>
      <c r="Q298">
        <f t="shared" si="36"/>
        <v>4.8099999999999996</v>
      </c>
      <c r="R298">
        <f t="shared" si="36"/>
        <v>3.26</v>
      </c>
      <c r="S298">
        <f t="shared" si="36"/>
        <v>0.02</v>
      </c>
      <c r="T298">
        <f t="shared" si="36"/>
        <v>1.4</v>
      </c>
      <c r="U298">
        <f t="shared" si="36"/>
        <v>0.12</v>
      </c>
    </row>
    <row r="299" spans="1:21" x14ac:dyDescent="0.2">
      <c r="B299" s="3" t="str">
        <f>A295&amp;"r"</f>
        <v>10059r</v>
      </c>
    </row>
    <row r="300" spans="1:21" x14ac:dyDescent="0.2">
      <c r="A300">
        <v>10060</v>
      </c>
      <c r="B300" s="3" t="s">
        <v>410</v>
      </c>
      <c r="C300" s="1">
        <f>ROUND(J300*JL*Frto/8,4)</f>
        <v>40</v>
      </c>
      <c r="D300" t="s">
        <v>160</v>
      </c>
      <c r="E300">
        <f>SUM($O303:$R303)</f>
        <v>69.27</v>
      </c>
      <c r="F300">
        <f>SUMIF($O300:$R300,"&lt;22501",$O303:$R303)</f>
        <v>9.17</v>
      </c>
      <c r="G300">
        <f>SUMIFS($O303:$R303,$O300:$R300,"&gt;30000",$O300:$R300,"&lt;50001")</f>
        <v>60.1</v>
      </c>
      <c r="H300">
        <f>SUMIFS($O303:$R303,$O300:$R300,"&gt;60000",$O300:$R300,"&lt;70001")</f>
        <v>0</v>
      </c>
      <c r="I300">
        <v>4</v>
      </c>
      <c r="J300">
        <v>40</v>
      </c>
      <c r="O300">
        <v>10003</v>
      </c>
      <c r="P300">
        <v>10004</v>
      </c>
      <c r="Q300">
        <v>30056</v>
      </c>
      <c r="R300">
        <v>30057</v>
      </c>
    </row>
    <row r="301" spans="1:21" x14ac:dyDescent="0.2">
      <c r="B301" s="3" t="str">
        <f>A300&amp;"C"</f>
        <v>10060C</v>
      </c>
      <c r="O301">
        <v>2</v>
      </c>
      <c r="P301">
        <v>1</v>
      </c>
      <c r="Q301">
        <v>1.45</v>
      </c>
      <c r="R301">
        <v>5</v>
      </c>
    </row>
    <row r="302" spans="1:21" x14ac:dyDescent="0.2">
      <c r="O302">
        <f>IF(O304&gt;10000,HLOOKUP(O304,N300:$O303,4,FALSE),IF(OR(AND(22500&lt;O300,O300&lt;25001),AND(50000&lt;O300,O300&lt;53501),AND(70000&lt;O300,O300&lt;72501)),$F300,IF(OR(AND(25001&lt;O300,O300&lt;27501),AND(53500&lt;O300,O300&lt;57001),AND(72500&lt;O300,O300&lt;75001)),$G300,IF(OR(AND(27500&lt;O300,O300&lt;30001),AND(57000&lt;O300,O300&lt;60001),AND(75000&lt;O300,O300&lt;77500)),$H300,VLOOKUP(O300,BDins,6,FALSE)))))</f>
        <v>14.12</v>
      </c>
      <c r="P302">
        <f>IF(P304&gt;10000,HLOOKUP(P304,O300:$O303,4,FALSE),IF(OR(AND(22500&lt;P300,P300&lt;25001),AND(50000&lt;P300,P300&lt;53501),AND(70000&lt;P300,P300&lt;72501)),$F300,IF(OR(AND(25001&lt;P300,P300&lt;27501),AND(53500&lt;P300,P300&lt;57001),AND(72500&lt;P300,P300&lt;75001)),$G300,IF(OR(AND(27500&lt;P300,P300&lt;30001),AND(57000&lt;P300,P300&lt;60001),AND(75000&lt;P300,P300&lt;77500)),$H300,VLOOKUP(P300,BDins,6,FALSE)))))</f>
        <v>17.59</v>
      </c>
      <c r="Q302">
        <f>IF(Q304&gt;10000,HLOOKUP(Q304,$O300:P303,4,FALSE),IF(OR(AND(22500&lt;Q300,Q300&lt;25001),AND(50000&lt;Q300,Q300&lt;53501),AND(70000&lt;Q300,Q300&lt;72501)),$F300,IF(OR(AND(25001&lt;Q300,Q300&lt;27501),AND(53500&lt;Q300,Q300&lt;57001),AND(72500&lt;Q300,Q300&lt;75001)),$G300,IF(OR(AND(27500&lt;Q300,Q300&lt;30001),AND(57000&lt;Q300,Q300&lt;60001),AND(75000&lt;Q300,Q300&lt;77500)),$H300,VLOOKUP(Q300,BDins,6,FALSE)))))</f>
        <v>38</v>
      </c>
      <c r="R302">
        <f>IF(R304&gt;10000,HLOOKUP(R304,$O300:Q303,4,FALSE),IF(OR(AND(22500&lt;R300,R300&lt;25001),AND(50000&lt;R300,R300&lt;53501),AND(70000&lt;R300,R300&lt;72501)),$F300,IF(OR(AND(25001&lt;R300,R300&lt;27501),AND(53500&lt;R300,R300&lt;57001),AND(72500&lt;R300,R300&lt;75001)),$G300,IF(OR(AND(27500&lt;R300,R300&lt;30001),AND(57000&lt;R300,R300&lt;60001),AND(75000&lt;R300,R300&lt;77500)),$H300,VLOOKUP(R300,BDins,6,FALSE)))))</f>
        <v>1</v>
      </c>
    </row>
    <row r="303" spans="1:21" x14ac:dyDescent="0.2">
      <c r="O303">
        <f>IF($K300&gt;0,ROUND(O301*$E300/100,DpCU),IF(O304&gt;10000,ROUND(HLOOKUP(O304,$O300:$R303,4,FALSE)/100*O301,DpCU),IF(OR(O300&lt;20001,O300&gt;95000,AND(60000&lt;O300,O300&lt;70001)),ROUND(ROUND(O301*JL/$C300,DcCU)*O302,DpCU),IF(OR(AND(20000&lt;O300,O300&lt;22501),AND(30000&lt;O300,O300&lt;50001),77500&lt;O300),ROUND(O302*O301,DpCU),IF(OR(AND(22500&lt;O300,O300&lt;25001),AND(50000&lt;O300,O300&lt;53501),AND(70000&lt;O300,O300&lt;72501)),ROUND($F300/100*O301,DpCU),IF(OR(AND(25000&lt;O300,O300&lt;27501),AND(53500&lt;O300,O300&lt;57001),AND(72500&lt;O300,O300&lt;75001)),ROUND($G300/100*O301,DpCU),ROUND($H300/100*O301,DpCU)))))))</f>
        <v>5.65</v>
      </c>
      <c r="P303">
        <f>IF($K300&gt;0,ROUND(P301*$E300/100,DpCU),IF(P304&gt;10000,ROUND(HLOOKUP(P304,$O300:$R303,4,FALSE)/100*P301,DpCU),IF(OR(P300&lt;20001,P300&gt;95000,AND(60000&lt;P300,P300&lt;70001)),ROUND(ROUND(P301*JL/$C300,DcCU)*P302,DpCU),IF(OR(AND(20000&lt;P300,P300&lt;22501),AND(30000&lt;P300,P300&lt;50001),77500&lt;P300),ROUND(P302*P301,DpCU),IF(OR(AND(22500&lt;P300,P300&lt;25001),AND(50000&lt;P300,P300&lt;53501),AND(70000&lt;P300,P300&lt;72501)),ROUND($F300/100*P301,DpCU),IF(OR(AND(25000&lt;P300,P300&lt;27501),AND(53500&lt;P300,P300&lt;57001),AND(72500&lt;P300,P300&lt;75001)),ROUND($G300/100*P301,DpCU),ROUND($H300/100*P301,DpCU)))))))</f>
        <v>3.52</v>
      </c>
      <c r="Q303">
        <f>IF($K300&gt;0,ROUND(Q301*$E300/100,DpCU),IF(Q304&gt;10000,ROUND(HLOOKUP(Q304,$O300:$R303,4,FALSE)/100*Q301,DpCU),IF(OR(Q300&lt;20001,Q300&gt;95000,AND(60000&lt;Q300,Q300&lt;70001)),ROUND(ROUND(Q301*JL/$C300,DcCU)*Q302,DpCU),IF(OR(AND(20000&lt;Q300,Q300&lt;22501),AND(30000&lt;Q300,Q300&lt;50001),77500&lt;Q300),ROUND(Q302*Q301,DpCU),IF(OR(AND(22500&lt;Q300,Q300&lt;25001),AND(50000&lt;Q300,Q300&lt;53501),AND(70000&lt;Q300,Q300&lt;72501)),ROUND($F300/100*Q301,DpCU),IF(OR(AND(25000&lt;Q300,Q300&lt;27501),AND(53500&lt;Q300,Q300&lt;57001),AND(72500&lt;Q300,Q300&lt;75001)),ROUND($G300/100*Q301,DpCU),ROUND($H300/100*Q301,DpCU)))))))</f>
        <v>55.1</v>
      </c>
      <c r="R303">
        <f>IF($K300&gt;0,ROUND(R301*$E300/100,DpCU),IF(R304&gt;10000,ROUND(HLOOKUP(R304,$O300:$R303,4,FALSE)/100*R301,DpCU),IF(OR(R300&lt;20001,R300&gt;95000,AND(60000&lt;R300,R300&lt;70001)),ROUND(ROUND(R301*JL/$C300,DcCU)*R302,DpCU),IF(OR(AND(20000&lt;R300,R300&lt;22501),AND(30000&lt;R300,R300&lt;50001),77500&lt;R300),ROUND(R302*R301,DpCU),IF(OR(AND(22500&lt;R300,R300&lt;25001),AND(50000&lt;R300,R300&lt;53501),AND(70000&lt;R300,R300&lt;72501)),ROUND($F300/100*R301,DpCU),IF(OR(AND(25000&lt;R300,R300&lt;27501),AND(53500&lt;R300,R300&lt;57001),AND(72500&lt;R300,R300&lt;75001)),ROUND($G300/100*R301,DpCU),ROUND($H300/100*R301,DpCU)))))))</f>
        <v>5</v>
      </c>
    </row>
    <row r="304" spans="1:21" x14ac:dyDescent="0.2">
      <c r="B304" s="3" t="str">
        <f>A300&amp;"r"</f>
        <v>10060r</v>
      </c>
    </row>
    <row r="305" spans="1:17" x14ac:dyDescent="0.2">
      <c r="A305">
        <v>10061</v>
      </c>
      <c r="B305" s="3" t="s">
        <v>418</v>
      </c>
      <c r="C305" s="1">
        <f>ROUND(J305*JL*Frto/8,4)</f>
        <v>1</v>
      </c>
      <c r="D305" t="s">
        <v>167</v>
      </c>
      <c r="E305">
        <f>SUM($O308:$Q308)</f>
        <v>1865.9</v>
      </c>
      <c r="F305">
        <f>SUMIF($O305:$Q305,"&lt;22501",$O308:$Q308)</f>
        <v>0</v>
      </c>
      <c r="G305">
        <f>SUMIFS($O308:$Q308,$O305:$Q305,"&gt;30000",$O305:$Q305,"&lt;50001")</f>
        <v>265.89999999999998</v>
      </c>
      <c r="H305">
        <f>SUMIFS($O308:$Q308,$O305:$Q305,"&gt;60000",$O305:$Q305,"&lt;70001")</f>
        <v>0</v>
      </c>
      <c r="I305">
        <v>3</v>
      </c>
      <c r="J305">
        <v>1</v>
      </c>
      <c r="O305">
        <v>30058</v>
      </c>
      <c r="P305">
        <v>30059</v>
      </c>
      <c r="Q305">
        <v>80003</v>
      </c>
    </row>
    <row r="306" spans="1:17" x14ac:dyDescent="0.2">
      <c r="B306" s="3" t="str">
        <f>A305&amp;"C"</f>
        <v>10061C</v>
      </c>
      <c r="O306">
        <v>1</v>
      </c>
      <c r="P306">
        <v>4</v>
      </c>
      <c r="Q306">
        <v>1</v>
      </c>
    </row>
    <row r="307" spans="1:17" x14ac:dyDescent="0.2">
      <c r="O307">
        <f>IF(O309&gt;10000,HLOOKUP(O309,N305:$O308,4,FALSE),IF(OR(AND(22500&lt;O305,O305&lt;25001),AND(50000&lt;O305,O305&lt;53501),AND(70000&lt;O305,O305&lt;72501)),$F305,IF(OR(AND(25001&lt;O305,O305&lt;27501),AND(53500&lt;O305,O305&lt;57001),AND(72500&lt;O305,O305&lt;75001)),$G305,IF(OR(AND(27500&lt;O305,O305&lt;30001),AND(57000&lt;O305,O305&lt;60001),AND(75000&lt;O305,O305&lt;77500)),$H305,VLOOKUP(O305,BDins,6,FALSE)))))</f>
        <v>169.9</v>
      </c>
      <c r="P307">
        <f>IF(P309&gt;10000,HLOOKUP(P309,O305:$O308,4,FALSE),IF(OR(AND(22500&lt;P305,P305&lt;25001),AND(50000&lt;P305,P305&lt;53501),AND(70000&lt;P305,P305&lt;72501)),$F305,IF(OR(AND(25001&lt;P305,P305&lt;27501),AND(53500&lt;P305,P305&lt;57001),AND(72500&lt;P305,P305&lt;75001)),$G305,IF(OR(AND(27500&lt;P305,P305&lt;30001),AND(57000&lt;P305,P305&lt;60001),AND(75000&lt;P305,P305&lt;77500)),$H305,VLOOKUP(P305,BDins,6,FALSE)))))</f>
        <v>24</v>
      </c>
      <c r="Q307">
        <f>IF(Q309&gt;10000,HLOOKUP(Q309,$O305:P308,4,FALSE),IF(OR(AND(22500&lt;Q305,Q305&lt;25001),AND(50000&lt;Q305,Q305&lt;53501),AND(70000&lt;Q305,Q305&lt;72501)),$F305,IF(OR(AND(25001&lt;Q305,Q305&lt;27501),AND(53500&lt;Q305,Q305&lt;57001),AND(72500&lt;Q305,Q305&lt;75001)),$G305,IF(OR(AND(27500&lt;Q305,Q305&lt;30001),AND(57000&lt;Q305,Q305&lt;60001),AND(75000&lt;Q305,Q305&lt;77500)),$H305,VLOOKUP(Q305,BDins,6,FALSE)))))</f>
        <v>1600</v>
      </c>
    </row>
    <row r="308" spans="1:17" x14ac:dyDescent="0.2">
      <c r="O308">
        <f>IF($K305&gt;0,ROUND(O306*$E305/100,DpCU),IF(O309&gt;10000,ROUND(HLOOKUP(O309,$O305:$Q308,4,FALSE)/100*O306,DpCU),IF(OR(O305&lt;20001,O305&gt;95000,AND(60000&lt;O305,O305&lt;70001)),ROUND(ROUND(O306*JL/$C305,DcCU)*O307,DpCU),IF(OR(AND(20000&lt;O305,O305&lt;22501),AND(30000&lt;O305,O305&lt;50001),77500&lt;O305),ROUND(O307*O306,DpCU),IF(OR(AND(22500&lt;O305,O305&lt;25001),AND(50000&lt;O305,O305&lt;53501),AND(70000&lt;O305,O305&lt;72501)),ROUND($F305/100*O306,DpCU),IF(OR(AND(25000&lt;O305,O305&lt;27501),AND(53500&lt;O305,O305&lt;57001),AND(72500&lt;O305,O305&lt;75001)),ROUND($G305/100*O306,DpCU),ROUND($H305/100*O306,DpCU)))))))</f>
        <v>169.9</v>
      </c>
      <c r="P308">
        <f>IF($K305&gt;0,ROUND(P306*$E305/100,DpCU),IF(P309&gt;10000,ROUND(HLOOKUP(P309,$O305:$Q308,4,FALSE)/100*P306,DpCU),IF(OR(P305&lt;20001,P305&gt;95000,AND(60000&lt;P305,P305&lt;70001)),ROUND(ROUND(P306*JL/$C305,DcCU)*P307,DpCU),IF(OR(AND(20000&lt;P305,P305&lt;22501),AND(30000&lt;P305,P305&lt;50001),77500&lt;P305),ROUND(P307*P306,DpCU),IF(OR(AND(22500&lt;P305,P305&lt;25001),AND(50000&lt;P305,P305&lt;53501),AND(70000&lt;P305,P305&lt;72501)),ROUND($F305/100*P306,DpCU),IF(OR(AND(25000&lt;P305,P305&lt;27501),AND(53500&lt;P305,P305&lt;57001),AND(72500&lt;P305,P305&lt;75001)),ROUND($G305/100*P306,DpCU),ROUND($H305/100*P306,DpCU)))))))</f>
        <v>96</v>
      </c>
      <c r="Q308">
        <f>IF($K305&gt;0,ROUND(Q306*$E305/100,DpCU),IF(Q309&gt;10000,ROUND(HLOOKUP(Q309,$O305:$Q308,4,FALSE)/100*Q306,DpCU),IF(OR(Q305&lt;20001,Q305&gt;95000,AND(60000&lt;Q305,Q305&lt;70001)),ROUND(ROUND(Q306*JL/$C305,DcCU)*Q307,DpCU),IF(OR(AND(20000&lt;Q305,Q305&lt;22501),AND(30000&lt;Q305,Q305&lt;50001),77500&lt;Q305),ROUND(Q307*Q306,DpCU),IF(OR(AND(22500&lt;Q305,Q305&lt;25001),AND(50000&lt;Q305,Q305&lt;53501),AND(70000&lt;Q305,Q305&lt;72501)),ROUND($F305/100*Q306,DpCU),IF(OR(AND(25000&lt;Q305,Q305&lt;27501),AND(53500&lt;Q305,Q305&lt;57001),AND(72500&lt;Q305,Q305&lt;75001)),ROUND($G305/100*Q306,DpCU),ROUND($H305/100*Q306,DpCU)))))))</f>
        <v>1600</v>
      </c>
    </row>
    <row r="309" spans="1:17" x14ac:dyDescent="0.2">
      <c r="B309" s="3" t="str">
        <f>A305&amp;"r"</f>
        <v>10061r</v>
      </c>
    </row>
    <row r="310" spans="1:17" x14ac:dyDescent="0.2">
      <c r="A310">
        <v>10062</v>
      </c>
      <c r="B310" s="3" t="s">
        <v>423</v>
      </c>
      <c r="C310" s="1">
        <f>ROUND(J310*JL*Frto/8,4)</f>
        <v>1</v>
      </c>
      <c r="D310" t="s">
        <v>167</v>
      </c>
      <c r="E310">
        <f>SUM($O313:$Q313)</f>
        <v>1325.9</v>
      </c>
      <c r="F310">
        <f>SUMIF($O310:$Q310,"&lt;22501",$O313:$Q313)</f>
        <v>0</v>
      </c>
      <c r="G310">
        <f>SUMIFS($O313:$Q313,$O310:$Q310,"&gt;30000",$O310:$Q310,"&lt;50001")</f>
        <v>225.9</v>
      </c>
      <c r="H310">
        <f>SUMIFS($O313:$Q313,$O310:$Q310,"&gt;60000",$O310:$Q310,"&lt;70001")</f>
        <v>0</v>
      </c>
      <c r="I310">
        <v>3</v>
      </c>
      <c r="J310">
        <v>1</v>
      </c>
      <c r="O310">
        <v>30059</v>
      </c>
      <c r="P310">
        <v>30060</v>
      </c>
      <c r="Q310">
        <v>80004</v>
      </c>
    </row>
    <row r="311" spans="1:17" x14ac:dyDescent="0.2">
      <c r="B311" s="3" t="str">
        <f>A310&amp;"C"</f>
        <v>10062C</v>
      </c>
      <c r="O311">
        <v>4</v>
      </c>
      <c r="P311">
        <v>1</v>
      </c>
      <c r="Q311">
        <v>1</v>
      </c>
    </row>
    <row r="312" spans="1:17" x14ac:dyDescent="0.2">
      <c r="O312">
        <f>IF(O314&gt;10000,HLOOKUP(O314,N310:$O313,4,FALSE),IF(OR(AND(22500&lt;O310,O310&lt;25001),AND(50000&lt;O310,O310&lt;53501),AND(70000&lt;O310,O310&lt;72501)),$F310,IF(OR(AND(25001&lt;O310,O310&lt;27501),AND(53500&lt;O310,O310&lt;57001),AND(72500&lt;O310,O310&lt;75001)),$G310,IF(OR(AND(27500&lt;O310,O310&lt;30001),AND(57000&lt;O310,O310&lt;60001),AND(75000&lt;O310,O310&lt;77500)),$H310,VLOOKUP(O310,BDins,6,FALSE)))))</f>
        <v>24</v>
      </c>
      <c r="P312">
        <f>IF(P314&gt;10000,HLOOKUP(P314,O310:$O313,4,FALSE),IF(OR(AND(22500&lt;P310,P310&lt;25001),AND(50000&lt;P310,P310&lt;53501),AND(70000&lt;P310,P310&lt;72501)),$F310,IF(OR(AND(25001&lt;P310,P310&lt;27501),AND(53500&lt;P310,P310&lt;57001),AND(72500&lt;P310,P310&lt;75001)),$G310,IF(OR(AND(27500&lt;P310,P310&lt;30001),AND(57000&lt;P310,P310&lt;60001),AND(75000&lt;P310,P310&lt;77500)),$H310,VLOOKUP(P310,BDins,6,FALSE)))))</f>
        <v>129.9</v>
      </c>
      <c r="Q312">
        <f>IF(Q314&gt;10000,HLOOKUP(Q314,$O310:P313,4,FALSE),IF(OR(AND(22500&lt;Q310,Q310&lt;25001),AND(50000&lt;Q310,Q310&lt;53501),AND(70000&lt;Q310,Q310&lt;72501)),$F310,IF(OR(AND(25001&lt;Q310,Q310&lt;27501),AND(53500&lt;Q310,Q310&lt;57001),AND(72500&lt;Q310,Q310&lt;75001)),$G310,IF(OR(AND(27500&lt;Q310,Q310&lt;30001),AND(57000&lt;Q310,Q310&lt;60001),AND(75000&lt;Q310,Q310&lt;77500)),$H310,VLOOKUP(Q310,BDins,6,FALSE)))))</f>
        <v>1100</v>
      </c>
    </row>
    <row r="313" spans="1:17" x14ac:dyDescent="0.2">
      <c r="O313">
        <f>IF($K310&gt;0,ROUND(O311*$E310/100,DpCU),IF(O314&gt;10000,ROUND(HLOOKUP(O314,$O310:$Q313,4,FALSE)/100*O311,DpCU),IF(OR(O310&lt;20001,O310&gt;95000,AND(60000&lt;O310,O310&lt;70001)),ROUND(ROUND(O311*JL/$C310,DcCU)*O312,DpCU),IF(OR(AND(20000&lt;O310,O310&lt;22501),AND(30000&lt;O310,O310&lt;50001),77500&lt;O310),ROUND(O312*O311,DpCU),IF(OR(AND(22500&lt;O310,O310&lt;25001),AND(50000&lt;O310,O310&lt;53501),AND(70000&lt;O310,O310&lt;72501)),ROUND($F310/100*O311,DpCU),IF(OR(AND(25000&lt;O310,O310&lt;27501),AND(53500&lt;O310,O310&lt;57001),AND(72500&lt;O310,O310&lt;75001)),ROUND($G310/100*O311,DpCU),ROUND($H310/100*O311,DpCU)))))))</f>
        <v>96</v>
      </c>
      <c r="P313">
        <f>IF($K310&gt;0,ROUND(P311*$E310/100,DpCU),IF(P314&gt;10000,ROUND(HLOOKUP(P314,$O310:$Q313,4,FALSE)/100*P311,DpCU),IF(OR(P310&lt;20001,P310&gt;95000,AND(60000&lt;P310,P310&lt;70001)),ROUND(ROUND(P311*JL/$C310,DcCU)*P312,DpCU),IF(OR(AND(20000&lt;P310,P310&lt;22501),AND(30000&lt;P310,P310&lt;50001),77500&lt;P310),ROUND(P312*P311,DpCU),IF(OR(AND(22500&lt;P310,P310&lt;25001),AND(50000&lt;P310,P310&lt;53501),AND(70000&lt;P310,P310&lt;72501)),ROUND($F310/100*P311,DpCU),IF(OR(AND(25000&lt;P310,P310&lt;27501),AND(53500&lt;P310,P310&lt;57001),AND(72500&lt;P310,P310&lt;75001)),ROUND($G310/100*P311,DpCU),ROUND($H310/100*P311,DpCU)))))))</f>
        <v>129.9</v>
      </c>
      <c r="Q313">
        <f>IF($K310&gt;0,ROUND(Q311*$E310/100,DpCU),IF(Q314&gt;10000,ROUND(HLOOKUP(Q314,$O310:$Q313,4,FALSE)/100*Q311,DpCU),IF(OR(Q310&lt;20001,Q310&gt;95000,AND(60000&lt;Q310,Q310&lt;70001)),ROUND(ROUND(Q311*JL/$C310,DcCU)*Q312,DpCU),IF(OR(AND(20000&lt;Q310,Q310&lt;22501),AND(30000&lt;Q310,Q310&lt;50001),77500&lt;Q310),ROUND(Q312*Q311,DpCU),IF(OR(AND(22500&lt;Q310,Q310&lt;25001),AND(50000&lt;Q310,Q310&lt;53501),AND(70000&lt;Q310,Q310&lt;72501)),ROUND($F310/100*Q311,DpCU),IF(OR(AND(25000&lt;Q310,Q310&lt;27501),AND(53500&lt;Q310,Q310&lt;57001),AND(72500&lt;Q310,Q310&lt;75001)),ROUND($G310/100*Q311,DpCU),ROUND($H310/100*Q311,DpCU)))))))</f>
        <v>1100</v>
      </c>
    </row>
    <row r="314" spans="1:17" x14ac:dyDescent="0.2">
      <c r="B314" s="3" t="str">
        <f>A310&amp;"r"</f>
        <v>10062r</v>
      </c>
    </row>
    <row r="315" spans="1:17" x14ac:dyDescent="0.2">
      <c r="A315">
        <v>10063</v>
      </c>
      <c r="B315" s="3" t="s">
        <v>427</v>
      </c>
      <c r="C315" s="1">
        <f>ROUND(J315*JL*Frto/8,4)</f>
        <v>1</v>
      </c>
      <c r="D315" t="s">
        <v>167</v>
      </c>
      <c r="E315">
        <f>SUM($O318:$Q318)</f>
        <v>630.9</v>
      </c>
      <c r="F315">
        <f>SUMIF($O315:$Q315,"&lt;22501",$O318:$Q318)</f>
        <v>0</v>
      </c>
      <c r="G315">
        <f>SUMIFS($O318:$Q318,$O315:$Q315,"&gt;30000",$O315:$Q315,"&lt;50001")</f>
        <v>130.9</v>
      </c>
      <c r="H315">
        <f>SUMIFS($O318:$Q318,$O315:$Q315,"&gt;60000",$O315:$Q315,"&lt;70001")</f>
        <v>0</v>
      </c>
      <c r="I315">
        <v>3</v>
      </c>
      <c r="J315">
        <v>1</v>
      </c>
      <c r="O315">
        <v>30061</v>
      </c>
      <c r="P315">
        <v>30062</v>
      </c>
      <c r="Q315">
        <v>80005</v>
      </c>
    </row>
    <row r="316" spans="1:17" x14ac:dyDescent="0.2">
      <c r="B316" s="3" t="str">
        <f>A315&amp;"C"</f>
        <v>10063C</v>
      </c>
      <c r="O316">
        <v>4</v>
      </c>
      <c r="P316">
        <v>1</v>
      </c>
      <c r="Q316">
        <v>1</v>
      </c>
    </row>
    <row r="317" spans="1:17" x14ac:dyDescent="0.2">
      <c r="O317">
        <f>IF(O319&gt;10000,HLOOKUP(O319,N315:$O318,4,FALSE),IF(OR(AND(22500&lt;O315,O315&lt;25001),AND(50000&lt;O315,O315&lt;53501),AND(70000&lt;O315,O315&lt;72501)),$F315,IF(OR(AND(25001&lt;O315,O315&lt;27501),AND(53500&lt;O315,O315&lt;57001),AND(72500&lt;O315,O315&lt;75001)),$G315,IF(OR(AND(27500&lt;O315,O315&lt;30001),AND(57000&lt;O315,O315&lt;60001),AND(75000&lt;O315,O315&lt;77500)),$H315,VLOOKUP(O315,BDins,6,FALSE)))))</f>
        <v>24</v>
      </c>
      <c r="P317">
        <f>IF(P319&gt;10000,HLOOKUP(P319,O315:$O318,4,FALSE),IF(OR(AND(22500&lt;P315,P315&lt;25001),AND(50000&lt;P315,P315&lt;53501),AND(70000&lt;P315,P315&lt;72501)),$F315,IF(OR(AND(25001&lt;P315,P315&lt;27501),AND(53500&lt;P315,P315&lt;57001),AND(72500&lt;P315,P315&lt;75001)),$G315,IF(OR(AND(27500&lt;P315,P315&lt;30001),AND(57000&lt;P315,P315&lt;60001),AND(75000&lt;P315,P315&lt;77500)),$H315,VLOOKUP(P315,BDins,6,FALSE)))))</f>
        <v>34.9</v>
      </c>
      <c r="Q317">
        <f>IF(Q319&gt;10000,HLOOKUP(Q319,$O315:P318,4,FALSE),IF(OR(AND(22500&lt;Q315,Q315&lt;25001),AND(50000&lt;Q315,Q315&lt;53501),AND(70000&lt;Q315,Q315&lt;72501)),$F315,IF(OR(AND(25001&lt;Q315,Q315&lt;27501),AND(53500&lt;Q315,Q315&lt;57001),AND(72500&lt;Q315,Q315&lt;75001)),$G315,IF(OR(AND(27500&lt;Q315,Q315&lt;30001),AND(57000&lt;Q315,Q315&lt;60001),AND(75000&lt;Q315,Q315&lt;77500)),$H315,VLOOKUP(Q315,BDins,6,FALSE)))))</f>
        <v>500</v>
      </c>
    </row>
    <row r="318" spans="1:17" x14ac:dyDescent="0.2">
      <c r="O318">
        <f>IF($K315&gt;0,ROUND(O316*$E315/100,DpCU),IF(O319&gt;10000,ROUND(HLOOKUP(O319,$O315:$Q318,4,FALSE)/100*O316,DpCU),IF(OR(O315&lt;20001,O315&gt;95000,AND(60000&lt;O315,O315&lt;70001)),ROUND(ROUND(O316*JL/$C315,DcCU)*O317,DpCU),IF(OR(AND(20000&lt;O315,O315&lt;22501),AND(30000&lt;O315,O315&lt;50001),77500&lt;O315),ROUND(O317*O316,DpCU),IF(OR(AND(22500&lt;O315,O315&lt;25001),AND(50000&lt;O315,O315&lt;53501),AND(70000&lt;O315,O315&lt;72501)),ROUND($F315/100*O316,DpCU),IF(OR(AND(25000&lt;O315,O315&lt;27501),AND(53500&lt;O315,O315&lt;57001),AND(72500&lt;O315,O315&lt;75001)),ROUND($G315/100*O316,DpCU),ROUND($H315/100*O316,DpCU)))))))</f>
        <v>96</v>
      </c>
      <c r="P318">
        <f>IF($K315&gt;0,ROUND(P316*$E315/100,DpCU),IF(P319&gt;10000,ROUND(HLOOKUP(P319,$O315:$Q318,4,FALSE)/100*P316,DpCU),IF(OR(P315&lt;20001,P315&gt;95000,AND(60000&lt;P315,P315&lt;70001)),ROUND(ROUND(P316*JL/$C315,DcCU)*P317,DpCU),IF(OR(AND(20000&lt;P315,P315&lt;22501),AND(30000&lt;P315,P315&lt;50001),77500&lt;P315),ROUND(P317*P316,DpCU),IF(OR(AND(22500&lt;P315,P315&lt;25001),AND(50000&lt;P315,P315&lt;53501),AND(70000&lt;P315,P315&lt;72501)),ROUND($F315/100*P316,DpCU),IF(OR(AND(25000&lt;P315,P315&lt;27501),AND(53500&lt;P315,P315&lt;57001),AND(72500&lt;P315,P315&lt;75001)),ROUND($G315/100*P316,DpCU),ROUND($H315/100*P316,DpCU)))))))</f>
        <v>34.9</v>
      </c>
      <c r="Q318">
        <f>IF($K315&gt;0,ROUND(Q316*$E315/100,DpCU),IF(Q319&gt;10000,ROUND(HLOOKUP(Q319,$O315:$Q318,4,FALSE)/100*Q316,DpCU),IF(OR(Q315&lt;20001,Q315&gt;95000,AND(60000&lt;Q315,Q315&lt;70001)),ROUND(ROUND(Q316*JL/$C315,DcCU)*Q317,DpCU),IF(OR(AND(20000&lt;Q315,Q315&lt;22501),AND(30000&lt;Q315,Q315&lt;50001),77500&lt;Q315),ROUND(Q317*Q316,DpCU),IF(OR(AND(22500&lt;Q315,Q315&lt;25001),AND(50000&lt;Q315,Q315&lt;53501),AND(70000&lt;Q315,Q315&lt;72501)),ROUND($F315/100*Q316,DpCU),IF(OR(AND(25000&lt;Q315,Q315&lt;27501),AND(53500&lt;Q315,Q315&lt;57001),AND(72500&lt;Q315,Q315&lt;75001)),ROUND($G315/100*Q316,DpCU),ROUND($H315/100*Q316,DpCU)))))))</f>
        <v>500</v>
      </c>
    </row>
    <row r="319" spans="1:17" x14ac:dyDescent="0.2">
      <c r="B319" s="3" t="str">
        <f>A315&amp;"r"</f>
        <v>10063r</v>
      </c>
    </row>
    <row r="320" spans="1:17" x14ac:dyDescent="0.2">
      <c r="A320">
        <v>10064</v>
      </c>
      <c r="B320" s="3" t="s">
        <v>433</v>
      </c>
      <c r="C320" s="1">
        <f>ROUND(J320*JL*Frto/8,4)</f>
        <v>1</v>
      </c>
      <c r="D320" t="s">
        <v>167</v>
      </c>
      <c r="E320">
        <f>SUM($O323:$O323)</f>
        <v>4500</v>
      </c>
      <c r="F320">
        <f>SUMIF($O320:$O320,"&lt;22501",$O323:$O323)</f>
        <v>0</v>
      </c>
      <c r="G320">
        <f>SUMIFS($O323:$O323,$O320:$O320,"&gt;30000",$O320:$O320,"&lt;50001")</f>
        <v>0</v>
      </c>
      <c r="H320">
        <f>SUMIFS($O323:$O323,$O320:$O320,"&gt;60000",$O320:$O320,"&lt;70001")</f>
        <v>0</v>
      </c>
      <c r="I320">
        <v>1</v>
      </c>
      <c r="J320">
        <v>1</v>
      </c>
      <c r="O320">
        <v>80006</v>
      </c>
    </row>
    <row r="321" spans="1:15" x14ac:dyDescent="0.2">
      <c r="B321" s="3" t="str">
        <f>A320&amp;"C"</f>
        <v>10064C</v>
      </c>
      <c r="O321">
        <v>1</v>
      </c>
    </row>
    <row r="322" spans="1:15" x14ac:dyDescent="0.2">
      <c r="O322">
        <f>IF(O324&gt;10000,HLOOKUP(O324,N320:$O323,4,FALSE),IF(OR(AND(22500&lt;O320,O320&lt;25001),AND(50000&lt;O320,O320&lt;53501),AND(70000&lt;O320,O320&lt;72501)),$F320,IF(OR(AND(25001&lt;O320,O320&lt;27501),AND(53500&lt;O320,O320&lt;57001),AND(72500&lt;O320,O320&lt;75001)),$G320,IF(OR(AND(27500&lt;O320,O320&lt;30001),AND(57000&lt;O320,O320&lt;60001),AND(75000&lt;O320,O320&lt;77500)),$H320,VLOOKUP(O320,BDins,6,FALSE)))))</f>
        <v>4500</v>
      </c>
    </row>
    <row r="323" spans="1:15" x14ac:dyDescent="0.2">
      <c r="O323">
        <f>IF($K320&gt;0,ROUND(O321*$E320/100,DpCU),IF(O324&gt;10000,ROUND(HLOOKUP(O324,$O320:$O323,4,FALSE)/100*O321,DpCU),IF(OR(O320&lt;20001,O320&gt;95000,AND(60000&lt;O320,O320&lt;70001)),ROUND(ROUND(O321*JL/$C320,DcCU)*O322,DpCU),IF(OR(AND(20000&lt;O320,O320&lt;22501),AND(30000&lt;O320,O320&lt;50001),77500&lt;O320),ROUND(O322*O321,DpCU),IF(OR(AND(22500&lt;O320,O320&lt;25001),AND(50000&lt;O320,O320&lt;53501),AND(70000&lt;O320,O320&lt;72501)),ROUND($F320/100*O321,DpCU),IF(OR(AND(25000&lt;O320,O320&lt;27501),AND(53500&lt;O320,O320&lt;57001),AND(72500&lt;O320,O320&lt;75001)),ROUND($G320/100*O321,DpCU),ROUND($H320/100*O321,DpCU)))))))</f>
        <v>4500</v>
      </c>
    </row>
    <row r="324" spans="1:15" x14ac:dyDescent="0.2">
      <c r="B324" s="3" t="str">
        <f>A320&amp;"r"</f>
        <v>10064r</v>
      </c>
    </row>
    <row r="325" spans="1:15" x14ac:dyDescent="0.2">
      <c r="A325">
        <v>10065</v>
      </c>
      <c r="B325" s="3" t="s">
        <v>438</v>
      </c>
      <c r="C325" s="1">
        <f>ROUND(J325*JL*Frto/8,4)</f>
        <v>1</v>
      </c>
      <c r="D325" t="s">
        <v>356</v>
      </c>
      <c r="E325">
        <f>SUM($O328:$O328)</f>
        <v>180</v>
      </c>
      <c r="F325">
        <f>SUMIF($O325:$O325,"&lt;22501",$O328:$O328)</f>
        <v>0</v>
      </c>
      <c r="G325">
        <f>SUMIFS($O328:$O328,$O325:$O325,"&gt;30000",$O325:$O325,"&lt;50001")</f>
        <v>0</v>
      </c>
      <c r="H325">
        <f>SUMIFS($O328:$O328,$O325:$O325,"&gt;60000",$O325:$O325,"&lt;70001")</f>
        <v>0</v>
      </c>
      <c r="I325">
        <v>1</v>
      </c>
      <c r="J325">
        <v>1</v>
      </c>
      <c r="O325">
        <v>80007</v>
      </c>
    </row>
    <row r="326" spans="1:15" x14ac:dyDescent="0.2">
      <c r="B326" s="3" t="str">
        <f>A325&amp;"C"</f>
        <v>10065C</v>
      </c>
      <c r="O326">
        <v>1</v>
      </c>
    </row>
    <row r="327" spans="1:15" x14ac:dyDescent="0.2">
      <c r="O327">
        <f>IF(O329&gt;10000,HLOOKUP(O329,N325:$O328,4,FALSE),IF(OR(AND(22500&lt;O325,O325&lt;25001),AND(50000&lt;O325,O325&lt;53501),AND(70000&lt;O325,O325&lt;72501)),$F325,IF(OR(AND(25001&lt;O325,O325&lt;27501),AND(53500&lt;O325,O325&lt;57001),AND(72500&lt;O325,O325&lt;75001)),$G325,IF(OR(AND(27500&lt;O325,O325&lt;30001),AND(57000&lt;O325,O325&lt;60001),AND(75000&lt;O325,O325&lt;77500)),$H325,VLOOKUP(O325,BDins,6,FALSE)))))</f>
        <v>180</v>
      </c>
    </row>
    <row r="328" spans="1:15" x14ac:dyDescent="0.2">
      <c r="O328">
        <f>IF($K325&gt;0,ROUND(O326*$E325/100,DpCU),IF(O329&gt;10000,ROUND(HLOOKUP(O329,$O325:$O328,4,FALSE)/100*O326,DpCU),IF(OR(O325&lt;20001,O325&gt;95000,AND(60000&lt;O325,O325&lt;70001)),ROUND(ROUND(O326*JL/$C325,DcCU)*O327,DpCU),IF(OR(AND(20000&lt;O325,O325&lt;22501),AND(30000&lt;O325,O325&lt;50001),77500&lt;O325),ROUND(O327*O326,DpCU),IF(OR(AND(22500&lt;O325,O325&lt;25001),AND(50000&lt;O325,O325&lt;53501),AND(70000&lt;O325,O325&lt;72501)),ROUND($F325/100*O326,DpCU),IF(OR(AND(25000&lt;O325,O325&lt;27501),AND(53500&lt;O325,O325&lt;57001),AND(72500&lt;O325,O325&lt;75001)),ROUND($G325/100*O326,DpCU),ROUND($H325/100*O326,DpCU)))))))</f>
        <v>180</v>
      </c>
    </row>
    <row r="329" spans="1:15" x14ac:dyDescent="0.2">
      <c r="B329" s="3" t="str">
        <f>A325&amp;"r"</f>
        <v>10065r</v>
      </c>
    </row>
    <row r="330" spans="1:15" x14ac:dyDescent="0.2">
      <c r="A330">
        <v>10066</v>
      </c>
      <c r="B330" s="3" t="s">
        <v>441</v>
      </c>
      <c r="C330" s="1">
        <f>ROUND(J330*JL*Frto/8,4)</f>
        <v>1</v>
      </c>
      <c r="D330" t="s">
        <v>160</v>
      </c>
      <c r="E330">
        <f>SUM($O333:$O333)</f>
        <v>450</v>
      </c>
      <c r="F330">
        <f>SUMIF($O330:$O330,"&lt;22501",$O333:$O333)</f>
        <v>0</v>
      </c>
      <c r="G330">
        <f>SUMIFS($O333:$O333,$O330:$O330,"&gt;30000",$O330:$O330,"&lt;50001")</f>
        <v>0</v>
      </c>
      <c r="H330">
        <f>SUMIFS($O333:$O333,$O330:$O330,"&gt;60000",$O330:$O330,"&lt;70001")</f>
        <v>0</v>
      </c>
      <c r="I330">
        <v>1</v>
      </c>
      <c r="J330">
        <v>1</v>
      </c>
      <c r="O330">
        <v>80008</v>
      </c>
    </row>
    <row r="331" spans="1:15" x14ac:dyDescent="0.2">
      <c r="B331" s="3" t="str">
        <f>A330&amp;"C"</f>
        <v>10066C</v>
      </c>
      <c r="O331">
        <v>1</v>
      </c>
    </row>
    <row r="332" spans="1:15" x14ac:dyDescent="0.2">
      <c r="O332">
        <f>IF(O334&gt;10000,HLOOKUP(O334,N330:$O333,4,FALSE),IF(OR(AND(22500&lt;O330,O330&lt;25001),AND(50000&lt;O330,O330&lt;53501),AND(70000&lt;O330,O330&lt;72501)),$F330,IF(OR(AND(25001&lt;O330,O330&lt;27501),AND(53500&lt;O330,O330&lt;57001),AND(72500&lt;O330,O330&lt;75001)),$G330,IF(OR(AND(27500&lt;O330,O330&lt;30001),AND(57000&lt;O330,O330&lt;60001),AND(75000&lt;O330,O330&lt;77500)),$H330,VLOOKUP(O330,BDins,6,FALSE)))))</f>
        <v>450</v>
      </c>
    </row>
    <row r="333" spans="1:15" x14ac:dyDescent="0.2">
      <c r="O333">
        <f>IF($K330&gt;0,ROUND(O331*$E330/100,DpCU),IF(O334&gt;10000,ROUND(HLOOKUP(O334,$O330:$O333,4,FALSE)/100*O331,DpCU),IF(OR(O330&lt;20001,O330&gt;95000,AND(60000&lt;O330,O330&lt;70001)),ROUND(ROUND(O331*JL/$C330,DcCU)*O332,DpCU),IF(OR(AND(20000&lt;O330,O330&lt;22501),AND(30000&lt;O330,O330&lt;50001),77500&lt;O330),ROUND(O332*O331,DpCU),IF(OR(AND(22500&lt;O330,O330&lt;25001),AND(50000&lt;O330,O330&lt;53501),AND(70000&lt;O330,O330&lt;72501)),ROUND($F330/100*O331,DpCU),IF(OR(AND(25000&lt;O330,O330&lt;27501),AND(53500&lt;O330,O330&lt;57001),AND(72500&lt;O330,O330&lt;75001)),ROUND($G330/100*O331,DpCU),ROUND($H330/100*O331,DpCU)))))))</f>
        <v>450</v>
      </c>
    </row>
    <row r="334" spans="1:15" x14ac:dyDescent="0.2">
      <c r="B334" s="3" t="str">
        <f>A330&amp;"r"</f>
        <v>10066r</v>
      </c>
    </row>
    <row r="335" spans="1:15" x14ac:dyDescent="0.2">
      <c r="A335">
        <v>10067</v>
      </c>
      <c r="B335" s="3" t="s">
        <v>444</v>
      </c>
      <c r="C335" s="1">
        <f>ROUND(J335*JL*Frto/8,4)</f>
        <v>1</v>
      </c>
      <c r="D335" t="s">
        <v>167</v>
      </c>
      <c r="E335">
        <f>SUM($O338:$O338)</f>
        <v>1800</v>
      </c>
      <c r="F335">
        <f>SUMIF($O335:$O335,"&lt;22501",$O338:$O338)</f>
        <v>0</v>
      </c>
      <c r="G335">
        <f>SUMIFS($O338:$O338,$O335:$O335,"&gt;30000",$O335:$O335,"&lt;50001")</f>
        <v>0</v>
      </c>
      <c r="H335">
        <f>SUMIFS($O338:$O338,$O335:$O335,"&gt;60000",$O335:$O335,"&lt;70001")</f>
        <v>0</v>
      </c>
      <c r="I335">
        <v>1</v>
      </c>
      <c r="J335">
        <v>1</v>
      </c>
      <c r="O335">
        <v>80009</v>
      </c>
    </row>
    <row r="336" spans="1:15" x14ac:dyDescent="0.2">
      <c r="B336" s="3" t="str">
        <f>A335&amp;"C"</f>
        <v>10067C</v>
      </c>
      <c r="O336">
        <v>1</v>
      </c>
    </row>
    <row r="337" spans="1:24" x14ac:dyDescent="0.2">
      <c r="O337">
        <f>IF(O339&gt;10000,HLOOKUP(O339,N335:$O338,4,FALSE),IF(OR(AND(22500&lt;O335,O335&lt;25001),AND(50000&lt;O335,O335&lt;53501),AND(70000&lt;O335,O335&lt;72501)),$F335,IF(OR(AND(25001&lt;O335,O335&lt;27501),AND(53500&lt;O335,O335&lt;57001),AND(72500&lt;O335,O335&lt;75001)),$G335,IF(OR(AND(27500&lt;O335,O335&lt;30001),AND(57000&lt;O335,O335&lt;60001),AND(75000&lt;O335,O335&lt;77500)),$H335,VLOOKUP(O335,BDins,6,FALSE)))))</f>
        <v>1800</v>
      </c>
    </row>
    <row r="338" spans="1:24" x14ac:dyDescent="0.2">
      <c r="O338">
        <f>IF($K335&gt;0,ROUND(O336*$E335/100,DpCU),IF(O339&gt;10000,ROUND(HLOOKUP(O339,$O335:$O338,4,FALSE)/100*O336,DpCU),IF(OR(O335&lt;20001,O335&gt;95000,AND(60000&lt;O335,O335&lt;70001)),ROUND(ROUND(O336*JL/$C335,DcCU)*O337,DpCU),IF(OR(AND(20000&lt;O335,O335&lt;22501),AND(30000&lt;O335,O335&lt;50001),77500&lt;O335),ROUND(O337*O336,DpCU),IF(OR(AND(22500&lt;O335,O335&lt;25001),AND(50000&lt;O335,O335&lt;53501),AND(70000&lt;O335,O335&lt;72501)),ROUND($F335/100*O336,DpCU),IF(OR(AND(25000&lt;O335,O335&lt;27501),AND(53500&lt;O335,O335&lt;57001),AND(72500&lt;O335,O335&lt;75001)),ROUND($G335/100*O336,DpCU),ROUND($H335/100*O336,DpCU)))))))</f>
        <v>1800</v>
      </c>
    </row>
    <row r="339" spans="1:24" x14ac:dyDescent="0.2">
      <c r="B339" s="3" t="str">
        <f>A335&amp;"r"</f>
        <v>10067r</v>
      </c>
    </row>
    <row r="340" spans="1:24" x14ac:dyDescent="0.2">
      <c r="A340">
        <v>10068</v>
      </c>
      <c r="B340" s="3" t="s">
        <v>449</v>
      </c>
      <c r="C340" s="1">
        <f>ROUND(J340*JL*Frto/8,4)</f>
        <v>60</v>
      </c>
      <c r="D340" t="s">
        <v>187</v>
      </c>
      <c r="E340">
        <f>SUM($O343:$R343)</f>
        <v>8.2999999999999989</v>
      </c>
      <c r="F340">
        <f>SUMIF($O340:$R340,"&lt;22501",$O343:$R343)</f>
        <v>2.76</v>
      </c>
      <c r="G340">
        <f>SUMIFS($O343:$R343,$O340:$R340,"&gt;30000",$O340:$R340,"&lt;50001")</f>
        <v>5.46</v>
      </c>
      <c r="H340">
        <f>SUMIFS($O343:$R343,$O340:$R340,"&gt;60000",$O340:$R340,"&lt;70001")</f>
        <v>0</v>
      </c>
      <c r="I340">
        <v>4</v>
      </c>
      <c r="J340">
        <v>60</v>
      </c>
      <c r="O340">
        <v>10001</v>
      </c>
      <c r="P340">
        <v>10004</v>
      </c>
      <c r="Q340">
        <v>30063</v>
      </c>
      <c r="R340">
        <v>70001</v>
      </c>
    </row>
    <row r="341" spans="1:24" x14ac:dyDescent="0.2">
      <c r="B341" s="3" t="str">
        <f>A340&amp;"C"</f>
        <v>10068C</v>
      </c>
      <c r="O341">
        <v>0.25</v>
      </c>
      <c r="P341">
        <v>1</v>
      </c>
      <c r="Q341">
        <v>1.05</v>
      </c>
      <c r="R341">
        <v>3</v>
      </c>
    </row>
    <row r="342" spans="1:24" x14ac:dyDescent="0.2">
      <c r="O342">
        <f>IF(O344&gt;10000,HLOOKUP(O344,N340:$O343,4,FALSE),IF(OR(AND(22500&lt;O340,O340&lt;25001),AND(50000&lt;O340,O340&lt;53501),AND(70000&lt;O340,O340&lt;72501)),$F340,IF(OR(AND(25001&lt;O340,O340&lt;27501),AND(53500&lt;O340,O340&lt;57001),AND(72500&lt;O340,O340&lt;75001)),$G340,IF(OR(AND(27500&lt;O340,O340&lt;30001),AND(57000&lt;O340,O340&lt;60001),AND(75000&lt;O340,O340&lt;77500)),$H340,VLOOKUP(O340,BDins,6,FALSE)))))</f>
        <v>12.64</v>
      </c>
      <c r="P342">
        <f>IF(P344&gt;10000,HLOOKUP(P344,O340:$O343,4,FALSE),IF(OR(AND(22500&lt;P340,P340&lt;25001),AND(50000&lt;P340,P340&lt;53501),AND(70000&lt;P340,P340&lt;72501)),$F340,IF(OR(AND(25001&lt;P340,P340&lt;27501),AND(53500&lt;P340,P340&lt;57001),AND(72500&lt;P340,P340&lt;75001)),$G340,IF(OR(AND(27500&lt;P340,P340&lt;30001),AND(57000&lt;P340,P340&lt;60001),AND(75000&lt;P340,P340&lt;77500)),$H340,VLOOKUP(P340,BDins,6,FALSE)))))</f>
        <v>17.59</v>
      </c>
      <c r="Q342">
        <f>IF(Q344&gt;10000,HLOOKUP(Q344,$O340:P343,4,FALSE),IF(OR(AND(22500&lt;Q340,Q340&lt;25001),AND(50000&lt;Q340,Q340&lt;53501),AND(70000&lt;Q340,Q340&lt;72501)),$F340,IF(OR(AND(25001&lt;Q340,Q340&lt;27501),AND(53500&lt;Q340,Q340&lt;57001),AND(72500&lt;Q340,Q340&lt;75001)),$G340,IF(OR(AND(27500&lt;Q340,Q340&lt;30001),AND(57000&lt;Q340,Q340&lt;60001),AND(75000&lt;Q340,Q340&lt;77500)),$H340,VLOOKUP(Q340,BDins,6,FALSE)))))</f>
        <v>5.2</v>
      </c>
      <c r="R342">
        <f>IF(R344&gt;10000,HLOOKUP(R344,$O340:Q343,4,FALSE),IF(OR(AND(22500&lt;R340,R340&lt;25001),AND(50000&lt;R340,R340&lt;53501),AND(70000&lt;R340,R340&lt;72501)),$F340,IF(OR(AND(25001&lt;R340,R340&lt;27501),AND(53500&lt;R340,R340&lt;57001),AND(72500&lt;R340,R340&lt;75001)),$G340,IF(OR(AND(27500&lt;R340,R340&lt;30001),AND(57000&lt;R340,R340&lt;60001),AND(75000&lt;R340,R340&lt;77500)),$H340,VLOOKUP(R340,BDins,6,FALSE)))))</f>
        <v>2.76</v>
      </c>
    </row>
    <row r="343" spans="1:24" x14ac:dyDescent="0.2">
      <c r="O343">
        <f>IF($K340&gt;0,ROUND(O341*$E340/100,DpCU),IF(O344&gt;10000,ROUND(HLOOKUP(O344,$O340:$R343,4,FALSE)/100*O341,DpCU),IF(OR(O340&lt;20001,O340&gt;95000,AND(60000&lt;O340,O340&lt;70001)),ROUND(ROUND(O341*JL/$C340,DcCU)*O342,DpCU),IF(OR(AND(20000&lt;O340,O340&lt;22501),AND(30000&lt;O340,O340&lt;50001),77500&lt;O340),ROUND(O342*O341,DpCU),IF(OR(AND(22500&lt;O340,O340&lt;25001),AND(50000&lt;O340,O340&lt;53501),AND(70000&lt;O340,O340&lt;72501)),ROUND($F340/100*O341,DpCU),IF(OR(AND(25000&lt;O340,O340&lt;27501),AND(53500&lt;O340,O340&lt;57001),AND(72500&lt;O340,O340&lt;75001)),ROUND($G340/100*O341,DpCU),ROUND($H340/100*O341,DpCU)))))))</f>
        <v>0.42</v>
      </c>
      <c r="P343">
        <f>IF($K340&gt;0,ROUND(P341*$E340/100,DpCU),IF(P344&gt;10000,ROUND(HLOOKUP(P344,$O340:$R343,4,FALSE)/100*P341,DpCU),IF(OR(P340&lt;20001,P340&gt;95000,AND(60000&lt;P340,P340&lt;70001)),ROUND(ROUND(P341*JL/$C340,DcCU)*P342,DpCU),IF(OR(AND(20000&lt;P340,P340&lt;22501),AND(30000&lt;P340,P340&lt;50001),77500&lt;P340),ROUND(P342*P341,DpCU),IF(OR(AND(22500&lt;P340,P340&lt;25001),AND(50000&lt;P340,P340&lt;53501),AND(70000&lt;P340,P340&lt;72501)),ROUND($F340/100*P341,DpCU),IF(OR(AND(25000&lt;P340,P340&lt;27501),AND(53500&lt;P340,P340&lt;57001),AND(72500&lt;P340,P340&lt;75001)),ROUND($G340/100*P341,DpCU),ROUND($H340/100*P341,DpCU)))))))</f>
        <v>2.34</v>
      </c>
      <c r="Q343">
        <f>IF($K340&gt;0,ROUND(Q341*$E340/100,DpCU),IF(Q344&gt;10000,ROUND(HLOOKUP(Q344,$O340:$R343,4,FALSE)/100*Q341,DpCU),IF(OR(Q340&lt;20001,Q340&gt;95000,AND(60000&lt;Q340,Q340&lt;70001)),ROUND(ROUND(Q341*JL/$C340,DcCU)*Q342,DpCU),IF(OR(AND(20000&lt;Q340,Q340&lt;22501),AND(30000&lt;Q340,Q340&lt;50001),77500&lt;Q340),ROUND(Q342*Q341,DpCU),IF(OR(AND(22500&lt;Q340,Q340&lt;25001),AND(50000&lt;Q340,Q340&lt;53501),AND(70000&lt;Q340,Q340&lt;72501)),ROUND($F340/100*Q341,DpCU),IF(OR(AND(25000&lt;Q340,Q340&lt;27501),AND(53500&lt;Q340,Q340&lt;57001),AND(72500&lt;Q340,Q340&lt;75001)),ROUND($G340/100*Q341,DpCU),ROUND($H340/100*Q341,DpCU)))))))</f>
        <v>5.46</v>
      </c>
      <c r="R343">
        <f>IF($K340&gt;0,ROUND(R341*$E340/100,DpCU),IF(R344&gt;10000,ROUND(HLOOKUP(R344,$O340:$R343,4,FALSE)/100*R341,DpCU),IF(OR(R340&lt;20001,R340&gt;95000,AND(60000&lt;R340,R340&lt;70001)),ROUND(ROUND(R341*JL/$C340,DcCU)*R342,DpCU),IF(OR(AND(20000&lt;R340,R340&lt;22501),AND(30000&lt;R340,R340&lt;50001),77500&lt;R340),ROUND(R342*R341,DpCU),IF(OR(AND(22500&lt;R340,R340&lt;25001),AND(50000&lt;R340,R340&lt;53501),AND(70000&lt;R340,R340&lt;72501)),ROUND($F340/100*R341,DpCU),IF(OR(AND(25000&lt;R340,R340&lt;27501),AND(53500&lt;R340,R340&lt;57001),AND(72500&lt;R340,R340&lt;75001)),ROUND($G340/100*R341,DpCU),ROUND($H340/100*R341,DpCU)))))))</f>
        <v>0.08</v>
      </c>
    </row>
    <row r="344" spans="1:24" x14ac:dyDescent="0.2">
      <c r="B344" s="3" t="str">
        <f>A340&amp;"r"</f>
        <v>10068r</v>
      </c>
    </row>
    <row r="345" spans="1:24" x14ac:dyDescent="0.2">
      <c r="A345">
        <v>10069</v>
      </c>
      <c r="B345" s="3" t="s">
        <v>454</v>
      </c>
      <c r="C345" s="1">
        <f>ROUND(J345*JL*Frto/8,4)</f>
        <v>4</v>
      </c>
      <c r="D345" t="s">
        <v>160</v>
      </c>
      <c r="E345">
        <f>SUM($O348:$X348)</f>
        <v>143.45999999999998</v>
      </c>
      <c r="F345">
        <f>SUMIF($O345:$X345,"&lt;22501",$O348:$X348)</f>
        <v>49.3</v>
      </c>
      <c r="G345">
        <f>SUMIFS($O348:$X348,$O345:$X345,"&gt;30000",$O345:$X345,"&lt;50001")</f>
        <v>85.69</v>
      </c>
      <c r="H345">
        <f>SUMIFS($O348:$X348,$O345:$X345,"&gt;60000",$O345:$X345,"&lt;70001")</f>
        <v>6</v>
      </c>
      <c r="I345">
        <v>10</v>
      </c>
      <c r="J345">
        <v>4</v>
      </c>
      <c r="O345">
        <v>10003</v>
      </c>
      <c r="P345">
        <v>10004</v>
      </c>
      <c r="Q345">
        <v>30009</v>
      </c>
      <c r="R345">
        <v>30044</v>
      </c>
      <c r="S345">
        <v>30064</v>
      </c>
      <c r="T345">
        <v>30065</v>
      </c>
      <c r="U345">
        <v>30066</v>
      </c>
      <c r="V345">
        <v>60017</v>
      </c>
      <c r="W345">
        <v>60018</v>
      </c>
      <c r="X345">
        <v>70001</v>
      </c>
    </row>
    <row r="346" spans="1:24" x14ac:dyDescent="0.2">
      <c r="B346" s="3" t="str">
        <f>A345&amp;"C"</f>
        <v>10069C</v>
      </c>
      <c r="O346">
        <v>0.5</v>
      </c>
      <c r="P346">
        <v>1</v>
      </c>
      <c r="Q346">
        <v>3.7999999999999999E-2</v>
      </c>
      <c r="R346">
        <v>1.7000000000000001E-2</v>
      </c>
      <c r="S346">
        <v>0.12</v>
      </c>
      <c r="T346">
        <v>8.5</v>
      </c>
      <c r="U346">
        <v>0.6</v>
      </c>
      <c r="V346">
        <v>0.2</v>
      </c>
      <c r="W346">
        <v>0.1</v>
      </c>
      <c r="X346">
        <v>5</v>
      </c>
    </row>
    <row r="347" spans="1:24" x14ac:dyDescent="0.2">
      <c r="O347">
        <f>IF(O349&gt;10000,HLOOKUP(O349,N345:$O348,4,FALSE),IF(OR(AND(22500&lt;O345,O345&lt;25001),AND(50000&lt;O345,O345&lt;53501),AND(70000&lt;O345,O345&lt;72501)),$F345,IF(OR(AND(25001&lt;O345,O345&lt;27501),AND(53500&lt;O345,O345&lt;57001),AND(72500&lt;O345,O345&lt;75001)),$G345,IF(OR(AND(27500&lt;O345,O345&lt;30001),AND(57000&lt;O345,O345&lt;60001),AND(75000&lt;O345,O345&lt;77500)),$H345,VLOOKUP(O345,BDins,6,FALSE)))))</f>
        <v>14.12</v>
      </c>
      <c r="P347">
        <f>IF(P349&gt;10000,HLOOKUP(P349,O345:$O348,4,FALSE),IF(OR(AND(22500&lt;P345,P345&lt;25001),AND(50000&lt;P345,P345&lt;53501),AND(70000&lt;P345,P345&lt;72501)),$F345,IF(OR(AND(25001&lt;P345,P345&lt;27501),AND(53500&lt;P345,P345&lt;57001),AND(72500&lt;P345,P345&lt;75001)),$G345,IF(OR(AND(27500&lt;P345,P345&lt;30001),AND(57000&lt;P345,P345&lt;60001),AND(75000&lt;P345,P345&lt;77500)),$H345,VLOOKUP(P345,BDins,6,FALSE)))))</f>
        <v>17.59</v>
      </c>
      <c r="Q347">
        <f>IF(Q349&gt;10000,HLOOKUP(Q349,$O345:P348,4,FALSE),IF(OR(AND(22500&lt;Q345,Q345&lt;25001),AND(50000&lt;Q345,Q345&lt;53501),AND(70000&lt;Q345,Q345&lt;72501)),$F345,IF(OR(AND(25001&lt;Q345,Q345&lt;27501),AND(53500&lt;Q345,Q345&lt;57001),AND(72500&lt;Q345,Q345&lt;75001)),$G345,IF(OR(AND(27500&lt;Q345,Q345&lt;30001),AND(57000&lt;Q345,Q345&lt;60001),AND(75000&lt;Q345,Q345&lt;77500)),$H345,VLOOKUP(Q345,BDins,6,FALSE)))))</f>
        <v>4.5</v>
      </c>
      <c r="R347">
        <f>IF(R349&gt;10000,HLOOKUP(R349,$O345:Q348,4,FALSE),IF(OR(AND(22500&lt;R345,R345&lt;25001),AND(50000&lt;R345,R345&lt;53501),AND(70000&lt;R345,R345&lt;72501)),$F345,IF(OR(AND(25001&lt;R345,R345&lt;27501),AND(53500&lt;R345,R345&lt;57001),AND(72500&lt;R345,R345&lt;75001)),$G345,IF(OR(AND(27500&lt;R345,R345&lt;30001),AND(57000&lt;R345,R345&lt;60001),AND(75000&lt;R345,R345&lt;77500)),$H345,VLOOKUP(R345,BDins,6,FALSE)))))</f>
        <v>4.5</v>
      </c>
      <c r="S347">
        <f>IF(S349&gt;10000,HLOOKUP(S349,$O345:R348,4,FALSE),IF(OR(AND(22500&lt;S345,S345&lt;25001),AND(50000&lt;S345,S345&lt;53501),AND(70000&lt;S345,S345&lt;72501)),$F345,IF(OR(AND(25001&lt;S345,S345&lt;27501),AND(53500&lt;S345,S345&lt;57001),AND(72500&lt;S345,S345&lt;75001)),$G345,IF(OR(AND(27500&lt;S345,S345&lt;30001),AND(57000&lt;S345,S345&lt;60001),AND(75000&lt;S345,S345&lt;77500)),$H345,VLOOKUP(S345,BDins,6,FALSE)))))</f>
        <v>29.1</v>
      </c>
      <c r="T347">
        <f>IF(T349&gt;10000,HLOOKUP(T349,$O345:S348,4,FALSE),IF(OR(AND(22500&lt;T345,T345&lt;25001),AND(50000&lt;T345,T345&lt;53501),AND(70000&lt;T345,T345&lt;72501)),$F345,IF(OR(AND(25001&lt;T345,T345&lt;27501),AND(53500&lt;T345,T345&lt;57001),AND(72500&lt;T345,T345&lt;75001)),$G345,IF(OR(AND(27500&lt;T345,T345&lt;30001),AND(57000&lt;T345,T345&lt;60001),AND(75000&lt;T345,T345&lt;77500)),$H345,VLOOKUP(T345,BDins,6,FALSE)))))</f>
        <v>9.5</v>
      </c>
      <c r="U347">
        <f>IF(U349&gt;10000,HLOOKUP(U349,$O345:T348,4,FALSE),IF(OR(AND(22500&lt;U345,U345&lt;25001),AND(50000&lt;U345,U345&lt;53501),AND(70000&lt;U345,U345&lt;72501)),$F345,IF(OR(AND(25001&lt;U345,U345&lt;27501),AND(53500&lt;U345,U345&lt;57001),AND(72500&lt;U345,U345&lt;75001)),$G345,IF(OR(AND(27500&lt;U345,U345&lt;30001),AND(57000&lt;U345,U345&lt;60001),AND(75000&lt;U345,U345&lt;77500)),$H345,VLOOKUP(U345,BDins,6,FALSE)))))</f>
        <v>2</v>
      </c>
      <c r="V347">
        <f>IF(V349&gt;10000,HLOOKUP(V349,$O345:U348,4,FALSE),IF(OR(AND(22500&lt;V345,V345&lt;25001),AND(50000&lt;V345,V345&lt;53501),AND(70000&lt;V345,V345&lt;72501)),$F345,IF(OR(AND(25001&lt;V345,V345&lt;27501),AND(53500&lt;V345,V345&lt;57001),AND(72500&lt;V345,V345&lt;75001)),$G345,IF(OR(AND(27500&lt;V345,V345&lt;30001),AND(57000&lt;V345,V345&lt;60001),AND(75000&lt;V345,V345&lt;77500)),$H345,VLOOKUP(V345,BDins,6,FALSE)))))</f>
        <v>10</v>
      </c>
      <c r="W347">
        <f>IF(W349&gt;10000,HLOOKUP(W349,$O345:V348,4,FALSE),IF(OR(AND(22500&lt;W345,W345&lt;25001),AND(50000&lt;W345,W345&lt;53501),AND(70000&lt;W345,W345&lt;72501)),$F345,IF(OR(AND(25001&lt;W345,W345&lt;27501),AND(53500&lt;W345,W345&lt;57001),AND(72500&lt;W345,W345&lt;75001)),$G345,IF(OR(AND(27500&lt;W345,W345&lt;30001),AND(57000&lt;W345,W345&lt;60001),AND(75000&lt;W345,W345&lt;77500)),$H345,VLOOKUP(W345,BDins,6,FALSE)))))</f>
        <v>10</v>
      </c>
      <c r="X347">
        <f>IF(X349&gt;10000,HLOOKUP(X349,$O345:W348,4,FALSE),IF(OR(AND(22500&lt;X345,X345&lt;25001),AND(50000&lt;X345,X345&lt;53501),AND(70000&lt;X345,X345&lt;72501)),$F345,IF(OR(AND(25001&lt;X345,X345&lt;27501),AND(53500&lt;X345,X345&lt;57001),AND(72500&lt;X345,X345&lt;75001)),$G345,IF(OR(AND(27500&lt;X345,X345&lt;30001),AND(57000&lt;X345,X345&lt;60001),AND(75000&lt;X345,X345&lt;77500)),$H345,VLOOKUP(X345,BDins,6,FALSE)))))</f>
        <v>49.3</v>
      </c>
    </row>
    <row r="348" spans="1:24" x14ac:dyDescent="0.2">
      <c r="O348">
        <f t="shared" ref="O348:X348" si="37">IF($K345&gt;0,ROUND(O346*$E345/100,DpCU),IF(O349&gt;10000,ROUND(HLOOKUP(O349,$O345:$X348,4,FALSE)/100*O346,DpCU),IF(OR(O345&lt;20001,O345&gt;95000,AND(60000&lt;O345,O345&lt;70001)),ROUND(ROUND(O346*JL/$C345,DcCU)*O347,DpCU),IF(OR(AND(20000&lt;O345,O345&lt;22501),AND(30000&lt;O345,O345&lt;50001),77500&lt;O345),ROUND(O347*O346,DpCU),IF(OR(AND(22500&lt;O345,O345&lt;25001),AND(50000&lt;O345,O345&lt;53501),AND(70000&lt;O345,O345&lt;72501)),ROUND($F345/100*O346,DpCU),IF(OR(AND(25000&lt;O345,O345&lt;27501),AND(53500&lt;O345,O345&lt;57001),AND(72500&lt;O345,O345&lt;75001)),ROUND($G345/100*O346,DpCU),ROUND($H345/100*O346,DpCU)))))))</f>
        <v>14.12</v>
      </c>
      <c r="P348">
        <f t="shared" si="37"/>
        <v>35.18</v>
      </c>
      <c r="Q348">
        <f t="shared" si="37"/>
        <v>0.17</v>
      </c>
      <c r="R348">
        <f t="shared" si="37"/>
        <v>0.08</v>
      </c>
      <c r="S348">
        <f t="shared" si="37"/>
        <v>3.49</v>
      </c>
      <c r="T348">
        <f t="shared" si="37"/>
        <v>80.75</v>
      </c>
      <c r="U348">
        <f t="shared" si="37"/>
        <v>1.2</v>
      </c>
      <c r="V348">
        <f t="shared" si="37"/>
        <v>4</v>
      </c>
      <c r="W348">
        <f t="shared" si="37"/>
        <v>2</v>
      </c>
      <c r="X348">
        <f t="shared" si="37"/>
        <v>2.4700000000000002</v>
      </c>
    </row>
    <row r="349" spans="1:24" x14ac:dyDescent="0.2">
      <c r="B349" s="3" t="str">
        <f>A345&amp;"r"</f>
        <v>10069r</v>
      </c>
    </row>
    <row r="350" spans="1:24" x14ac:dyDescent="0.2">
      <c r="A350">
        <v>10070</v>
      </c>
      <c r="B350" s="3" t="s">
        <v>464</v>
      </c>
      <c r="C350" s="1">
        <f>ROUND(J350*JL*Frto/8,4)</f>
        <v>33</v>
      </c>
      <c r="D350" t="s">
        <v>160</v>
      </c>
      <c r="E350">
        <f>SUM($O353:$T353)</f>
        <v>11.41</v>
      </c>
      <c r="F350">
        <f>SUMIF($O350:$T350,"&lt;22501",$O353:$T353)</f>
        <v>4.26</v>
      </c>
      <c r="G350">
        <f>SUMIFS($O353:$T353,$O350:$T350,"&gt;30000",$O350:$T350,"&lt;50001")</f>
        <v>7.02</v>
      </c>
      <c r="H350">
        <f>SUMIFS($O353:$T353,$O350:$T350,"&gt;60000",$O350:$T350,"&lt;70001")</f>
        <v>0</v>
      </c>
      <c r="I350">
        <v>6</v>
      </c>
      <c r="J350">
        <v>33</v>
      </c>
      <c r="O350">
        <v>10004</v>
      </c>
      <c r="P350">
        <v>30010</v>
      </c>
      <c r="Q350">
        <v>30067</v>
      </c>
      <c r="R350">
        <v>30068</v>
      </c>
      <c r="S350">
        <v>30069</v>
      </c>
      <c r="T350">
        <v>70001</v>
      </c>
    </row>
    <row r="351" spans="1:24" x14ac:dyDescent="0.2">
      <c r="B351" s="3" t="str">
        <f>A350&amp;"C"</f>
        <v>10070C</v>
      </c>
      <c r="O351">
        <v>1</v>
      </c>
      <c r="P351">
        <v>2.5000000000000001E-2</v>
      </c>
      <c r="Q351">
        <v>0.25</v>
      </c>
      <c r="R351">
        <v>8.3299999999999999E-2</v>
      </c>
      <c r="S351">
        <v>0.04</v>
      </c>
      <c r="T351">
        <v>3</v>
      </c>
    </row>
    <row r="352" spans="1:24" x14ac:dyDescent="0.2">
      <c r="O352">
        <f>IF(O354&gt;10000,HLOOKUP(O354,N350:$O353,4,FALSE),IF(OR(AND(22500&lt;O350,O350&lt;25001),AND(50000&lt;O350,O350&lt;53501),AND(70000&lt;O350,O350&lt;72501)),$F350,IF(OR(AND(25001&lt;O350,O350&lt;27501),AND(53500&lt;O350,O350&lt;57001),AND(72500&lt;O350,O350&lt;75001)),$G350,IF(OR(AND(27500&lt;O350,O350&lt;30001),AND(57000&lt;O350,O350&lt;60001),AND(75000&lt;O350,O350&lt;77500)),$H350,VLOOKUP(O350,BDins,6,FALSE)))))</f>
        <v>17.59</v>
      </c>
      <c r="P352">
        <f>IF(P354&gt;10000,HLOOKUP(P354,O350:$O353,4,FALSE),IF(OR(AND(22500&lt;P350,P350&lt;25001),AND(50000&lt;P350,P350&lt;53501),AND(70000&lt;P350,P350&lt;72501)),$F350,IF(OR(AND(25001&lt;P350,P350&lt;27501),AND(53500&lt;P350,P350&lt;57001),AND(72500&lt;P350,P350&lt;75001)),$G350,IF(OR(AND(27500&lt;P350,P350&lt;30001),AND(57000&lt;P350,P350&lt;60001),AND(75000&lt;P350,P350&lt;77500)),$H350,VLOOKUP(P350,BDins,6,FALSE)))))</f>
        <v>7.5</v>
      </c>
      <c r="Q352">
        <f>IF(Q354&gt;10000,HLOOKUP(Q354,$O350:P353,4,FALSE),IF(OR(AND(22500&lt;Q350,Q350&lt;25001),AND(50000&lt;Q350,Q350&lt;53501),AND(70000&lt;Q350,Q350&lt;72501)),$F350,IF(OR(AND(25001&lt;Q350,Q350&lt;27501),AND(53500&lt;Q350,Q350&lt;57001),AND(72500&lt;Q350,Q350&lt;75001)),$G350,IF(OR(AND(27500&lt;Q350,Q350&lt;30001),AND(57000&lt;Q350,Q350&lt;60001),AND(75000&lt;Q350,Q350&lt;77500)),$H350,VLOOKUP(Q350,BDins,6,FALSE)))))</f>
        <v>2</v>
      </c>
      <c r="R352">
        <f>IF(R354&gt;10000,HLOOKUP(R354,$O350:Q353,4,FALSE),IF(OR(AND(22500&lt;R350,R350&lt;25001),AND(50000&lt;R350,R350&lt;53501),AND(70000&lt;R350,R350&lt;72501)),$F350,IF(OR(AND(25001&lt;R350,R350&lt;27501),AND(53500&lt;R350,R350&lt;57001),AND(72500&lt;R350,R350&lt;75001)),$G350,IF(OR(AND(27500&lt;R350,R350&lt;30001),AND(57000&lt;R350,R350&lt;60001),AND(75000&lt;R350,R350&lt;77500)),$H350,VLOOKUP(R350,BDins,6,FALSE)))))</f>
        <v>65</v>
      </c>
      <c r="S352">
        <f>IF(S354&gt;10000,HLOOKUP(S354,$O350:R353,4,FALSE),IF(OR(AND(22500&lt;S350,S350&lt;25001),AND(50000&lt;S350,S350&lt;53501),AND(70000&lt;S350,S350&lt;72501)),$F350,IF(OR(AND(25001&lt;S350,S350&lt;27501),AND(53500&lt;S350,S350&lt;57001),AND(72500&lt;S350,S350&lt;75001)),$G350,IF(OR(AND(27500&lt;S350,S350&lt;30001),AND(57000&lt;S350,S350&lt;60001),AND(75000&lt;S350,S350&lt;77500)),$H350,VLOOKUP(S350,BDins,6,FALSE)))))</f>
        <v>23</v>
      </c>
      <c r="T352">
        <f>IF(T354&gt;10000,HLOOKUP(T354,$O350:S353,4,FALSE),IF(OR(AND(22500&lt;T350,T350&lt;25001),AND(50000&lt;T350,T350&lt;53501),AND(70000&lt;T350,T350&lt;72501)),$F350,IF(OR(AND(25001&lt;T350,T350&lt;27501),AND(53500&lt;T350,T350&lt;57001),AND(72500&lt;T350,T350&lt;75001)),$G350,IF(OR(AND(27500&lt;T350,T350&lt;30001),AND(57000&lt;T350,T350&lt;60001),AND(75000&lt;T350,T350&lt;77500)),$H350,VLOOKUP(T350,BDins,6,FALSE)))))</f>
        <v>4.26</v>
      </c>
    </row>
    <row r="353" spans="1:38" x14ac:dyDescent="0.2">
      <c r="O353">
        <f t="shared" ref="O353:T353" si="38">IF($K350&gt;0,ROUND(O351*$E350/100,DpCU),IF(O354&gt;10000,ROUND(HLOOKUP(O354,$O350:$T353,4,FALSE)/100*O351,DpCU),IF(OR(O350&lt;20001,O350&gt;95000,AND(60000&lt;O350,O350&lt;70001)),ROUND(ROUND(O351*JL/$C350,DcCU)*O352,DpCU),IF(OR(AND(20000&lt;O350,O350&lt;22501),AND(30000&lt;O350,O350&lt;50001),77500&lt;O350),ROUND(O352*O351,DpCU),IF(OR(AND(22500&lt;O350,O350&lt;25001),AND(50000&lt;O350,O350&lt;53501),AND(70000&lt;O350,O350&lt;72501)),ROUND($F350/100*O351,DpCU),IF(OR(AND(25000&lt;O350,O350&lt;27501),AND(53500&lt;O350,O350&lt;57001),AND(72500&lt;O350,O350&lt;75001)),ROUND($G350/100*O351,DpCU),ROUND($H350/100*O351,DpCU)))))))</f>
        <v>4.26</v>
      </c>
      <c r="P353">
        <f t="shared" si="38"/>
        <v>0.19</v>
      </c>
      <c r="Q353">
        <f t="shared" si="38"/>
        <v>0.5</v>
      </c>
      <c r="R353">
        <f t="shared" si="38"/>
        <v>5.41</v>
      </c>
      <c r="S353">
        <f t="shared" si="38"/>
        <v>0.92</v>
      </c>
      <c r="T353">
        <f t="shared" si="38"/>
        <v>0.13</v>
      </c>
    </row>
    <row r="354" spans="1:38" x14ac:dyDescent="0.2">
      <c r="B354" s="3" t="str">
        <f>A350&amp;"r"</f>
        <v>10070r</v>
      </c>
    </row>
    <row r="355" spans="1:38" x14ac:dyDescent="0.2">
      <c r="A355">
        <v>10071</v>
      </c>
      <c r="B355" s="3" t="s">
        <v>469</v>
      </c>
      <c r="C355" s="1">
        <f>ROUND(J355*JL*Frto/8,4)</f>
        <v>33</v>
      </c>
      <c r="D355" t="s">
        <v>160</v>
      </c>
      <c r="E355">
        <f>SUM($O358:$S358)</f>
        <v>11.22</v>
      </c>
      <c r="F355">
        <f>SUMIF($O355:$S355,"&lt;22501",$O358:$S358)</f>
        <v>4.26</v>
      </c>
      <c r="G355">
        <f>SUMIFS($O358:$S358,$O355:$S355,"&gt;30000",$O355:$S355,"&lt;50001")</f>
        <v>6.83</v>
      </c>
      <c r="H355">
        <f>SUMIFS($O358:$S358,$O355:$S355,"&gt;60000",$O355:$S355,"&lt;70001")</f>
        <v>0</v>
      </c>
      <c r="I355">
        <v>5</v>
      </c>
      <c r="J355">
        <v>33</v>
      </c>
      <c r="O355">
        <v>10004</v>
      </c>
      <c r="P355">
        <v>30067</v>
      </c>
      <c r="Q355">
        <v>30068</v>
      </c>
      <c r="R355">
        <v>30069</v>
      </c>
      <c r="S355">
        <v>70001</v>
      </c>
    </row>
    <row r="356" spans="1:38" x14ac:dyDescent="0.2">
      <c r="B356" s="3" t="str">
        <f>A355&amp;"C"</f>
        <v>10071C</v>
      </c>
      <c r="O356">
        <v>1</v>
      </c>
      <c r="P356">
        <v>0.25</v>
      </c>
      <c r="Q356">
        <v>8.3299999999999999E-2</v>
      </c>
      <c r="R356">
        <v>0.04</v>
      </c>
      <c r="S356">
        <v>3</v>
      </c>
    </row>
    <row r="357" spans="1:38" x14ac:dyDescent="0.2">
      <c r="O357">
        <f>IF(O359&gt;10000,HLOOKUP(O359,N355:$O358,4,FALSE),IF(OR(AND(22500&lt;O355,O355&lt;25001),AND(50000&lt;O355,O355&lt;53501),AND(70000&lt;O355,O355&lt;72501)),$F355,IF(OR(AND(25001&lt;O355,O355&lt;27501),AND(53500&lt;O355,O355&lt;57001),AND(72500&lt;O355,O355&lt;75001)),$G355,IF(OR(AND(27500&lt;O355,O355&lt;30001),AND(57000&lt;O355,O355&lt;60001),AND(75000&lt;O355,O355&lt;77500)),$H355,VLOOKUP(O355,BDins,6,FALSE)))))</f>
        <v>17.59</v>
      </c>
      <c r="P357">
        <f>IF(P359&gt;10000,HLOOKUP(P359,O355:$O358,4,FALSE),IF(OR(AND(22500&lt;P355,P355&lt;25001),AND(50000&lt;P355,P355&lt;53501),AND(70000&lt;P355,P355&lt;72501)),$F355,IF(OR(AND(25001&lt;P355,P355&lt;27501),AND(53500&lt;P355,P355&lt;57001),AND(72500&lt;P355,P355&lt;75001)),$G355,IF(OR(AND(27500&lt;P355,P355&lt;30001),AND(57000&lt;P355,P355&lt;60001),AND(75000&lt;P355,P355&lt;77500)),$H355,VLOOKUP(P355,BDins,6,FALSE)))))</f>
        <v>2</v>
      </c>
      <c r="Q357">
        <f>IF(Q359&gt;10000,HLOOKUP(Q359,$O355:P358,4,FALSE),IF(OR(AND(22500&lt;Q355,Q355&lt;25001),AND(50000&lt;Q355,Q355&lt;53501),AND(70000&lt;Q355,Q355&lt;72501)),$F355,IF(OR(AND(25001&lt;Q355,Q355&lt;27501),AND(53500&lt;Q355,Q355&lt;57001),AND(72500&lt;Q355,Q355&lt;75001)),$G355,IF(OR(AND(27500&lt;Q355,Q355&lt;30001),AND(57000&lt;Q355,Q355&lt;60001),AND(75000&lt;Q355,Q355&lt;77500)),$H355,VLOOKUP(Q355,BDins,6,FALSE)))))</f>
        <v>65</v>
      </c>
      <c r="R357">
        <f>IF(R359&gt;10000,HLOOKUP(R359,$O355:Q358,4,FALSE),IF(OR(AND(22500&lt;R355,R355&lt;25001),AND(50000&lt;R355,R355&lt;53501),AND(70000&lt;R355,R355&lt;72501)),$F355,IF(OR(AND(25001&lt;R355,R355&lt;27501),AND(53500&lt;R355,R355&lt;57001),AND(72500&lt;R355,R355&lt;75001)),$G355,IF(OR(AND(27500&lt;R355,R355&lt;30001),AND(57000&lt;R355,R355&lt;60001),AND(75000&lt;R355,R355&lt;77500)),$H355,VLOOKUP(R355,BDins,6,FALSE)))))</f>
        <v>23</v>
      </c>
      <c r="S357">
        <f>IF(S359&gt;10000,HLOOKUP(S359,$O355:R358,4,FALSE),IF(OR(AND(22500&lt;S355,S355&lt;25001),AND(50000&lt;S355,S355&lt;53501),AND(70000&lt;S355,S355&lt;72501)),$F355,IF(OR(AND(25001&lt;S355,S355&lt;27501),AND(53500&lt;S355,S355&lt;57001),AND(72500&lt;S355,S355&lt;75001)),$G355,IF(OR(AND(27500&lt;S355,S355&lt;30001),AND(57000&lt;S355,S355&lt;60001),AND(75000&lt;S355,S355&lt;77500)),$H355,VLOOKUP(S355,BDins,6,FALSE)))))</f>
        <v>4.26</v>
      </c>
    </row>
    <row r="358" spans="1:38" x14ac:dyDescent="0.2">
      <c r="O358">
        <f>IF($K355&gt;0,ROUND(O356*$E355/100,DpCU),IF(O359&gt;10000,ROUND(HLOOKUP(O359,$O355:$S358,4,FALSE)/100*O356,DpCU),IF(OR(O355&lt;20001,O355&gt;95000,AND(60000&lt;O355,O355&lt;70001)),ROUND(ROUND(O356*JL/$C355,DcCU)*O357,DpCU),IF(OR(AND(20000&lt;O355,O355&lt;22501),AND(30000&lt;O355,O355&lt;50001),77500&lt;O355),ROUND(O357*O356,DpCU),IF(OR(AND(22500&lt;O355,O355&lt;25001),AND(50000&lt;O355,O355&lt;53501),AND(70000&lt;O355,O355&lt;72501)),ROUND($F355/100*O356,DpCU),IF(OR(AND(25000&lt;O355,O355&lt;27501),AND(53500&lt;O355,O355&lt;57001),AND(72500&lt;O355,O355&lt;75001)),ROUND($G355/100*O356,DpCU),ROUND($H355/100*O356,DpCU)))))))</f>
        <v>4.26</v>
      </c>
      <c r="P358">
        <f>IF($K355&gt;0,ROUND(P356*$E355/100,DpCU),IF(P359&gt;10000,ROUND(HLOOKUP(P359,$O355:$S358,4,FALSE)/100*P356,DpCU),IF(OR(P355&lt;20001,P355&gt;95000,AND(60000&lt;P355,P355&lt;70001)),ROUND(ROUND(P356*JL/$C355,DcCU)*P357,DpCU),IF(OR(AND(20000&lt;P355,P355&lt;22501),AND(30000&lt;P355,P355&lt;50001),77500&lt;P355),ROUND(P357*P356,DpCU),IF(OR(AND(22500&lt;P355,P355&lt;25001),AND(50000&lt;P355,P355&lt;53501),AND(70000&lt;P355,P355&lt;72501)),ROUND($F355/100*P356,DpCU),IF(OR(AND(25000&lt;P355,P355&lt;27501),AND(53500&lt;P355,P355&lt;57001),AND(72500&lt;P355,P355&lt;75001)),ROUND($G355/100*P356,DpCU),ROUND($H355/100*P356,DpCU)))))))</f>
        <v>0.5</v>
      </c>
      <c r="Q358">
        <f>IF($K355&gt;0,ROUND(Q356*$E355/100,DpCU),IF(Q359&gt;10000,ROUND(HLOOKUP(Q359,$O355:$S358,4,FALSE)/100*Q356,DpCU),IF(OR(Q355&lt;20001,Q355&gt;95000,AND(60000&lt;Q355,Q355&lt;70001)),ROUND(ROUND(Q356*JL/$C355,DcCU)*Q357,DpCU),IF(OR(AND(20000&lt;Q355,Q355&lt;22501),AND(30000&lt;Q355,Q355&lt;50001),77500&lt;Q355),ROUND(Q357*Q356,DpCU),IF(OR(AND(22500&lt;Q355,Q355&lt;25001),AND(50000&lt;Q355,Q355&lt;53501),AND(70000&lt;Q355,Q355&lt;72501)),ROUND($F355/100*Q356,DpCU),IF(OR(AND(25000&lt;Q355,Q355&lt;27501),AND(53500&lt;Q355,Q355&lt;57001),AND(72500&lt;Q355,Q355&lt;75001)),ROUND($G355/100*Q356,DpCU),ROUND($H355/100*Q356,DpCU)))))))</f>
        <v>5.41</v>
      </c>
      <c r="R358">
        <f>IF($K355&gt;0,ROUND(R356*$E355/100,DpCU),IF(R359&gt;10000,ROUND(HLOOKUP(R359,$O355:$S358,4,FALSE)/100*R356,DpCU),IF(OR(R355&lt;20001,R355&gt;95000,AND(60000&lt;R355,R355&lt;70001)),ROUND(ROUND(R356*JL/$C355,DcCU)*R357,DpCU),IF(OR(AND(20000&lt;R355,R355&lt;22501),AND(30000&lt;R355,R355&lt;50001),77500&lt;R355),ROUND(R357*R356,DpCU),IF(OR(AND(22500&lt;R355,R355&lt;25001),AND(50000&lt;R355,R355&lt;53501),AND(70000&lt;R355,R355&lt;72501)),ROUND($F355/100*R356,DpCU),IF(OR(AND(25000&lt;R355,R355&lt;27501),AND(53500&lt;R355,R355&lt;57001),AND(72500&lt;R355,R355&lt;75001)),ROUND($G355/100*R356,DpCU),ROUND($H355/100*R356,DpCU)))))))</f>
        <v>0.92</v>
      </c>
      <c r="S358">
        <f>IF($K355&gt;0,ROUND(S356*$E355/100,DpCU),IF(S359&gt;10000,ROUND(HLOOKUP(S359,$O355:$S358,4,FALSE)/100*S356,DpCU),IF(OR(S355&lt;20001,S355&gt;95000,AND(60000&lt;S355,S355&lt;70001)),ROUND(ROUND(S356*JL/$C355,DcCU)*S357,DpCU),IF(OR(AND(20000&lt;S355,S355&lt;22501),AND(30000&lt;S355,S355&lt;50001),77500&lt;S355),ROUND(S357*S356,DpCU),IF(OR(AND(22500&lt;S355,S355&lt;25001),AND(50000&lt;S355,S355&lt;53501),AND(70000&lt;S355,S355&lt;72501)),ROUND($F355/100*S356,DpCU),IF(OR(AND(25000&lt;S355,S355&lt;27501),AND(53500&lt;S355,S355&lt;57001),AND(72500&lt;S355,S355&lt;75001)),ROUND($G355/100*S356,DpCU),ROUND($H355/100*S356,DpCU)))))))</f>
        <v>0.13</v>
      </c>
    </row>
    <row r="359" spans="1:38" x14ac:dyDescent="0.2">
      <c r="B359" s="3" t="str">
        <f>A355&amp;"r"</f>
        <v>10071r</v>
      </c>
    </row>
    <row r="360" spans="1:38" x14ac:dyDescent="0.2">
      <c r="A360">
        <v>10072</v>
      </c>
      <c r="B360" s="3" t="s">
        <v>471</v>
      </c>
      <c r="C360" s="1">
        <f>ROUND(J360*JL*Frto/8,4)</f>
        <v>25</v>
      </c>
      <c r="D360" t="s">
        <v>160</v>
      </c>
      <c r="E360">
        <f>SUM($O363:$T363)</f>
        <v>12.87</v>
      </c>
      <c r="F360">
        <f>SUMIF($O360:$T360,"&lt;22501",$O363:$T363)</f>
        <v>5.63</v>
      </c>
      <c r="G360">
        <f>SUMIFS($O363:$T363,$O360:$T360,"&gt;30000",$O360:$T360,"&lt;50001")</f>
        <v>6.11</v>
      </c>
      <c r="H360">
        <f>SUMIFS($O363:$T363,$O360:$T360,"&gt;60000",$O360:$T360,"&lt;70001")</f>
        <v>0.96</v>
      </c>
      <c r="I360">
        <v>6</v>
      </c>
      <c r="J360">
        <v>25</v>
      </c>
      <c r="O360">
        <v>10004</v>
      </c>
      <c r="P360">
        <v>30067</v>
      </c>
      <c r="Q360">
        <v>30070</v>
      </c>
      <c r="R360">
        <v>30071</v>
      </c>
      <c r="S360">
        <v>60019</v>
      </c>
      <c r="T360">
        <v>70001</v>
      </c>
    </row>
    <row r="361" spans="1:38" x14ac:dyDescent="0.2">
      <c r="B361" s="3" t="str">
        <f>A360&amp;"C"</f>
        <v>10072C</v>
      </c>
      <c r="O361">
        <v>1</v>
      </c>
      <c r="P361">
        <v>0.25</v>
      </c>
      <c r="Q361">
        <v>8.3299999999999999E-2</v>
      </c>
      <c r="R361">
        <v>0.04</v>
      </c>
      <c r="S361">
        <v>0.8</v>
      </c>
      <c r="T361">
        <v>3</v>
      </c>
    </row>
    <row r="362" spans="1:38" x14ac:dyDescent="0.2">
      <c r="O362">
        <f>IF(O364&gt;10000,HLOOKUP(O364,N360:$O363,4,FALSE),IF(OR(AND(22500&lt;O360,O360&lt;25001),AND(50000&lt;O360,O360&lt;53501),AND(70000&lt;O360,O360&lt;72501)),$F360,IF(OR(AND(25001&lt;O360,O360&lt;27501),AND(53500&lt;O360,O360&lt;57001),AND(72500&lt;O360,O360&lt;75001)),$G360,IF(OR(AND(27500&lt;O360,O360&lt;30001),AND(57000&lt;O360,O360&lt;60001),AND(75000&lt;O360,O360&lt;77500)),$H360,VLOOKUP(O360,BDins,6,FALSE)))))</f>
        <v>17.59</v>
      </c>
      <c r="P362">
        <f>IF(P364&gt;10000,HLOOKUP(P364,O360:$O363,4,FALSE),IF(OR(AND(22500&lt;P360,P360&lt;25001),AND(50000&lt;P360,P360&lt;53501),AND(70000&lt;P360,P360&lt;72501)),$F360,IF(OR(AND(25001&lt;P360,P360&lt;27501),AND(53500&lt;P360,P360&lt;57001),AND(72500&lt;P360,P360&lt;75001)),$G360,IF(OR(AND(27500&lt;P360,P360&lt;30001),AND(57000&lt;P360,P360&lt;60001),AND(75000&lt;P360,P360&lt;77500)),$H360,VLOOKUP(P360,BDins,6,FALSE)))))</f>
        <v>2</v>
      </c>
      <c r="Q362">
        <f>IF(Q364&gt;10000,HLOOKUP(Q364,$O360:P363,4,FALSE),IF(OR(AND(22500&lt;Q360,Q360&lt;25001),AND(50000&lt;Q360,Q360&lt;53501),AND(70000&lt;Q360,Q360&lt;72501)),$F360,IF(OR(AND(25001&lt;Q360,Q360&lt;27501),AND(53500&lt;Q360,Q360&lt;57001),AND(72500&lt;Q360,Q360&lt;75001)),$G360,IF(OR(AND(27500&lt;Q360,Q360&lt;30001),AND(57000&lt;Q360,Q360&lt;60001),AND(75000&lt;Q360,Q360&lt;77500)),$H360,VLOOKUP(Q360,BDins,6,FALSE)))))</f>
        <v>65</v>
      </c>
      <c r="R362">
        <f>IF(R364&gt;10000,HLOOKUP(R364,$O360:Q363,4,FALSE),IF(OR(AND(22500&lt;R360,R360&lt;25001),AND(50000&lt;R360,R360&lt;53501),AND(70000&lt;R360,R360&lt;72501)),$F360,IF(OR(AND(25001&lt;R360,R360&lt;27501),AND(53500&lt;R360,R360&lt;57001),AND(72500&lt;R360,R360&lt;75001)),$G360,IF(OR(AND(27500&lt;R360,R360&lt;30001),AND(57000&lt;R360,R360&lt;60001),AND(75000&lt;R360,R360&lt;77500)),$H360,VLOOKUP(R360,BDins,6,FALSE)))))</f>
        <v>5</v>
      </c>
      <c r="S362">
        <f>IF(S364&gt;10000,HLOOKUP(S364,$O360:R363,4,FALSE),IF(OR(AND(22500&lt;S360,S360&lt;25001),AND(50000&lt;S360,S360&lt;53501),AND(70000&lt;S360,S360&lt;72501)),$F360,IF(OR(AND(25001&lt;S360,S360&lt;27501),AND(53500&lt;S360,S360&lt;57001),AND(72500&lt;S360,S360&lt;75001)),$G360,IF(OR(AND(27500&lt;S360,S360&lt;30001),AND(57000&lt;S360,S360&lt;60001),AND(75000&lt;S360,S360&lt;77500)),$H360,VLOOKUP(S360,BDins,6,FALSE)))))</f>
        <v>3.75</v>
      </c>
      <c r="T362">
        <f>IF(T364&gt;10000,HLOOKUP(T364,$O360:S363,4,FALSE),IF(OR(AND(22500&lt;T360,T360&lt;25001),AND(50000&lt;T360,T360&lt;53501),AND(70000&lt;T360,T360&lt;72501)),$F360,IF(OR(AND(25001&lt;T360,T360&lt;27501),AND(53500&lt;T360,T360&lt;57001),AND(72500&lt;T360,T360&lt;75001)),$G360,IF(OR(AND(27500&lt;T360,T360&lt;30001),AND(57000&lt;T360,T360&lt;60001),AND(75000&lt;T360,T360&lt;77500)),$H360,VLOOKUP(T360,BDins,6,FALSE)))))</f>
        <v>5.63</v>
      </c>
    </row>
    <row r="363" spans="1:38" x14ac:dyDescent="0.2">
      <c r="O363">
        <f t="shared" ref="O363:T363" si="39">IF($K360&gt;0,ROUND(O361*$E360/100,DpCU),IF(O364&gt;10000,ROUND(HLOOKUP(O364,$O360:$T363,4,FALSE)/100*O361,DpCU),IF(OR(O360&lt;20001,O360&gt;95000,AND(60000&lt;O360,O360&lt;70001)),ROUND(ROUND(O361*JL/$C360,DcCU)*O362,DpCU),IF(OR(AND(20000&lt;O360,O360&lt;22501),AND(30000&lt;O360,O360&lt;50001),77500&lt;O360),ROUND(O362*O361,DpCU),IF(OR(AND(22500&lt;O360,O360&lt;25001),AND(50000&lt;O360,O360&lt;53501),AND(70000&lt;O360,O360&lt;72501)),ROUND($F360/100*O361,DpCU),IF(OR(AND(25000&lt;O360,O360&lt;27501),AND(53500&lt;O360,O360&lt;57001),AND(72500&lt;O360,O360&lt;75001)),ROUND($G360/100*O361,DpCU),ROUND($H360/100*O361,DpCU)))))))</f>
        <v>5.63</v>
      </c>
      <c r="P363">
        <f t="shared" si="39"/>
        <v>0.5</v>
      </c>
      <c r="Q363">
        <f t="shared" si="39"/>
        <v>5.41</v>
      </c>
      <c r="R363">
        <f t="shared" si="39"/>
        <v>0.2</v>
      </c>
      <c r="S363">
        <f t="shared" si="39"/>
        <v>0.96</v>
      </c>
      <c r="T363">
        <f t="shared" si="39"/>
        <v>0.17</v>
      </c>
    </row>
    <row r="364" spans="1:38" x14ac:dyDescent="0.2">
      <c r="B364" s="3" t="str">
        <f>A360&amp;"r"</f>
        <v>10072r</v>
      </c>
    </row>
    <row r="365" spans="1:38" x14ac:dyDescent="0.2">
      <c r="A365">
        <v>10073</v>
      </c>
      <c r="B365" s="3" t="s">
        <v>477</v>
      </c>
      <c r="C365" s="1">
        <f>ROUND(J365*JL*Frto/8,4)</f>
        <v>5</v>
      </c>
      <c r="D365" t="s">
        <v>478</v>
      </c>
      <c r="E365">
        <f>SUM($O368:$AL368)</f>
        <v>112.57000000000004</v>
      </c>
      <c r="F365">
        <f>SUMIF($O365:$AL365,"&lt;22501",$O368:$AL368)</f>
        <v>48.36</v>
      </c>
      <c r="G365">
        <f>SUMIFS($O368:$AL368,$O365:$AL365,"&gt;30000",$O365:$AL365,"&lt;50001")</f>
        <v>61.789999999999985</v>
      </c>
      <c r="H365">
        <f>SUMIFS($O368:$AL368,$O365:$AL365,"&gt;60000",$O365:$AL365,"&lt;70001")</f>
        <v>0</v>
      </c>
      <c r="I365">
        <v>24</v>
      </c>
      <c r="J365">
        <v>5</v>
      </c>
      <c r="O365">
        <v>10001</v>
      </c>
      <c r="P365">
        <v>10004</v>
      </c>
      <c r="Q365">
        <v>30072</v>
      </c>
      <c r="R365">
        <v>30073</v>
      </c>
      <c r="S365">
        <v>30074</v>
      </c>
      <c r="T365">
        <v>30075</v>
      </c>
      <c r="U365">
        <v>30076</v>
      </c>
      <c r="V365">
        <v>30077</v>
      </c>
      <c r="W365">
        <v>30078</v>
      </c>
      <c r="X365">
        <v>30079</v>
      </c>
      <c r="Y365">
        <v>30080</v>
      </c>
      <c r="Z365">
        <v>30081</v>
      </c>
      <c r="AA365">
        <v>30082</v>
      </c>
      <c r="AB365">
        <v>30083</v>
      </c>
      <c r="AC365">
        <v>30084</v>
      </c>
      <c r="AD365">
        <v>30085</v>
      </c>
      <c r="AE365">
        <v>30086</v>
      </c>
      <c r="AF365">
        <v>30087</v>
      </c>
      <c r="AG365">
        <v>30088</v>
      </c>
      <c r="AH365">
        <v>30089</v>
      </c>
      <c r="AI365">
        <v>30090</v>
      </c>
      <c r="AJ365">
        <v>30091</v>
      </c>
      <c r="AK365">
        <v>30092</v>
      </c>
      <c r="AL365">
        <v>70001</v>
      </c>
    </row>
    <row r="366" spans="1:38" x14ac:dyDescent="0.2">
      <c r="B366" s="3" t="str">
        <f>A365&amp;"C"</f>
        <v>10073C</v>
      </c>
      <c r="O366">
        <v>1</v>
      </c>
      <c r="P366">
        <v>1</v>
      </c>
      <c r="Q366">
        <v>6.27</v>
      </c>
      <c r="R366">
        <v>2.8687</v>
      </c>
      <c r="S366">
        <v>0.46899999999999997</v>
      </c>
      <c r="T366">
        <v>2.8687</v>
      </c>
      <c r="U366">
        <v>0.67469999999999997</v>
      </c>
      <c r="V366">
        <v>2.8805999999999998</v>
      </c>
      <c r="W366">
        <v>0.67469999999999997</v>
      </c>
      <c r="X366">
        <v>0.02</v>
      </c>
      <c r="Y366">
        <v>0.8</v>
      </c>
      <c r="Z366">
        <v>0.22539999999999999</v>
      </c>
      <c r="AA366">
        <v>0.52539999999999998</v>
      </c>
      <c r="AB366">
        <v>2.9899999999999999E-2</v>
      </c>
      <c r="AC366">
        <v>0.86599999999999999</v>
      </c>
      <c r="AD366">
        <v>0.3165</v>
      </c>
      <c r="AE366">
        <v>2.24E-2</v>
      </c>
      <c r="AF366">
        <v>2.9899999999999999E-2</v>
      </c>
      <c r="AG366">
        <v>1</v>
      </c>
      <c r="AH366">
        <v>0.6986</v>
      </c>
      <c r="AI366">
        <v>4.3999999999999997E-2</v>
      </c>
      <c r="AJ366">
        <v>15.9672</v>
      </c>
      <c r="AK366">
        <v>0.4299</v>
      </c>
      <c r="AL366">
        <v>5</v>
      </c>
    </row>
    <row r="367" spans="1:38" x14ac:dyDescent="0.2">
      <c r="O367">
        <f>IF(O369&gt;10000,HLOOKUP(O369,N365:$O368,4,FALSE),IF(OR(AND(22500&lt;O365,O365&lt;25001),AND(50000&lt;O365,O365&lt;53501),AND(70000&lt;O365,O365&lt;72501)),$F365,IF(OR(AND(25001&lt;O365,O365&lt;27501),AND(53500&lt;O365,O365&lt;57001),AND(72500&lt;O365,O365&lt;75001)),$G365,IF(OR(AND(27500&lt;O365,O365&lt;30001),AND(57000&lt;O365,O365&lt;60001),AND(75000&lt;O365,O365&lt;77500)),$H365,VLOOKUP(O365,BDins,6,FALSE)))))</f>
        <v>12.64</v>
      </c>
      <c r="P367">
        <f>IF(P369&gt;10000,HLOOKUP(P369,O365:$O368,4,FALSE),IF(OR(AND(22500&lt;P365,P365&lt;25001),AND(50000&lt;P365,P365&lt;53501),AND(70000&lt;P365,P365&lt;72501)),$F365,IF(OR(AND(25001&lt;P365,P365&lt;27501),AND(53500&lt;P365,P365&lt;57001),AND(72500&lt;P365,P365&lt;75001)),$G365,IF(OR(AND(27500&lt;P365,P365&lt;30001),AND(57000&lt;P365,P365&lt;60001),AND(75000&lt;P365,P365&lt;77500)),$H365,VLOOKUP(P365,BDins,6,FALSE)))))</f>
        <v>17.59</v>
      </c>
      <c r="Q367">
        <f>IF(Q369&gt;10000,HLOOKUP(Q369,$O365:P368,4,FALSE),IF(OR(AND(22500&lt;Q365,Q365&lt;25001),AND(50000&lt;Q365,Q365&lt;53501),AND(70000&lt;Q365,Q365&lt;72501)),$F365,IF(OR(AND(25001&lt;Q365,Q365&lt;27501),AND(53500&lt;Q365,Q365&lt;57001),AND(72500&lt;Q365,Q365&lt;75001)),$G365,IF(OR(AND(27500&lt;Q365,Q365&lt;30001),AND(57000&lt;Q365,Q365&lt;60001),AND(75000&lt;Q365,Q365&lt;77500)),$H365,VLOOKUP(Q365,BDins,6,FALSE)))))</f>
        <v>2.2000000000000002</v>
      </c>
      <c r="R367">
        <f>IF(R369&gt;10000,HLOOKUP(R369,$O365:Q368,4,FALSE),IF(OR(AND(22500&lt;R365,R365&lt;25001),AND(50000&lt;R365,R365&lt;53501),AND(70000&lt;R365,R365&lt;72501)),$F365,IF(OR(AND(25001&lt;R365,R365&lt;27501),AND(53500&lt;R365,R365&lt;57001),AND(72500&lt;R365,R365&lt;75001)),$G365,IF(OR(AND(27500&lt;R365,R365&lt;30001),AND(57000&lt;R365,R365&lt;60001),AND(75000&lt;R365,R365&lt;77500)),$H365,VLOOKUP(R365,BDins,6,FALSE)))))</f>
        <v>1.2</v>
      </c>
      <c r="S367">
        <f>IF(S369&gt;10000,HLOOKUP(S369,$O365:R368,4,FALSE),IF(OR(AND(22500&lt;S365,S365&lt;25001),AND(50000&lt;S365,S365&lt;53501),AND(70000&lt;S365,S365&lt;72501)),$F365,IF(OR(AND(25001&lt;S365,S365&lt;27501),AND(53500&lt;S365,S365&lt;57001),AND(72500&lt;S365,S365&lt;75001)),$G365,IF(OR(AND(27500&lt;S365,S365&lt;30001),AND(57000&lt;S365,S365&lt;60001),AND(75000&lt;S365,S365&lt;77500)),$H365,VLOOKUP(S365,BDins,6,FALSE)))))</f>
        <v>1.42</v>
      </c>
      <c r="T367">
        <f>IF(T369&gt;10000,HLOOKUP(T369,$O365:S368,4,FALSE),IF(OR(AND(22500&lt;T365,T365&lt;25001),AND(50000&lt;T365,T365&lt;53501),AND(70000&lt;T365,T365&lt;72501)),$F365,IF(OR(AND(25001&lt;T365,T365&lt;27501),AND(53500&lt;T365,T365&lt;57001),AND(72500&lt;T365,T365&lt;75001)),$G365,IF(OR(AND(27500&lt;T365,T365&lt;30001),AND(57000&lt;T365,T365&lt;60001),AND(75000&lt;T365,T365&lt;77500)),$H365,VLOOKUP(T365,BDins,6,FALSE)))))</f>
        <v>0.5</v>
      </c>
      <c r="U367">
        <f>IF(U369&gt;10000,HLOOKUP(U369,$O365:T368,4,FALSE),IF(OR(AND(22500&lt;U365,U365&lt;25001),AND(50000&lt;U365,U365&lt;53501),AND(70000&lt;U365,U365&lt;72501)),$F365,IF(OR(AND(25001&lt;U365,U365&lt;27501),AND(53500&lt;U365,U365&lt;57001),AND(72500&lt;U365,U365&lt;75001)),$G365,IF(OR(AND(27500&lt;U365,U365&lt;30001),AND(57000&lt;U365,U365&lt;60001),AND(75000&lt;U365,U365&lt;77500)),$H365,VLOOKUP(U365,BDins,6,FALSE)))))</f>
        <v>0.7</v>
      </c>
      <c r="V367">
        <f>IF(V369&gt;10000,HLOOKUP(V369,$O365:U368,4,FALSE),IF(OR(AND(22500&lt;V365,V365&lt;25001),AND(50000&lt;V365,V365&lt;53501),AND(70000&lt;V365,V365&lt;72501)),$F365,IF(OR(AND(25001&lt;V365,V365&lt;27501),AND(53500&lt;V365,V365&lt;57001),AND(72500&lt;V365,V365&lt;75001)),$G365,IF(OR(AND(27500&lt;V365,V365&lt;30001),AND(57000&lt;V365,V365&lt;60001),AND(75000&lt;V365,V365&lt;77500)),$H365,VLOOKUP(V365,BDins,6,FALSE)))))</f>
        <v>1.3</v>
      </c>
      <c r="W367">
        <f>IF(W369&gt;10000,HLOOKUP(W369,$O365:V368,4,FALSE),IF(OR(AND(22500&lt;W365,W365&lt;25001),AND(50000&lt;W365,W365&lt;53501),AND(70000&lt;W365,W365&lt;72501)),$F365,IF(OR(AND(25001&lt;W365,W365&lt;27501),AND(53500&lt;W365,W365&lt;57001),AND(72500&lt;W365,W365&lt;75001)),$G365,IF(OR(AND(27500&lt;W365,W365&lt;30001),AND(57000&lt;W365,W365&lt;60001),AND(75000&lt;W365,W365&lt;77500)),$H365,VLOOKUP(W365,BDins,6,FALSE)))))</f>
        <v>1.6</v>
      </c>
      <c r="X367">
        <f>IF(X369&gt;10000,HLOOKUP(X369,$O365:W368,4,FALSE),IF(OR(AND(22500&lt;X365,X365&lt;25001),AND(50000&lt;X365,X365&lt;53501),AND(70000&lt;X365,X365&lt;72501)),$F365,IF(OR(AND(25001&lt;X365,X365&lt;27501),AND(53500&lt;X365,X365&lt;57001),AND(72500&lt;X365,X365&lt;75001)),$G365,IF(OR(AND(27500&lt;X365,X365&lt;30001),AND(57000&lt;X365,X365&lt;60001),AND(75000&lt;X365,X365&lt;77500)),$H365,VLOOKUP(X365,BDins,6,FALSE)))))</f>
        <v>90</v>
      </c>
      <c r="Y367">
        <f>IF(Y369&gt;10000,HLOOKUP(Y369,$O365:X368,4,FALSE),IF(OR(AND(22500&lt;Y365,Y365&lt;25001),AND(50000&lt;Y365,Y365&lt;53501),AND(70000&lt;Y365,Y365&lt;72501)),$F365,IF(OR(AND(25001&lt;Y365,Y365&lt;27501),AND(53500&lt;Y365,Y365&lt;57001),AND(72500&lt;Y365,Y365&lt;75001)),$G365,IF(OR(AND(27500&lt;Y365,Y365&lt;30001),AND(57000&lt;Y365,Y365&lt;60001),AND(75000&lt;Y365,Y365&lt;77500)),$H365,VLOOKUP(Y365,BDins,6,FALSE)))))</f>
        <v>0.3</v>
      </c>
      <c r="Z367">
        <f>IF(Z369&gt;10000,HLOOKUP(Z369,$O365:Y368,4,FALSE),IF(OR(AND(22500&lt;Z365,Z365&lt;25001),AND(50000&lt;Z365,Z365&lt;53501),AND(70000&lt;Z365,Z365&lt;72501)),$F365,IF(OR(AND(25001&lt;Z365,Z365&lt;27501),AND(53500&lt;Z365,Z365&lt;57001),AND(72500&lt;Z365,Z365&lt;75001)),$G365,IF(OR(AND(27500&lt;Z365,Z365&lt;30001),AND(57000&lt;Z365,Z365&lt;60001),AND(75000&lt;Z365,Z365&lt;77500)),$H365,VLOOKUP(Z365,BDins,6,FALSE)))))</f>
        <v>17.899999999999999</v>
      </c>
      <c r="AA367">
        <f>IF(AA369&gt;10000,HLOOKUP(AA369,$O365:Z368,4,FALSE),IF(OR(AND(22500&lt;AA365,AA365&lt;25001),AND(50000&lt;AA365,AA365&lt;53501),AND(70000&lt;AA365,AA365&lt;72501)),$F365,IF(OR(AND(25001&lt;AA365,AA365&lt;27501),AND(53500&lt;AA365,AA365&lt;57001),AND(72500&lt;AA365,AA365&lt;75001)),$G365,IF(OR(AND(27500&lt;AA365,AA365&lt;30001),AND(57000&lt;AA365,AA365&lt;60001),AND(75000&lt;AA365,AA365&lt;77500)),$H365,VLOOKUP(AA365,BDins,6,FALSE)))))</f>
        <v>21.9</v>
      </c>
      <c r="AB367">
        <f>IF(AB369&gt;10000,HLOOKUP(AB369,$O365:AA368,4,FALSE),IF(OR(AND(22500&lt;AB365,AB365&lt;25001),AND(50000&lt;AB365,AB365&lt;53501),AND(70000&lt;AB365,AB365&lt;72501)),$F365,IF(OR(AND(25001&lt;AB365,AB365&lt;27501),AND(53500&lt;AB365,AB365&lt;57001),AND(72500&lt;AB365,AB365&lt;75001)),$G365,IF(OR(AND(27500&lt;AB365,AB365&lt;30001),AND(57000&lt;AB365,AB365&lt;60001),AND(75000&lt;AB365,AB365&lt;77500)),$H365,VLOOKUP(AB365,BDins,6,FALSE)))))</f>
        <v>21.9</v>
      </c>
      <c r="AC367">
        <f>IF(AC369&gt;10000,HLOOKUP(AC369,$O365:AB368,4,FALSE),IF(OR(AND(22500&lt;AC365,AC365&lt;25001),AND(50000&lt;AC365,AC365&lt;53501),AND(70000&lt;AC365,AC365&lt;72501)),$F365,IF(OR(AND(25001&lt;AC365,AC365&lt;27501),AND(53500&lt;AC365,AC365&lt;57001),AND(72500&lt;AC365,AC365&lt;75001)),$G365,IF(OR(AND(27500&lt;AC365,AC365&lt;30001),AND(57000&lt;AC365,AC365&lt;60001),AND(75000&lt;AC365,AC365&lt;77500)),$H365,VLOOKUP(AC365,BDins,6,FALSE)))))</f>
        <v>0.5</v>
      </c>
      <c r="AD367">
        <f>IF(AD369&gt;10000,HLOOKUP(AD369,$O365:AC368,4,FALSE),IF(OR(AND(22500&lt;AD365,AD365&lt;25001),AND(50000&lt;AD365,AD365&lt;53501),AND(70000&lt;AD365,AD365&lt;72501)),$F365,IF(OR(AND(25001&lt;AD365,AD365&lt;27501),AND(53500&lt;AD365,AD365&lt;57001),AND(72500&lt;AD365,AD365&lt;75001)),$G365,IF(OR(AND(27500&lt;AD365,AD365&lt;30001),AND(57000&lt;AD365,AD365&lt;60001),AND(75000&lt;AD365,AD365&lt;77500)),$H365,VLOOKUP(AD365,BDins,6,FALSE)))))</f>
        <v>0.5</v>
      </c>
      <c r="AE367">
        <f>IF(AE369&gt;10000,HLOOKUP(AE369,$O365:AD368,4,FALSE),IF(OR(AND(22500&lt;AE365,AE365&lt;25001),AND(50000&lt;AE365,AE365&lt;53501),AND(70000&lt;AE365,AE365&lt;72501)),$F365,IF(OR(AND(25001&lt;AE365,AE365&lt;27501),AND(53500&lt;AE365,AE365&lt;57001),AND(72500&lt;AE365,AE365&lt;75001)),$G365,IF(OR(AND(27500&lt;AE365,AE365&lt;30001),AND(57000&lt;AE365,AE365&lt;60001),AND(75000&lt;AE365,AE365&lt;77500)),$H365,VLOOKUP(AE365,BDins,6,FALSE)))))</f>
        <v>0.5</v>
      </c>
      <c r="AF367">
        <f>IF(AF369&gt;10000,HLOOKUP(AF369,$O365:AE368,4,FALSE),IF(OR(AND(22500&lt;AF365,AF365&lt;25001),AND(50000&lt;AF365,AF365&lt;53501),AND(70000&lt;AF365,AF365&lt;72501)),$F365,IF(OR(AND(25001&lt;AF365,AF365&lt;27501),AND(53500&lt;AF365,AF365&lt;57001),AND(72500&lt;AF365,AF365&lt;75001)),$G365,IF(OR(AND(27500&lt;AF365,AF365&lt;30001),AND(57000&lt;AF365,AF365&lt;60001),AND(75000&lt;AF365,AF365&lt;77500)),$H365,VLOOKUP(AF365,BDins,6,FALSE)))))</f>
        <v>1</v>
      </c>
      <c r="AG367">
        <f>IF(AG369&gt;10000,HLOOKUP(AG369,$O365:AF368,4,FALSE),IF(OR(AND(22500&lt;AG365,AG365&lt;25001),AND(50000&lt;AG365,AG365&lt;53501),AND(70000&lt;AG365,AG365&lt;72501)),$F365,IF(OR(AND(25001&lt;AG365,AG365&lt;27501),AND(53500&lt;AG365,AG365&lt;57001),AND(72500&lt;AG365,AG365&lt;75001)),$G365,IF(OR(AND(27500&lt;AG365,AG365&lt;30001),AND(57000&lt;AG365,AG365&lt;60001),AND(75000&lt;AG365,AG365&lt;77500)),$H365,VLOOKUP(AG365,BDins,6,FALSE)))))</f>
        <v>2.1</v>
      </c>
      <c r="AH367">
        <f>IF(AH369&gt;10000,HLOOKUP(AH369,$O365:AG368,4,FALSE),IF(OR(AND(22500&lt;AH365,AH365&lt;25001),AND(50000&lt;AH365,AH365&lt;53501),AND(70000&lt;AH365,AH365&lt;72501)),$F365,IF(OR(AND(25001&lt;AH365,AH365&lt;27501),AND(53500&lt;AH365,AH365&lt;57001),AND(72500&lt;AH365,AH365&lt;75001)),$G365,IF(OR(AND(27500&lt;AH365,AH365&lt;30001),AND(57000&lt;AH365,AH365&lt;60001),AND(75000&lt;AH365,AH365&lt;77500)),$H365,VLOOKUP(AH365,BDins,6,FALSE)))))</f>
        <v>2</v>
      </c>
      <c r="AI367">
        <f>IF(AI369&gt;10000,HLOOKUP(AI369,$O365:AH368,4,FALSE),IF(OR(AND(22500&lt;AI365,AI365&lt;25001),AND(50000&lt;AI365,AI365&lt;53501),AND(70000&lt;AI365,AI365&lt;72501)),$F365,IF(OR(AND(25001&lt;AI365,AI365&lt;27501),AND(53500&lt;AI365,AI365&lt;57001),AND(72500&lt;AI365,AI365&lt;75001)),$G365,IF(OR(AND(27500&lt;AI365,AI365&lt;30001),AND(57000&lt;AI365,AI365&lt;60001),AND(75000&lt;AI365,AI365&lt;77500)),$H365,VLOOKUP(AI365,BDins,6,FALSE)))))</f>
        <v>4</v>
      </c>
      <c r="AJ367">
        <f>IF(AJ369&gt;10000,HLOOKUP(AJ369,$O365:AI368,4,FALSE),IF(OR(AND(22500&lt;AJ365,AJ365&lt;25001),AND(50000&lt;AJ365,AJ365&lt;53501),AND(70000&lt;AJ365,AJ365&lt;72501)),$F365,IF(OR(AND(25001&lt;AJ365,AJ365&lt;27501),AND(53500&lt;AJ365,AJ365&lt;57001),AND(72500&lt;AJ365,AJ365&lt;75001)),$G365,IF(OR(AND(27500&lt;AJ365,AJ365&lt;30001),AND(57000&lt;AJ365,AJ365&lt;60001),AND(75000&lt;AJ365,AJ365&lt;77500)),$H365,VLOOKUP(AJ365,BDins,6,FALSE)))))</f>
        <v>0.86</v>
      </c>
      <c r="AK367">
        <f>IF(AK369&gt;10000,HLOOKUP(AK369,$O365:AJ368,4,FALSE),IF(OR(AND(22500&lt;AK365,AK365&lt;25001),AND(50000&lt;AK365,AK365&lt;53501),AND(70000&lt;AK365,AK365&lt;72501)),$F365,IF(OR(AND(25001&lt;AK365,AK365&lt;27501),AND(53500&lt;AK365,AK365&lt;57001),AND(72500&lt;AK365,AK365&lt;75001)),$G365,IF(OR(AND(27500&lt;AK365,AK365&lt;30001),AND(57000&lt;AK365,AK365&lt;60001),AND(75000&lt;AK365,AK365&lt;77500)),$H365,VLOOKUP(AK365,BDins,6,FALSE)))))</f>
        <v>2.1</v>
      </c>
      <c r="AL367">
        <f>IF(AL369&gt;10000,HLOOKUP(AL369,$O365:AK368,4,FALSE),IF(OR(AND(22500&lt;AL365,AL365&lt;25001),AND(50000&lt;AL365,AL365&lt;53501),AND(70000&lt;AL365,AL365&lt;72501)),$F365,IF(OR(AND(25001&lt;AL365,AL365&lt;27501),AND(53500&lt;AL365,AL365&lt;57001),AND(72500&lt;AL365,AL365&lt;75001)),$G365,IF(OR(AND(27500&lt;AL365,AL365&lt;30001),AND(57000&lt;AL365,AL365&lt;60001),AND(75000&lt;AL365,AL365&lt;77500)),$H365,VLOOKUP(AL365,BDins,6,FALSE)))))</f>
        <v>48.36</v>
      </c>
    </row>
    <row r="368" spans="1:38" x14ac:dyDescent="0.2">
      <c r="O368">
        <f t="shared" ref="O368:AL368" si="40">IF($K365&gt;0,ROUND(O366*$E365/100,DpCU),IF(O369&gt;10000,ROUND(HLOOKUP(O369,$O365:$AL368,4,FALSE)/100*O366,DpCU),IF(OR(O365&lt;20001,O365&gt;95000,AND(60000&lt;O365,O365&lt;70001)),ROUND(ROUND(O366*JL/$C365,DcCU)*O367,DpCU),IF(OR(AND(20000&lt;O365,O365&lt;22501),AND(30000&lt;O365,O365&lt;50001),77500&lt;O365),ROUND(O367*O366,DpCU),IF(OR(AND(22500&lt;O365,O365&lt;25001),AND(50000&lt;O365,O365&lt;53501),AND(70000&lt;O365,O365&lt;72501)),ROUND($F365/100*O366,DpCU),IF(OR(AND(25000&lt;O365,O365&lt;27501),AND(53500&lt;O365,O365&lt;57001),AND(72500&lt;O365,O365&lt;75001)),ROUND($G365/100*O366,DpCU),ROUND($H365/100*O366,DpCU)))))))</f>
        <v>20.22</v>
      </c>
      <c r="P368">
        <f t="shared" si="40"/>
        <v>28.14</v>
      </c>
      <c r="Q368">
        <f t="shared" si="40"/>
        <v>13.79</v>
      </c>
      <c r="R368">
        <f t="shared" si="40"/>
        <v>3.44</v>
      </c>
      <c r="S368">
        <f t="shared" si="40"/>
        <v>0.67</v>
      </c>
      <c r="T368">
        <f t="shared" si="40"/>
        <v>1.43</v>
      </c>
      <c r="U368">
        <f t="shared" si="40"/>
        <v>0.47</v>
      </c>
      <c r="V368">
        <f t="shared" si="40"/>
        <v>3.74</v>
      </c>
      <c r="W368">
        <f t="shared" si="40"/>
        <v>1.08</v>
      </c>
      <c r="X368">
        <f t="shared" si="40"/>
        <v>1.8</v>
      </c>
      <c r="Y368">
        <f t="shared" si="40"/>
        <v>0.24</v>
      </c>
      <c r="Z368">
        <f t="shared" si="40"/>
        <v>4.03</v>
      </c>
      <c r="AA368">
        <f t="shared" si="40"/>
        <v>11.51</v>
      </c>
      <c r="AB368">
        <f t="shared" si="40"/>
        <v>0.65</v>
      </c>
      <c r="AC368">
        <f t="shared" si="40"/>
        <v>0.43</v>
      </c>
      <c r="AD368">
        <f t="shared" si="40"/>
        <v>0.16</v>
      </c>
      <c r="AE368">
        <f t="shared" si="40"/>
        <v>0.01</v>
      </c>
      <c r="AF368">
        <f t="shared" si="40"/>
        <v>0.03</v>
      </c>
      <c r="AG368">
        <f t="shared" si="40"/>
        <v>2.1</v>
      </c>
      <c r="AH368">
        <f t="shared" si="40"/>
        <v>1.4</v>
      </c>
      <c r="AI368">
        <f t="shared" si="40"/>
        <v>0.18</v>
      </c>
      <c r="AJ368">
        <f t="shared" si="40"/>
        <v>13.73</v>
      </c>
      <c r="AK368">
        <f t="shared" si="40"/>
        <v>0.9</v>
      </c>
      <c r="AL368">
        <f t="shared" si="40"/>
        <v>2.42</v>
      </c>
    </row>
    <row r="369" spans="1:38" x14ac:dyDescent="0.2">
      <c r="B369" s="3" t="str">
        <f>A365&amp;"r"</f>
        <v>10073r</v>
      </c>
    </row>
    <row r="370" spans="1:38" x14ac:dyDescent="0.2">
      <c r="A370">
        <v>10074</v>
      </c>
      <c r="B370" s="3" t="s">
        <v>501</v>
      </c>
      <c r="C370" s="1">
        <f>ROUND(J370*JL*Frto/8,4)</f>
        <v>4</v>
      </c>
      <c r="D370" t="s">
        <v>478</v>
      </c>
      <c r="E370">
        <f>SUM($O373:$AL373)</f>
        <v>125.27000000000002</v>
      </c>
      <c r="F370">
        <f>SUMIF($O370:$AL370,"&lt;22501",$O373:$AL373)</f>
        <v>60.46</v>
      </c>
      <c r="G370">
        <f>SUMIFS($O373:$AL373,$O370:$AL370,"&gt;30000",$O370:$AL370,"&lt;50001")</f>
        <v>61.789999999999985</v>
      </c>
      <c r="H370">
        <f>SUMIFS($O373:$AL373,$O370:$AL370,"&gt;60000",$O370:$AL370,"&lt;70001")</f>
        <v>0</v>
      </c>
      <c r="I370">
        <v>24</v>
      </c>
      <c r="J370">
        <v>4</v>
      </c>
      <c r="O370">
        <v>10001</v>
      </c>
      <c r="P370">
        <v>10004</v>
      </c>
      <c r="Q370">
        <v>30072</v>
      </c>
      <c r="R370">
        <v>30073</v>
      </c>
      <c r="S370">
        <v>30074</v>
      </c>
      <c r="T370">
        <v>30075</v>
      </c>
      <c r="U370">
        <v>30076</v>
      </c>
      <c r="V370">
        <v>30077</v>
      </c>
      <c r="W370">
        <v>30078</v>
      </c>
      <c r="X370">
        <v>30079</v>
      </c>
      <c r="Y370">
        <v>30080</v>
      </c>
      <c r="Z370">
        <v>30081</v>
      </c>
      <c r="AA370">
        <v>30082</v>
      </c>
      <c r="AB370">
        <v>30083</v>
      </c>
      <c r="AC370">
        <v>30084</v>
      </c>
      <c r="AD370">
        <v>30085</v>
      </c>
      <c r="AE370">
        <v>30086</v>
      </c>
      <c r="AF370">
        <v>30087</v>
      </c>
      <c r="AG370">
        <v>30088</v>
      </c>
      <c r="AH370">
        <v>30089</v>
      </c>
      <c r="AI370">
        <v>30090</v>
      </c>
      <c r="AJ370">
        <v>30091</v>
      </c>
      <c r="AK370">
        <v>30092</v>
      </c>
      <c r="AL370">
        <v>70001</v>
      </c>
    </row>
    <row r="371" spans="1:38" x14ac:dyDescent="0.2">
      <c r="B371" s="3" t="str">
        <f>A370&amp;"C"</f>
        <v>10074C</v>
      </c>
      <c r="O371">
        <v>1</v>
      </c>
      <c r="P371">
        <v>1</v>
      </c>
      <c r="Q371">
        <v>6.27</v>
      </c>
      <c r="R371">
        <v>2.8687</v>
      </c>
      <c r="S371">
        <v>0.46899999999999997</v>
      </c>
      <c r="T371">
        <v>2.8687</v>
      </c>
      <c r="U371">
        <v>0.67469999999999997</v>
      </c>
      <c r="V371">
        <v>2.8805999999999998</v>
      </c>
      <c r="W371">
        <v>0.67469999999999997</v>
      </c>
      <c r="X371">
        <v>0.02</v>
      </c>
      <c r="Y371">
        <v>0.8</v>
      </c>
      <c r="Z371">
        <v>0.22539999999999999</v>
      </c>
      <c r="AA371">
        <v>0.52539999999999998</v>
      </c>
      <c r="AB371">
        <v>2.9899999999999999E-2</v>
      </c>
      <c r="AC371">
        <v>0.86599999999999999</v>
      </c>
      <c r="AD371">
        <v>0.3165</v>
      </c>
      <c r="AE371">
        <v>2.24E-2</v>
      </c>
      <c r="AF371">
        <v>2.9899999999999999E-2</v>
      </c>
      <c r="AG371">
        <v>1</v>
      </c>
      <c r="AH371">
        <v>0.6986</v>
      </c>
      <c r="AI371">
        <v>4.3999999999999997E-2</v>
      </c>
      <c r="AJ371">
        <v>15.9672</v>
      </c>
      <c r="AK371">
        <v>0.4299</v>
      </c>
      <c r="AL371">
        <v>5</v>
      </c>
    </row>
    <row r="372" spans="1:38" x14ac:dyDescent="0.2">
      <c r="O372">
        <f>IF(O374&gt;10000,HLOOKUP(O374,N370:$O373,4,FALSE),IF(OR(AND(22500&lt;O370,O370&lt;25001),AND(50000&lt;O370,O370&lt;53501),AND(70000&lt;O370,O370&lt;72501)),$F370,IF(OR(AND(25001&lt;O370,O370&lt;27501),AND(53500&lt;O370,O370&lt;57001),AND(72500&lt;O370,O370&lt;75001)),$G370,IF(OR(AND(27500&lt;O370,O370&lt;30001),AND(57000&lt;O370,O370&lt;60001),AND(75000&lt;O370,O370&lt;77500)),$H370,VLOOKUP(O370,BDins,6,FALSE)))))</f>
        <v>12.64</v>
      </c>
      <c r="P372">
        <f>IF(P374&gt;10000,HLOOKUP(P374,O370:$O373,4,FALSE),IF(OR(AND(22500&lt;P370,P370&lt;25001),AND(50000&lt;P370,P370&lt;53501),AND(70000&lt;P370,P370&lt;72501)),$F370,IF(OR(AND(25001&lt;P370,P370&lt;27501),AND(53500&lt;P370,P370&lt;57001),AND(72500&lt;P370,P370&lt;75001)),$G370,IF(OR(AND(27500&lt;P370,P370&lt;30001),AND(57000&lt;P370,P370&lt;60001),AND(75000&lt;P370,P370&lt;77500)),$H370,VLOOKUP(P370,BDins,6,FALSE)))))</f>
        <v>17.59</v>
      </c>
      <c r="Q372">
        <f>IF(Q374&gt;10000,HLOOKUP(Q374,$O370:P373,4,FALSE),IF(OR(AND(22500&lt;Q370,Q370&lt;25001),AND(50000&lt;Q370,Q370&lt;53501),AND(70000&lt;Q370,Q370&lt;72501)),$F370,IF(OR(AND(25001&lt;Q370,Q370&lt;27501),AND(53500&lt;Q370,Q370&lt;57001),AND(72500&lt;Q370,Q370&lt;75001)),$G370,IF(OR(AND(27500&lt;Q370,Q370&lt;30001),AND(57000&lt;Q370,Q370&lt;60001),AND(75000&lt;Q370,Q370&lt;77500)),$H370,VLOOKUP(Q370,BDins,6,FALSE)))))</f>
        <v>2.2000000000000002</v>
      </c>
      <c r="R372">
        <f>IF(R374&gt;10000,HLOOKUP(R374,$O370:Q373,4,FALSE),IF(OR(AND(22500&lt;R370,R370&lt;25001),AND(50000&lt;R370,R370&lt;53501),AND(70000&lt;R370,R370&lt;72501)),$F370,IF(OR(AND(25001&lt;R370,R370&lt;27501),AND(53500&lt;R370,R370&lt;57001),AND(72500&lt;R370,R370&lt;75001)),$G370,IF(OR(AND(27500&lt;R370,R370&lt;30001),AND(57000&lt;R370,R370&lt;60001),AND(75000&lt;R370,R370&lt;77500)),$H370,VLOOKUP(R370,BDins,6,FALSE)))))</f>
        <v>1.2</v>
      </c>
      <c r="S372">
        <f>IF(S374&gt;10000,HLOOKUP(S374,$O370:R373,4,FALSE),IF(OR(AND(22500&lt;S370,S370&lt;25001),AND(50000&lt;S370,S370&lt;53501),AND(70000&lt;S370,S370&lt;72501)),$F370,IF(OR(AND(25001&lt;S370,S370&lt;27501),AND(53500&lt;S370,S370&lt;57001),AND(72500&lt;S370,S370&lt;75001)),$G370,IF(OR(AND(27500&lt;S370,S370&lt;30001),AND(57000&lt;S370,S370&lt;60001),AND(75000&lt;S370,S370&lt;77500)),$H370,VLOOKUP(S370,BDins,6,FALSE)))))</f>
        <v>1.42</v>
      </c>
      <c r="T372">
        <f>IF(T374&gt;10000,HLOOKUP(T374,$O370:S373,4,FALSE),IF(OR(AND(22500&lt;T370,T370&lt;25001),AND(50000&lt;T370,T370&lt;53501),AND(70000&lt;T370,T370&lt;72501)),$F370,IF(OR(AND(25001&lt;T370,T370&lt;27501),AND(53500&lt;T370,T370&lt;57001),AND(72500&lt;T370,T370&lt;75001)),$G370,IF(OR(AND(27500&lt;T370,T370&lt;30001),AND(57000&lt;T370,T370&lt;60001),AND(75000&lt;T370,T370&lt;77500)),$H370,VLOOKUP(T370,BDins,6,FALSE)))))</f>
        <v>0.5</v>
      </c>
      <c r="U372">
        <f>IF(U374&gt;10000,HLOOKUP(U374,$O370:T373,4,FALSE),IF(OR(AND(22500&lt;U370,U370&lt;25001),AND(50000&lt;U370,U370&lt;53501),AND(70000&lt;U370,U370&lt;72501)),$F370,IF(OR(AND(25001&lt;U370,U370&lt;27501),AND(53500&lt;U370,U370&lt;57001),AND(72500&lt;U370,U370&lt;75001)),$G370,IF(OR(AND(27500&lt;U370,U370&lt;30001),AND(57000&lt;U370,U370&lt;60001),AND(75000&lt;U370,U370&lt;77500)),$H370,VLOOKUP(U370,BDins,6,FALSE)))))</f>
        <v>0.7</v>
      </c>
      <c r="V372">
        <f>IF(V374&gt;10000,HLOOKUP(V374,$O370:U373,4,FALSE),IF(OR(AND(22500&lt;V370,V370&lt;25001),AND(50000&lt;V370,V370&lt;53501),AND(70000&lt;V370,V370&lt;72501)),$F370,IF(OR(AND(25001&lt;V370,V370&lt;27501),AND(53500&lt;V370,V370&lt;57001),AND(72500&lt;V370,V370&lt;75001)),$G370,IF(OR(AND(27500&lt;V370,V370&lt;30001),AND(57000&lt;V370,V370&lt;60001),AND(75000&lt;V370,V370&lt;77500)),$H370,VLOOKUP(V370,BDins,6,FALSE)))))</f>
        <v>1.3</v>
      </c>
      <c r="W372">
        <f>IF(W374&gt;10000,HLOOKUP(W374,$O370:V373,4,FALSE),IF(OR(AND(22500&lt;W370,W370&lt;25001),AND(50000&lt;W370,W370&lt;53501),AND(70000&lt;W370,W370&lt;72501)),$F370,IF(OR(AND(25001&lt;W370,W370&lt;27501),AND(53500&lt;W370,W370&lt;57001),AND(72500&lt;W370,W370&lt;75001)),$G370,IF(OR(AND(27500&lt;W370,W370&lt;30001),AND(57000&lt;W370,W370&lt;60001),AND(75000&lt;W370,W370&lt;77500)),$H370,VLOOKUP(W370,BDins,6,FALSE)))))</f>
        <v>1.6</v>
      </c>
      <c r="X372">
        <f>IF(X374&gt;10000,HLOOKUP(X374,$O370:W373,4,FALSE),IF(OR(AND(22500&lt;X370,X370&lt;25001),AND(50000&lt;X370,X370&lt;53501),AND(70000&lt;X370,X370&lt;72501)),$F370,IF(OR(AND(25001&lt;X370,X370&lt;27501),AND(53500&lt;X370,X370&lt;57001),AND(72500&lt;X370,X370&lt;75001)),$G370,IF(OR(AND(27500&lt;X370,X370&lt;30001),AND(57000&lt;X370,X370&lt;60001),AND(75000&lt;X370,X370&lt;77500)),$H370,VLOOKUP(X370,BDins,6,FALSE)))))</f>
        <v>90</v>
      </c>
      <c r="Y372">
        <f>IF(Y374&gt;10000,HLOOKUP(Y374,$O370:X373,4,FALSE),IF(OR(AND(22500&lt;Y370,Y370&lt;25001),AND(50000&lt;Y370,Y370&lt;53501),AND(70000&lt;Y370,Y370&lt;72501)),$F370,IF(OR(AND(25001&lt;Y370,Y370&lt;27501),AND(53500&lt;Y370,Y370&lt;57001),AND(72500&lt;Y370,Y370&lt;75001)),$G370,IF(OR(AND(27500&lt;Y370,Y370&lt;30001),AND(57000&lt;Y370,Y370&lt;60001),AND(75000&lt;Y370,Y370&lt;77500)),$H370,VLOOKUP(Y370,BDins,6,FALSE)))))</f>
        <v>0.3</v>
      </c>
      <c r="Z372">
        <f>IF(Z374&gt;10000,HLOOKUP(Z374,$O370:Y373,4,FALSE),IF(OR(AND(22500&lt;Z370,Z370&lt;25001),AND(50000&lt;Z370,Z370&lt;53501),AND(70000&lt;Z370,Z370&lt;72501)),$F370,IF(OR(AND(25001&lt;Z370,Z370&lt;27501),AND(53500&lt;Z370,Z370&lt;57001),AND(72500&lt;Z370,Z370&lt;75001)),$G370,IF(OR(AND(27500&lt;Z370,Z370&lt;30001),AND(57000&lt;Z370,Z370&lt;60001),AND(75000&lt;Z370,Z370&lt;77500)),$H370,VLOOKUP(Z370,BDins,6,FALSE)))))</f>
        <v>17.899999999999999</v>
      </c>
      <c r="AA372">
        <f>IF(AA374&gt;10000,HLOOKUP(AA374,$O370:Z373,4,FALSE),IF(OR(AND(22500&lt;AA370,AA370&lt;25001),AND(50000&lt;AA370,AA370&lt;53501),AND(70000&lt;AA370,AA370&lt;72501)),$F370,IF(OR(AND(25001&lt;AA370,AA370&lt;27501),AND(53500&lt;AA370,AA370&lt;57001),AND(72500&lt;AA370,AA370&lt;75001)),$G370,IF(OR(AND(27500&lt;AA370,AA370&lt;30001),AND(57000&lt;AA370,AA370&lt;60001),AND(75000&lt;AA370,AA370&lt;77500)),$H370,VLOOKUP(AA370,BDins,6,FALSE)))))</f>
        <v>21.9</v>
      </c>
      <c r="AB372">
        <f>IF(AB374&gt;10000,HLOOKUP(AB374,$O370:AA373,4,FALSE),IF(OR(AND(22500&lt;AB370,AB370&lt;25001),AND(50000&lt;AB370,AB370&lt;53501),AND(70000&lt;AB370,AB370&lt;72501)),$F370,IF(OR(AND(25001&lt;AB370,AB370&lt;27501),AND(53500&lt;AB370,AB370&lt;57001),AND(72500&lt;AB370,AB370&lt;75001)),$G370,IF(OR(AND(27500&lt;AB370,AB370&lt;30001),AND(57000&lt;AB370,AB370&lt;60001),AND(75000&lt;AB370,AB370&lt;77500)),$H370,VLOOKUP(AB370,BDins,6,FALSE)))))</f>
        <v>21.9</v>
      </c>
      <c r="AC372">
        <f>IF(AC374&gt;10000,HLOOKUP(AC374,$O370:AB373,4,FALSE),IF(OR(AND(22500&lt;AC370,AC370&lt;25001),AND(50000&lt;AC370,AC370&lt;53501),AND(70000&lt;AC370,AC370&lt;72501)),$F370,IF(OR(AND(25001&lt;AC370,AC370&lt;27501),AND(53500&lt;AC370,AC370&lt;57001),AND(72500&lt;AC370,AC370&lt;75001)),$G370,IF(OR(AND(27500&lt;AC370,AC370&lt;30001),AND(57000&lt;AC370,AC370&lt;60001),AND(75000&lt;AC370,AC370&lt;77500)),$H370,VLOOKUP(AC370,BDins,6,FALSE)))))</f>
        <v>0.5</v>
      </c>
      <c r="AD372">
        <f>IF(AD374&gt;10000,HLOOKUP(AD374,$O370:AC373,4,FALSE),IF(OR(AND(22500&lt;AD370,AD370&lt;25001),AND(50000&lt;AD370,AD370&lt;53501),AND(70000&lt;AD370,AD370&lt;72501)),$F370,IF(OR(AND(25001&lt;AD370,AD370&lt;27501),AND(53500&lt;AD370,AD370&lt;57001),AND(72500&lt;AD370,AD370&lt;75001)),$G370,IF(OR(AND(27500&lt;AD370,AD370&lt;30001),AND(57000&lt;AD370,AD370&lt;60001),AND(75000&lt;AD370,AD370&lt;77500)),$H370,VLOOKUP(AD370,BDins,6,FALSE)))))</f>
        <v>0.5</v>
      </c>
      <c r="AE372">
        <f>IF(AE374&gt;10000,HLOOKUP(AE374,$O370:AD373,4,FALSE),IF(OR(AND(22500&lt;AE370,AE370&lt;25001),AND(50000&lt;AE370,AE370&lt;53501),AND(70000&lt;AE370,AE370&lt;72501)),$F370,IF(OR(AND(25001&lt;AE370,AE370&lt;27501),AND(53500&lt;AE370,AE370&lt;57001),AND(72500&lt;AE370,AE370&lt;75001)),$G370,IF(OR(AND(27500&lt;AE370,AE370&lt;30001),AND(57000&lt;AE370,AE370&lt;60001),AND(75000&lt;AE370,AE370&lt;77500)),$H370,VLOOKUP(AE370,BDins,6,FALSE)))))</f>
        <v>0.5</v>
      </c>
      <c r="AF372">
        <f>IF(AF374&gt;10000,HLOOKUP(AF374,$O370:AE373,4,FALSE),IF(OR(AND(22500&lt;AF370,AF370&lt;25001),AND(50000&lt;AF370,AF370&lt;53501),AND(70000&lt;AF370,AF370&lt;72501)),$F370,IF(OR(AND(25001&lt;AF370,AF370&lt;27501),AND(53500&lt;AF370,AF370&lt;57001),AND(72500&lt;AF370,AF370&lt;75001)),$G370,IF(OR(AND(27500&lt;AF370,AF370&lt;30001),AND(57000&lt;AF370,AF370&lt;60001),AND(75000&lt;AF370,AF370&lt;77500)),$H370,VLOOKUP(AF370,BDins,6,FALSE)))))</f>
        <v>1</v>
      </c>
      <c r="AG372">
        <f>IF(AG374&gt;10000,HLOOKUP(AG374,$O370:AF373,4,FALSE),IF(OR(AND(22500&lt;AG370,AG370&lt;25001),AND(50000&lt;AG370,AG370&lt;53501),AND(70000&lt;AG370,AG370&lt;72501)),$F370,IF(OR(AND(25001&lt;AG370,AG370&lt;27501),AND(53500&lt;AG370,AG370&lt;57001),AND(72500&lt;AG370,AG370&lt;75001)),$G370,IF(OR(AND(27500&lt;AG370,AG370&lt;30001),AND(57000&lt;AG370,AG370&lt;60001),AND(75000&lt;AG370,AG370&lt;77500)),$H370,VLOOKUP(AG370,BDins,6,FALSE)))))</f>
        <v>2.1</v>
      </c>
      <c r="AH372">
        <f>IF(AH374&gt;10000,HLOOKUP(AH374,$O370:AG373,4,FALSE),IF(OR(AND(22500&lt;AH370,AH370&lt;25001),AND(50000&lt;AH370,AH370&lt;53501),AND(70000&lt;AH370,AH370&lt;72501)),$F370,IF(OR(AND(25001&lt;AH370,AH370&lt;27501),AND(53500&lt;AH370,AH370&lt;57001),AND(72500&lt;AH370,AH370&lt;75001)),$G370,IF(OR(AND(27500&lt;AH370,AH370&lt;30001),AND(57000&lt;AH370,AH370&lt;60001),AND(75000&lt;AH370,AH370&lt;77500)),$H370,VLOOKUP(AH370,BDins,6,FALSE)))))</f>
        <v>2</v>
      </c>
      <c r="AI372">
        <f>IF(AI374&gt;10000,HLOOKUP(AI374,$O370:AH373,4,FALSE),IF(OR(AND(22500&lt;AI370,AI370&lt;25001),AND(50000&lt;AI370,AI370&lt;53501),AND(70000&lt;AI370,AI370&lt;72501)),$F370,IF(OR(AND(25001&lt;AI370,AI370&lt;27501),AND(53500&lt;AI370,AI370&lt;57001),AND(72500&lt;AI370,AI370&lt;75001)),$G370,IF(OR(AND(27500&lt;AI370,AI370&lt;30001),AND(57000&lt;AI370,AI370&lt;60001),AND(75000&lt;AI370,AI370&lt;77500)),$H370,VLOOKUP(AI370,BDins,6,FALSE)))))</f>
        <v>4</v>
      </c>
      <c r="AJ372">
        <f>IF(AJ374&gt;10000,HLOOKUP(AJ374,$O370:AI373,4,FALSE),IF(OR(AND(22500&lt;AJ370,AJ370&lt;25001),AND(50000&lt;AJ370,AJ370&lt;53501),AND(70000&lt;AJ370,AJ370&lt;72501)),$F370,IF(OR(AND(25001&lt;AJ370,AJ370&lt;27501),AND(53500&lt;AJ370,AJ370&lt;57001),AND(72500&lt;AJ370,AJ370&lt;75001)),$G370,IF(OR(AND(27500&lt;AJ370,AJ370&lt;30001),AND(57000&lt;AJ370,AJ370&lt;60001),AND(75000&lt;AJ370,AJ370&lt;77500)),$H370,VLOOKUP(AJ370,BDins,6,FALSE)))))</f>
        <v>0.86</v>
      </c>
      <c r="AK372">
        <f>IF(AK374&gt;10000,HLOOKUP(AK374,$O370:AJ373,4,FALSE),IF(OR(AND(22500&lt;AK370,AK370&lt;25001),AND(50000&lt;AK370,AK370&lt;53501),AND(70000&lt;AK370,AK370&lt;72501)),$F370,IF(OR(AND(25001&lt;AK370,AK370&lt;27501),AND(53500&lt;AK370,AK370&lt;57001),AND(72500&lt;AK370,AK370&lt;75001)),$G370,IF(OR(AND(27500&lt;AK370,AK370&lt;30001),AND(57000&lt;AK370,AK370&lt;60001),AND(75000&lt;AK370,AK370&lt;77500)),$H370,VLOOKUP(AK370,BDins,6,FALSE)))))</f>
        <v>2.1</v>
      </c>
      <c r="AL372">
        <f>IF(AL374&gt;10000,HLOOKUP(AL374,$O370:AK373,4,FALSE),IF(OR(AND(22500&lt;AL370,AL370&lt;25001),AND(50000&lt;AL370,AL370&lt;53501),AND(70000&lt;AL370,AL370&lt;72501)),$F370,IF(OR(AND(25001&lt;AL370,AL370&lt;27501),AND(53500&lt;AL370,AL370&lt;57001),AND(72500&lt;AL370,AL370&lt;75001)),$G370,IF(OR(AND(27500&lt;AL370,AL370&lt;30001),AND(57000&lt;AL370,AL370&lt;60001),AND(75000&lt;AL370,AL370&lt;77500)),$H370,VLOOKUP(AL370,BDins,6,FALSE)))))</f>
        <v>60.46</v>
      </c>
    </row>
    <row r="373" spans="1:38" x14ac:dyDescent="0.2">
      <c r="O373">
        <f t="shared" ref="O373:AL373" si="41">IF($K370&gt;0,ROUND(O371*$E370/100,DpCU),IF(O374&gt;10000,ROUND(HLOOKUP(O374,$O370:$AL373,4,FALSE)/100*O371,DpCU),IF(OR(O370&lt;20001,O370&gt;95000,AND(60000&lt;O370,O370&lt;70001)),ROUND(ROUND(O371*JL/$C370,DcCU)*O372,DpCU),IF(OR(AND(20000&lt;O370,O370&lt;22501),AND(30000&lt;O370,O370&lt;50001),77500&lt;O370),ROUND(O372*O371,DpCU),IF(OR(AND(22500&lt;O370,O370&lt;25001),AND(50000&lt;O370,O370&lt;53501),AND(70000&lt;O370,O370&lt;72501)),ROUND($F370/100*O371,DpCU),IF(OR(AND(25000&lt;O370,O370&lt;27501),AND(53500&lt;O370,O370&lt;57001),AND(72500&lt;O370,O370&lt;75001)),ROUND($G370/100*O371,DpCU),ROUND($H370/100*O371,DpCU)))))))</f>
        <v>25.28</v>
      </c>
      <c r="P373">
        <f t="shared" si="41"/>
        <v>35.18</v>
      </c>
      <c r="Q373">
        <f t="shared" si="41"/>
        <v>13.79</v>
      </c>
      <c r="R373">
        <f t="shared" si="41"/>
        <v>3.44</v>
      </c>
      <c r="S373">
        <f t="shared" si="41"/>
        <v>0.67</v>
      </c>
      <c r="T373">
        <f t="shared" si="41"/>
        <v>1.43</v>
      </c>
      <c r="U373">
        <f t="shared" si="41"/>
        <v>0.47</v>
      </c>
      <c r="V373">
        <f t="shared" si="41"/>
        <v>3.74</v>
      </c>
      <c r="W373">
        <f t="shared" si="41"/>
        <v>1.08</v>
      </c>
      <c r="X373">
        <f t="shared" si="41"/>
        <v>1.8</v>
      </c>
      <c r="Y373">
        <f t="shared" si="41"/>
        <v>0.24</v>
      </c>
      <c r="Z373">
        <f t="shared" si="41"/>
        <v>4.03</v>
      </c>
      <c r="AA373">
        <f t="shared" si="41"/>
        <v>11.51</v>
      </c>
      <c r="AB373">
        <f t="shared" si="41"/>
        <v>0.65</v>
      </c>
      <c r="AC373">
        <f t="shared" si="41"/>
        <v>0.43</v>
      </c>
      <c r="AD373">
        <f t="shared" si="41"/>
        <v>0.16</v>
      </c>
      <c r="AE373">
        <f t="shared" si="41"/>
        <v>0.01</v>
      </c>
      <c r="AF373">
        <f t="shared" si="41"/>
        <v>0.03</v>
      </c>
      <c r="AG373">
        <f t="shared" si="41"/>
        <v>2.1</v>
      </c>
      <c r="AH373">
        <f t="shared" si="41"/>
        <v>1.4</v>
      </c>
      <c r="AI373">
        <f t="shared" si="41"/>
        <v>0.18</v>
      </c>
      <c r="AJ373">
        <f t="shared" si="41"/>
        <v>13.73</v>
      </c>
      <c r="AK373">
        <f t="shared" si="41"/>
        <v>0.9</v>
      </c>
      <c r="AL373">
        <f t="shared" si="41"/>
        <v>3.02</v>
      </c>
    </row>
    <row r="374" spans="1:38" x14ac:dyDescent="0.2">
      <c r="B374" s="3" t="str">
        <f>A370&amp;"r"</f>
        <v>10074r</v>
      </c>
    </row>
    <row r="375" spans="1:38" x14ac:dyDescent="0.2">
      <c r="A375">
        <v>10075</v>
      </c>
      <c r="B375" s="3" t="s">
        <v>503</v>
      </c>
      <c r="C375" s="1">
        <f>ROUND(J375*JL*Frto/8,4)</f>
        <v>6</v>
      </c>
      <c r="D375" t="s">
        <v>478</v>
      </c>
      <c r="E375">
        <f>SUM($O378:$AG378)</f>
        <v>108.96</v>
      </c>
      <c r="F375">
        <f>SUMIF($O375:$AG375,"&lt;22501",$O378:$AG378)</f>
        <v>40.299999999999997</v>
      </c>
      <c r="G375">
        <f>SUMIFS($O378:$AG378,$O375:$AG375,"&gt;30000",$O375:$AG375,"&lt;50001")</f>
        <v>66.640000000000015</v>
      </c>
      <c r="H375">
        <f>SUMIFS($O378:$AG378,$O375:$AG375,"&gt;60000",$O375:$AG375,"&lt;70001")</f>
        <v>0</v>
      </c>
      <c r="I375">
        <v>19</v>
      </c>
      <c r="J375">
        <v>6</v>
      </c>
      <c r="O375">
        <v>10001</v>
      </c>
      <c r="P375">
        <v>10004</v>
      </c>
      <c r="Q375">
        <v>30072</v>
      </c>
      <c r="R375">
        <v>30073</v>
      </c>
      <c r="S375">
        <v>30074</v>
      </c>
      <c r="T375">
        <v>30075</v>
      </c>
      <c r="U375">
        <v>30076</v>
      </c>
      <c r="V375">
        <v>30077</v>
      </c>
      <c r="W375">
        <v>30078</v>
      </c>
      <c r="X375">
        <v>30079</v>
      </c>
      <c r="Y375">
        <v>30080</v>
      </c>
      <c r="Z375">
        <v>30089</v>
      </c>
      <c r="AA375">
        <v>30091</v>
      </c>
      <c r="AB375">
        <v>30092</v>
      </c>
      <c r="AC375">
        <v>30093</v>
      </c>
      <c r="AD375">
        <v>30094</v>
      </c>
      <c r="AE375">
        <v>30095</v>
      </c>
      <c r="AF375">
        <v>30096</v>
      </c>
      <c r="AG375">
        <v>70001</v>
      </c>
    </row>
    <row r="376" spans="1:38" x14ac:dyDescent="0.2">
      <c r="B376" s="3" t="str">
        <f>A375&amp;"C"</f>
        <v>10075C</v>
      </c>
      <c r="O376">
        <v>1</v>
      </c>
      <c r="P376">
        <v>1</v>
      </c>
      <c r="Q376">
        <v>4.2858999999999998</v>
      </c>
      <c r="R376">
        <v>1.8189</v>
      </c>
      <c r="S376">
        <v>7.7100000000000002E-2</v>
      </c>
      <c r="T376">
        <v>1.8613</v>
      </c>
      <c r="U376">
        <v>0.1658</v>
      </c>
      <c r="V376">
        <v>1.8613</v>
      </c>
      <c r="W376">
        <v>0.1658</v>
      </c>
      <c r="X376">
        <v>4.0000000000000001E-3</v>
      </c>
      <c r="Y376">
        <v>0.8</v>
      </c>
      <c r="Z376">
        <v>0.9345</v>
      </c>
      <c r="AA376">
        <v>4.1619000000000002</v>
      </c>
      <c r="AB376">
        <v>10.231299999999999</v>
      </c>
      <c r="AC376">
        <v>1</v>
      </c>
      <c r="AD376">
        <v>1</v>
      </c>
      <c r="AE376">
        <v>6.5600000000000006E-2</v>
      </c>
      <c r="AF376">
        <v>6.5600000000000006E-2</v>
      </c>
      <c r="AG376">
        <v>5</v>
      </c>
    </row>
    <row r="377" spans="1:38" x14ac:dyDescent="0.2">
      <c r="O377">
        <f>IF(O379&gt;10000,HLOOKUP(O379,N375:$O378,4,FALSE),IF(OR(AND(22500&lt;O375,O375&lt;25001),AND(50000&lt;O375,O375&lt;53501),AND(70000&lt;O375,O375&lt;72501)),$F375,IF(OR(AND(25001&lt;O375,O375&lt;27501),AND(53500&lt;O375,O375&lt;57001),AND(72500&lt;O375,O375&lt;75001)),$G375,IF(OR(AND(27500&lt;O375,O375&lt;30001),AND(57000&lt;O375,O375&lt;60001),AND(75000&lt;O375,O375&lt;77500)),$H375,VLOOKUP(O375,BDins,6,FALSE)))))</f>
        <v>12.64</v>
      </c>
      <c r="P377">
        <f>IF(P379&gt;10000,HLOOKUP(P379,O375:$O378,4,FALSE),IF(OR(AND(22500&lt;P375,P375&lt;25001),AND(50000&lt;P375,P375&lt;53501),AND(70000&lt;P375,P375&lt;72501)),$F375,IF(OR(AND(25001&lt;P375,P375&lt;27501),AND(53500&lt;P375,P375&lt;57001),AND(72500&lt;P375,P375&lt;75001)),$G375,IF(OR(AND(27500&lt;P375,P375&lt;30001),AND(57000&lt;P375,P375&lt;60001),AND(75000&lt;P375,P375&lt;77500)),$H375,VLOOKUP(P375,BDins,6,FALSE)))))</f>
        <v>17.59</v>
      </c>
      <c r="Q377">
        <f>IF(Q379&gt;10000,HLOOKUP(Q379,$O375:P378,4,FALSE),IF(OR(AND(22500&lt;Q375,Q375&lt;25001),AND(50000&lt;Q375,Q375&lt;53501),AND(70000&lt;Q375,Q375&lt;72501)),$F375,IF(OR(AND(25001&lt;Q375,Q375&lt;27501),AND(53500&lt;Q375,Q375&lt;57001),AND(72500&lt;Q375,Q375&lt;75001)),$G375,IF(OR(AND(27500&lt;Q375,Q375&lt;30001),AND(57000&lt;Q375,Q375&lt;60001),AND(75000&lt;Q375,Q375&lt;77500)),$H375,VLOOKUP(Q375,BDins,6,FALSE)))))</f>
        <v>2.2000000000000002</v>
      </c>
      <c r="R377">
        <f>IF(R379&gt;10000,HLOOKUP(R379,$O375:Q378,4,FALSE),IF(OR(AND(22500&lt;R375,R375&lt;25001),AND(50000&lt;R375,R375&lt;53501),AND(70000&lt;R375,R375&lt;72501)),$F375,IF(OR(AND(25001&lt;R375,R375&lt;27501),AND(53500&lt;R375,R375&lt;57001),AND(72500&lt;R375,R375&lt;75001)),$G375,IF(OR(AND(27500&lt;R375,R375&lt;30001),AND(57000&lt;R375,R375&lt;60001),AND(75000&lt;R375,R375&lt;77500)),$H375,VLOOKUP(R375,BDins,6,FALSE)))))</f>
        <v>1.2</v>
      </c>
      <c r="S377">
        <f>IF(S379&gt;10000,HLOOKUP(S379,$O375:R378,4,FALSE),IF(OR(AND(22500&lt;S375,S375&lt;25001),AND(50000&lt;S375,S375&lt;53501),AND(70000&lt;S375,S375&lt;72501)),$F375,IF(OR(AND(25001&lt;S375,S375&lt;27501),AND(53500&lt;S375,S375&lt;57001),AND(72500&lt;S375,S375&lt;75001)),$G375,IF(OR(AND(27500&lt;S375,S375&lt;30001),AND(57000&lt;S375,S375&lt;60001),AND(75000&lt;S375,S375&lt;77500)),$H375,VLOOKUP(S375,BDins,6,FALSE)))))</f>
        <v>1.42</v>
      </c>
      <c r="T377">
        <f>IF(T379&gt;10000,HLOOKUP(T379,$O375:S378,4,FALSE),IF(OR(AND(22500&lt;T375,T375&lt;25001),AND(50000&lt;T375,T375&lt;53501),AND(70000&lt;T375,T375&lt;72501)),$F375,IF(OR(AND(25001&lt;T375,T375&lt;27501),AND(53500&lt;T375,T375&lt;57001),AND(72500&lt;T375,T375&lt;75001)),$G375,IF(OR(AND(27500&lt;T375,T375&lt;30001),AND(57000&lt;T375,T375&lt;60001),AND(75000&lt;T375,T375&lt;77500)),$H375,VLOOKUP(T375,BDins,6,FALSE)))))</f>
        <v>0.5</v>
      </c>
      <c r="U377">
        <f>IF(U379&gt;10000,HLOOKUP(U379,$O375:T378,4,FALSE),IF(OR(AND(22500&lt;U375,U375&lt;25001),AND(50000&lt;U375,U375&lt;53501),AND(70000&lt;U375,U375&lt;72501)),$F375,IF(OR(AND(25001&lt;U375,U375&lt;27501),AND(53500&lt;U375,U375&lt;57001),AND(72500&lt;U375,U375&lt;75001)),$G375,IF(OR(AND(27500&lt;U375,U375&lt;30001),AND(57000&lt;U375,U375&lt;60001),AND(75000&lt;U375,U375&lt;77500)),$H375,VLOOKUP(U375,BDins,6,FALSE)))))</f>
        <v>0.7</v>
      </c>
      <c r="V377">
        <f>IF(V379&gt;10000,HLOOKUP(V379,$O375:U378,4,FALSE),IF(OR(AND(22500&lt;V375,V375&lt;25001),AND(50000&lt;V375,V375&lt;53501),AND(70000&lt;V375,V375&lt;72501)),$F375,IF(OR(AND(25001&lt;V375,V375&lt;27501),AND(53500&lt;V375,V375&lt;57001),AND(72500&lt;V375,V375&lt;75001)),$G375,IF(OR(AND(27500&lt;V375,V375&lt;30001),AND(57000&lt;V375,V375&lt;60001),AND(75000&lt;V375,V375&lt;77500)),$H375,VLOOKUP(V375,BDins,6,FALSE)))))</f>
        <v>1.3</v>
      </c>
      <c r="W377">
        <f>IF(W379&gt;10000,HLOOKUP(W379,$O375:V378,4,FALSE),IF(OR(AND(22500&lt;W375,W375&lt;25001),AND(50000&lt;W375,W375&lt;53501),AND(70000&lt;W375,W375&lt;72501)),$F375,IF(OR(AND(25001&lt;W375,W375&lt;27501),AND(53500&lt;W375,W375&lt;57001),AND(72500&lt;W375,W375&lt;75001)),$G375,IF(OR(AND(27500&lt;W375,W375&lt;30001),AND(57000&lt;W375,W375&lt;60001),AND(75000&lt;W375,W375&lt;77500)),$H375,VLOOKUP(W375,BDins,6,FALSE)))))</f>
        <v>1.6</v>
      </c>
      <c r="X377">
        <f>IF(X379&gt;10000,HLOOKUP(X379,$O375:W378,4,FALSE),IF(OR(AND(22500&lt;X375,X375&lt;25001),AND(50000&lt;X375,X375&lt;53501),AND(70000&lt;X375,X375&lt;72501)),$F375,IF(OR(AND(25001&lt;X375,X375&lt;27501),AND(53500&lt;X375,X375&lt;57001),AND(72500&lt;X375,X375&lt;75001)),$G375,IF(OR(AND(27500&lt;X375,X375&lt;30001),AND(57000&lt;X375,X375&lt;60001),AND(75000&lt;X375,X375&lt;77500)),$H375,VLOOKUP(X375,BDins,6,FALSE)))))</f>
        <v>90</v>
      </c>
      <c r="Y377">
        <f>IF(Y379&gt;10000,HLOOKUP(Y379,$O375:X378,4,FALSE),IF(OR(AND(22500&lt;Y375,Y375&lt;25001),AND(50000&lt;Y375,Y375&lt;53501),AND(70000&lt;Y375,Y375&lt;72501)),$F375,IF(OR(AND(25001&lt;Y375,Y375&lt;27501),AND(53500&lt;Y375,Y375&lt;57001),AND(72500&lt;Y375,Y375&lt;75001)),$G375,IF(OR(AND(27500&lt;Y375,Y375&lt;30001),AND(57000&lt;Y375,Y375&lt;60001),AND(75000&lt;Y375,Y375&lt;77500)),$H375,VLOOKUP(Y375,BDins,6,FALSE)))))</f>
        <v>0.3</v>
      </c>
      <c r="Z377">
        <f>IF(Z379&gt;10000,HLOOKUP(Z379,$O375:Y378,4,FALSE),IF(OR(AND(22500&lt;Z375,Z375&lt;25001),AND(50000&lt;Z375,Z375&lt;53501),AND(70000&lt;Z375,Z375&lt;72501)),$F375,IF(OR(AND(25001&lt;Z375,Z375&lt;27501),AND(53500&lt;Z375,Z375&lt;57001),AND(72500&lt;Z375,Z375&lt;75001)),$G375,IF(OR(AND(27500&lt;Z375,Z375&lt;30001),AND(57000&lt;Z375,Z375&lt;60001),AND(75000&lt;Z375,Z375&lt;77500)),$H375,VLOOKUP(Z375,BDins,6,FALSE)))))</f>
        <v>2</v>
      </c>
      <c r="AA377">
        <f>IF(AA379&gt;10000,HLOOKUP(AA379,$O375:Z378,4,FALSE),IF(OR(AND(22500&lt;AA375,AA375&lt;25001),AND(50000&lt;AA375,AA375&lt;53501),AND(70000&lt;AA375,AA375&lt;72501)),$F375,IF(OR(AND(25001&lt;AA375,AA375&lt;27501),AND(53500&lt;AA375,AA375&lt;57001),AND(72500&lt;AA375,AA375&lt;75001)),$G375,IF(OR(AND(27500&lt;AA375,AA375&lt;30001),AND(57000&lt;AA375,AA375&lt;60001),AND(75000&lt;AA375,AA375&lt;77500)),$H375,VLOOKUP(AA375,BDins,6,FALSE)))))</f>
        <v>0.86</v>
      </c>
      <c r="AB377">
        <f>IF(AB379&gt;10000,HLOOKUP(AB379,$O375:AA378,4,FALSE),IF(OR(AND(22500&lt;AB375,AB375&lt;25001),AND(50000&lt;AB375,AB375&lt;53501),AND(70000&lt;AB375,AB375&lt;72501)),$F375,IF(OR(AND(25001&lt;AB375,AB375&lt;27501),AND(53500&lt;AB375,AB375&lt;57001),AND(72500&lt;AB375,AB375&lt;75001)),$G375,IF(OR(AND(27500&lt;AB375,AB375&lt;30001),AND(57000&lt;AB375,AB375&lt;60001),AND(75000&lt;AB375,AB375&lt;77500)),$H375,VLOOKUP(AB375,BDins,6,FALSE)))))</f>
        <v>2.1</v>
      </c>
      <c r="AC377">
        <f>IF(AC379&gt;10000,HLOOKUP(AC379,$O375:AB378,4,FALSE),IF(OR(AND(22500&lt;AC375,AC375&lt;25001),AND(50000&lt;AC375,AC375&lt;53501),AND(70000&lt;AC375,AC375&lt;72501)),$F375,IF(OR(AND(25001&lt;AC375,AC375&lt;27501),AND(53500&lt;AC375,AC375&lt;57001),AND(72500&lt;AC375,AC375&lt;75001)),$G375,IF(OR(AND(27500&lt;AC375,AC375&lt;30001),AND(57000&lt;AC375,AC375&lt;60001),AND(75000&lt;AC375,AC375&lt;77500)),$H375,VLOOKUP(AC375,BDins,6,FALSE)))))</f>
        <v>21.9</v>
      </c>
      <c r="AD377">
        <f>IF(AD379&gt;10000,HLOOKUP(AD379,$O375:AC378,4,FALSE),IF(OR(AND(22500&lt;AD375,AD375&lt;25001),AND(50000&lt;AD375,AD375&lt;53501),AND(70000&lt;AD375,AD375&lt;72501)),$F375,IF(OR(AND(25001&lt;AD375,AD375&lt;27501),AND(53500&lt;AD375,AD375&lt;57001),AND(72500&lt;AD375,AD375&lt;75001)),$G375,IF(OR(AND(27500&lt;AD375,AD375&lt;30001),AND(57000&lt;AD375,AD375&lt;60001),AND(75000&lt;AD375,AD375&lt;77500)),$H375,VLOOKUP(AD375,BDins,6,FALSE)))))</f>
        <v>0.5</v>
      </c>
      <c r="AE377">
        <f>IF(AE379&gt;10000,HLOOKUP(AE379,$O375:AD378,4,FALSE),IF(OR(AND(22500&lt;AE375,AE375&lt;25001),AND(50000&lt;AE375,AE375&lt;53501),AND(70000&lt;AE375,AE375&lt;72501)),$F375,IF(OR(AND(25001&lt;AE375,AE375&lt;27501),AND(53500&lt;AE375,AE375&lt;57001),AND(72500&lt;AE375,AE375&lt;75001)),$G375,IF(OR(AND(27500&lt;AE375,AE375&lt;30001),AND(57000&lt;AE375,AE375&lt;60001),AND(75000&lt;AE375,AE375&lt;77500)),$H375,VLOOKUP(AE375,BDins,6,FALSE)))))</f>
        <v>15</v>
      </c>
      <c r="AF377">
        <f>IF(AF379&gt;10000,HLOOKUP(AF379,$O375:AE378,4,FALSE),IF(OR(AND(22500&lt;AF375,AF375&lt;25001),AND(50000&lt;AF375,AF375&lt;53501),AND(70000&lt;AF375,AF375&lt;72501)),$F375,IF(OR(AND(25001&lt;AF375,AF375&lt;27501),AND(53500&lt;AF375,AF375&lt;57001),AND(72500&lt;AF375,AF375&lt;75001)),$G375,IF(OR(AND(27500&lt;AF375,AF375&lt;30001),AND(57000&lt;AF375,AF375&lt;60001),AND(75000&lt;AF375,AF375&lt;77500)),$H375,VLOOKUP(AF375,BDins,6,FALSE)))))</f>
        <v>4</v>
      </c>
      <c r="AG377">
        <f>IF(AG379&gt;10000,HLOOKUP(AG379,$O375:AF378,4,FALSE),IF(OR(AND(22500&lt;AG375,AG375&lt;25001),AND(50000&lt;AG375,AG375&lt;53501),AND(70000&lt;AG375,AG375&lt;72501)),$F375,IF(OR(AND(25001&lt;AG375,AG375&lt;27501),AND(53500&lt;AG375,AG375&lt;57001),AND(72500&lt;AG375,AG375&lt;75001)),$G375,IF(OR(AND(27500&lt;AG375,AG375&lt;30001),AND(57000&lt;AG375,AG375&lt;60001),AND(75000&lt;AG375,AG375&lt;77500)),$H375,VLOOKUP(AG375,BDins,6,FALSE)))))</f>
        <v>40.299999999999997</v>
      </c>
    </row>
    <row r="378" spans="1:38" x14ac:dyDescent="0.2">
      <c r="O378">
        <f t="shared" ref="O378:AG378" si="42">IF($K375&gt;0,ROUND(O376*$E375/100,DpCU),IF(O379&gt;10000,ROUND(HLOOKUP(O379,$O375:$AG378,4,FALSE)/100*O376,DpCU),IF(OR(O375&lt;20001,O375&gt;95000,AND(60000&lt;O375,O375&lt;70001)),ROUND(ROUND(O376*JL/$C375,DcCU)*O377,DpCU),IF(OR(AND(20000&lt;O375,O375&lt;22501),AND(30000&lt;O375,O375&lt;50001),77500&lt;O375),ROUND(O377*O376,DpCU),IF(OR(AND(22500&lt;O375,O375&lt;25001),AND(50000&lt;O375,O375&lt;53501),AND(70000&lt;O375,O375&lt;72501)),ROUND($F375/100*O376,DpCU),IF(OR(AND(25000&lt;O375,O375&lt;27501),AND(53500&lt;O375,O375&lt;57001),AND(72500&lt;O375,O375&lt;75001)),ROUND($G375/100*O376,DpCU),ROUND($H375/100*O376,DpCU)))))))</f>
        <v>16.850000000000001</v>
      </c>
      <c r="P378">
        <f t="shared" si="42"/>
        <v>23.45</v>
      </c>
      <c r="Q378">
        <f t="shared" si="42"/>
        <v>9.43</v>
      </c>
      <c r="R378">
        <f t="shared" si="42"/>
        <v>2.1800000000000002</v>
      </c>
      <c r="S378">
        <f t="shared" si="42"/>
        <v>0.11</v>
      </c>
      <c r="T378">
        <f t="shared" si="42"/>
        <v>0.93</v>
      </c>
      <c r="U378">
        <f t="shared" si="42"/>
        <v>0.12</v>
      </c>
      <c r="V378">
        <f t="shared" si="42"/>
        <v>2.42</v>
      </c>
      <c r="W378">
        <f t="shared" si="42"/>
        <v>0.27</v>
      </c>
      <c r="X378">
        <f t="shared" si="42"/>
        <v>0.36</v>
      </c>
      <c r="Y378">
        <f t="shared" si="42"/>
        <v>0.24</v>
      </c>
      <c r="Z378">
        <f t="shared" si="42"/>
        <v>1.87</v>
      </c>
      <c r="AA378">
        <f t="shared" si="42"/>
        <v>3.58</v>
      </c>
      <c r="AB378">
        <f t="shared" si="42"/>
        <v>21.49</v>
      </c>
      <c r="AC378">
        <f t="shared" si="42"/>
        <v>21.9</v>
      </c>
      <c r="AD378">
        <f t="shared" si="42"/>
        <v>0.5</v>
      </c>
      <c r="AE378">
        <f t="shared" si="42"/>
        <v>0.98</v>
      </c>
      <c r="AF378">
        <f t="shared" si="42"/>
        <v>0.26</v>
      </c>
      <c r="AG378">
        <f t="shared" si="42"/>
        <v>2.02</v>
      </c>
    </row>
    <row r="379" spans="1:38" x14ac:dyDescent="0.2">
      <c r="B379" s="3" t="str">
        <f>A375&amp;"r"</f>
        <v>10075r</v>
      </c>
    </row>
    <row r="380" spans="1:38" x14ac:dyDescent="0.2">
      <c r="A380">
        <v>10076</v>
      </c>
      <c r="B380" s="3" t="s">
        <v>509</v>
      </c>
      <c r="C380" s="1">
        <f>ROUND(J380*JL*Frto/8,4)</f>
        <v>6</v>
      </c>
      <c r="D380" t="s">
        <v>478</v>
      </c>
      <c r="E380">
        <f>SUM($O383:$AG383)</f>
        <v>130.86000000000001</v>
      </c>
      <c r="F380">
        <f>SUMIF($O380:$AG380,"&lt;22501",$O383:$AG383)</f>
        <v>40.299999999999997</v>
      </c>
      <c r="G380">
        <f>SUMIFS($O383:$AG383,$O380:$AG380,"&gt;30000",$O380:$AG380,"&lt;50001")</f>
        <v>88.539999999999992</v>
      </c>
      <c r="H380">
        <f>SUMIFS($O383:$AG383,$O380:$AG380,"&gt;60000",$O380:$AG380,"&lt;70001")</f>
        <v>0</v>
      </c>
      <c r="I380">
        <v>19</v>
      </c>
      <c r="J380">
        <v>6</v>
      </c>
      <c r="O380">
        <v>10001</v>
      </c>
      <c r="P380">
        <v>10004</v>
      </c>
      <c r="Q380">
        <v>30072</v>
      </c>
      <c r="R380">
        <v>30073</v>
      </c>
      <c r="S380">
        <v>30074</v>
      </c>
      <c r="T380">
        <v>30075</v>
      </c>
      <c r="U380">
        <v>30076</v>
      </c>
      <c r="V380">
        <v>30077</v>
      </c>
      <c r="W380">
        <v>30078</v>
      </c>
      <c r="X380">
        <v>30079</v>
      </c>
      <c r="Y380">
        <v>30080</v>
      </c>
      <c r="Z380">
        <v>30089</v>
      </c>
      <c r="AA380">
        <v>30091</v>
      </c>
      <c r="AB380">
        <v>30092</v>
      </c>
      <c r="AC380">
        <v>30094</v>
      </c>
      <c r="AD380">
        <v>30095</v>
      </c>
      <c r="AE380">
        <v>30096</v>
      </c>
      <c r="AF380">
        <v>30097</v>
      </c>
      <c r="AG380">
        <v>70001</v>
      </c>
    </row>
    <row r="381" spans="1:38" x14ac:dyDescent="0.2">
      <c r="B381" s="3" t="str">
        <f>A380&amp;"C"</f>
        <v>10076C</v>
      </c>
      <c r="O381">
        <v>1</v>
      </c>
      <c r="P381">
        <v>1</v>
      </c>
      <c r="Q381">
        <v>4.2858999999999998</v>
      </c>
      <c r="R381">
        <v>1.8189</v>
      </c>
      <c r="S381">
        <v>7.7100000000000002E-2</v>
      </c>
      <c r="T381">
        <v>1.8613</v>
      </c>
      <c r="U381">
        <v>0.1658</v>
      </c>
      <c r="V381">
        <v>1.8613</v>
      </c>
      <c r="W381">
        <v>0.1658</v>
      </c>
      <c r="X381">
        <v>4.0000000000000001E-3</v>
      </c>
      <c r="Y381">
        <v>0.8</v>
      </c>
      <c r="Z381">
        <v>0.9345</v>
      </c>
      <c r="AA381">
        <v>4.1619000000000002</v>
      </c>
      <c r="AB381">
        <v>10.231299999999999</v>
      </c>
      <c r="AC381">
        <v>1</v>
      </c>
      <c r="AD381">
        <v>6.5600000000000006E-2</v>
      </c>
      <c r="AE381">
        <v>6.5600000000000006E-2</v>
      </c>
      <c r="AF381">
        <v>2</v>
      </c>
      <c r="AG381">
        <v>5</v>
      </c>
    </row>
    <row r="382" spans="1:38" x14ac:dyDescent="0.2">
      <c r="O382">
        <f>IF(O384&gt;10000,HLOOKUP(O384,N380:$O383,4,FALSE),IF(OR(AND(22500&lt;O380,O380&lt;25001),AND(50000&lt;O380,O380&lt;53501),AND(70000&lt;O380,O380&lt;72501)),$F380,IF(OR(AND(25001&lt;O380,O380&lt;27501),AND(53500&lt;O380,O380&lt;57001),AND(72500&lt;O380,O380&lt;75001)),$G380,IF(OR(AND(27500&lt;O380,O380&lt;30001),AND(57000&lt;O380,O380&lt;60001),AND(75000&lt;O380,O380&lt;77500)),$H380,VLOOKUP(O380,BDins,6,FALSE)))))</f>
        <v>12.64</v>
      </c>
      <c r="P382">
        <f>IF(P384&gt;10000,HLOOKUP(P384,O380:$O383,4,FALSE),IF(OR(AND(22500&lt;P380,P380&lt;25001),AND(50000&lt;P380,P380&lt;53501),AND(70000&lt;P380,P380&lt;72501)),$F380,IF(OR(AND(25001&lt;P380,P380&lt;27501),AND(53500&lt;P380,P380&lt;57001),AND(72500&lt;P380,P380&lt;75001)),$G380,IF(OR(AND(27500&lt;P380,P380&lt;30001),AND(57000&lt;P380,P380&lt;60001),AND(75000&lt;P380,P380&lt;77500)),$H380,VLOOKUP(P380,BDins,6,FALSE)))))</f>
        <v>17.59</v>
      </c>
      <c r="Q382">
        <f>IF(Q384&gt;10000,HLOOKUP(Q384,$O380:P383,4,FALSE),IF(OR(AND(22500&lt;Q380,Q380&lt;25001),AND(50000&lt;Q380,Q380&lt;53501),AND(70000&lt;Q380,Q380&lt;72501)),$F380,IF(OR(AND(25001&lt;Q380,Q380&lt;27501),AND(53500&lt;Q380,Q380&lt;57001),AND(72500&lt;Q380,Q380&lt;75001)),$G380,IF(OR(AND(27500&lt;Q380,Q380&lt;30001),AND(57000&lt;Q380,Q380&lt;60001),AND(75000&lt;Q380,Q380&lt;77500)),$H380,VLOOKUP(Q380,BDins,6,FALSE)))))</f>
        <v>2.2000000000000002</v>
      </c>
      <c r="R382">
        <f>IF(R384&gt;10000,HLOOKUP(R384,$O380:Q383,4,FALSE),IF(OR(AND(22500&lt;R380,R380&lt;25001),AND(50000&lt;R380,R380&lt;53501),AND(70000&lt;R380,R380&lt;72501)),$F380,IF(OR(AND(25001&lt;R380,R380&lt;27501),AND(53500&lt;R380,R380&lt;57001),AND(72500&lt;R380,R380&lt;75001)),$G380,IF(OR(AND(27500&lt;R380,R380&lt;30001),AND(57000&lt;R380,R380&lt;60001),AND(75000&lt;R380,R380&lt;77500)),$H380,VLOOKUP(R380,BDins,6,FALSE)))))</f>
        <v>1.2</v>
      </c>
      <c r="S382">
        <f>IF(S384&gt;10000,HLOOKUP(S384,$O380:R383,4,FALSE),IF(OR(AND(22500&lt;S380,S380&lt;25001),AND(50000&lt;S380,S380&lt;53501),AND(70000&lt;S380,S380&lt;72501)),$F380,IF(OR(AND(25001&lt;S380,S380&lt;27501),AND(53500&lt;S380,S380&lt;57001),AND(72500&lt;S380,S380&lt;75001)),$G380,IF(OR(AND(27500&lt;S380,S380&lt;30001),AND(57000&lt;S380,S380&lt;60001),AND(75000&lt;S380,S380&lt;77500)),$H380,VLOOKUP(S380,BDins,6,FALSE)))))</f>
        <v>1.42</v>
      </c>
      <c r="T382">
        <f>IF(T384&gt;10000,HLOOKUP(T384,$O380:S383,4,FALSE),IF(OR(AND(22500&lt;T380,T380&lt;25001),AND(50000&lt;T380,T380&lt;53501),AND(70000&lt;T380,T380&lt;72501)),$F380,IF(OR(AND(25001&lt;T380,T380&lt;27501),AND(53500&lt;T380,T380&lt;57001),AND(72500&lt;T380,T380&lt;75001)),$G380,IF(OR(AND(27500&lt;T380,T380&lt;30001),AND(57000&lt;T380,T380&lt;60001),AND(75000&lt;T380,T380&lt;77500)),$H380,VLOOKUP(T380,BDins,6,FALSE)))))</f>
        <v>0.5</v>
      </c>
      <c r="U382">
        <f>IF(U384&gt;10000,HLOOKUP(U384,$O380:T383,4,FALSE),IF(OR(AND(22500&lt;U380,U380&lt;25001),AND(50000&lt;U380,U380&lt;53501),AND(70000&lt;U380,U380&lt;72501)),$F380,IF(OR(AND(25001&lt;U380,U380&lt;27501),AND(53500&lt;U380,U380&lt;57001),AND(72500&lt;U380,U380&lt;75001)),$G380,IF(OR(AND(27500&lt;U380,U380&lt;30001),AND(57000&lt;U380,U380&lt;60001),AND(75000&lt;U380,U380&lt;77500)),$H380,VLOOKUP(U380,BDins,6,FALSE)))))</f>
        <v>0.7</v>
      </c>
      <c r="V382">
        <f>IF(V384&gt;10000,HLOOKUP(V384,$O380:U383,4,FALSE),IF(OR(AND(22500&lt;V380,V380&lt;25001),AND(50000&lt;V380,V380&lt;53501),AND(70000&lt;V380,V380&lt;72501)),$F380,IF(OR(AND(25001&lt;V380,V380&lt;27501),AND(53500&lt;V380,V380&lt;57001),AND(72500&lt;V380,V380&lt;75001)),$G380,IF(OR(AND(27500&lt;V380,V380&lt;30001),AND(57000&lt;V380,V380&lt;60001),AND(75000&lt;V380,V380&lt;77500)),$H380,VLOOKUP(V380,BDins,6,FALSE)))))</f>
        <v>1.3</v>
      </c>
      <c r="W382">
        <f>IF(W384&gt;10000,HLOOKUP(W384,$O380:V383,4,FALSE),IF(OR(AND(22500&lt;W380,W380&lt;25001),AND(50000&lt;W380,W380&lt;53501),AND(70000&lt;W380,W380&lt;72501)),$F380,IF(OR(AND(25001&lt;W380,W380&lt;27501),AND(53500&lt;W380,W380&lt;57001),AND(72500&lt;W380,W380&lt;75001)),$G380,IF(OR(AND(27500&lt;W380,W380&lt;30001),AND(57000&lt;W380,W380&lt;60001),AND(75000&lt;W380,W380&lt;77500)),$H380,VLOOKUP(W380,BDins,6,FALSE)))))</f>
        <v>1.6</v>
      </c>
      <c r="X382">
        <f>IF(X384&gt;10000,HLOOKUP(X384,$O380:W383,4,FALSE),IF(OR(AND(22500&lt;X380,X380&lt;25001),AND(50000&lt;X380,X380&lt;53501),AND(70000&lt;X380,X380&lt;72501)),$F380,IF(OR(AND(25001&lt;X380,X380&lt;27501),AND(53500&lt;X380,X380&lt;57001),AND(72500&lt;X380,X380&lt;75001)),$G380,IF(OR(AND(27500&lt;X380,X380&lt;30001),AND(57000&lt;X380,X380&lt;60001),AND(75000&lt;X380,X380&lt;77500)),$H380,VLOOKUP(X380,BDins,6,FALSE)))))</f>
        <v>90</v>
      </c>
      <c r="Y382">
        <f>IF(Y384&gt;10000,HLOOKUP(Y384,$O380:X383,4,FALSE),IF(OR(AND(22500&lt;Y380,Y380&lt;25001),AND(50000&lt;Y380,Y380&lt;53501),AND(70000&lt;Y380,Y380&lt;72501)),$F380,IF(OR(AND(25001&lt;Y380,Y380&lt;27501),AND(53500&lt;Y380,Y380&lt;57001),AND(72500&lt;Y380,Y380&lt;75001)),$G380,IF(OR(AND(27500&lt;Y380,Y380&lt;30001),AND(57000&lt;Y380,Y380&lt;60001),AND(75000&lt;Y380,Y380&lt;77500)),$H380,VLOOKUP(Y380,BDins,6,FALSE)))))</f>
        <v>0.3</v>
      </c>
      <c r="Z382">
        <f>IF(Z384&gt;10000,HLOOKUP(Z384,$O380:Y383,4,FALSE),IF(OR(AND(22500&lt;Z380,Z380&lt;25001),AND(50000&lt;Z380,Z380&lt;53501),AND(70000&lt;Z380,Z380&lt;72501)),$F380,IF(OR(AND(25001&lt;Z380,Z380&lt;27501),AND(53500&lt;Z380,Z380&lt;57001),AND(72500&lt;Z380,Z380&lt;75001)),$G380,IF(OR(AND(27500&lt;Z380,Z380&lt;30001),AND(57000&lt;Z380,Z380&lt;60001),AND(75000&lt;Z380,Z380&lt;77500)),$H380,VLOOKUP(Z380,BDins,6,FALSE)))))</f>
        <v>2</v>
      </c>
      <c r="AA382">
        <f>IF(AA384&gt;10000,HLOOKUP(AA384,$O380:Z383,4,FALSE),IF(OR(AND(22500&lt;AA380,AA380&lt;25001),AND(50000&lt;AA380,AA380&lt;53501),AND(70000&lt;AA380,AA380&lt;72501)),$F380,IF(OR(AND(25001&lt;AA380,AA380&lt;27501),AND(53500&lt;AA380,AA380&lt;57001),AND(72500&lt;AA380,AA380&lt;75001)),$G380,IF(OR(AND(27500&lt;AA380,AA380&lt;30001),AND(57000&lt;AA380,AA380&lt;60001),AND(75000&lt;AA380,AA380&lt;77500)),$H380,VLOOKUP(AA380,BDins,6,FALSE)))))</f>
        <v>0.86</v>
      </c>
      <c r="AB382">
        <f>IF(AB384&gt;10000,HLOOKUP(AB384,$O380:AA383,4,FALSE),IF(OR(AND(22500&lt;AB380,AB380&lt;25001),AND(50000&lt;AB380,AB380&lt;53501),AND(70000&lt;AB380,AB380&lt;72501)),$F380,IF(OR(AND(25001&lt;AB380,AB380&lt;27501),AND(53500&lt;AB380,AB380&lt;57001),AND(72500&lt;AB380,AB380&lt;75001)),$G380,IF(OR(AND(27500&lt;AB380,AB380&lt;30001),AND(57000&lt;AB380,AB380&lt;60001),AND(75000&lt;AB380,AB380&lt;77500)),$H380,VLOOKUP(AB380,BDins,6,FALSE)))))</f>
        <v>2.1</v>
      </c>
      <c r="AC382">
        <f>IF(AC384&gt;10000,HLOOKUP(AC384,$O380:AB383,4,FALSE),IF(OR(AND(22500&lt;AC380,AC380&lt;25001),AND(50000&lt;AC380,AC380&lt;53501),AND(70000&lt;AC380,AC380&lt;72501)),$F380,IF(OR(AND(25001&lt;AC380,AC380&lt;27501),AND(53500&lt;AC380,AC380&lt;57001),AND(72500&lt;AC380,AC380&lt;75001)),$G380,IF(OR(AND(27500&lt;AC380,AC380&lt;30001),AND(57000&lt;AC380,AC380&lt;60001),AND(75000&lt;AC380,AC380&lt;77500)),$H380,VLOOKUP(AC380,BDins,6,FALSE)))))</f>
        <v>0.5</v>
      </c>
      <c r="AD382">
        <f>IF(AD384&gt;10000,HLOOKUP(AD384,$O380:AC383,4,FALSE),IF(OR(AND(22500&lt;AD380,AD380&lt;25001),AND(50000&lt;AD380,AD380&lt;53501),AND(70000&lt;AD380,AD380&lt;72501)),$F380,IF(OR(AND(25001&lt;AD380,AD380&lt;27501),AND(53500&lt;AD380,AD380&lt;57001),AND(72500&lt;AD380,AD380&lt;75001)),$G380,IF(OR(AND(27500&lt;AD380,AD380&lt;30001),AND(57000&lt;AD380,AD380&lt;60001),AND(75000&lt;AD380,AD380&lt;77500)),$H380,VLOOKUP(AD380,BDins,6,FALSE)))))</f>
        <v>15</v>
      </c>
      <c r="AE382">
        <f>IF(AE384&gt;10000,HLOOKUP(AE384,$O380:AD383,4,FALSE),IF(OR(AND(22500&lt;AE380,AE380&lt;25001),AND(50000&lt;AE380,AE380&lt;53501),AND(70000&lt;AE380,AE380&lt;72501)),$F380,IF(OR(AND(25001&lt;AE380,AE380&lt;27501),AND(53500&lt;AE380,AE380&lt;57001),AND(72500&lt;AE380,AE380&lt;75001)),$G380,IF(OR(AND(27500&lt;AE380,AE380&lt;30001),AND(57000&lt;AE380,AE380&lt;60001),AND(75000&lt;AE380,AE380&lt;77500)),$H380,VLOOKUP(AE380,BDins,6,FALSE)))))</f>
        <v>4</v>
      </c>
      <c r="AF382">
        <f>IF(AF384&gt;10000,HLOOKUP(AF384,$O380:AE383,4,FALSE),IF(OR(AND(22500&lt;AF380,AF380&lt;25001),AND(50000&lt;AF380,AF380&lt;53501),AND(70000&lt;AF380,AF380&lt;72501)),$F380,IF(OR(AND(25001&lt;AF380,AF380&lt;27501),AND(53500&lt;AF380,AF380&lt;57001),AND(72500&lt;AF380,AF380&lt;75001)),$G380,IF(OR(AND(27500&lt;AF380,AF380&lt;30001),AND(57000&lt;AF380,AF380&lt;60001),AND(75000&lt;AF380,AF380&lt;77500)),$H380,VLOOKUP(AF380,BDins,6,FALSE)))))</f>
        <v>21.9</v>
      </c>
      <c r="AG382">
        <f>IF(AG384&gt;10000,HLOOKUP(AG384,$O380:AF383,4,FALSE),IF(OR(AND(22500&lt;AG380,AG380&lt;25001),AND(50000&lt;AG380,AG380&lt;53501),AND(70000&lt;AG380,AG380&lt;72501)),$F380,IF(OR(AND(25001&lt;AG380,AG380&lt;27501),AND(53500&lt;AG380,AG380&lt;57001),AND(72500&lt;AG380,AG380&lt;75001)),$G380,IF(OR(AND(27500&lt;AG380,AG380&lt;30001),AND(57000&lt;AG380,AG380&lt;60001),AND(75000&lt;AG380,AG380&lt;77500)),$H380,VLOOKUP(AG380,BDins,6,FALSE)))))</f>
        <v>40.299999999999997</v>
      </c>
    </row>
    <row r="383" spans="1:38" x14ac:dyDescent="0.2">
      <c r="O383">
        <f t="shared" ref="O383:AG383" si="43">IF($K380&gt;0,ROUND(O381*$E380/100,DpCU),IF(O384&gt;10000,ROUND(HLOOKUP(O384,$O380:$AG383,4,FALSE)/100*O381,DpCU),IF(OR(O380&lt;20001,O380&gt;95000,AND(60000&lt;O380,O380&lt;70001)),ROUND(ROUND(O381*JL/$C380,DcCU)*O382,DpCU),IF(OR(AND(20000&lt;O380,O380&lt;22501),AND(30000&lt;O380,O380&lt;50001),77500&lt;O380),ROUND(O382*O381,DpCU),IF(OR(AND(22500&lt;O380,O380&lt;25001),AND(50000&lt;O380,O380&lt;53501),AND(70000&lt;O380,O380&lt;72501)),ROUND($F380/100*O381,DpCU),IF(OR(AND(25000&lt;O380,O380&lt;27501),AND(53500&lt;O380,O380&lt;57001),AND(72500&lt;O380,O380&lt;75001)),ROUND($G380/100*O381,DpCU),ROUND($H380/100*O381,DpCU)))))))</f>
        <v>16.850000000000001</v>
      </c>
      <c r="P383">
        <f t="shared" si="43"/>
        <v>23.45</v>
      </c>
      <c r="Q383">
        <f t="shared" si="43"/>
        <v>9.43</v>
      </c>
      <c r="R383">
        <f t="shared" si="43"/>
        <v>2.1800000000000002</v>
      </c>
      <c r="S383">
        <f t="shared" si="43"/>
        <v>0.11</v>
      </c>
      <c r="T383">
        <f t="shared" si="43"/>
        <v>0.93</v>
      </c>
      <c r="U383">
        <f t="shared" si="43"/>
        <v>0.12</v>
      </c>
      <c r="V383">
        <f t="shared" si="43"/>
        <v>2.42</v>
      </c>
      <c r="W383">
        <f t="shared" si="43"/>
        <v>0.27</v>
      </c>
      <c r="X383">
        <f t="shared" si="43"/>
        <v>0.36</v>
      </c>
      <c r="Y383">
        <f t="shared" si="43"/>
        <v>0.24</v>
      </c>
      <c r="Z383">
        <f t="shared" si="43"/>
        <v>1.87</v>
      </c>
      <c r="AA383">
        <f t="shared" si="43"/>
        <v>3.58</v>
      </c>
      <c r="AB383">
        <f t="shared" si="43"/>
        <v>21.49</v>
      </c>
      <c r="AC383">
        <f t="shared" si="43"/>
        <v>0.5</v>
      </c>
      <c r="AD383">
        <f t="shared" si="43"/>
        <v>0.98</v>
      </c>
      <c r="AE383">
        <f t="shared" si="43"/>
        <v>0.26</v>
      </c>
      <c r="AF383">
        <f t="shared" si="43"/>
        <v>43.8</v>
      </c>
      <c r="AG383">
        <f t="shared" si="43"/>
        <v>2.02</v>
      </c>
    </row>
    <row r="384" spans="1:38" x14ac:dyDescent="0.2">
      <c r="B384" s="3" t="str">
        <f>A380&amp;"r"</f>
        <v>10076r</v>
      </c>
    </row>
    <row r="385" spans="1:26" x14ac:dyDescent="0.2">
      <c r="A385">
        <v>10077</v>
      </c>
      <c r="B385" s="3" t="s">
        <v>512</v>
      </c>
      <c r="C385" s="1">
        <f>ROUND(J385*JL*Frto/8,4)</f>
        <v>6</v>
      </c>
      <c r="D385" t="s">
        <v>478</v>
      </c>
      <c r="E385">
        <f>SUM($O388:$Z388)</f>
        <v>157.9</v>
      </c>
      <c r="F385">
        <f>SUMIF($O385:$Z385,"&lt;22501",$O388:$Z388)</f>
        <v>40.299999999999997</v>
      </c>
      <c r="G385">
        <f>SUMIFS($O388:$Z388,$O385:$Z385,"&gt;30000",$O385:$Z385,"&lt;50001")</f>
        <v>115.58</v>
      </c>
      <c r="H385">
        <f>SUMIFS($O388:$Z388,$O385:$Z385,"&gt;60000",$O385:$Z385,"&lt;70001")</f>
        <v>0</v>
      </c>
      <c r="I385">
        <v>12</v>
      </c>
      <c r="J385">
        <v>6</v>
      </c>
      <c r="O385">
        <v>10001</v>
      </c>
      <c r="P385">
        <v>10004</v>
      </c>
      <c r="Q385">
        <v>30072</v>
      </c>
      <c r="R385">
        <v>30074</v>
      </c>
      <c r="S385">
        <v>30076</v>
      </c>
      <c r="T385">
        <v>30078</v>
      </c>
      <c r="U385">
        <v>30079</v>
      </c>
      <c r="V385">
        <v>30084</v>
      </c>
      <c r="W385">
        <v>30092</v>
      </c>
      <c r="X385">
        <v>30097</v>
      </c>
      <c r="Y385">
        <v>30098</v>
      </c>
      <c r="Z385">
        <v>70001</v>
      </c>
    </row>
    <row r="386" spans="1:26" x14ac:dyDescent="0.2">
      <c r="B386" s="3" t="str">
        <f>A385&amp;"C"</f>
        <v>10077C</v>
      </c>
      <c r="O386">
        <v>1</v>
      </c>
      <c r="P386">
        <v>1</v>
      </c>
      <c r="Q386">
        <v>7</v>
      </c>
      <c r="R386">
        <v>0.3</v>
      </c>
      <c r="S386">
        <v>2.2999999999999998</v>
      </c>
      <c r="T386">
        <v>3</v>
      </c>
      <c r="U386">
        <v>0.02</v>
      </c>
      <c r="V386">
        <v>1</v>
      </c>
      <c r="W386">
        <v>21.78</v>
      </c>
      <c r="X386">
        <v>2</v>
      </c>
      <c r="Y386">
        <v>2.5000000000000001E-2</v>
      </c>
      <c r="Z386">
        <v>5</v>
      </c>
    </row>
    <row r="387" spans="1:26" x14ac:dyDescent="0.2">
      <c r="O387">
        <f>IF(O389&gt;10000,HLOOKUP(O389,N385:$O388,4,FALSE),IF(OR(AND(22500&lt;O385,O385&lt;25001),AND(50000&lt;O385,O385&lt;53501),AND(70000&lt;O385,O385&lt;72501)),$F385,IF(OR(AND(25001&lt;O385,O385&lt;27501),AND(53500&lt;O385,O385&lt;57001),AND(72500&lt;O385,O385&lt;75001)),$G385,IF(OR(AND(27500&lt;O385,O385&lt;30001),AND(57000&lt;O385,O385&lt;60001),AND(75000&lt;O385,O385&lt;77500)),$H385,VLOOKUP(O385,BDins,6,FALSE)))))</f>
        <v>12.64</v>
      </c>
      <c r="P387">
        <f>IF(P389&gt;10000,HLOOKUP(P389,O385:$O388,4,FALSE),IF(OR(AND(22500&lt;P385,P385&lt;25001),AND(50000&lt;P385,P385&lt;53501),AND(70000&lt;P385,P385&lt;72501)),$F385,IF(OR(AND(25001&lt;P385,P385&lt;27501),AND(53500&lt;P385,P385&lt;57001),AND(72500&lt;P385,P385&lt;75001)),$G385,IF(OR(AND(27500&lt;P385,P385&lt;30001),AND(57000&lt;P385,P385&lt;60001),AND(75000&lt;P385,P385&lt;77500)),$H385,VLOOKUP(P385,BDins,6,FALSE)))))</f>
        <v>17.59</v>
      </c>
      <c r="Q387">
        <f>IF(Q389&gt;10000,HLOOKUP(Q389,$O385:P388,4,FALSE),IF(OR(AND(22500&lt;Q385,Q385&lt;25001),AND(50000&lt;Q385,Q385&lt;53501),AND(70000&lt;Q385,Q385&lt;72501)),$F385,IF(OR(AND(25001&lt;Q385,Q385&lt;27501),AND(53500&lt;Q385,Q385&lt;57001),AND(72500&lt;Q385,Q385&lt;75001)),$G385,IF(OR(AND(27500&lt;Q385,Q385&lt;30001),AND(57000&lt;Q385,Q385&lt;60001),AND(75000&lt;Q385,Q385&lt;77500)),$H385,VLOOKUP(Q385,BDins,6,FALSE)))))</f>
        <v>2.2000000000000002</v>
      </c>
      <c r="R387">
        <f>IF(R389&gt;10000,HLOOKUP(R389,$O385:Q388,4,FALSE),IF(OR(AND(22500&lt;R385,R385&lt;25001),AND(50000&lt;R385,R385&lt;53501),AND(70000&lt;R385,R385&lt;72501)),$F385,IF(OR(AND(25001&lt;R385,R385&lt;27501),AND(53500&lt;R385,R385&lt;57001),AND(72500&lt;R385,R385&lt;75001)),$G385,IF(OR(AND(27500&lt;R385,R385&lt;30001),AND(57000&lt;R385,R385&lt;60001),AND(75000&lt;R385,R385&lt;77500)),$H385,VLOOKUP(R385,BDins,6,FALSE)))))</f>
        <v>1.42</v>
      </c>
      <c r="S387">
        <f>IF(S389&gt;10000,HLOOKUP(S389,$O385:R388,4,FALSE),IF(OR(AND(22500&lt;S385,S385&lt;25001),AND(50000&lt;S385,S385&lt;53501),AND(70000&lt;S385,S385&lt;72501)),$F385,IF(OR(AND(25001&lt;S385,S385&lt;27501),AND(53500&lt;S385,S385&lt;57001),AND(72500&lt;S385,S385&lt;75001)),$G385,IF(OR(AND(27500&lt;S385,S385&lt;30001),AND(57000&lt;S385,S385&lt;60001),AND(75000&lt;S385,S385&lt;77500)),$H385,VLOOKUP(S385,BDins,6,FALSE)))))</f>
        <v>0.7</v>
      </c>
      <c r="T387">
        <f>IF(T389&gt;10000,HLOOKUP(T389,$O385:S388,4,FALSE),IF(OR(AND(22500&lt;T385,T385&lt;25001),AND(50000&lt;T385,T385&lt;53501),AND(70000&lt;T385,T385&lt;72501)),$F385,IF(OR(AND(25001&lt;T385,T385&lt;27501),AND(53500&lt;T385,T385&lt;57001),AND(72500&lt;T385,T385&lt;75001)),$G385,IF(OR(AND(27500&lt;T385,T385&lt;30001),AND(57000&lt;T385,T385&lt;60001),AND(75000&lt;T385,T385&lt;77500)),$H385,VLOOKUP(T385,BDins,6,FALSE)))))</f>
        <v>1.6</v>
      </c>
      <c r="U387">
        <f>IF(U389&gt;10000,HLOOKUP(U389,$O385:T388,4,FALSE),IF(OR(AND(22500&lt;U385,U385&lt;25001),AND(50000&lt;U385,U385&lt;53501),AND(70000&lt;U385,U385&lt;72501)),$F385,IF(OR(AND(25001&lt;U385,U385&lt;27501),AND(53500&lt;U385,U385&lt;57001),AND(72500&lt;U385,U385&lt;75001)),$G385,IF(OR(AND(27500&lt;U385,U385&lt;30001),AND(57000&lt;U385,U385&lt;60001),AND(75000&lt;U385,U385&lt;77500)),$H385,VLOOKUP(U385,BDins,6,FALSE)))))</f>
        <v>90</v>
      </c>
      <c r="V387">
        <f>IF(V389&gt;10000,HLOOKUP(V389,$O385:U388,4,FALSE),IF(OR(AND(22500&lt;V385,V385&lt;25001),AND(50000&lt;V385,V385&lt;53501),AND(70000&lt;V385,V385&lt;72501)),$F385,IF(OR(AND(25001&lt;V385,V385&lt;27501),AND(53500&lt;V385,V385&lt;57001),AND(72500&lt;V385,V385&lt;75001)),$G385,IF(OR(AND(27500&lt;V385,V385&lt;30001),AND(57000&lt;V385,V385&lt;60001),AND(75000&lt;V385,V385&lt;77500)),$H385,VLOOKUP(V385,BDins,6,FALSE)))))</f>
        <v>0.5</v>
      </c>
      <c r="W387">
        <f>IF(W389&gt;10000,HLOOKUP(W389,$O385:V388,4,FALSE),IF(OR(AND(22500&lt;W385,W385&lt;25001),AND(50000&lt;W385,W385&lt;53501),AND(70000&lt;W385,W385&lt;72501)),$F385,IF(OR(AND(25001&lt;W385,W385&lt;27501),AND(53500&lt;W385,W385&lt;57001),AND(72500&lt;W385,W385&lt;75001)),$G385,IF(OR(AND(27500&lt;W385,W385&lt;30001),AND(57000&lt;W385,W385&lt;60001),AND(75000&lt;W385,W385&lt;77500)),$H385,VLOOKUP(W385,BDins,6,FALSE)))))</f>
        <v>2.1</v>
      </c>
      <c r="X387">
        <f>IF(X389&gt;10000,HLOOKUP(X389,$O385:W388,4,FALSE),IF(OR(AND(22500&lt;X385,X385&lt;25001),AND(50000&lt;X385,X385&lt;53501),AND(70000&lt;X385,X385&lt;72501)),$F385,IF(OR(AND(25001&lt;X385,X385&lt;27501),AND(53500&lt;X385,X385&lt;57001),AND(72500&lt;X385,X385&lt;75001)),$G385,IF(OR(AND(27500&lt;X385,X385&lt;30001),AND(57000&lt;X385,X385&lt;60001),AND(75000&lt;X385,X385&lt;77500)),$H385,VLOOKUP(X385,BDins,6,FALSE)))))</f>
        <v>21.9</v>
      </c>
      <c r="Y387">
        <f>IF(Y389&gt;10000,HLOOKUP(Y389,$O385:X388,4,FALSE),IF(OR(AND(22500&lt;Y385,Y385&lt;25001),AND(50000&lt;Y385,Y385&lt;53501),AND(70000&lt;Y385,Y385&lt;72501)),$F385,IF(OR(AND(25001&lt;Y385,Y385&lt;27501),AND(53500&lt;Y385,Y385&lt;57001),AND(72500&lt;Y385,Y385&lt;75001)),$G385,IF(OR(AND(27500&lt;Y385,Y385&lt;30001),AND(57000&lt;Y385,Y385&lt;60001),AND(75000&lt;Y385,Y385&lt;77500)),$H385,VLOOKUP(Y385,BDins,6,FALSE)))))</f>
        <v>60</v>
      </c>
      <c r="Z387">
        <f>IF(Z389&gt;10000,HLOOKUP(Z389,$O385:Y388,4,FALSE),IF(OR(AND(22500&lt;Z385,Z385&lt;25001),AND(50000&lt;Z385,Z385&lt;53501),AND(70000&lt;Z385,Z385&lt;72501)),$F385,IF(OR(AND(25001&lt;Z385,Z385&lt;27501),AND(53500&lt;Z385,Z385&lt;57001),AND(72500&lt;Z385,Z385&lt;75001)),$G385,IF(OR(AND(27500&lt;Z385,Z385&lt;30001),AND(57000&lt;Z385,Z385&lt;60001),AND(75000&lt;Z385,Z385&lt;77500)),$H385,VLOOKUP(Z385,BDins,6,FALSE)))))</f>
        <v>40.299999999999997</v>
      </c>
    </row>
    <row r="388" spans="1:26" x14ac:dyDescent="0.2">
      <c r="O388">
        <f t="shared" ref="O388:Z388" si="44">IF($K385&gt;0,ROUND(O386*$E385/100,DpCU),IF(O389&gt;10000,ROUND(HLOOKUP(O389,$O385:$Z388,4,FALSE)/100*O386,DpCU),IF(OR(O385&lt;20001,O385&gt;95000,AND(60000&lt;O385,O385&lt;70001)),ROUND(ROUND(O386*JL/$C385,DcCU)*O387,DpCU),IF(OR(AND(20000&lt;O385,O385&lt;22501),AND(30000&lt;O385,O385&lt;50001),77500&lt;O385),ROUND(O387*O386,DpCU),IF(OR(AND(22500&lt;O385,O385&lt;25001),AND(50000&lt;O385,O385&lt;53501),AND(70000&lt;O385,O385&lt;72501)),ROUND($F385/100*O386,DpCU),IF(OR(AND(25000&lt;O385,O385&lt;27501),AND(53500&lt;O385,O385&lt;57001),AND(72500&lt;O385,O385&lt;75001)),ROUND($G385/100*O386,DpCU),ROUND($H385/100*O386,DpCU)))))))</f>
        <v>16.850000000000001</v>
      </c>
      <c r="P388">
        <f t="shared" si="44"/>
        <v>23.45</v>
      </c>
      <c r="Q388">
        <f t="shared" si="44"/>
        <v>15.4</v>
      </c>
      <c r="R388">
        <f t="shared" si="44"/>
        <v>0.43</v>
      </c>
      <c r="S388">
        <f t="shared" si="44"/>
        <v>1.61</v>
      </c>
      <c r="T388">
        <f t="shared" si="44"/>
        <v>4.8</v>
      </c>
      <c r="U388">
        <f t="shared" si="44"/>
        <v>1.8</v>
      </c>
      <c r="V388">
        <f t="shared" si="44"/>
        <v>0.5</v>
      </c>
      <c r="W388">
        <f t="shared" si="44"/>
        <v>45.74</v>
      </c>
      <c r="X388">
        <f t="shared" si="44"/>
        <v>43.8</v>
      </c>
      <c r="Y388">
        <f t="shared" si="44"/>
        <v>1.5</v>
      </c>
      <c r="Z388">
        <f t="shared" si="44"/>
        <v>2.02</v>
      </c>
    </row>
    <row r="389" spans="1:26" x14ac:dyDescent="0.2">
      <c r="B389" s="3" t="str">
        <f>A385&amp;"r"</f>
        <v>10077r</v>
      </c>
    </row>
    <row r="390" spans="1:26" x14ac:dyDescent="0.2">
      <c r="A390">
        <v>10078</v>
      </c>
      <c r="B390" s="3" t="s">
        <v>515</v>
      </c>
      <c r="C390" s="1">
        <f>ROUND(J390*JL*Frto/8,4)</f>
        <v>700</v>
      </c>
      <c r="D390" t="s">
        <v>356</v>
      </c>
      <c r="E390">
        <f>SUM($O393:$R393)</f>
        <v>2.4</v>
      </c>
      <c r="F390">
        <f>SUMIF($O390:$R390,"&lt;22501",$O393:$R393)</f>
        <v>0.34</v>
      </c>
      <c r="G390">
        <f>SUMIFS($O393:$R393,$O390:$R390,"&gt;30000",$O390:$R390,"&lt;50001")</f>
        <v>2.04</v>
      </c>
      <c r="H390">
        <f>SUMIFS($O393:$R393,$O390:$R390,"&gt;60000",$O390:$R390,"&lt;70001")</f>
        <v>0</v>
      </c>
      <c r="I390">
        <v>4</v>
      </c>
      <c r="J390">
        <v>700</v>
      </c>
      <c r="O390">
        <v>10001</v>
      </c>
      <c r="P390">
        <v>10004</v>
      </c>
      <c r="Q390">
        <v>30099</v>
      </c>
      <c r="R390">
        <v>70001</v>
      </c>
    </row>
    <row r="391" spans="1:26" x14ac:dyDescent="0.2">
      <c r="B391" s="3" t="str">
        <f>A390&amp;"C"</f>
        <v>10078C</v>
      </c>
      <c r="O391">
        <v>1</v>
      </c>
      <c r="P391">
        <v>1</v>
      </c>
      <c r="Q391">
        <v>1.03</v>
      </c>
      <c r="R391">
        <v>5</v>
      </c>
    </row>
    <row r="392" spans="1:26" x14ac:dyDescent="0.2">
      <c r="O392">
        <f>IF(O394&gt;10000,HLOOKUP(O394,N390:$O393,4,FALSE),IF(OR(AND(22500&lt;O390,O390&lt;25001),AND(50000&lt;O390,O390&lt;53501),AND(70000&lt;O390,O390&lt;72501)),$F390,IF(OR(AND(25001&lt;O390,O390&lt;27501),AND(53500&lt;O390,O390&lt;57001),AND(72500&lt;O390,O390&lt;75001)),$G390,IF(OR(AND(27500&lt;O390,O390&lt;30001),AND(57000&lt;O390,O390&lt;60001),AND(75000&lt;O390,O390&lt;77500)),$H390,VLOOKUP(O390,BDins,6,FALSE)))))</f>
        <v>12.64</v>
      </c>
      <c r="P392">
        <f>IF(P394&gt;10000,HLOOKUP(P394,O390:$O393,4,FALSE),IF(OR(AND(22500&lt;P390,P390&lt;25001),AND(50000&lt;P390,P390&lt;53501),AND(70000&lt;P390,P390&lt;72501)),$F390,IF(OR(AND(25001&lt;P390,P390&lt;27501),AND(53500&lt;P390,P390&lt;57001),AND(72500&lt;P390,P390&lt;75001)),$G390,IF(OR(AND(27500&lt;P390,P390&lt;30001),AND(57000&lt;P390,P390&lt;60001),AND(75000&lt;P390,P390&lt;77500)),$H390,VLOOKUP(P390,BDins,6,FALSE)))))</f>
        <v>17.59</v>
      </c>
      <c r="Q392">
        <f>IF(Q394&gt;10000,HLOOKUP(Q394,$O390:P393,4,FALSE),IF(OR(AND(22500&lt;Q390,Q390&lt;25001),AND(50000&lt;Q390,Q390&lt;53501),AND(70000&lt;Q390,Q390&lt;72501)),$F390,IF(OR(AND(25001&lt;Q390,Q390&lt;27501),AND(53500&lt;Q390,Q390&lt;57001),AND(72500&lt;Q390,Q390&lt;75001)),$G390,IF(OR(AND(27500&lt;Q390,Q390&lt;30001),AND(57000&lt;Q390,Q390&lt;60001),AND(75000&lt;Q390,Q390&lt;77500)),$H390,VLOOKUP(Q390,BDins,6,FALSE)))))</f>
        <v>1.98</v>
      </c>
      <c r="R392">
        <f>IF(R394&gt;10000,HLOOKUP(R394,$O390:Q393,4,FALSE),IF(OR(AND(22500&lt;R390,R390&lt;25001),AND(50000&lt;R390,R390&lt;53501),AND(70000&lt;R390,R390&lt;72501)),$F390,IF(OR(AND(25001&lt;R390,R390&lt;27501),AND(53500&lt;R390,R390&lt;57001),AND(72500&lt;R390,R390&lt;75001)),$G390,IF(OR(AND(27500&lt;R390,R390&lt;30001),AND(57000&lt;R390,R390&lt;60001),AND(75000&lt;R390,R390&lt;77500)),$H390,VLOOKUP(R390,BDins,6,FALSE)))))</f>
        <v>0.34</v>
      </c>
    </row>
    <row r="393" spans="1:26" x14ac:dyDescent="0.2">
      <c r="O393">
        <f>IF($K390&gt;0,ROUND(O391*$E390/100,DpCU),IF(O394&gt;10000,ROUND(HLOOKUP(O394,$O390:$R393,4,FALSE)/100*O391,DpCU),IF(OR(O390&lt;20001,O390&gt;95000,AND(60000&lt;O390,O390&lt;70001)),ROUND(ROUND(O391*JL/$C390,DcCU)*O392,DpCU),IF(OR(AND(20000&lt;O390,O390&lt;22501),AND(30000&lt;O390,O390&lt;50001),77500&lt;O390),ROUND(O392*O391,DpCU),IF(OR(AND(22500&lt;O390,O390&lt;25001),AND(50000&lt;O390,O390&lt;53501),AND(70000&lt;O390,O390&lt;72501)),ROUND($F390/100*O391,DpCU),IF(OR(AND(25000&lt;O390,O390&lt;27501),AND(53500&lt;O390,O390&lt;57001),AND(72500&lt;O390,O390&lt;75001)),ROUND($G390/100*O391,DpCU),ROUND($H390/100*O391,DpCU)))))))</f>
        <v>0.14000000000000001</v>
      </c>
      <c r="P393">
        <f>IF($K390&gt;0,ROUND(P391*$E390/100,DpCU),IF(P394&gt;10000,ROUND(HLOOKUP(P394,$O390:$R393,4,FALSE)/100*P391,DpCU),IF(OR(P390&lt;20001,P390&gt;95000,AND(60000&lt;P390,P390&lt;70001)),ROUND(ROUND(P391*JL/$C390,DcCU)*P392,DpCU),IF(OR(AND(20000&lt;P390,P390&lt;22501),AND(30000&lt;P390,P390&lt;50001),77500&lt;P390),ROUND(P392*P391,DpCU),IF(OR(AND(22500&lt;P390,P390&lt;25001),AND(50000&lt;P390,P390&lt;53501),AND(70000&lt;P390,P390&lt;72501)),ROUND($F390/100*P391,DpCU),IF(OR(AND(25000&lt;P390,P390&lt;27501),AND(53500&lt;P390,P390&lt;57001),AND(72500&lt;P390,P390&lt;75001)),ROUND($G390/100*P391,DpCU),ROUND($H390/100*P391,DpCU)))))))</f>
        <v>0.2</v>
      </c>
      <c r="Q393">
        <f>IF($K390&gt;0,ROUND(Q391*$E390/100,DpCU),IF(Q394&gt;10000,ROUND(HLOOKUP(Q394,$O390:$R393,4,FALSE)/100*Q391,DpCU),IF(OR(Q390&lt;20001,Q390&gt;95000,AND(60000&lt;Q390,Q390&lt;70001)),ROUND(ROUND(Q391*JL/$C390,DcCU)*Q392,DpCU),IF(OR(AND(20000&lt;Q390,Q390&lt;22501),AND(30000&lt;Q390,Q390&lt;50001),77500&lt;Q390),ROUND(Q392*Q391,DpCU),IF(OR(AND(22500&lt;Q390,Q390&lt;25001),AND(50000&lt;Q390,Q390&lt;53501),AND(70000&lt;Q390,Q390&lt;72501)),ROUND($F390/100*Q391,DpCU),IF(OR(AND(25000&lt;Q390,Q390&lt;27501),AND(53500&lt;Q390,Q390&lt;57001),AND(72500&lt;Q390,Q390&lt;75001)),ROUND($G390/100*Q391,DpCU),ROUND($H390/100*Q391,DpCU)))))))</f>
        <v>2.04</v>
      </c>
      <c r="R393">
        <f>IF($K390&gt;0,ROUND(R391*$E390/100,DpCU),IF(R394&gt;10000,ROUND(HLOOKUP(R394,$O390:$R393,4,FALSE)/100*R391,DpCU),IF(OR(R390&lt;20001,R390&gt;95000,AND(60000&lt;R390,R390&lt;70001)),ROUND(ROUND(R391*JL/$C390,DcCU)*R392,DpCU),IF(OR(AND(20000&lt;R390,R390&lt;22501),AND(30000&lt;R390,R390&lt;50001),77500&lt;R390),ROUND(R392*R391,DpCU),IF(OR(AND(22500&lt;R390,R390&lt;25001),AND(50000&lt;R390,R390&lt;53501),AND(70000&lt;R390,R390&lt;72501)),ROUND($F390/100*R391,DpCU),IF(OR(AND(25000&lt;R390,R390&lt;27501),AND(53500&lt;R390,R390&lt;57001),AND(72500&lt;R390,R390&lt;75001)),ROUND($G390/100*R391,DpCU),ROUND($H390/100*R391,DpCU)))))))</f>
        <v>0.02</v>
      </c>
    </row>
    <row r="394" spans="1:26" x14ac:dyDescent="0.2">
      <c r="B394" s="3" t="str">
        <f>A390&amp;"r"</f>
        <v>10078r</v>
      </c>
    </row>
    <row r="395" spans="1:26" x14ac:dyDescent="0.2">
      <c r="A395">
        <v>10079</v>
      </c>
      <c r="B395" s="3" t="s">
        <v>499</v>
      </c>
      <c r="C395" s="1">
        <f>ROUND(J395*JL*Frto/8,4)</f>
        <v>700</v>
      </c>
      <c r="D395" t="s">
        <v>356</v>
      </c>
      <c r="E395">
        <f>SUM($O398:$R398)</f>
        <v>2.57</v>
      </c>
      <c r="F395">
        <f>SUMIF($O395:$R395,"&lt;22501",$O398:$R398)</f>
        <v>0.34</v>
      </c>
      <c r="G395">
        <f>SUMIFS($O398:$R398,$O395:$R395,"&gt;30000",$O395:$R395,"&lt;50001")</f>
        <v>2.21</v>
      </c>
      <c r="H395">
        <f>SUMIFS($O398:$R398,$O395:$R395,"&gt;60000",$O395:$R395,"&lt;70001")</f>
        <v>0</v>
      </c>
      <c r="I395">
        <v>4</v>
      </c>
      <c r="J395">
        <v>700</v>
      </c>
      <c r="O395">
        <v>10001</v>
      </c>
      <c r="P395">
        <v>10004</v>
      </c>
      <c r="Q395">
        <v>30100</v>
      </c>
      <c r="R395">
        <v>70001</v>
      </c>
    </row>
    <row r="396" spans="1:26" x14ac:dyDescent="0.2">
      <c r="B396" s="3" t="str">
        <f>A395&amp;"C"</f>
        <v>10079C</v>
      </c>
      <c r="O396">
        <v>1</v>
      </c>
      <c r="P396">
        <v>1</v>
      </c>
      <c r="Q396">
        <v>1.05</v>
      </c>
      <c r="R396">
        <v>5</v>
      </c>
    </row>
    <row r="397" spans="1:26" x14ac:dyDescent="0.2">
      <c r="O397">
        <f>IF(O399&gt;10000,HLOOKUP(O399,N395:$O398,4,FALSE),IF(OR(AND(22500&lt;O395,O395&lt;25001),AND(50000&lt;O395,O395&lt;53501),AND(70000&lt;O395,O395&lt;72501)),$F395,IF(OR(AND(25001&lt;O395,O395&lt;27501),AND(53500&lt;O395,O395&lt;57001),AND(72500&lt;O395,O395&lt;75001)),$G395,IF(OR(AND(27500&lt;O395,O395&lt;30001),AND(57000&lt;O395,O395&lt;60001),AND(75000&lt;O395,O395&lt;77500)),$H395,VLOOKUP(O395,BDins,6,FALSE)))))</f>
        <v>12.64</v>
      </c>
      <c r="P397">
        <f>IF(P399&gt;10000,HLOOKUP(P399,O395:$O398,4,FALSE),IF(OR(AND(22500&lt;P395,P395&lt;25001),AND(50000&lt;P395,P395&lt;53501),AND(70000&lt;P395,P395&lt;72501)),$F395,IF(OR(AND(25001&lt;P395,P395&lt;27501),AND(53500&lt;P395,P395&lt;57001),AND(72500&lt;P395,P395&lt;75001)),$G395,IF(OR(AND(27500&lt;P395,P395&lt;30001),AND(57000&lt;P395,P395&lt;60001),AND(75000&lt;P395,P395&lt;77500)),$H395,VLOOKUP(P395,BDins,6,FALSE)))))</f>
        <v>17.59</v>
      </c>
      <c r="Q397">
        <f>IF(Q399&gt;10000,HLOOKUP(Q399,$O395:P398,4,FALSE),IF(OR(AND(22500&lt;Q395,Q395&lt;25001),AND(50000&lt;Q395,Q395&lt;53501),AND(70000&lt;Q395,Q395&lt;72501)),$F395,IF(OR(AND(25001&lt;Q395,Q395&lt;27501),AND(53500&lt;Q395,Q395&lt;57001),AND(72500&lt;Q395,Q395&lt;75001)),$G395,IF(OR(AND(27500&lt;Q395,Q395&lt;30001),AND(57000&lt;Q395,Q395&lt;60001),AND(75000&lt;Q395,Q395&lt;77500)),$H395,VLOOKUP(Q395,BDins,6,FALSE)))))</f>
        <v>2.1</v>
      </c>
      <c r="R397">
        <f>IF(R399&gt;10000,HLOOKUP(R399,$O395:Q398,4,FALSE),IF(OR(AND(22500&lt;R395,R395&lt;25001),AND(50000&lt;R395,R395&lt;53501),AND(70000&lt;R395,R395&lt;72501)),$F395,IF(OR(AND(25001&lt;R395,R395&lt;27501),AND(53500&lt;R395,R395&lt;57001),AND(72500&lt;R395,R395&lt;75001)),$G395,IF(OR(AND(27500&lt;R395,R395&lt;30001),AND(57000&lt;R395,R395&lt;60001),AND(75000&lt;R395,R395&lt;77500)),$H395,VLOOKUP(R395,BDins,6,FALSE)))))</f>
        <v>0.34</v>
      </c>
    </row>
    <row r="398" spans="1:26" x14ac:dyDescent="0.2">
      <c r="O398">
        <f>IF($K395&gt;0,ROUND(O396*$E395/100,DpCU),IF(O399&gt;10000,ROUND(HLOOKUP(O399,$O395:$R398,4,FALSE)/100*O396,DpCU),IF(OR(O395&lt;20001,O395&gt;95000,AND(60000&lt;O395,O395&lt;70001)),ROUND(ROUND(O396*JL/$C395,DcCU)*O397,DpCU),IF(OR(AND(20000&lt;O395,O395&lt;22501),AND(30000&lt;O395,O395&lt;50001),77500&lt;O395),ROUND(O397*O396,DpCU),IF(OR(AND(22500&lt;O395,O395&lt;25001),AND(50000&lt;O395,O395&lt;53501),AND(70000&lt;O395,O395&lt;72501)),ROUND($F395/100*O396,DpCU),IF(OR(AND(25000&lt;O395,O395&lt;27501),AND(53500&lt;O395,O395&lt;57001),AND(72500&lt;O395,O395&lt;75001)),ROUND($G395/100*O396,DpCU),ROUND($H395/100*O396,DpCU)))))))</f>
        <v>0.14000000000000001</v>
      </c>
      <c r="P398">
        <f>IF($K395&gt;0,ROUND(P396*$E395/100,DpCU),IF(P399&gt;10000,ROUND(HLOOKUP(P399,$O395:$R398,4,FALSE)/100*P396,DpCU),IF(OR(P395&lt;20001,P395&gt;95000,AND(60000&lt;P395,P395&lt;70001)),ROUND(ROUND(P396*JL/$C395,DcCU)*P397,DpCU),IF(OR(AND(20000&lt;P395,P395&lt;22501),AND(30000&lt;P395,P395&lt;50001),77500&lt;P395),ROUND(P397*P396,DpCU),IF(OR(AND(22500&lt;P395,P395&lt;25001),AND(50000&lt;P395,P395&lt;53501),AND(70000&lt;P395,P395&lt;72501)),ROUND($F395/100*P396,DpCU),IF(OR(AND(25000&lt;P395,P395&lt;27501),AND(53500&lt;P395,P395&lt;57001),AND(72500&lt;P395,P395&lt;75001)),ROUND($G395/100*P396,DpCU),ROUND($H395/100*P396,DpCU)))))))</f>
        <v>0.2</v>
      </c>
      <c r="Q398">
        <f>IF($K395&gt;0,ROUND(Q396*$E395/100,DpCU),IF(Q399&gt;10000,ROUND(HLOOKUP(Q399,$O395:$R398,4,FALSE)/100*Q396,DpCU),IF(OR(Q395&lt;20001,Q395&gt;95000,AND(60000&lt;Q395,Q395&lt;70001)),ROUND(ROUND(Q396*JL/$C395,DcCU)*Q397,DpCU),IF(OR(AND(20000&lt;Q395,Q395&lt;22501),AND(30000&lt;Q395,Q395&lt;50001),77500&lt;Q395),ROUND(Q397*Q396,DpCU),IF(OR(AND(22500&lt;Q395,Q395&lt;25001),AND(50000&lt;Q395,Q395&lt;53501),AND(70000&lt;Q395,Q395&lt;72501)),ROUND($F395/100*Q396,DpCU),IF(OR(AND(25000&lt;Q395,Q395&lt;27501),AND(53500&lt;Q395,Q395&lt;57001),AND(72500&lt;Q395,Q395&lt;75001)),ROUND($G395/100*Q396,DpCU),ROUND($H395/100*Q396,DpCU)))))))</f>
        <v>2.21</v>
      </c>
      <c r="R398">
        <f>IF($K395&gt;0,ROUND(R396*$E395/100,DpCU),IF(R399&gt;10000,ROUND(HLOOKUP(R399,$O395:$R398,4,FALSE)/100*R396,DpCU),IF(OR(R395&lt;20001,R395&gt;95000,AND(60000&lt;R395,R395&lt;70001)),ROUND(ROUND(R396*JL/$C395,DcCU)*R397,DpCU),IF(OR(AND(20000&lt;R395,R395&lt;22501),AND(30000&lt;R395,R395&lt;50001),77500&lt;R395),ROUND(R397*R396,DpCU),IF(OR(AND(22500&lt;R395,R395&lt;25001),AND(50000&lt;R395,R395&lt;53501),AND(70000&lt;R395,R395&lt;72501)),ROUND($F395/100*R396,DpCU),IF(OR(AND(25000&lt;R395,R395&lt;27501),AND(53500&lt;R395,R395&lt;57001),AND(72500&lt;R395,R395&lt;75001)),ROUND($G395/100*R396,DpCU),ROUND($H395/100*R396,DpCU)))))))</f>
        <v>0.02</v>
      </c>
    </row>
    <row r="399" spans="1:26" x14ac:dyDescent="0.2">
      <c r="B399" s="3" t="str">
        <f>A395&amp;"r"</f>
        <v>10079r</v>
      </c>
    </row>
    <row r="400" spans="1:26" x14ac:dyDescent="0.2">
      <c r="A400">
        <v>10080</v>
      </c>
      <c r="B400" s="3" t="s">
        <v>498</v>
      </c>
      <c r="C400" s="1">
        <f>ROUND(J400*JL*Frto/8,4)</f>
        <v>700</v>
      </c>
      <c r="D400" t="s">
        <v>356</v>
      </c>
      <c r="E400">
        <f>SUM($O403:$R403)</f>
        <v>1.26</v>
      </c>
      <c r="F400">
        <f>SUMIF($O400:$R400,"&lt;22501",$O403:$R403)</f>
        <v>0.34</v>
      </c>
      <c r="G400">
        <f>SUMIFS($O403:$R403,$O400:$R400,"&gt;30000",$O400:$R400,"&lt;50001")</f>
        <v>0.9</v>
      </c>
      <c r="H400">
        <f>SUMIFS($O403:$R403,$O400:$R400,"&gt;60000",$O400:$R400,"&lt;70001")</f>
        <v>0</v>
      </c>
      <c r="I400">
        <v>4</v>
      </c>
      <c r="J400">
        <v>700</v>
      </c>
      <c r="O400">
        <v>10001</v>
      </c>
      <c r="P400">
        <v>10004</v>
      </c>
      <c r="Q400">
        <v>30101</v>
      </c>
      <c r="R400">
        <v>70001</v>
      </c>
    </row>
    <row r="401" spans="1:22" x14ac:dyDescent="0.2">
      <c r="B401" s="3" t="str">
        <f>A400&amp;"C"</f>
        <v>10080C</v>
      </c>
      <c r="O401">
        <v>1</v>
      </c>
      <c r="P401">
        <v>1</v>
      </c>
      <c r="Q401">
        <v>1.05</v>
      </c>
      <c r="R401">
        <v>5</v>
      </c>
    </row>
    <row r="402" spans="1:22" x14ac:dyDescent="0.2">
      <c r="O402">
        <f>IF(O404&gt;10000,HLOOKUP(O404,N400:$O403,4,FALSE),IF(OR(AND(22500&lt;O400,O400&lt;25001),AND(50000&lt;O400,O400&lt;53501),AND(70000&lt;O400,O400&lt;72501)),$F400,IF(OR(AND(25001&lt;O400,O400&lt;27501),AND(53500&lt;O400,O400&lt;57001),AND(72500&lt;O400,O400&lt;75001)),$G400,IF(OR(AND(27500&lt;O400,O400&lt;30001),AND(57000&lt;O400,O400&lt;60001),AND(75000&lt;O400,O400&lt;77500)),$H400,VLOOKUP(O400,BDins,6,FALSE)))))</f>
        <v>12.64</v>
      </c>
      <c r="P402">
        <f>IF(P404&gt;10000,HLOOKUP(P404,O400:$O403,4,FALSE),IF(OR(AND(22500&lt;P400,P400&lt;25001),AND(50000&lt;P400,P400&lt;53501),AND(70000&lt;P400,P400&lt;72501)),$F400,IF(OR(AND(25001&lt;P400,P400&lt;27501),AND(53500&lt;P400,P400&lt;57001),AND(72500&lt;P400,P400&lt;75001)),$G400,IF(OR(AND(27500&lt;P400,P400&lt;30001),AND(57000&lt;P400,P400&lt;60001),AND(75000&lt;P400,P400&lt;77500)),$H400,VLOOKUP(P400,BDins,6,FALSE)))))</f>
        <v>17.59</v>
      </c>
      <c r="Q402">
        <f>IF(Q404&gt;10000,HLOOKUP(Q404,$O400:P403,4,FALSE),IF(OR(AND(22500&lt;Q400,Q400&lt;25001),AND(50000&lt;Q400,Q400&lt;53501),AND(70000&lt;Q400,Q400&lt;72501)),$F400,IF(OR(AND(25001&lt;Q400,Q400&lt;27501),AND(53500&lt;Q400,Q400&lt;57001),AND(72500&lt;Q400,Q400&lt;75001)),$G400,IF(OR(AND(27500&lt;Q400,Q400&lt;30001),AND(57000&lt;Q400,Q400&lt;60001),AND(75000&lt;Q400,Q400&lt;77500)),$H400,VLOOKUP(Q400,BDins,6,FALSE)))))</f>
        <v>0.86</v>
      </c>
      <c r="R402">
        <f>IF(R404&gt;10000,HLOOKUP(R404,$O400:Q403,4,FALSE),IF(OR(AND(22500&lt;R400,R400&lt;25001),AND(50000&lt;R400,R400&lt;53501),AND(70000&lt;R400,R400&lt;72501)),$F400,IF(OR(AND(25001&lt;R400,R400&lt;27501),AND(53500&lt;R400,R400&lt;57001),AND(72500&lt;R400,R400&lt;75001)),$G400,IF(OR(AND(27500&lt;R400,R400&lt;30001),AND(57000&lt;R400,R400&lt;60001),AND(75000&lt;R400,R400&lt;77500)),$H400,VLOOKUP(R400,BDins,6,FALSE)))))</f>
        <v>0.34</v>
      </c>
    </row>
    <row r="403" spans="1:22" x14ac:dyDescent="0.2">
      <c r="O403">
        <f>IF($K400&gt;0,ROUND(O401*$E400/100,DpCU),IF(O404&gt;10000,ROUND(HLOOKUP(O404,$O400:$R403,4,FALSE)/100*O401,DpCU),IF(OR(O400&lt;20001,O400&gt;95000,AND(60000&lt;O400,O400&lt;70001)),ROUND(ROUND(O401*JL/$C400,DcCU)*O402,DpCU),IF(OR(AND(20000&lt;O400,O400&lt;22501),AND(30000&lt;O400,O400&lt;50001),77500&lt;O400),ROUND(O402*O401,DpCU),IF(OR(AND(22500&lt;O400,O400&lt;25001),AND(50000&lt;O400,O400&lt;53501),AND(70000&lt;O400,O400&lt;72501)),ROUND($F400/100*O401,DpCU),IF(OR(AND(25000&lt;O400,O400&lt;27501),AND(53500&lt;O400,O400&lt;57001),AND(72500&lt;O400,O400&lt;75001)),ROUND($G400/100*O401,DpCU),ROUND($H400/100*O401,DpCU)))))))</f>
        <v>0.14000000000000001</v>
      </c>
      <c r="P403">
        <f>IF($K400&gt;0,ROUND(P401*$E400/100,DpCU),IF(P404&gt;10000,ROUND(HLOOKUP(P404,$O400:$R403,4,FALSE)/100*P401,DpCU),IF(OR(P400&lt;20001,P400&gt;95000,AND(60000&lt;P400,P400&lt;70001)),ROUND(ROUND(P401*JL/$C400,DcCU)*P402,DpCU),IF(OR(AND(20000&lt;P400,P400&lt;22501),AND(30000&lt;P400,P400&lt;50001),77500&lt;P400),ROUND(P402*P401,DpCU),IF(OR(AND(22500&lt;P400,P400&lt;25001),AND(50000&lt;P400,P400&lt;53501),AND(70000&lt;P400,P400&lt;72501)),ROUND($F400/100*P401,DpCU),IF(OR(AND(25000&lt;P400,P400&lt;27501),AND(53500&lt;P400,P400&lt;57001),AND(72500&lt;P400,P400&lt;75001)),ROUND($G400/100*P401,DpCU),ROUND($H400/100*P401,DpCU)))))))</f>
        <v>0.2</v>
      </c>
      <c r="Q403">
        <f>IF($K400&gt;0,ROUND(Q401*$E400/100,DpCU),IF(Q404&gt;10000,ROUND(HLOOKUP(Q404,$O400:$R403,4,FALSE)/100*Q401,DpCU),IF(OR(Q400&lt;20001,Q400&gt;95000,AND(60000&lt;Q400,Q400&lt;70001)),ROUND(ROUND(Q401*JL/$C400,DcCU)*Q402,DpCU),IF(OR(AND(20000&lt;Q400,Q400&lt;22501),AND(30000&lt;Q400,Q400&lt;50001),77500&lt;Q400),ROUND(Q402*Q401,DpCU),IF(OR(AND(22500&lt;Q400,Q400&lt;25001),AND(50000&lt;Q400,Q400&lt;53501),AND(70000&lt;Q400,Q400&lt;72501)),ROUND($F400/100*Q401,DpCU),IF(OR(AND(25000&lt;Q400,Q400&lt;27501),AND(53500&lt;Q400,Q400&lt;57001),AND(72500&lt;Q400,Q400&lt;75001)),ROUND($G400/100*Q401,DpCU),ROUND($H400/100*Q401,DpCU)))))))</f>
        <v>0.9</v>
      </c>
      <c r="R403">
        <f>IF($K400&gt;0,ROUND(R401*$E400/100,DpCU),IF(R404&gt;10000,ROUND(HLOOKUP(R404,$O400:$R403,4,FALSE)/100*R401,DpCU),IF(OR(R400&lt;20001,R400&gt;95000,AND(60000&lt;R400,R400&lt;70001)),ROUND(ROUND(R401*JL/$C400,DcCU)*R402,DpCU),IF(OR(AND(20000&lt;R400,R400&lt;22501),AND(30000&lt;R400,R400&lt;50001),77500&lt;R400),ROUND(R402*R401,DpCU),IF(OR(AND(22500&lt;R400,R400&lt;25001),AND(50000&lt;R400,R400&lt;53501),AND(70000&lt;R400,R400&lt;72501)),ROUND($F400/100*R401,DpCU),IF(OR(AND(25000&lt;R400,R400&lt;27501),AND(53500&lt;R400,R400&lt;57001),AND(72500&lt;R400,R400&lt;75001)),ROUND($G400/100*R401,DpCU),ROUND($H400/100*R401,DpCU)))))))</f>
        <v>0.02</v>
      </c>
    </row>
    <row r="404" spans="1:22" x14ac:dyDescent="0.2">
      <c r="B404" s="3" t="str">
        <f>A400&amp;"r"</f>
        <v>10080r</v>
      </c>
    </row>
    <row r="405" spans="1:22" x14ac:dyDescent="0.2">
      <c r="A405">
        <v>10081</v>
      </c>
      <c r="B405" s="3" t="s">
        <v>522</v>
      </c>
      <c r="C405" s="1">
        <f>ROUND(J405*JL*Frto/8,4)</f>
        <v>2</v>
      </c>
      <c r="D405" t="s">
        <v>320</v>
      </c>
      <c r="E405">
        <f>SUM($O408:$P408)</f>
        <v>189.9</v>
      </c>
      <c r="F405">
        <f>SUMIF($O405:$P405,"&lt;22501",$O408:$P408)</f>
        <v>0</v>
      </c>
      <c r="G405">
        <f>SUMIFS($O408:$P408,$O405:$P405,"&gt;30000",$O405:$P405,"&lt;50001")</f>
        <v>149.9</v>
      </c>
      <c r="H405">
        <f>SUMIFS($O408:$P408,$O405:$P405,"&gt;60000",$O405:$P405,"&lt;70001")</f>
        <v>0</v>
      </c>
      <c r="I405">
        <v>2</v>
      </c>
      <c r="J405">
        <v>2</v>
      </c>
      <c r="O405">
        <v>30102</v>
      </c>
      <c r="P405">
        <v>80010</v>
      </c>
    </row>
    <row r="406" spans="1:22" x14ac:dyDescent="0.2">
      <c r="B406" s="3" t="str">
        <f>A405&amp;"C"</f>
        <v>10081C</v>
      </c>
      <c r="O406">
        <v>1</v>
      </c>
      <c r="P406">
        <v>1</v>
      </c>
    </row>
    <row r="407" spans="1:22" x14ac:dyDescent="0.2">
      <c r="O407">
        <f>IF(O409&gt;10000,HLOOKUP(O409,N405:$O408,4,FALSE),IF(OR(AND(22500&lt;O405,O405&lt;25001),AND(50000&lt;O405,O405&lt;53501),AND(70000&lt;O405,O405&lt;72501)),$F405,IF(OR(AND(25001&lt;O405,O405&lt;27501),AND(53500&lt;O405,O405&lt;57001),AND(72500&lt;O405,O405&lt;75001)),$G405,IF(OR(AND(27500&lt;O405,O405&lt;30001),AND(57000&lt;O405,O405&lt;60001),AND(75000&lt;O405,O405&lt;77500)),$H405,VLOOKUP(O405,BDins,6,FALSE)))))</f>
        <v>149.9</v>
      </c>
      <c r="P407">
        <f>IF(P409&gt;10000,HLOOKUP(P409,O405:$O408,4,FALSE),IF(OR(AND(22500&lt;P405,P405&lt;25001),AND(50000&lt;P405,P405&lt;53501),AND(70000&lt;P405,P405&lt;72501)),$F405,IF(OR(AND(25001&lt;P405,P405&lt;27501),AND(53500&lt;P405,P405&lt;57001),AND(72500&lt;P405,P405&lt;75001)),$G405,IF(OR(AND(27500&lt;P405,P405&lt;30001),AND(57000&lt;P405,P405&lt;60001),AND(75000&lt;P405,P405&lt;77500)),$H405,VLOOKUP(P405,BDins,6,FALSE)))))</f>
        <v>40</v>
      </c>
    </row>
    <row r="408" spans="1:22" x14ac:dyDescent="0.2">
      <c r="O408">
        <f>IF($K405&gt;0,ROUND(O406*$E405/100,DpCU),IF(O409&gt;10000,ROUND(HLOOKUP(O409,$O405:$P408,4,FALSE)/100*O406,DpCU),IF(OR(O405&lt;20001,O405&gt;95000,AND(60000&lt;O405,O405&lt;70001)),ROUND(ROUND(O406*JL/$C405,DcCU)*O407,DpCU),IF(OR(AND(20000&lt;O405,O405&lt;22501),AND(30000&lt;O405,O405&lt;50001),77500&lt;O405),ROUND(O407*O406,DpCU),IF(OR(AND(22500&lt;O405,O405&lt;25001),AND(50000&lt;O405,O405&lt;53501),AND(70000&lt;O405,O405&lt;72501)),ROUND($F405/100*O406,DpCU),IF(OR(AND(25000&lt;O405,O405&lt;27501),AND(53500&lt;O405,O405&lt;57001),AND(72500&lt;O405,O405&lt;75001)),ROUND($G405/100*O406,DpCU),ROUND($H405/100*O406,DpCU)))))))</f>
        <v>149.9</v>
      </c>
      <c r="P408">
        <f>IF($K405&gt;0,ROUND(P406*$E405/100,DpCU),IF(P409&gt;10000,ROUND(HLOOKUP(P409,$O405:$P408,4,FALSE)/100*P406,DpCU),IF(OR(P405&lt;20001,P405&gt;95000,AND(60000&lt;P405,P405&lt;70001)),ROUND(ROUND(P406*JL/$C405,DcCU)*P407,DpCU),IF(OR(AND(20000&lt;P405,P405&lt;22501),AND(30000&lt;P405,P405&lt;50001),77500&lt;P405),ROUND(P407*P406,DpCU),IF(OR(AND(22500&lt;P405,P405&lt;25001),AND(50000&lt;P405,P405&lt;53501),AND(70000&lt;P405,P405&lt;72501)),ROUND($F405/100*P406,DpCU),IF(OR(AND(25000&lt;P405,P405&lt;27501),AND(53500&lt;P405,P405&lt;57001),AND(72500&lt;P405,P405&lt;75001)),ROUND($G405/100*P406,DpCU),ROUND($H405/100*P406,DpCU)))))))</f>
        <v>40</v>
      </c>
    </row>
    <row r="409" spans="1:22" x14ac:dyDescent="0.2">
      <c r="B409" s="3" t="str">
        <f>A405&amp;"r"</f>
        <v>10081r</v>
      </c>
    </row>
    <row r="410" spans="1:22" x14ac:dyDescent="0.2">
      <c r="A410">
        <v>10082</v>
      </c>
      <c r="B410" s="3" t="s">
        <v>526</v>
      </c>
      <c r="C410" s="1">
        <f>ROUND(J410*JL*Frto/8,4)</f>
        <v>1</v>
      </c>
      <c r="D410" t="s">
        <v>167</v>
      </c>
      <c r="E410">
        <f>SUM($O413:$O413)</f>
        <v>800</v>
      </c>
      <c r="F410">
        <f>SUMIF($O410:$O410,"&lt;22501",$O413:$O413)</f>
        <v>0</v>
      </c>
      <c r="G410">
        <f>SUMIFS($O413:$O413,$O410:$O410,"&gt;30000",$O410:$O410,"&lt;50001")</f>
        <v>0</v>
      </c>
      <c r="H410">
        <f>SUMIFS($O413:$O413,$O410:$O410,"&gt;60000",$O410:$O410,"&lt;70001")</f>
        <v>0</v>
      </c>
      <c r="I410">
        <v>1</v>
      </c>
      <c r="J410">
        <v>1</v>
      </c>
      <c r="O410">
        <v>80011</v>
      </c>
    </row>
    <row r="411" spans="1:22" x14ac:dyDescent="0.2">
      <c r="B411" s="3" t="str">
        <f>A410&amp;"C"</f>
        <v>10082C</v>
      </c>
      <c r="O411">
        <v>1</v>
      </c>
    </row>
    <row r="412" spans="1:22" x14ac:dyDescent="0.2">
      <c r="O412">
        <f>IF(O414&gt;10000,HLOOKUP(O414,N410:$O413,4,FALSE),IF(OR(AND(22500&lt;O410,O410&lt;25001),AND(50000&lt;O410,O410&lt;53501),AND(70000&lt;O410,O410&lt;72501)),$F410,IF(OR(AND(25001&lt;O410,O410&lt;27501),AND(53500&lt;O410,O410&lt;57001),AND(72500&lt;O410,O410&lt;75001)),$G410,IF(OR(AND(27500&lt;O410,O410&lt;30001),AND(57000&lt;O410,O410&lt;60001),AND(75000&lt;O410,O410&lt;77500)),$H410,VLOOKUP(O410,BDins,6,FALSE)))))</f>
        <v>800</v>
      </c>
    </row>
    <row r="413" spans="1:22" x14ac:dyDescent="0.2">
      <c r="O413">
        <f>IF($K410&gt;0,ROUND(O411*$E410/100,DpCU),IF(O414&gt;10000,ROUND(HLOOKUP(O414,$O410:$O413,4,FALSE)/100*O411,DpCU),IF(OR(O410&lt;20001,O410&gt;95000,AND(60000&lt;O410,O410&lt;70001)),ROUND(ROUND(O411*JL/$C410,DcCU)*O412,DpCU),IF(OR(AND(20000&lt;O410,O410&lt;22501),AND(30000&lt;O410,O410&lt;50001),77500&lt;O410),ROUND(O412*O411,DpCU),IF(OR(AND(22500&lt;O410,O410&lt;25001),AND(50000&lt;O410,O410&lt;53501),AND(70000&lt;O410,O410&lt;72501)),ROUND($F410/100*O411,DpCU),IF(OR(AND(25000&lt;O410,O410&lt;27501),AND(53500&lt;O410,O410&lt;57001),AND(72500&lt;O410,O410&lt;75001)),ROUND($G410/100*O411,DpCU),ROUND($H410/100*O411,DpCU)))))))</f>
        <v>800</v>
      </c>
    </row>
    <row r="414" spans="1:22" x14ac:dyDescent="0.2">
      <c r="B414" s="3" t="str">
        <f>A410&amp;"r"</f>
        <v>10082r</v>
      </c>
    </row>
    <row r="415" spans="1:22" x14ac:dyDescent="0.2">
      <c r="A415">
        <v>10083</v>
      </c>
      <c r="B415" s="3" t="s">
        <v>532</v>
      </c>
      <c r="C415" s="1">
        <f>ROUND(J415*JL*Frto/8,4)</f>
        <v>24</v>
      </c>
      <c r="D415" t="s">
        <v>478</v>
      </c>
      <c r="E415">
        <f>SUM($O418:$V418)</f>
        <v>22.47</v>
      </c>
      <c r="F415">
        <f>SUMIF($O415:$V415,"&lt;22501",$O418:$V418)</f>
        <v>10.07</v>
      </c>
      <c r="G415">
        <f>SUMIFS($O418:$V418,$O415:$V415,"&gt;30000",$O415:$V415,"&lt;50001")</f>
        <v>12.1</v>
      </c>
      <c r="H415">
        <f>SUMIFS($O418:$V418,$O415:$V415,"&gt;60000",$O415:$V415,"&lt;70001")</f>
        <v>0</v>
      </c>
      <c r="I415">
        <v>8</v>
      </c>
      <c r="J415">
        <v>24</v>
      </c>
      <c r="O415">
        <v>10001</v>
      </c>
      <c r="P415">
        <v>10004</v>
      </c>
      <c r="Q415">
        <v>30079</v>
      </c>
      <c r="R415">
        <v>30103</v>
      </c>
      <c r="S415">
        <v>30104</v>
      </c>
      <c r="T415">
        <v>30105</v>
      </c>
      <c r="U415">
        <v>30106</v>
      </c>
      <c r="V415">
        <v>70001</v>
      </c>
    </row>
    <row r="416" spans="1:22" x14ac:dyDescent="0.2">
      <c r="B416" s="3" t="str">
        <f>A415&amp;"C"</f>
        <v>10083C</v>
      </c>
      <c r="O416">
        <v>1</v>
      </c>
      <c r="P416">
        <v>1</v>
      </c>
      <c r="Q416">
        <v>7.0000000000000007E-2</v>
      </c>
      <c r="R416">
        <v>1.05</v>
      </c>
      <c r="S416">
        <v>0.32</v>
      </c>
      <c r="T416">
        <v>0.39</v>
      </c>
      <c r="U416">
        <v>0.16</v>
      </c>
      <c r="V416">
        <v>3</v>
      </c>
    </row>
    <row r="417" spans="1:22" x14ac:dyDescent="0.2">
      <c r="O417">
        <f>IF(O419&gt;10000,HLOOKUP(O419,N415:$O418,4,FALSE),IF(OR(AND(22500&lt;O415,O415&lt;25001),AND(50000&lt;O415,O415&lt;53501),AND(70000&lt;O415,O415&lt;72501)),$F415,IF(OR(AND(25001&lt;O415,O415&lt;27501),AND(53500&lt;O415,O415&lt;57001),AND(72500&lt;O415,O415&lt;75001)),$G415,IF(OR(AND(27500&lt;O415,O415&lt;30001),AND(57000&lt;O415,O415&lt;60001),AND(75000&lt;O415,O415&lt;77500)),$H415,VLOOKUP(O415,BDins,6,FALSE)))))</f>
        <v>12.64</v>
      </c>
      <c r="P417">
        <f>IF(P419&gt;10000,HLOOKUP(P419,O415:$O418,4,FALSE),IF(OR(AND(22500&lt;P415,P415&lt;25001),AND(50000&lt;P415,P415&lt;53501),AND(70000&lt;P415,P415&lt;72501)),$F415,IF(OR(AND(25001&lt;P415,P415&lt;27501),AND(53500&lt;P415,P415&lt;57001),AND(72500&lt;P415,P415&lt;75001)),$G415,IF(OR(AND(27500&lt;P415,P415&lt;30001),AND(57000&lt;P415,P415&lt;60001),AND(75000&lt;P415,P415&lt;77500)),$H415,VLOOKUP(P415,BDins,6,FALSE)))))</f>
        <v>17.59</v>
      </c>
      <c r="Q417">
        <f>IF(Q419&gt;10000,HLOOKUP(Q419,$O415:P418,4,FALSE),IF(OR(AND(22500&lt;Q415,Q415&lt;25001),AND(50000&lt;Q415,Q415&lt;53501),AND(70000&lt;Q415,Q415&lt;72501)),$F415,IF(OR(AND(25001&lt;Q415,Q415&lt;27501),AND(53500&lt;Q415,Q415&lt;57001),AND(72500&lt;Q415,Q415&lt;75001)),$G415,IF(OR(AND(27500&lt;Q415,Q415&lt;30001),AND(57000&lt;Q415,Q415&lt;60001),AND(75000&lt;Q415,Q415&lt;77500)),$H415,VLOOKUP(Q415,BDins,6,FALSE)))))</f>
        <v>90</v>
      </c>
      <c r="R417">
        <f>IF(R419&gt;10000,HLOOKUP(R419,$O415:Q418,4,FALSE),IF(OR(AND(22500&lt;R415,R415&lt;25001),AND(50000&lt;R415,R415&lt;53501),AND(70000&lt;R415,R415&lt;72501)),$F415,IF(OR(AND(25001&lt;R415,R415&lt;27501),AND(53500&lt;R415,R415&lt;57001),AND(72500&lt;R415,R415&lt;75001)),$G415,IF(OR(AND(27500&lt;R415,R415&lt;30001),AND(57000&lt;R415,R415&lt;60001),AND(75000&lt;R415,R415&lt;77500)),$H415,VLOOKUP(R415,BDins,6,FALSE)))))</f>
        <v>3</v>
      </c>
      <c r="S417">
        <f>IF(S419&gt;10000,HLOOKUP(S419,$O415:R418,4,FALSE),IF(OR(AND(22500&lt;S415,S415&lt;25001),AND(50000&lt;S415,S415&lt;53501),AND(70000&lt;S415,S415&lt;72501)),$F415,IF(OR(AND(25001&lt;S415,S415&lt;27501),AND(53500&lt;S415,S415&lt;57001),AND(72500&lt;S415,S415&lt;75001)),$G415,IF(OR(AND(27500&lt;S415,S415&lt;30001),AND(57000&lt;S415,S415&lt;60001),AND(75000&lt;S415,S415&lt;77500)),$H415,VLOOKUP(S415,BDins,6,FALSE)))))</f>
        <v>2.5</v>
      </c>
      <c r="T417">
        <f>IF(T419&gt;10000,HLOOKUP(T419,$O415:S418,4,FALSE),IF(OR(AND(22500&lt;T415,T415&lt;25001),AND(50000&lt;T415,T415&lt;53501),AND(70000&lt;T415,T415&lt;72501)),$F415,IF(OR(AND(25001&lt;T415,T415&lt;27501),AND(53500&lt;T415,T415&lt;57001),AND(72500&lt;T415,T415&lt;75001)),$G415,IF(OR(AND(27500&lt;T415,T415&lt;30001),AND(57000&lt;T415,T415&lt;60001),AND(75000&lt;T415,T415&lt;77500)),$H415,VLOOKUP(T415,BDins,6,FALSE)))))</f>
        <v>3.3</v>
      </c>
      <c r="U417">
        <f>IF(U419&gt;10000,HLOOKUP(U419,$O415:T418,4,FALSE),IF(OR(AND(22500&lt;U415,U415&lt;25001),AND(50000&lt;U415,U415&lt;53501),AND(70000&lt;U415,U415&lt;72501)),$F415,IF(OR(AND(25001&lt;U415,U415&lt;27501),AND(53500&lt;U415,U415&lt;57001),AND(72500&lt;U415,U415&lt;75001)),$G415,IF(OR(AND(27500&lt;U415,U415&lt;30001),AND(57000&lt;U415,U415&lt;60001),AND(75000&lt;U415,U415&lt;77500)),$H415,VLOOKUP(U415,BDins,6,FALSE)))))</f>
        <v>3.5</v>
      </c>
      <c r="V417">
        <f>IF(V419&gt;10000,HLOOKUP(V419,$O415:U418,4,FALSE),IF(OR(AND(22500&lt;V415,V415&lt;25001),AND(50000&lt;V415,V415&lt;53501),AND(70000&lt;V415,V415&lt;72501)),$F415,IF(OR(AND(25001&lt;V415,V415&lt;27501),AND(53500&lt;V415,V415&lt;57001),AND(72500&lt;V415,V415&lt;75001)),$G415,IF(OR(AND(27500&lt;V415,V415&lt;30001),AND(57000&lt;V415,V415&lt;60001),AND(75000&lt;V415,V415&lt;77500)),$H415,VLOOKUP(V415,BDins,6,FALSE)))))</f>
        <v>10.07</v>
      </c>
    </row>
    <row r="418" spans="1:22" x14ac:dyDescent="0.2">
      <c r="O418">
        <f t="shared" ref="O418:V418" si="45">IF($K415&gt;0,ROUND(O416*$E415/100,DpCU),IF(O419&gt;10000,ROUND(HLOOKUP(O419,$O415:$V418,4,FALSE)/100*O416,DpCU),IF(OR(O415&lt;20001,O415&gt;95000,AND(60000&lt;O415,O415&lt;70001)),ROUND(ROUND(O416*JL/$C415,DcCU)*O417,DpCU),IF(OR(AND(20000&lt;O415,O415&lt;22501),AND(30000&lt;O415,O415&lt;50001),77500&lt;O415),ROUND(O417*O416,DpCU),IF(OR(AND(22500&lt;O415,O415&lt;25001),AND(50000&lt;O415,O415&lt;53501),AND(70000&lt;O415,O415&lt;72501)),ROUND($F415/100*O416,DpCU),IF(OR(AND(25000&lt;O415,O415&lt;27501),AND(53500&lt;O415,O415&lt;57001),AND(72500&lt;O415,O415&lt;75001)),ROUND($G415/100*O416,DpCU),ROUND($H415/100*O416,DpCU)))))))</f>
        <v>4.21</v>
      </c>
      <c r="P418">
        <f t="shared" si="45"/>
        <v>5.86</v>
      </c>
      <c r="Q418">
        <f t="shared" si="45"/>
        <v>6.3</v>
      </c>
      <c r="R418">
        <f t="shared" si="45"/>
        <v>3.15</v>
      </c>
      <c r="S418">
        <f t="shared" si="45"/>
        <v>0.8</v>
      </c>
      <c r="T418">
        <f t="shared" si="45"/>
        <v>1.29</v>
      </c>
      <c r="U418">
        <f t="shared" si="45"/>
        <v>0.56000000000000005</v>
      </c>
      <c r="V418">
        <f t="shared" si="45"/>
        <v>0.3</v>
      </c>
    </row>
    <row r="419" spans="1:22" x14ac:dyDescent="0.2">
      <c r="B419" s="3" t="str">
        <f>A415&amp;"r"</f>
        <v>10083r</v>
      </c>
    </row>
    <row r="420" spans="1:22" x14ac:dyDescent="0.2">
      <c r="A420">
        <v>10084</v>
      </c>
      <c r="B420" s="3" t="s">
        <v>538</v>
      </c>
      <c r="C420" s="1">
        <f>ROUND(J420*JL*Frto/8,4)</f>
        <v>6</v>
      </c>
      <c r="D420" t="s">
        <v>478</v>
      </c>
      <c r="E420">
        <f>SUM($O423:$U423)</f>
        <v>64.219999999999985</v>
      </c>
      <c r="F420">
        <f>SUMIF($O420:$U420,"&lt;22501",$O423:$U423)</f>
        <v>40.299999999999997</v>
      </c>
      <c r="G420">
        <f>SUMIFS($O423:$U423,$O420:$U420,"&gt;30000",$O420:$U420,"&lt;50001")</f>
        <v>22.71</v>
      </c>
      <c r="H420">
        <f>SUMIFS($O423:$U423,$O420:$U420,"&gt;60000",$O420:$U420,"&lt;70001")</f>
        <v>0</v>
      </c>
      <c r="I420">
        <v>7</v>
      </c>
      <c r="J420">
        <v>6</v>
      </c>
      <c r="O420">
        <v>10001</v>
      </c>
      <c r="P420">
        <v>10004</v>
      </c>
      <c r="Q420">
        <v>30079</v>
      </c>
      <c r="R420">
        <v>30107</v>
      </c>
      <c r="S420">
        <v>30108</v>
      </c>
      <c r="T420">
        <v>30109</v>
      </c>
      <c r="U420">
        <v>70001</v>
      </c>
    </row>
    <row r="421" spans="1:22" x14ac:dyDescent="0.2">
      <c r="B421" s="3" t="str">
        <f>A420&amp;"C"</f>
        <v>10084C</v>
      </c>
      <c r="O421">
        <v>1</v>
      </c>
      <c r="P421">
        <v>1</v>
      </c>
      <c r="Q421">
        <v>0.02</v>
      </c>
      <c r="R421">
        <v>1.05</v>
      </c>
      <c r="S421">
        <v>0.6</v>
      </c>
      <c r="T421">
        <v>0.6</v>
      </c>
      <c r="U421">
        <v>3</v>
      </c>
    </row>
    <row r="422" spans="1:22" x14ac:dyDescent="0.2">
      <c r="O422">
        <f>IF(O424&gt;10000,HLOOKUP(O424,N420:$O423,4,FALSE),IF(OR(AND(22500&lt;O420,O420&lt;25001),AND(50000&lt;O420,O420&lt;53501),AND(70000&lt;O420,O420&lt;72501)),$F420,IF(OR(AND(25001&lt;O420,O420&lt;27501),AND(53500&lt;O420,O420&lt;57001),AND(72500&lt;O420,O420&lt;75001)),$G420,IF(OR(AND(27500&lt;O420,O420&lt;30001),AND(57000&lt;O420,O420&lt;60001),AND(75000&lt;O420,O420&lt;77500)),$H420,VLOOKUP(O420,BDins,6,FALSE)))))</f>
        <v>12.64</v>
      </c>
      <c r="P422">
        <f>IF(P424&gt;10000,HLOOKUP(P424,O420:$O423,4,FALSE),IF(OR(AND(22500&lt;P420,P420&lt;25001),AND(50000&lt;P420,P420&lt;53501),AND(70000&lt;P420,P420&lt;72501)),$F420,IF(OR(AND(25001&lt;P420,P420&lt;27501),AND(53500&lt;P420,P420&lt;57001),AND(72500&lt;P420,P420&lt;75001)),$G420,IF(OR(AND(27500&lt;P420,P420&lt;30001),AND(57000&lt;P420,P420&lt;60001),AND(75000&lt;P420,P420&lt;77500)),$H420,VLOOKUP(P420,BDins,6,FALSE)))))</f>
        <v>17.59</v>
      </c>
      <c r="Q422">
        <f>IF(Q424&gt;10000,HLOOKUP(Q424,$O420:P423,4,FALSE),IF(OR(AND(22500&lt;Q420,Q420&lt;25001),AND(50000&lt;Q420,Q420&lt;53501),AND(70000&lt;Q420,Q420&lt;72501)),$F420,IF(OR(AND(25001&lt;Q420,Q420&lt;27501),AND(53500&lt;Q420,Q420&lt;57001),AND(72500&lt;Q420,Q420&lt;75001)),$G420,IF(OR(AND(27500&lt;Q420,Q420&lt;30001),AND(57000&lt;Q420,Q420&lt;60001),AND(75000&lt;Q420,Q420&lt;77500)),$H420,VLOOKUP(Q420,BDins,6,FALSE)))))</f>
        <v>90</v>
      </c>
      <c r="R422">
        <f>IF(R424&gt;10000,HLOOKUP(R424,$O420:Q423,4,FALSE),IF(OR(AND(22500&lt;R420,R420&lt;25001),AND(50000&lt;R420,R420&lt;53501),AND(70000&lt;R420,R420&lt;72501)),$F420,IF(OR(AND(25001&lt;R420,R420&lt;27501),AND(53500&lt;R420,R420&lt;57001),AND(72500&lt;R420,R420&lt;75001)),$G420,IF(OR(AND(27500&lt;R420,R420&lt;30001),AND(57000&lt;R420,R420&lt;60001),AND(75000&lt;R420,R420&lt;77500)),$H420,VLOOKUP(R420,BDins,6,FALSE)))))</f>
        <v>11</v>
      </c>
      <c r="S422">
        <f>IF(S424&gt;10000,HLOOKUP(S424,$O420:R423,4,FALSE),IF(OR(AND(22500&lt;S420,S420&lt;25001),AND(50000&lt;S420,S420&lt;53501),AND(70000&lt;S420,S420&lt;72501)),$F420,IF(OR(AND(25001&lt;S420,S420&lt;27501),AND(53500&lt;S420,S420&lt;57001),AND(72500&lt;S420,S420&lt;75001)),$G420,IF(OR(AND(27500&lt;S420,S420&lt;30001),AND(57000&lt;S420,S420&lt;60001),AND(75000&lt;S420,S420&lt;77500)),$H420,VLOOKUP(S420,BDins,6,FALSE)))))</f>
        <v>8.8000000000000007</v>
      </c>
      <c r="T422">
        <f>IF(T424&gt;10000,HLOOKUP(T424,$O420:S423,4,FALSE),IF(OR(AND(22500&lt;T420,T420&lt;25001),AND(50000&lt;T420,T420&lt;53501),AND(70000&lt;T420,T420&lt;72501)),$F420,IF(OR(AND(25001&lt;T420,T420&lt;27501),AND(53500&lt;T420,T420&lt;57001),AND(72500&lt;T420,T420&lt;75001)),$G420,IF(OR(AND(27500&lt;T420,T420&lt;30001),AND(57000&lt;T420,T420&lt;60001),AND(75000&lt;T420,T420&lt;77500)),$H420,VLOOKUP(T420,BDins,6,FALSE)))))</f>
        <v>6.8</v>
      </c>
      <c r="U422">
        <f>IF(U424&gt;10000,HLOOKUP(U424,$O420:T423,4,FALSE),IF(OR(AND(22500&lt;U420,U420&lt;25001),AND(50000&lt;U420,U420&lt;53501),AND(70000&lt;U420,U420&lt;72501)),$F420,IF(OR(AND(25001&lt;U420,U420&lt;27501),AND(53500&lt;U420,U420&lt;57001),AND(72500&lt;U420,U420&lt;75001)),$G420,IF(OR(AND(27500&lt;U420,U420&lt;30001),AND(57000&lt;U420,U420&lt;60001),AND(75000&lt;U420,U420&lt;77500)),$H420,VLOOKUP(U420,BDins,6,FALSE)))))</f>
        <v>40.299999999999997</v>
      </c>
    </row>
    <row r="423" spans="1:22" x14ac:dyDescent="0.2">
      <c r="O423">
        <f t="shared" ref="O423:U423" si="46">IF($K420&gt;0,ROUND(O421*$E420/100,DpCU),IF(O424&gt;10000,ROUND(HLOOKUP(O424,$O420:$U423,4,FALSE)/100*O421,DpCU),IF(OR(O420&lt;20001,O420&gt;95000,AND(60000&lt;O420,O420&lt;70001)),ROUND(ROUND(O421*JL/$C420,DcCU)*O422,DpCU),IF(OR(AND(20000&lt;O420,O420&lt;22501),AND(30000&lt;O420,O420&lt;50001),77500&lt;O420),ROUND(O422*O421,DpCU),IF(OR(AND(22500&lt;O420,O420&lt;25001),AND(50000&lt;O420,O420&lt;53501),AND(70000&lt;O420,O420&lt;72501)),ROUND($F420/100*O421,DpCU),IF(OR(AND(25000&lt;O420,O420&lt;27501),AND(53500&lt;O420,O420&lt;57001),AND(72500&lt;O420,O420&lt;75001)),ROUND($G420/100*O421,DpCU),ROUND($H420/100*O421,DpCU)))))))</f>
        <v>16.850000000000001</v>
      </c>
      <c r="P423">
        <f t="shared" si="46"/>
        <v>23.45</v>
      </c>
      <c r="Q423">
        <f t="shared" si="46"/>
        <v>1.8</v>
      </c>
      <c r="R423">
        <f t="shared" si="46"/>
        <v>11.55</v>
      </c>
      <c r="S423">
        <f t="shared" si="46"/>
        <v>5.28</v>
      </c>
      <c r="T423">
        <f t="shared" si="46"/>
        <v>4.08</v>
      </c>
      <c r="U423">
        <f t="shared" si="46"/>
        <v>1.21</v>
      </c>
    </row>
    <row r="424" spans="1:22" x14ac:dyDescent="0.2">
      <c r="B424" s="3" t="str">
        <f>A420&amp;"r"</f>
        <v>10084r</v>
      </c>
    </row>
    <row r="425" spans="1:22" x14ac:dyDescent="0.2">
      <c r="A425">
        <v>10085</v>
      </c>
      <c r="B425" s="3" t="s">
        <v>543</v>
      </c>
      <c r="C425" s="1">
        <f>ROUND(J425*JL*Frto/8,4)</f>
        <v>6</v>
      </c>
      <c r="D425" t="s">
        <v>478</v>
      </c>
      <c r="E425">
        <f>SUM($O428:$U428)</f>
        <v>57.289999999999992</v>
      </c>
      <c r="F425">
        <f>SUMIF($O425:$U425,"&lt;22501",$O428:$U428)</f>
        <v>40.299999999999997</v>
      </c>
      <c r="G425">
        <f>SUMIFS($O428:$U428,$O425:$U425,"&gt;30000",$O425:$U425,"&lt;50001")</f>
        <v>15.780000000000001</v>
      </c>
      <c r="H425">
        <f>SUMIFS($O428:$U428,$O425:$U425,"&gt;60000",$O425:$U425,"&lt;70001")</f>
        <v>0</v>
      </c>
      <c r="I425">
        <v>7</v>
      </c>
      <c r="J425">
        <v>6</v>
      </c>
      <c r="O425">
        <v>10001</v>
      </c>
      <c r="P425">
        <v>10004</v>
      </c>
      <c r="Q425">
        <v>30079</v>
      </c>
      <c r="R425">
        <v>30103</v>
      </c>
      <c r="S425">
        <v>30104</v>
      </c>
      <c r="T425">
        <v>30105</v>
      </c>
      <c r="U425">
        <v>70001</v>
      </c>
    </row>
    <row r="426" spans="1:22" x14ac:dyDescent="0.2">
      <c r="B426" s="3" t="str">
        <f>A425&amp;"C"</f>
        <v>10085C</v>
      </c>
      <c r="O426">
        <v>1</v>
      </c>
      <c r="P426">
        <v>1</v>
      </c>
      <c r="Q426">
        <v>0.02</v>
      </c>
      <c r="R426">
        <v>3</v>
      </c>
      <c r="S426">
        <v>1.2</v>
      </c>
      <c r="T426">
        <v>0.6</v>
      </c>
      <c r="U426">
        <v>3</v>
      </c>
    </row>
    <row r="427" spans="1:22" x14ac:dyDescent="0.2">
      <c r="O427">
        <f>IF(O429&gt;10000,HLOOKUP(O429,N425:$O428,4,FALSE),IF(OR(AND(22500&lt;O425,O425&lt;25001),AND(50000&lt;O425,O425&lt;53501),AND(70000&lt;O425,O425&lt;72501)),$F425,IF(OR(AND(25001&lt;O425,O425&lt;27501),AND(53500&lt;O425,O425&lt;57001),AND(72500&lt;O425,O425&lt;75001)),$G425,IF(OR(AND(27500&lt;O425,O425&lt;30001),AND(57000&lt;O425,O425&lt;60001),AND(75000&lt;O425,O425&lt;77500)),$H425,VLOOKUP(O425,BDins,6,FALSE)))))</f>
        <v>12.64</v>
      </c>
      <c r="P427">
        <f>IF(P429&gt;10000,HLOOKUP(P429,O425:$O428,4,FALSE),IF(OR(AND(22500&lt;P425,P425&lt;25001),AND(50000&lt;P425,P425&lt;53501),AND(70000&lt;P425,P425&lt;72501)),$F425,IF(OR(AND(25001&lt;P425,P425&lt;27501),AND(53500&lt;P425,P425&lt;57001),AND(72500&lt;P425,P425&lt;75001)),$G425,IF(OR(AND(27500&lt;P425,P425&lt;30001),AND(57000&lt;P425,P425&lt;60001),AND(75000&lt;P425,P425&lt;77500)),$H425,VLOOKUP(P425,BDins,6,FALSE)))))</f>
        <v>17.59</v>
      </c>
      <c r="Q427">
        <f>IF(Q429&gt;10000,HLOOKUP(Q429,$O425:P428,4,FALSE),IF(OR(AND(22500&lt;Q425,Q425&lt;25001),AND(50000&lt;Q425,Q425&lt;53501),AND(70000&lt;Q425,Q425&lt;72501)),$F425,IF(OR(AND(25001&lt;Q425,Q425&lt;27501),AND(53500&lt;Q425,Q425&lt;57001),AND(72500&lt;Q425,Q425&lt;75001)),$G425,IF(OR(AND(27500&lt;Q425,Q425&lt;30001),AND(57000&lt;Q425,Q425&lt;60001),AND(75000&lt;Q425,Q425&lt;77500)),$H425,VLOOKUP(Q425,BDins,6,FALSE)))))</f>
        <v>90</v>
      </c>
      <c r="R427">
        <f>IF(R429&gt;10000,HLOOKUP(R429,$O425:Q428,4,FALSE),IF(OR(AND(22500&lt;R425,R425&lt;25001),AND(50000&lt;R425,R425&lt;53501),AND(70000&lt;R425,R425&lt;72501)),$F425,IF(OR(AND(25001&lt;R425,R425&lt;27501),AND(53500&lt;R425,R425&lt;57001),AND(72500&lt;R425,R425&lt;75001)),$G425,IF(OR(AND(27500&lt;R425,R425&lt;30001),AND(57000&lt;R425,R425&lt;60001),AND(75000&lt;R425,R425&lt;77500)),$H425,VLOOKUP(R425,BDins,6,FALSE)))))</f>
        <v>3</v>
      </c>
      <c r="S427">
        <f>IF(S429&gt;10000,HLOOKUP(S429,$O425:R428,4,FALSE),IF(OR(AND(22500&lt;S425,S425&lt;25001),AND(50000&lt;S425,S425&lt;53501),AND(70000&lt;S425,S425&lt;72501)),$F425,IF(OR(AND(25001&lt;S425,S425&lt;27501),AND(53500&lt;S425,S425&lt;57001),AND(72500&lt;S425,S425&lt;75001)),$G425,IF(OR(AND(27500&lt;S425,S425&lt;30001),AND(57000&lt;S425,S425&lt;60001),AND(75000&lt;S425,S425&lt;77500)),$H425,VLOOKUP(S425,BDins,6,FALSE)))))</f>
        <v>2.5</v>
      </c>
      <c r="T427">
        <f>IF(T429&gt;10000,HLOOKUP(T429,$O425:S428,4,FALSE),IF(OR(AND(22500&lt;T425,T425&lt;25001),AND(50000&lt;T425,T425&lt;53501),AND(70000&lt;T425,T425&lt;72501)),$F425,IF(OR(AND(25001&lt;T425,T425&lt;27501),AND(53500&lt;T425,T425&lt;57001),AND(72500&lt;T425,T425&lt;75001)),$G425,IF(OR(AND(27500&lt;T425,T425&lt;30001),AND(57000&lt;T425,T425&lt;60001),AND(75000&lt;T425,T425&lt;77500)),$H425,VLOOKUP(T425,BDins,6,FALSE)))))</f>
        <v>3.3</v>
      </c>
      <c r="U427">
        <f>IF(U429&gt;10000,HLOOKUP(U429,$O425:T428,4,FALSE),IF(OR(AND(22500&lt;U425,U425&lt;25001),AND(50000&lt;U425,U425&lt;53501),AND(70000&lt;U425,U425&lt;72501)),$F425,IF(OR(AND(25001&lt;U425,U425&lt;27501),AND(53500&lt;U425,U425&lt;57001),AND(72500&lt;U425,U425&lt;75001)),$G425,IF(OR(AND(27500&lt;U425,U425&lt;30001),AND(57000&lt;U425,U425&lt;60001),AND(75000&lt;U425,U425&lt;77500)),$H425,VLOOKUP(U425,BDins,6,FALSE)))))</f>
        <v>40.299999999999997</v>
      </c>
    </row>
    <row r="428" spans="1:22" x14ac:dyDescent="0.2">
      <c r="O428">
        <f t="shared" ref="O428:U428" si="47">IF($K425&gt;0,ROUND(O426*$E425/100,DpCU),IF(O429&gt;10000,ROUND(HLOOKUP(O429,$O425:$U428,4,FALSE)/100*O426,DpCU),IF(OR(O425&lt;20001,O425&gt;95000,AND(60000&lt;O425,O425&lt;70001)),ROUND(ROUND(O426*JL/$C425,DcCU)*O427,DpCU),IF(OR(AND(20000&lt;O425,O425&lt;22501),AND(30000&lt;O425,O425&lt;50001),77500&lt;O425),ROUND(O427*O426,DpCU),IF(OR(AND(22500&lt;O425,O425&lt;25001),AND(50000&lt;O425,O425&lt;53501),AND(70000&lt;O425,O425&lt;72501)),ROUND($F425/100*O426,DpCU),IF(OR(AND(25000&lt;O425,O425&lt;27501),AND(53500&lt;O425,O425&lt;57001),AND(72500&lt;O425,O425&lt;75001)),ROUND($G425/100*O426,DpCU),ROUND($H425/100*O426,DpCU)))))))</f>
        <v>16.850000000000001</v>
      </c>
      <c r="P428">
        <f t="shared" si="47"/>
        <v>23.45</v>
      </c>
      <c r="Q428">
        <f t="shared" si="47"/>
        <v>1.8</v>
      </c>
      <c r="R428">
        <f t="shared" si="47"/>
        <v>9</v>
      </c>
      <c r="S428">
        <f t="shared" si="47"/>
        <v>3</v>
      </c>
      <c r="T428">
        <f t="shared" si="47"/>
        <v>1.98</v>
      </c>
      <c r="U428">
        <f t="shared" si="47"/>
        <v>1.21</v>
      </c>
    </row>
    <row r="429" spans="1:22" x14ac:dyDescent="0.2">
      <c r="B429" s="3" t="str">
        <f>A425&amp;"r"</f>
        <v>10085r</v>
      </c>
    </row>
    <row r="430" spans="1:22" x14ac:dyDescent="0.2">
      <c r="A430">
        <v>10086</v>
      </c>
      <c r="B430" s="3" t="s">
        <v>545</v>
      </c>
      <c r="C430" s="1">
        <f>ROUND(J430*JL*Frto/8,4)</f>
        <v>24</v>
      </c>
      <c r="D430" t="s">
        <v>356</v>
      </c>
      <c r="E430">
        <f>SUM($O433:$T433)</f>
        <v>16.340000000000003</v>
      </c>
      <c r="F430">
        <f>SUMIF($O430:$T430,"&lt;22501",$O433:$T433)</f>
        <v>10.07</v>
      </c>
      <c r="G430">
        <f>SUMIFS($O433:$T433,$O430:$T430,"&gt;30000",$O430:$T430,"&lt;50001")</f>
        <v>5.9700000000000006</v>
      </c>
      <c r="H430">
        <f>SUMIFS($O433:$T433,$O430:$T430,"&gt;60000",$O430:$T430,"&lt;70001")</f>
        <v>0</v>
      </c>
      <c r="I430">
        <v>6</v>
      </c>
      <c r="J430">
        <v>24</v>
      </c>
      <c r="O430">
        <v>10001</v>
      </c>
      <c r="P430">
        <v>10004</v>
      </c>
      <c r="Q430">
        <v>30103</v>
      </c>
      <c r="R430">
        <v>30104</v>
      </c>
      <c r="S430">
        <v>30110</v>
      </c>
      <c r="T430">
        <v>70001</v>
      </c>
    </row>
    <row r="431" spans="1:22" x14ac:dyDescent="0.2">
      <c r="B431" s="3" t="str">
        <f>A430&amp;"C"</f>
        <v>10086C</v>
      </c>
      <c r="O431">
        <v>1</v>
      </c>
      <c r="P431">
        <v>1</v>
      </c>
      <c r="Q431">
        <v>1.05</v>
      </c>
      <c r="R431">
        <v>0.32</v>
      </c>
      <c r="S431">
        <v>7.0000000000000007E-2</v>
      </c>
      <c r="T431">
        <v>3</v>
      </c>
    </row>
    <row r="432" spans="1:22" x14ac:dyDescent="0.2">
      <c r="O432">
        <f>IF(O434&gt;10000,HLOOKUP(O434,N430:$O433,4,FALSE),IF(OR(AND(22500&lt;O430,O430&lt;25001),AND(50000&lt;O430,O430&lt;53501),AND(70000&lt;O430,O430&lt;72501)),$F430,IF(OR(AND(25001&lt;O430,O430&lt;27501),AND(53500&lt;O430,O430&lt;57001),AND(72500&lt;O430,O430&lt;75001)),$G430,IF(OR(AND(27500&lt;O430,O430&lt;30001),AND(57000&lt;O430,O430&lt;60001),AND(75000&lt;O430,O430&lt;77500)),$H430,VLOOKUP(O430,BDins,6,FALSE)))))</f>
        <v>12.64</v>
      </c>
      <c r="P432">
        <f>IF(P434&gt;10000,HLOOKUP(P434,O430:$O433,4,FALSE),IF(OR(AND(22500&lt;P430,P430&lt;25001),AND(50000&lt;P430,P430&lt;53501),AND(70000&lt;P430,P430&lt;72501)),$F430,IF(OR(AND(25001&lt;P430,P430&lt;27501),AND(53500&lt;P430,P430&lt;57001),AND(72500&lt;P430,P430&lt;75001)),$G430,IF(OR(AND(27500&lt;P430,P430&lt;30001),AND(57000&lt;P430,P430&lt;60001),AND(75000&lt;P430,P430&lt;77500)),$H430,VLOOKUP(P430,BDins,6,FALSE)))))</f>
        <v>17.59</v>
      </c>
      <c r="Q432">
        <f>IF(Q434&gt;10000,HLOOKUP(Q434,$O430:P433,4,FALSE),IF(OR(AND(22500&lt;Q430,Q430&lt;25001),AND(50000&lt;Q430,Q430&lt;53501),AND(70000&lt;Q430,Q430&lt;72501)),$F430,IF(OR(AND(25001&lt;Q430,Q430&lt;27501),AND(53500&lt;Q430,Q430&lt;57001),AND(72500&lt;Q430,Q430&lt;75001)),$G430,IF(OR(AND(27500&lt;Q430,Q430&lt;30001),AND(57000&lt;Q430,Q430&lt;60001),AND(75000&lt;Q430,Q430&lt;77500)),$H430,VLOOKUP(Q430,BDins,6,FALSE)))))</f>
        <v>3</v>
      </c>
      <c r="R432">
        <f>IF(R434&gt;10000,HLOOKUP(R434,$O430:Q433,4,FALSE),IF(OR(AND(22500&lt;R430,R430&lt;25001),AND(50000&lt;R430,R430&lt;53501),AND(70000&lt;R430,R430&lt;72501)),$F430,IF(OR(AND(25001&lt;R430,R430&lt;27501),AND(53500&lt;R430,R430&lt;57001),AND(72500&lt;R430,R430&lt;75001)),$G430,IF(OR(AND(27500&lt;R430,R430&lt;30001),AND(57000&lt;R430,R430&lt;60001),AND(75000&lt;R430,R430&lt;77500)),$H430,VLOOKUP(R430,BDins,6,FALSE)))))</f>
        <v>2.5</v>
      </c>
      <c r="S432">
        <f>IF(S434&gt;10000,HLOOKUP(S434,$O430:R433,4,FALSE),IF(OR(AND(22500&lt;S430,S430&lt;25001),AND(50000&lt;S430,S430&lt;53501),AND(70000&lt;S430,S430&lt;72501)),$F430,IF(OR(AND(25001&lt;S430,S430&lt;27501),AND(53500&lt;S430,S430&lt;57001),AND(72500&lt;S430,S430&lt;75001)),$G430,IF(OR(AND(27500&lt;S430,S430&lt;30001),AND(57000&lt;S430,S430&lt;60001),AND(75000&lt;S430,S430&lt;77500)),$H430,VLOOKUP(S430,BDins,6,FALSE)))))</f>
        <v>28.9</v>
      </c>
      <c r="T432">
        <f>IF(T434&gt;10000,HLOOKUP(T434,$O430:S433,4,FALSE),IF(OR(AND(22500&lt;T430,T430&lt;25001),AND(50000&lt;T430,T430&lt;53501),AND(70000&lt;T430,T430&lt;72501)),$F430,IF(OR(AND(25001&lt;T430,T430&lt;27501),AND(53500&lt;T430,T430&lt;57001),AND(72500&lt;T430,T430&lt;75001)),$G430,IF(OR(AND(27500&lt;T430,T430&lt;30001),AND(57000&lt;T430,T430&lt;60001),AND(75000&lt;T430,T430&lt;77500)),$H430,VLOOKUP(T430,BDins,6,FALSE)))))</f>
        <v>10.07</v>
      </c>
    </row>
    <row r="433" spans="1:21" x14ac:dyDescent="0.2">
      <c r="O433">
        <f t="shared" ref="O433:T433" si="48">IF($K430&gt;0,ROUND(O431*$E430/100,DpCU),IF(O434&gt;10000,ROUND(HLOOKUP(O434,$O430:$T433,4,FALSE)/100*O431,DpCU),IF(OR(O430&lt;20001,O430&gt;95000,AND(60000&lt;O430,O430&lt;70001)),ROUND(ROUND(O431*JL/$C430,DcCU)*O432,DpCU),IF(OR(AND(20000&lt;O430,O430&lt;22501),AND(30000&lt;O430,O430&lt;50001),77500&lt;O430),ROUND(O432*O431,DpCU),IF(OR(AND(22500&lt;O430,O430&lt;25001),AND(50000&lt;O430,O430&lt;53501),AND(70000&lt;O430,O430&lt;72501)),ROUND($F430/100*O431,DpCU),IF(OR(AND(25000&lt;O430,O430&lt;27501),AND(53500&lt;O430,O430&lt;57001),AND(72500&lt;O430,O430&lt;75001)),ROUND($G430/100*O431,DpCU),ROUND($H430/100*O431,DpCU)))))))</f>
        <v>4.21</v>
      </c>
      <c r="P433">
        <f t="shared" si="48"/>
        <v>5.86</v>
      </c>
      <c r="Q433">
        <f t="shared" si="48"/>
        <v>3.15</v>
      </c>
      <c r="R433">
        <f t="shared" si="48"/>
        <v>0.8</v>
      </c>
      <c r="S433">
        <f t="shared" si="48"/>
        <v>2.02</v>
      </c>
      <c r="T433">
        <f t="shared" si="48"/>
        <v>0.3</v>
      </c>
    </row>
    <row r="434" spans="1:21" x14ac:dyDescent="0.2">
      <c r="B434" s="3" t="str">
        <f>A430&amp;"r"</f>
        <v>10086r</v>
      </c>
    </row>
    <row r="435" spans="1:21" x14ac:dyDescent="0.2">
      <c r="A435">
        <v>10087</v>
      </c>
      <c r="B435" s="3" t="s">
        <v>548</v>
      </c>
      <c r="C435" s="1">
        <f>ROUND(J435*JL*Frto/8,4)</f>
        <v>24</v>
      </c>
      <c r="D435" t="s">
        <v>356</v>
      </c>
      <c r="E435">
        <f>SUM($O438:$T438)</f>
        <v>16.340000000000003</v>
      </c>
      <c r="F435">
        <f>SUMIF($O435:$T435,"&lt;22501",$O438:$T438)</f>
        <v>10.07</v>
      </c>
      <c r="G435">
        <f>SUMIFS($O438:$T438,$O435:$T435,"&gt;30000",$O435:$T435,"&lt;50001")</f>
        <v>5.9700000000000006</v>
      </c>
      <c r="H435">
        <f>SUMIFS($O438:$T438,$O435:$T435,"&gt;60000",$O435:$T435,"&lt;70001")</f>
        <v>0</v>
      </c>
      <c r="I435">
        <v>6</v>
      </c>
      <c r="J435">
        <v>24</v>
      </c>
      <c r="O435">
        <v>10001</v>
      </c>
      <c r="P435">
        <v>10004</v>
      </c>
      <c r="Q435">
        <v>30103</v>
      </c>
      <c r="R435">
        <v>30104</v>
      </c>
      <c r="S435">
        <v>30110</v>
      </c>
      <c r="T435">
        <v>70001</v>
      </c>
    </row>
    <row r="436" spans="1:21" x14ac:dyDescent="0.2">
      <c r="B436" s="3" t="str">
        <f>A435&amp;"C"</f>
        <v>10087C</v>
      </c>
      <c r="O436">
        <v>1</v>
      </c>
      <c r="P436">
        <v>1</v>
      </c>
      <c r="Q436">
        <v>1.05</v>
      </c>
      <c r="R436">
        <v>0.32</v>
      </c>
      <c r="S436">
        <v>7.0000000000000007E-2</v>
      </c>
      <c r="T436">
        <v>3</v>
      </c>
    </row>
    <row r="437" spans="1:21" x14ac:dyDescent="0.2">
      <c r="O437">
        <f>IF(O439&gt;10000,HLOOKUP(O439,N435:$O438,4,FALSE),IF(OR(AND(22500&lt;O435,O435&lt;25001),AND(50000&lt;O435,O435&lt;53501),AND(70000&lt;O435,O435&lt;72501)),$F435,IF(OR(AND(25001&lt;O435,O435&lt;27501),AND(53500&lt;O435,O435&lt;57001),AND(72500&lt;O435,O435&lt;75001)),$G435,IF(OR(AND(27500&lt;O435,O435&lt;30001),AND(57000&lt;O435,O435&lt;60001),AND(75000&lt;O435,O435&lt;77500)),$H435,VLOOKUP(O435,BDins,6,FALSE)))))</f>
        <v>12.64</v>
      </c>
      <c r="P437">
        <f>IF(P439&gt;10000,HLOOKUP(P439,O435:$O438,4,FALSE),IF(OR(AND(22500&lt;P435,P435&lt;25001),AND(50000&lt;P435,P435&lt;53501),AND(70000&lt;P435,P435&lt;72501)),$F435,IF(OR(AND(25001&lt;P435,P435&lt;27501),AND(53500&lt;P435,P435&lt;57001),AND(72500&lt;P435,P435&lt;75001)),$G435,IF(OR(AND(27500&lt;P435,P435&lt;30001),AND(57000&lt;P435,P435&lt;60001),AND(75000&lt;P435,P435&lt;77500)),$H435,VLOOKUP(P435,BDins,6,FALSE)))))</f>
        <v>17.59</v>
      </c>
      <c r="Q437">
        <f>IF(Q439&gt;10000,HLOOKUP(Q439,$O435:P438,4,FALSE),IF(OR(AND(22500&lt;Q435,Q435&lt;25001),AND(50000&lt;Q435,Q435&lt;53501),AND(70000&lt;Q435,Q435&lt;72501)),$F435,IF(OR(AND(25001&lt;Q435,Q435&lt;27501),AND(53500&lt;Q435,Q435&lt;57001),AND(72500&lt;Q435,Q435&lt;75001)),$G435,IF(OR(AND(27500&lt;Q435,Q435&lt;30001),AND(57000&lt;Q435,Q435&lt;60001),AND(75000&lt;Q435,Q435&lt;77500)),$H435,VLOOKUP(Q435,BDins,6,FALSE)))))</f>
        <v>3</v>
      </c>
      <c r="R437">
        <f>IF(R439&gt;10000,HLOOKUP(R439,$O435:Q438,4,FALSE),IF(OR(AND(22500&lt;R435,R435&lt;25001),AND(50000&lt;R435,R435&lt;53501),AND(70000&lt;R435,R435&lt;72501)),$F435,IF(OR(AND(25001&lt;R435,R435&lt;27501),AND(53500&lt;R435,R435&lt;57001),AND(72500&lt;R435,R435&lt;75001)),$G435,IF(OR(AND(27500&lt;R435,R435&lt;30001),AND(57000&lt;R435,R435&lt;60001),AND(75000&lt;R435,R435&lt;77500)),$H435,VLOOKUP(R435,BDins,6,FALSE)))))</f>
        <v>2.5</v>
      </c>
      <c r="S437">
        <f>IF(S439&gt;10000,HLOOKUP(S439,$O435:R438,4,FALSE),IF(OR(AND(22500&lt;S435,S435&lt;25001),AND(50000&lt;S435,S435&lt;53501),AND(70000&lt;S435,S435&lt;72501)),$F435,IF(OR(AND(25001&lt;S435,S435&lt;27501),AND(53500&lt;S435,S435&lt;57001),AND(72500&lt;S435,S435&lt;75001)),$G435,IF(OR(AND(27500&lt;S435,S435&lt;30001),AND(57000&lt;S435,S435&lt;60001),AND(75000&lt;S435,S435&lt;77500)),$H435,VLOOKUP(S435,BDins,6,FALSE)))))</f>
        <v>28.9</v>
      </c>
      <c r="T437">
        <f>IF(T439&gt;10000,HLOOKUP(T439,$O435:S438,4,FALSE),IF(OR(AND(22500&lt;T435,T435&lt;25001),AND(50000&lt;T435,T435&lt;53501),AND(70000&lt;T435,T435&lt;72501)),$F435,IF(OR(AND(25001&lt;T435,T435&lt;27501),AND(53500&lt;T435,T435&lt;57001),AND(72500&lt;T435,T435&lt;75001)),$G435,IF(OR(AND(27500&lt;T435,T435&lt;30001),AND(57000&lt;T435,T435&lt;60001),AND(75000&lt;T435,T435&lt;77500)),$H435,VLOOKUP(T435,BDins,6,FALSE)))))</f>
        <v>10.07</v>
      </c>
    </row>
    <row r="438" spans="1:21" x14ac:dyDescent="0.2">
      <c r="O438">
        <f t="shared" ref="O438:T438" si="49">IF($K435&gt;0,ROUND(O436*$E435/100,DpCU),IF(O439&gt;10000,ROUND(HLOOKUP(O439,$O435:$T438,4,FALSE)/100*O436,DpCU),IF(OR(O435&lt;20001,O435&gt;95000,AND(60000&lt;O435,O435&lt;70001)),ROUND(ROUND(O436*JL/$C435,DcCU)*O437,DpCU),IF(OR(AND(20000&lt;O435,O435&lt;22501),AND(30000&lt;O435,O435&lt;50001),77500&lt;O435),ROUND(O437*O436,DpCU),IF(OR(AND(22500&lt;O435,O435&lt;25001),AND(50000&lt;O435,O435&lt;53501),AND(70000&lt;O435,O435&lt;72501)),ROUND($F435/100*O436,DpCU),IF(OR(AND(25000&lt;O435,O435&lt;27501),AND(53500&lt;O435,O435&lt;57001),AND(72500&lt;O435,O435&lt;75001)),ROUND($G435/100*O436,DpCU),ROUND($H435/100*O436,DpCU)))))))</f>
        <v>4.21</v>
      </c>
      <c r="P438">
        <f t="shared" si="49"/>
        <v>5.86</v>
      </c>
      <c r="Q438">
        <f t="shared" si="49"/>
        <v>3.15</v>
      </c>
      <c r="R438">
        <f t="shared" si="49"/>
        <v>0.8</v>
      </c>
      <c r="S438">
        <f t="shared" si="49"/>
        <v>2.02</v>
      </c>
      <c r="T438">
        <f t="shared" si="49"/>
        <v>0.3</v>
      </c>
    </row>
    <row r="439" spans="1:21" x14ac:dyDescent="0.2">
      <c r="B439" s="3" t="str">
        <f>A435&amp;"r"</f>
        <v>10087r</v>
      </c>
    </row>
    <row r="440" spans="1:21" x14ac:dyDescent="0.2">
      <c r="A440">
        <v>10088</v>
      </c>
      <c r="B440" s="3" t="s">
        <v>550</v>
      </c>
      <c r="C440" s="1">
        <f>ROUND(J440*JL*Frto/8,4)</f>
        <v>20</v>
      </c>
      <c r="D440" t="s">
        <v>356</v>
      </c>
      <c r="E440">
        <f>SUM($O443:$U443)</f>
        <v>30.58</v>
      </c>
      <c r="F440">
        <f>SUMIF($O440:$U440,"&lt;22501",$O443:$U443)</f>
        <v>12.1</v>
      </c>
      <c r="G440">
        <f>SUMIFS($O443:$U443,$O440:$U440,"&gt;30000",$O440:$U440,"&lt;50001")</f>
        <v>18.12</v>
      </c>
      <c r="H440">
        <f>SUMIFS($O443:$U443,$O440:$U440,"&gt;60000",$O440:$U440,"&lt;70001")</f>
        <v>0</v>
      </c>
      <c r="I440">
        <v>7</v>
      </c>
      <c r="J440">
        <v>20</v>
      </c>
      <c r="O440">
        <v>10001</v>
      </c>
      <c r="P440">
        <v>10004</v>
      </c>
      <c r="Q440">
        <v>30079</v>
      </c>
      <c r="R440">
        <v>30107</v>
      </c>
      <c r="S440">
        <v>30108</v>
      </c>
      <c r="T440">
        <v>30111</v>
      </c>
      <c r="U440">
        <v>70001</v>
      </c>
    </row>
    <row r="441" spans="1:21" x14ac:dyDescent="0.2">
      <c r="B441" s="3" t="str">
        <f>A440&amp;"C"</f>
        <v>10088C</v>
      </c>
      <c r="O441">
        <v>1</v>
      </c>
      <c r="P441">
        <v>1</v>
      </c>
      <c r="Q441">
        <v>0.05</v>
      </c>
      <c r="R441">
        <v>1.03</v>
      </c>
      <c r="S441">
        <v>0.09</v>
      </c>
      <c r="T441">
        <v>0.25</v>
      </c>
      <c r="U441">
        <v>3</v>
      </c>
    </row>
    <row r="442" spans="1:21" x14ac:dyDescent="0.2">
      <c r="O442">
        <f>IF(O444&gt;10000,HLOOKUP(O444,N440:$O443,4,FALSE),IF(OR(AND(22500&lt;O440,O440&lt;25001),AND(50000&lt;O440,O440&lt;53501),AND(70000&lt;O440,O440&lt;72501)),$F440,IF(OR(AND(25001&lt;O440,O440&lt;27501),AND(53500&lt;O440,O440&lt;57001),AND(72500&lt;O440,O440&lt;75001)),$G440,IF(OR(AND(27500&lt;O440,O440&lt;30001),AND(57000&lt;O440,O440&lt;60001),AND(75000&lt;O440,O440&lt;77500)),$H440,VLOOKUP(O440,BDins,6,FALSE)))))</f>
        <v>12.64</v>
      </c>
      <c r="P442">
        <f>IF(P444&gt;10000,HLOOKUP(P444,O440:$O443,4,FALSE),IF(OR(AND(22500&lt;P440,P440&lt;25001),AND(50000&lt;P440,P440&lt;53501),AND(70000&lt;P440,P440&lt;72501)),$F440,IF(OR(AND(25001&lt;P440,P440&lt;27501),AND(53500&lt;P440,P440&lt;57001),AND(72500&lt;P440,P440&lt;75001)),$G440,IF(OR(AND(27500&lt;P440,P440&lt;30001),AND(57000&lt;P440,P440&lt;60001),AND(75000&lt;P440,P440&lt;77500)),$H440,VLOOKUP(P440,BDins,6,FALSE)))))</f>
        <v>17.59</v>
      </c>
      <c r="Q442">
        <f>IF(Q444&gt;10000,HLOOKUP(Q444,$O440:P443,4,FALSE),IF(OR(AND(22500&lt;Q440,Q440&lt;25001),AND(50000&lt;Q440,Q440&lt;53501),AND(70000&lt;Q440,Q440&lt;72501)),$F440,IF(OR(AND(25001&lt;Q440,Q440&lt;27501),AND(53500&lt;Q440,Q440&lt;57001),AND(72500&lt;Q440,Q440&lt;75001)),$G440,IF(OR(AND(27500&lt;Q440,Q440&lt;30001),AND(57000&lt;Q440,Q440&lt;60001),AND(75000&lt;Q440,Q440&lt;77500)),$H440,VLOOKUP(Q440,BDins,6,FALSE)))))</f>
        <v>90</v>
      </c>
      <c r="R442">
        <f>IF(R444&gt;10000,HLOOKUP(R444,$O440:Q443,4,FALSE),IF(OR(AND(22500&lt;R440,R440&lt;25001),AND(50000&lt;R440,R440&lt;53501),AND(70000&lt;R440,R440&lt;72501)),$F440,IF(OR(AND(25001&lt;R440,R440&lt;27501),AND(53500&lt;R440,R440&lt;57001),AND(72500&lt;R440,R440&lt;75001)),$G440,IF(OR(AND(27500&lt;R440,R440&lt;30001),AND(57000&lt;R440,R440&lt;60001),AND(75000&lt;R440,R440&lt;77500)),$H440,VLOOKUP(R440,BDins,6,FALSE)))))</f>
        <v>11</v>
      </c>
      <c r="S442">
        <f>IF(S444&gt;10000,HLOOKUP(S444,$O440:R443,4,FALSE),IF(OR(AND(22500&lt;S440,S440&lt;25001),AND(50000&lt;S440,S440&lt;53501),AND(70000&lt;S440,S440&lt;72501)),$F440,IF(OR(AND(25001&lt;S440,S440&lt;27501),AND(53500&lt;S440,S440&lt;57001),AND(72500&lt;S440,S440&lt;75001)),$G440,IF(OR(AND(27500&lt;S440,S440&lt;30001),AND(57000&lt;S440,S440&lt;60001),AND(75000&lt;S440,S440&lt;77500)),$H440,VLOOKUP(S440,BDins,6,FALSE)))))</f>
        <v>8.8000000000000007</v>
      </c>
      <c r="T442">
        <f>IF(T444&gt;10000,HLOOKUP(T444,$O440:S443,4,FALSE),IF(OR(AND(22500&lt;T440,T440&lt;25001),AND(50000&lt;T440,T440&lt;53501),AND(70000&lt;T440,T440&lt;72501)),$F440,IF(OR(AND(25001&lt;T440,T440&lt;27501),AND(53500&lt;T440,T440&lt;57001),AND(72500&lt;T440,T440&lt;75001)),$G440,IF(OR(AND(27500&lt;T440,T440&lt;30001),AND(57000&lt;T440,T440&lt;60001),AND(75000&lt;T440,T440&lt;77500)),$H440,VLOOKUP(T440,BDins,6,FALSE)))))</f>
        <v>6</v>
      </c>
      <c r="U442">
        <f>IF(U444&gt;10000,HLOOKUP(U444,$O440:T443,4,FALSE),IF(OR(AND(22500&lt;U440,U440&lt;25001),AND(50000&lt;U440,U440&lt;53501),AND(70000&lt;U440,U440&lt;72501)),$F440,IF(OR(AND(25001&lt;U440,U440&lt;27501),AND(53500&lt;U440,U440&lt;57001),AND(72500&lt;U440,U440&lt;75001)),$G440,IF(OR(AND(27500&lt;U440,U440&lt;30001),AND(57000&lt;U440,U440&lt;60001),AND(75000&lt;U440,U440&lt;77500)),$H440,VLOOKUP(U440,BDins,6,FALSE)))))</f>
        <v>12.1</v>
      </c>
    </row>
    <row r="443" spans="1:21" x14ac:dyDescent="0.2">
      <c r="O443">
        <f t="shared" ref="O443:U443" si="50">IF($K440&gt;0,ROUND(O441*$E440/100,DpCU),IF(O444&gt;10000,ROUND(HLOOKUP(O444,$O440:$U443,4,FALSE)/100*O441,DpCU),IF(OR(O440&lt;20001,O440&gt;95000,AND(60000&lt;O440,O440&lt;70001)),ROUND(ROUND(O441*JL/$C440,DcCU)*O442,DpCU),IF(OR(AND(20000&lt;O440,O440&lt;22501),AND(30000&lt;O440,O440&lt;50001),77500&lt;O440),ROUND(O442*O441,DpCU),IF(OR(AND(22500&lt;O440,O440&lt;25001),AND(50000&lt;O440,O440&lt;53501),AND(70000&lt;O440,O440&lt;72501)),ROUND($F440/100*O441,DpCU),IF(OR(AND(25000&lt;O440,O440&lt;27501),AND(53500&lt;O440,O440&lt;57001),AND(72500&lt;O440,O440&lt;75001)),ROUND($G440/100*O441,DpCU),ROUND($H440/100*O441,DpCU)))))))</f>
        <v>5.0599999999999996</v>
      </c>
      <c r="P443">
        <f t="shared" si="50"/>
        <v>7.04</v>
      </c>
      <c r="Q443">
        <f t="shared" si="50"/>
        <v>4.5</v>
      </c>
      <c r="R443">
        <f t="shared" si="50"/>
        <v>11.33</v>
      </c>
      <c r="S443">
        <f t="shared" si="50"/>
        <v>0.79</v>
      </c>
      <c r="T443">
        <f t="shared" si="50"/>
        <v>1.5</v>
      </c>
      <c r="U443">
        <f t="shared" si="50"/>
        <v>0.36</v>
      </c>
    </row>
    <row r="444" spans="1:21" x14ac:dyDescent="0.2">
      <c r="B444" s="3" t="str">
        <f>A440&amp;"r"</f>
        <v>10088r</v>
      </c>
    </row>
    <row r="445" spans="1:21" x14ac:dyDescent="0.2">
      <c r="A445">
        <v>10089</v>
      </c>
      <c r="B445" s="3" t="s">
        <v>553</v>
      </c>
      <c r="C445" s="1">
        <f>ROUND(J445*JL*Frto/8,4)</f>
        <v>10</v>
      </c>
      <c r="D445" t="s">
        <v>167</v>
      </c>
      <c r="E445">
        <f>SUM($O448:$Q448)</f>
        <v>42.78</v>
      </c>
      <c r="F445">
        <f>SUMIF($O445:$Q445,"&lt;22501",$O448:$Q448)</f>
        <v>24.18</v>
      </c>
      <c r="G445">
        <f>SUMIFS($O448:$Q448,$O445:$Q445,"&gt;30000",$O445:$Q445,"&lt;50001")</f>
        <v>18.600000000000001</v>
      </c>
      <c r="H445">
        <f>SUMIFS($O448:$Q448,$O445:$Q445,"&gt;60000",$O445:$Q445,"&lt;70001")</f>
        <v>0</v>
      </c>
      <c r="I445">
        <v>3</v>
      </c>
      <c r="J445">
        <v>10</v>
      </c>
      <c r="O445">
        <v>10001</v>
      </c>
      <c r="P445">
        <v>10004</v>
      </c>
      <c r="Q445">
        <v>30112</v>
      </c>
    </row>
    <row r="446" spans="1:21" x14ac:dyDescent="0.2">
      <c r="B446" s="3" t="str">
        <f>A445&amp;"C"</f>
        <v>10089C</v>
      </c>
      <c r="O446">
        <v>1</v>
      </c>
      <c r="P446">
        <v>1</v>
      </c>
      <c r="Q446">
        <v>1</v>
      </c>
    </row>
    <row r="447" spans="1:21" x14ac:dyDescent="0.2">
      <c r="O447">
        <f>IF(O449&gt;10000,HLOOKUP(O449,N445:$O448,4,FALSE),IF(OR(AND(22500&lt;O445,O445&lt;25001),AND(50000&lt;O445,O445&lt;53501),AND(70000&lt;O445,O445&lt;72501)),$F445,IF(OR(AND(25001&lt;O445,O445&lt;27501),AND(53500&lt;O445,O445&lt;57001),AND(72500&lt;O445,O445&lt;75001)),$G445,IF(OR(AND(27500&lt;O445,O445&lt;30001),AND(57000&lt;O445,O445&lt;60001),AND(75000&lt;O445,O445&lt;77500)),$H445,VLOOKUP(O445,BDins,6,FALSE)))))</f>
        <v>12.64</v>
      </c>
      <c r="P447">
        <f>IF(P449&gt;10000,HLOOKUP(P449,O445:$O448,4,FALSE),IF(OR(AND(22500&lt;P445,P445&lt;25001),AND(50000&lt;P445,P445&lt;53501),AND(70000&lt;P445,P445&lt;72501)),$F445,IF(OR(AND(25001&lt;P445,P445&lt;27501),AND(53500&lt;P445,P445&lt;57001),AND(72500&lt;P445,P445&lt;75001)),$G445,IF(OR(AND(27500&lt;P445,P445&lt;30001),AND(57000&lt;P445,P445&lt;60001),AND(75000&lt;P445,P445&lt;77500)),$H445,VLOOKUP(P445,BDins,6,FALSE)))))</f>
        <v>17.59</v>
      </c>
      <c r="Q447">
        <f>IF(Q449&gt;10000,HLOOKUP(Q449,$O445:P448,4,FALSE),IF(OR(AND(22500&lt;Q445,Q445&lt;25001),AND(50000&lt;Q445,Q445&lt;53501),AND(70000&lt;Q445,Q445&lt;72501)),$F445,IF(OR(AND(25001&lt;Q445,Q445&lt;27501),AND(53500&lt;Q445,Q445&lt;57001),AND(72500&lt;Q445,Q445&lt;75001)),$G445,IF(OR(AND(27500&lt;Q445,Q445&lt;30001),AND(57000&lt;Q445,Q445&lt;60001),AND(75000&lt;Q445,Q445&lt;77500)),$H445,VLOOKUP(Q445,BDins,6,FALSE)))))</f>
        <v>18.600000000000001</v>
      </c>
    </row>
    <row r="448" spans="1:21" x14ac:dyDescent="0.2">
      <c r="O448">
        <f>IF($K445&gt;0,ROUND(O446*$E445/100,DpCU),IF(O449&gt;10000,ROUND(HLOOKUP(O449,$O445:$Q448,4,FALSE)/100*O446,DpCU),IF(OR(O445&lt;20001,O445&gt;95000,AND(60000&lt;O445,O445&lt;70001)),ROUND(ROUND(O446*JL/$C445,DcCU)*O447,DpCU),IF(OR(AND(20000&lt;O445,O445&lt;22501),AND(30000&lt;O445,O445&lt;50001),77500&lt;O445),ROUND(O447*O446,DpCU),IF(OR(AND(22500&lt;O445,O445&lt;25001),AND(50000&lt;O445,O445&lt;53501),AND(70000&lt;O445,O445&lt;72501)),ROUND($F445/100*O446,DpCU),IF(OR(AND(25000&lt;O445,O445&lt;27501),AND(53500&lt;O445,O445&lt;57001),AND(72500&lt;O445,O445&lt;75001)),ROUND($G445/100*O446,DpCU),ROUND($H445/100*O446,DpCU)))))))</f>
        <v>10.11</v>
      </c>
      <c r="P448">
        <f>IF($K445&gt;0,ROUND(P446*$E445/100,DpCU),IF(P449&gt;10000,ROUND(HLOOKUP(P449,$O445:$Q448,4,FALSE)/100*P446,DpCU),IF(OR(P445&lt;20001,P445&gt;95000,AND(60000&lt;P445,P445&lt;70001)),ROUND(ROUND(P446*JL/$C445,DcCU)*P447,DpCU),IF(OR(AND(20000&lt;P445,P445&lt;22501),AND(30000&lt;P445,P445&lt;50001),77500&lt;P445),ROUND(P447*P446,DpCU),IF(OR(AND(22500&lt;P445,P445&lt;25001),AND(50000&lt;P445,P445&lt;53501),AND(70000&lt;P445,P445&lt;72501)),ROUND($F445/100*P446,DpCU),IF(OR(AND(25000&lt;P445,P445&lt;27501),AND(53500&lt;P445,P445&lt;57001),AND(72500&lt;P445,P445&lt;75001)),ROUND($G445/100*P446,DpCU),ROUND($H445/100*P446,DpCU)))))))</f>
        <v>14.07</v>
      </c>
      <c r="Q448">
        <f>IF($K445&gt;0,ROUND(Q446*$E445/100,DpCU),IF(Q449&gt;10000,ROUND(HLOOKUP(Q449,$O445:$Q448,4,FALSE)/100*Q446,DpCU),IF(OR(Q445&lt;20001,Q445&gt;95000,AND(60000&lt;Q445,Q445&lt;70001)),ROUND(ROUND(Q446*JL/$C445,DcCU)*Q447,DpCU),IF(OR(AND(20000&lt;Q445,Q445&lt;22501),AND(30000&lt;Q445,Q445&lt;50001),77500&lt;Q445),ROUND(Q447*Q446,DpCU),IF(OR(AND(22500&lt;Q445,Q445&lt;25001),AND(50000&lt;Q445,Q445&lt;53501),AND(70000&lt;Q445,Q445&lt;72501)),ROUND($F445/100*Q446,DpCU),IF(OR(AND(25000&lt;Q445,Q445&lt;27501),AND(53500&lt;Q445,Q445&lt;57001),AND(72500&lt;Q445,Q445&lt;75001)),ROUND($G445/100*Q446,DpCU),ROUND($H445/100*Q446,DpCU)))))))</f>
        <v>18.600000000000001</v>
      </c>
    </row>
    <row r="449" spans="1:25" x14ac:dyDescent="0.2">
      <c r="B449" s="3" t="str">
        <f>A445&amp;"r"</f>
        <v>10089r</v>
      </c>
    </row>
    <row r="450" spans="1:25" x14ac:dyDescent="0.2">
      <c r="A450">
        <v>10090</v>
      </c>
      <c r="B450" s="3" t="s">
        <v>556</v>
      </c>
      <c r="C450" s="1">
        <f>ROUND(J450*JL*Frto/8,4)</f>
        <v>1</v>
      </c>
      <c r="D450" t="s">
        <v>167</v>
      </c>
      <c r="E450">
        <f>SUM($O453:$T453)</f>
        <v>436.74</v>
      </c>
      <c r="F450">
        <f>SUMIF($O450:$T450,"&lt;22501",$O453:$T453)</f>
        <v>241.84</v>
      </c>
      <c r="G450">
        <f>SUMIFS($O453:$T453,$O450:$T450,"&gt;30000",$O450:$T450,"&lt;50001")</f>
        <v>94.9</v>
      </c>
      <c r="H450">
        <f>SUMIFS($O453:$T453,$O450:$T450,"&gt;60000",$O450:$T450,"&lt;70001")</f>
        <v>0</v>
      </c>
      <c r="I450">
        <v>6</v>
      </c>
      <c r="J450">
        <v>1</v>
      </c>
      <c r="O450">
        <v>10001</v>
      </c>
      <c r="P450">
        <v>10004</v>
      </c>
      <c r="Q450">
        <v>30113</v>
      </c>
      <c r="R450">
        <v>30114</v>
      </c>
      <c r="S450">
        <v>30115</v>
      </c>
      <c r="T450">
        <v>80012</v>
      </c>
    </row>
    <row r="451" spans="1:25" x14ac:dyDescent="0.2">
      <c r="B451" s="3" t="str">
        <f>A450&amp;"C"</f>
        <v>10090C</v>
      </c>
      <c r="O451">
        <v>1</v>
      </c>
      <c r="P451">
        <v>1</v>
      </c>
      <c r="Q451">
        <v>1</v>
      </c>
      <c r="R451">
        <v>0.4</v>
      </c>
      <c r="S451">
        <v>1</v>
      </c>
      <c r="T451">
        <v>1</v>
      </c>
    </row>
    <row r="452" spans="1:25" x14ac:dyDescent="0.2">
      <c r="O452">
        <f>IF(O454&gt;10000,HLOOKUP(O454,N450:$O453,4,FALSE),IF(OR(AND(22500&lt;O450,O450&lt;25001),AND(50000&lt;O450,O450&lt;53501),AND(70000&lt;O450,O450&lt;72501)),$F450,IF(OR(AND(25001&lt;O450,O450&lt;27501),AND(53500&lt;O450,O450&lt;57001),AND(72500&lt;O450,O450&lt;75001)),$G450,IF(OR(AND(27500&lt;O450,O450&lt;30001),AND(57000&lt;O450,O450&lt;60001),AND(75000&lt;O450,O450&lt;77500)),$H450,VLOOKUP(O450,BDins,6,FALSE)))))</f>
        <v>12.64</v>
      </c>
      <c r="P452">
        <f>IF(P454&gt;10000,HLOOKUP(P454,O450:$O453,4,FALSE),IF(OR(AND(22500&lt;P450,P450&lt;25001),AND(50000&lt;P450,P450&lt;53501),AND(70000&lt;P450,P450&lt;72501)),$F450,IF(OR(AND(25001&lt;P450,P450&lt;27501),AND(53500&lt;P450,P450&lt;57001),AND(72500&lt;P450,P450&lt;75001)),$G450,IF(OR(AND(27500&lt;P450,P450&lt;30001),AND(57000&lt;P450,P450&lt;60001),AND(75000&lt;P450,P450&lt;77500)),$H450,VLOOKUP(P450,BDins,6,FALSE)))))</f>
        <v>17.59</v>
      </c>
      <c r="Q452">
        <f>IF(Q454&gt;10000,HLOOKUP(Q454,$O450:P453,4,FALSE),IF(OR(AND(22500&lt;Q450,Q450&lt;25001),AND(50000&lt;Q450,Q450&lt;53501),AND(70000&lt;Q450,Q450&lt;72501)),$F450,IF(OR(AND(25001&lt;Q450,Q450&lt;27501),AND(53500&lt;Q450,Q450&lt;57001),AND(72500&lt;Q450,Q450&lt;75001)),$G450,IF(OR(AND(27500&lt;Q450,Q450&lt;30001),AND(57000&lt;Q450,Q450&lt;60001),AND(75000&lt;Q450,Q450&lt;77500)),$H450,VLOOKUP(Q450,BDins,6,FALSE)))))</f>
        <v>60</v>
      </c>
      <c r="R452">
        <f>IF(R454&gt;10000,HLOOKUP(R454,$O450:Q453,4,FALSE),IF(OR(AND(22500&lt;R450,R450&lt;25001),AND(50000&lt;R450,R450&lt;53501),AND(70000&lt;R450,R450&lt;72501)),$F450,IF(OR(AND(25001&lt;R450,R450&lt;27501),AND(53500&lt;R450,R450&lt;57001),AND(72500&lt;R450,R450&lt;75001)),$G450,IF(OR(AND(27500&lt;R450,R450&lt;30001),AND(57000&lt;R450,R450&lt;60001),AND(75000&lt;R450,R450&lt;77500)),$H450,VLOOKUP(R450,BDins,6,FALSE)))))</f>
        <v>58</v>
      </c>
      <c r="S452">
        <f>IF(S454&gt;10000,HLOOKUP(S454,$O450:R453,4,FALSE),IF(OR(AND(22500&lt;S450,S450&lt;25001),AND(50000&lt;S450,S450&lt;53501),AND(70000&lt;S450,S450&lt;72501)),$F450,IF(OR(AND(25001&lt;S450,S450&lt;27501),AND(53500&lt;S450,S450&lt;57001),AND(72500&lt;S450,S450&lt;75001)),$G450,IF(OR(AND(27500&lt;S450,S450&lt;30001),AND(57000&lt;S450,S450&lt;60001),AND(75000&lt;S450,S450&lt;77500)),$H450,VLOOKUP(S450,BDins,6,FALSE)))))</f>
        <v>11.7</v>
      </c>
      <c r="T452">
        <f>IF(T454&gt;10000,HLOOKUP(T454,$O450:S453,4,FALSE),IF(OR(AND(22500&lt;T450,T450&lt;25001),AND(50000&lt;T450,T450&lt;53501),AND(70000&lt;T450,T450&lt;72501)),$F450,IF(OR(AND(25001&lt;T450,T450&lt;27501),AND(53500&lt;T450,T450&lt;57001),AND(72500&lt;T450,T450&lt;75001)),$G450,IF(OR(AND(27500&lt;T450,T450&lt;30001),AND(57000&lt;T450,T450&lt;60001),AND(75000&lt;T450,T450&lt;77500)),$H450,VLOOKUP(T450,BDins,6,FALSE)))))</f>
        <v>100</v>
      </c>
    </row>
    <row r="453" spans="1:25" x14ac:dyDescent="0.2">
      <c r="O453">
        <f t="shared" ref="O453:T453" si="51">IF($K450&gt;0,ROUND(O451*$E450/100,DpCU),IF(O454&gt;10000,ROUND(HLOOKUP(O454,$O450:$T453,4,FALSE)/100*O451,DpCU),IF(OR(O450&lt;20001,O450&gt;95000,AND(60000&lt;O450,O450&lt;70001)),ROUND(ROUND(O451*JL/$C450,DcCU)*O452,DpCU),IF(OR(AND(20000&lt;O450,O450&lt;22501),AND(30000&lt;O450,O450&lt;50001),77500&lt;O450),ROUND(O452*O451,DpCU),IF(OR(AND(22500&lt;O450,O450&lt;25001),AND(50000&lt;O450,O450&lt;53501),AND(70000&lt;O450,O450&lt;72501)),ROUND($F450/100*O451,DpCU),IF(OR(AND(25000&lt;O450,O450&lt;27501),AND(53500&lt;O450,O450&lt;57001),AND(72500&lt;O450,O450&lt;75001)),ROUND($G450/100*O451,DpCU),ROUND($H450/100*O451,DpCU)))))))</f>
        <v>101.12</v>
      </c>
      <c r="P453">
        <f t="shared" si="51"/>
        <v>140.72</v>
      </c>
      <c r="Q453">
        <f t="shared" si="51"/>
        <v>60</v>
      </c>
      <c r="R453">
        <f t="shared" si="51"/>
        <v>23.2</v>
      </c>
      <c r="S453">
        <f t="shared" si="51"/>
        <v>11.7</v>
      </c>
      <c r="T453">
        <f t="shared" si="51"/>
        <v>100</v>
      </c>
    </row>
    <row r="454" spans="1:25" x14ac:dyDescent="0.2">
      <c r="B454" s="3" t="str">
        <f>A450&amp;"r"</f>
        <v>10090r</v>
      </c>
    </row>
    <row r="455" spans="1:25" x14ac:dyDescent="0.2">
      <c r="A455">
        <v>10091</v>
      </c>
      <c r="B455" s="3" t="s">
        <v>562</v>
      </c>
      <c r="C455" s="1">
        <f>ROUND(J455*JL*Frto/8,4)</f>
        <v>1</v>
      </c>
      <c r="D455" t="s">
        <v>184</v>
      </c>
      <c r="E455">
        <f>SUM($O458:$Y458)</f>
        <v>210.73000000000002</v>
      </c>
      <c r="F455">
        <f>SUMIF($O455:$Y455,"&lt;22501",$O458:$Y458)</f>
        <v>0</v>
      </c>
      <c r="G455">
        <f>SUMIFS($O458:$Y458,$O455:$Y455,"&gt;30000",$O455:$Y455,"&lt;50001")</f>
        <v>210.73000000000002</v>
      </c>
      <c r="H455">
        <f>SUMIFS($O458:$Y458,$O455:$Y455,"&gt;60000",$O455:$Y455,"&lt;70001")</f>
        <v>0</v>
      </c>
      <c r="I455">
        <v>11</v>
      </c>
      <c r="J455">
        <v>1</v>
      </c>
      <c r="O455">
        <v>30116</v>
      </c>
      <c r="P455">
        <v>30117</v>
      </c>
      <c r="Q455">
        <v>30118</v>
      </c>
      <c r="R455">
        <v>30119</v>
      </c>
      <c r="S455">
        <v>30120</v>
      </c>
      <c r="T455">
        <v>30121</v>
      </c>
      <c r="U455">
        <v>30122</v>
      </c>
      <c r="V455">
        <v>30123</v>
      </c>
      <c r="W455">
        <v>30124</v>
      </c>
      <c r="X455">
        <v>30125</v>
      </c>
      <c r="Y455">
        <v>30126</v>
      </c>
    </row>
    <row r="456" spans="1:25" x14ac:dyDescent="0.2">
      <c r="B456" s="3" t="str">
        <f>A455&amp;"C"</f>
        <v>10091C</v>
      </c>
      <c r="O456">
        <v>2</v>
      </c>
      <c r="P456">
        <v>3</v>
      </c>
      <c r="Q456">
        <v>1</v>
      </c>
      <c r="R456">
        <v>2</v>
      </c>
      <c r="S456">
        <v>1</v>
      </c>
      <c r="T456">
        <v>1</v>
      </c>
      <c r="U456">
        <v>5</v>
      </c>
      <c r="V456">
        <v>1</v>
      </c>
      <c r="W456">
        <v>5</v>
      </c>
      <c r="X456">
        <v>4</v>
      </c>
      <c r="Y456">
        <v>4</v>
      </c>
    </row>
    <row r="457" spans="1:25" x14ac:dyDescent="0.2">
      <c r="O457">
        <f>IF(O459&gt;10000,HLOOKUP(O459,N455:$O458,4,FALSE),IF(OR(AND(22500&lt;O455,O455&lt;25001),AND(50000&lt;O455,O455&lt;53501),AND(70000&lt;O455,O455&lt;72501)),$F455,IF(OR(AND(25001&lt;O455,O455&lt;27501),AND(53500&lt;O455,O455&lt;57001),AND(72500&lt;O455,O455&lt;75001)),$G455,IF(OR(AND(27500&lt;O455,O455&lt;30001),AND(57000&lt;O455,O455&lt;60001),AND(75000&lt;O455,O455&lt;77500)),$H455,VLOOKUP(O455,BDins,6,FALSE)))))</f>
        <v>9.85</v>
      </c>
      <c r="P457">
        <f>IF(P459&gt;10000,HLOOKUP(P459,O455:$O458,4,FALSE),IF(OR(AND(22500&lt;P455,P455&lt;25001),AND(50000&lt;P455,P455&lt;53501),AND(70000&lt;P455,P455&lt;72501)),$F455,IF(OR(AND(25001&lt;P455,P455&lt;27501),AND(53500&lt;P455,P455&lt;57001),AND(72500&lt;P455,P455&lt;75001)),$G455,IF(OR(AND(27500&lt;P455,P455&lt;30001),AND(57000&lt;P455,P455&lt;60001),AND(75000&lt;P455,P455&lt;77500)),$H455,VLOOKUP(P455,BDins,6,FALSE)))))</f>
        <v>4.75</v>
      </c>
      <c r="Q457">
        <f>IF(Q459&gt;10000,HLOOKUP(Q459,$O455:P458,4,FALSE),IF(OR(AND(22500&lt;Q455,Q455&lt;25001),AND(50000&lt;Q455,Q455&lt;53501),AND(70000&lt;Q455,Q455&lt;72501)),$F455,IF(OR(AND(25001&lt;Q455,Q455&lt;27501),AND(53500&lt;Q455,Q455&lt;57001),AND(72500&lt;Q455,Q455&lt;75001)),$G455,IF(OR(AND(27500&lt;Q455,Q455&lt;30001),AND(57000&lt;Q455,Q455&lt;60001),AND(75000&lt;Q455,Q455&lt;77500)),$H455,VLOOKUP(Q455,BDins,6,FALSE)))))</f>
        <v>9.4499999999999993</v>
      </c>
      <c r="R457">
        <f>IF(R459&gt;10000,HLOOKUP(R459,$O455:Q458,4,FALSE),IF(OR(AND(22500&lt;R455,R455&lt;25001),AND(50000&lt;R455,R455&lt;53501),AND(70000&lt;R455,R455&lt;72501)),$F455,IF(OR(AND(25001&lt;R455,R455&lt;27501),AND(53500&lt;R455,R455&lt;57001),AND(72500&lt;R455,R455&lt;75001)),$G455,IF(OR(AND(27500&lt;R455,R455&lt;30001),AND(57000&lt;R455,R455&lt;60001),AND(75000&lt;R455,R455&lt;77500)),$H455,VLOOKUP(R455,BDins,6,FALSE)))))</f>
        <v>8.5399999999999991</v>
      </c>
      <c r="S457">
        <f>IF(S459&gt;10000,HLOOKUP(S459,$O455:R458,4,FALSE),IF(OR(AND(22500&lt;S455,S455&lt;25001),AND(50000&lt;S455,S455&lt;53501),AND(70000&lt;S455,S455&lt;72501)),$F455,IF(OR(AND(25001&lt;S455,S455&lt;27501),AND(53500&lt;S455,S455&lt;57001),AND(72500&lt;S455,S455&lt;75001)),$G455,IF(OR(AND(27500&lt;S455,S455&lt;30001),AND(57000&lt;S455,S455&lt;60001),AND(75000&lt;S455,S455&lt;77500)),$H455,VLOOKUP(S455,BDins,6,FALSE)))))</f>
        <v>11.85</v>
      </c>
      <c r="T457">
        <f>IF(T459&gt;10000,HLOOKUP(T459,$O455:S458,4,FALSE),IF(OR(AND(22500&lt;T455,T455&lt;25001),AND(50000&lt;T455,T455&lt;53501),AND(70000&lt;T455,T455&lt;72501)),$F455,IF(OR(AND(25001&lt;T455,T455&lt;27501),AND(53500&lt;T455,T455&lt;57001),AND(72500&lt;T455,T455&lt;75001)),$G455,IF(OR(AND(27500&lt;T455,T455&lt;30001),AND(57000&lt;T455,T455&lt;60001),AND(75000&lt;T455,T455&lt;77500)),$H455,VLOOKUP(T455,BDins,6,FALSE)))))</f>
        <v>11.45</v>
      </c>
      <c r="U457">
        <f>IF(U459&gt;10000,HLOOKUP(U459,$O455:T458,4,FALSE),IF(OR(AND(22500&lt;U455,U455&lt;25001),AND(50000&lt;U455,U455&lt;53501),AND(70000&lt;U455,U455&lt;72501)),$F455,IF(OR(AND(25001&lt;U455,U455&lt;27501),AND(53500&lt;U455,U455&lt;57001),AND(72500&lt;U455,U455&lt;75001)),$G455,IF(OR(AND(27500&lt;U455,U455&lt;30001),AND(57000&lt;U455,U455&lt;60001),AND(75000&lt;U455,U455&lt;77500)),$H455,VLOOKUP(U455,BDins,6,FALSE)))))</f>
        <v>6.75</v>
      </c>
      <c r="V457">
        <f>IF(V459&gt;10000,HLOOKUP(V459,$O455:U458,4,FALSE),IF(OR(AND(22500&lt;V455,V455&lt;25001),AND(50000&lt;V455,V455&lt;53501),AND(70000&lt;V455,V455&lt;72501)),$F455,IF(OR(AND(25001&lt;V455,V455&lt;27501),AND(53500&lt;V455,V455&lt;57001),AND(72500&lt;V455,V455&lt;75001)),$G455,IF(OR(AND(27500&lt;V455,V455&lt;30001),AND(57000&lt;V455,V455&lt;60001),AND(75000&lt;V455,V455&lt;77500)),$H455,VLOOKUP(V455,BDins,6,FALSE)))))</f>
        <v>9.4499999999999993</v>
      </c>
      <c r="W457">
        <f>IF(W459&gt;10000,HLOOKUP(W459,$O455:V458,4,FALSE),IF(OR(AND(22500&lt;W455,W455&lt;25001),AND(50000&lt;W455,W455&lt;53501),AND(70000&lt;W455,W455&lt;72501)),$F455,IF(OR(AND(25001&lt;W455,W455&lt;27501),AND(53500&lt;W455,W455&lt;57001),AND(72500&lt;W455,W455&lt;75001)),$G455,IF(OR(AND(27500&lt;W455,W455&lt;30001),AND(57000&lt;W455,W455&lt;60001),AND(75000&lt;W455,W455&lt;77500)),$H455,VLOOKUP(W455,BDins,6,FALSE)))))</f>
        <v>4.75</v>
      </c>
      <c r="X457">
        <f>IF(X459&gt;10000,HLOOKUP(X459,$O455:W458,4,FALSE),IF(OR(AND(22500&lt;X455,X455&lt;25001),AND(50000&lt;X455,X455&lt;53501),AND(70000&lt;X455,X455&lt;72501)),$F455,IF(OR(AND(25001&lt;X455,X455&lt;27501),AND(53500&lt;X455,X455&lt;57001),AND(72500&lt;X455,X455&lt;75001)),$G455,IF(OR(AND(27500&lt;X455,X455&lt;30001),AND(57000&lt;X455,X455&lt;60001),AND(75000&lt;X455,X455&lt;77500)),$H455,VLOOKUP(X455,BDins,6,FALSE)))))</f>
        <v>6.5</v>
      </c>
      <c r="Y457">
        <f>IF(Y459&gt;10000,HLOOKUP(Y459,$O455:X458,4,FALSE),IF(OR(AND(22500&lt;Y455,Y455&lt;25001),AND(50000&lt;Y455,Y455&lt;53501),AND(70000&lt;Y455,Y455&lt;72501)),$F455,IF(OR(AND(25001&lt;Y455,Y455&lt;27501),AND(53500&lt;Y455,Y455&lt;57001),AND(72500&lt;Y455,Y455&lt;75001)),$G455,IF(OR(AND(27500&lt;Y455,Y455&lt;30001),AND(57000&lt;Y455,Y455&lt;60001),AND(75000&lt;Y455,Y455&lt;77500)),$H455,VLOOKUP(Y455,BDins,6,FALSE)))))</f>
        <v>8.5</v>
      </c>
    </row>
    <row r="458" spans="1:25" x14ac:dyDescent="0.2">
      <c r="O458">
        <f t="shared" ref="O458:Y458" si="52">IF($K455&gt;0,ROUND(O456*$E455/100,DpCU),IF(O459&gt;10000,ROUND(HLOOKUP(O459,$O455:$Y458,4,FALSE)/100*O456,DpCU),IF(OR(O455&lt;20001,O455&gt;95000,AND(60000&lt;O455,O455&lt;70001)),ROUND(ROUND(O456*JL/$C455,DcCU)*O457,DpCU),IF(OR(AND(20000&lt;O455,O455&lt;22501),AND(30000&lt;O455,O455&lt;50001),77500&lt;O455),ROUND(O457*O456,DpCU),IF(OR(AND(22500&lt;O455,O455&lt;25001),AND(50000&lt;O455,O455&lt;53501),AND(70000&lt;O455,O455&lt;72501)),ROUND($F455/100*O456,DpCU),IF(OR(AND(25000&lt;O455,O455&lt;27501),AND(53500&lt;O455,O455&lt;57001),AND(72500&lt;O455,O455&lt;75001)),ROUND($G455/100*O456,DpCU),ROUND($H455/100*O456,DpCU)))))))</f>
        <v>19.7</v>
      </c>
      <c r="P458">
        <f t="shared" si="52"/>
        <v>14.25</v>
      </c>
      <c r="Q458">
        <f t="shared" si="52"/>
        <v>9.4499999999999993</v>
      </c>
      <c r="R458">
        <f t="shared" si="52"/>
        <v>17.079999999999998</v>
      </c>
      <c r="S458">
        <f t="shared" si="52"/>
        <v>11.85</v>
      </c>
      <c r="T458">
        <f t="shared" si="52"/>
        <v>11.45</v>
      </c>
      <c r="U458">
        <f t="shared" si="52"/>
        <v>33.75</v>
      </c>
      <c r="V458">
        <f t="shared" si="52"/>
        <v>9.4499999999999993</v>
      </c>
      <c r="W458">
        <f t="shared" si="52"/>
        <v>23.75</v>
      </c>
      <c r="X458">
        <f t="shared" si="52"/>
        <v>26</v>
      </c>
      <c r="Y458">
        <f t="shared" si="52"/>
        <v>34</v>
      </c>
    </row>
    <row r="459" spans="1:25" x14ac:dyDescent="0.2">
      <c r="B459" s="3" t="str">
        <f>A455&amp;"r"</f>
        <v>10091r</v>
      </c>
    </row>
    <row r="460" spans="1:25" x14ac:dyDescent="0.2">
      <c r="A460">
        <v>10092</v>
      </c>
      <c r="B460" s="3" t="s">
        <v>577</v>
      </c>
      <c r="C460" s="1">
        <f>ROUND(J460*JL*Frto/8,4)</f>
        <v>24</v>
      </c>
      <c r="D460" t="s">
        <v>356</v>
      </c>
      <c r="E460">
        <f>SUM($O463:$S463)</f>
        <v>15.38</v>
      </c>
      <c r="F460">
        <f>SUMIF($O460:$S460,"&lt;22501",$O463:$S463)</f>
        <v>10.07</v>
      </c>
      <c r="G460">
        <f>SUMIFS($O463:$S463,$O460:$S460,"&gt;30000",$O460:$S460,"&lt;50001")</f>
        <v>5.01</v>
      </c>
      <c r="H460">
        <f>SUMIFS($O463:$S463,$O460:$S460,"&gt;60000",$O460:$S460,"&lt;70001")</f>
        <v>0</v>
      </c>
      <c r="I460">
        <v>5</v>
      </c>
      <c r="J460">
        <v>24</v>
      </c>
      <c r="O460">
        <v>10001</v>
      </c>
      <c r="P460">
        <v>10004</v>
      </c>
      <c r="Q460">
        <v>30110</v>
      </c>
      <c r="R460">
        <v>30127</v>
      </c>
      <c r="S460">
        <v>70001</v>
      </c>
    </row>
    <row r="461" spans="1:25" x14ac:dyDescent="0.2">
      <c r="B461" s="3" t="str">
        <f>A460&amp;"C"</f>
        <v>10092C</v>
      </c>
      <c r="O461">
        <v>1</v>
      </c>
      <c r="P461">
        <v>1</v>
      </c>
      <c r="Q461">
        <v>7.0000000000000007E-2</v>
      </c>
      <c r="R461">
        <v>1.05</v>
      </c>
      <c r="S461">
        <v>3</v>
      </c>
    </row>
    <row r="462" spans="1:25" x14ac:dyDescent="0.2">
      <c r="O462">
        <f>IF(O464&gt;10000,HLOOKUP(O464,N460:$O463,4,FALSE),IF(OR(AND(22500&lt;O460,O460&lt;25001),AND(50000&lt;O460,O460&lt;53501),AND(70000&lt;O460,O460&lt;72501)),$F460,IF(OR(AND(25001&lt;O460,O460&lt;27501),AND(53500&lt;O460,O460&lt;57001),AND(72500&lt;O460,O460&lt;75001)),$G460,IF(OR(AND(27500&lt;O460,O460&lt;30001),AND(57000&lt;O460,O460&lt;60001),AND(75000&lt;O460,O460&lt;77500)),$H460,VLOOKUP(O460,BDins,6,FALSE)))))</f>
        <v>12.64</v>
      </c>
      <c r="P462">
        <f>IF(P464&gt;10000,HLOOKUP(P464,O460:$O463,4,FALSE),IF(OR(AND(22500&lt;P460,P460&lt;25001),AND(50000&lt;P460,P460&lt;53501),AND(70000&lt;P460,P460&lt;72501)),$F460,IF(OR(AND(25001&lt;P460,P460&lt;27501),AND(53500&lt;P460,P460&lt;57001),AND(72500&lt;P460,P460&lt;75001)),$G460,IF(OR(AND(27500&lt;P460,P460&lt;30001),AND(57000&lt;P460,P460&lt;60001),AND(75000&lt;P460,P460&lt;77500)),$H460,VLOOKUP(P460,BDins,6,FALSE)))))</f>
        <v>17.59</v>
      </c>
      <c r="Q462">
        <f>IF(Q464&gt;10000,HLOOKUP(Q464,$O460:P463,4,FALSE),IF(OR(AND(22500&lt;Q460,Q460&lt;25001),AND(50000&lt;Q460,Q460&lt;53501),AND(70000&lt;Q460,Q460&lt;72501)),$F460,IF(OR(AND(25001&lt;Q460,Q460&lt;27501),AND(53500&lt;Q460,Q460&lt;57001),AND(72500&lt;Q460,Q460&lt;75001)),$G460,IF(OR(AND(27500&lt;Q460,Q460&lt;30001),AND(57000&lt;Q460,Q460&lt;60001),AND(75000&lt;Q460,Q460&lt;77500)),$H460,VLOOKUP(Q460,BDins,6,FALSE)))))</f>
        <v>28.9</v>
      </c>
      <c r="R462">
        <f>IF(R464&gt;10000,HLOOKUP(R464,$O460:Q463,4,FALSE),IF(OR(AND(22500&lt;R460,R460&lt;25001),AND(50000&lt;R460,R460&lt;53501),AND(70000&lt;R460,R460&lt;72501)),$F460,IF(OR(AND(25001&lt;R460,R460&lt;27501),AND(53500&lt;R460,R460&lt;57001),AND(72500&lt;R460,R460&lt;75001)),$G460,IF(OR(AND(27500&lt;R460,R460&lt;30001),AND(57000&lt;R460,R460&lt;60001),AND(75000&lt;R460,R460&lt;77500)),$H460,VLOOKUP(R460,BDins,6,FALSE)))))</f>
        <v>2.85</v>
      </c>
      <c r="S462">
        <f>IF(S464&gt;10000,HLOOKUP(S464,$O460:R463,4,FALSE),IF(OR(AND(22500&lt;S460,S460&lt;25001),AND(50000&lt;S460,S460&lt;53501),AND(70000&lt;S460,S460&lt;72501)),$F460,IF(OR(AND(25001&lt;S460,S460&lt;27501),AND(53500&lt;S460,S460&lt;57001),AND(72500&lt;S460,S460&lt;75001)),$G460,IF(OR(AND(27500&lt;S460,S460&lt;30001),AND(57000&lt;S460,S460&lt;60001),AND(75000&lt;S460,S460&lt;77500)),$H460,VLOOKUP(S460,BDins,6,FALSE)))))</f>
        <v>10.07</v>
      </c>
    </row>
    <row r="463" spans="1:25" x14ac:dyDescent="0.2">
      <c r="O463">
        <f>IF($K460&gt;0,ROUND(O461*$E460/100,DpCU),IF(O464&gt;10000,ROUND(HLOOKUP(O464,$O460:$S463,4,FALSE)/100*O461,DpCU),IF(OR(O460&lt;20001,O460&gt;95000,AND(60000&lt;O460,O460&lt;70001)),ROUND(ROUND(O461*JL/$C460,DcCU)*O462,DpCU),IF(OR(AND(20000&lt;O460,O460&lt;22501),AND(30000&lt;O460,O460&lt;50001),77500&lt;O460),ROUND(O462*O461,DpCU),IF(OR(AND(22500&lt;O460,O460&lt;25001),AND(50000&lt;O460,O460&lt;53501),AND(70000&lt;O460,O460&lt;72501)),ROUND($F460/100*O461,DpCU),IF(OR(AND(25000&lt;O460,O460&lt;27501),AND(53500&lt;O460,O460&lt;57001),AND(72500&lt;O460,O460&lt;75001)),ROUND($G460/100*O461,DpCU),ROUND($H460/100*O461,DpCU)))))))</f>
        <v>4.21</v>
      </c>
      <c r="P463">
        <f>IF($K460&gt;0,ROUND(P461*$E460/100,DpCU),IF(P464&gt;10000,ROUND(HLOOKUP(P464,$O460:$S463,4,FALSE)/100*P461,DpCU),IF(OR(P460&lt;20001,P460&gt;95000,AND(60000&lt;P460,P460&lt;70001)),ROUND(ROUND(P461*JL/$C460,DcCU)*P462,DpCU),IF(OR(AND(20000&lt;P460,P460&lt;22501),AND(30000&lt;P460,P460&lt;50001),77500&lt;P460),ROUND(P462*P461,DpCU),IF(OR(AND(22500&lt;P460,P460&lt;25001),AND(50000&lt;P460,P460&lt;53501),AND(70000&lt;P460,P460&lt;72501)),ROUND($F460/100*P461,DpCU),IF(OR(AND(25000&lt;P460,P460&lt;27501),AND(53500&lt;P460,P460&lt;57001),AND(72500&lt;P460,P460&lt;75001)),ROUND($G460/100*P461,DpCU),ROUND($H460/100*P461,DpCU)))))))</f>
        <v>5.86</v>
      </c>
      <c r="Q463">
        <f>IF($K460&gt;0,ROUND(Q461*$E460/100,DpCU),IF(Q464&gt;10000,ROUND(HLOOKUP(Q464,$O460:$S463,4,FALSE)/100*Q461,DpCU),IF(OR(Q460&lt;20001,Q460&gt;95000,AND(60000&lt;Q460,Q460&lt;70001)),ROUND(ROUND(Q461*JL/$C460,DcCU)*Q462,DpCU),IF(OR(AND(20000&lt;Q460,Q460&lt;22501),AND(30000&lt;Q460,Q460&lt;50001),77500&lt;Q460),ROUND(Q462*Q461,DpCU),IF(OR(AND(22500&lt;Q460,Q460&lt;25001),AND(50000&lt;Q460,Q460&lt;53501),AND(70000&lt;Q460,Q460&lt;72501)),ROUND($F460/100*Q461,DpCU),IF(OR(AND(25000&lt;Q460,Q460&lt;27501),AND(53500&lt;Q460,Q460&lt;57001),AND(72500&lt;Q460,Q460&lt;75001)),ROUND($G460/100*Q461,DpCU),ROUND($H460/100*Q461,DpCU)))))))</f>
        <v>2.02</v>
      </c>
      <c r="R463">
        <f>IF($K460&gt;0,ROUND(R461*$E460/100,DpCU),IF(R464&gt;10000,ROUND(HLOOKUP(R464,$O460:$S463,4,FALSE)/100*R461,DpCU),IF(OR(R460&lt;20001,R460&gt;95000,AND(60000&lt;R460,R460&lt;70001)),ROUND(ROUND(R461*JL/$C460,DcCU)*R462,DpCU),IF(OR(AND(20000&lt;R460,R460&lt;22501),AND(30000&lt;R460,R460&lt;50001),77500&lt;R460),ROUND(R462*R461,DpCU),IF(OR(AND(22500&lt;R460,R460&lt;25001),AND(50000&lt;R460,R460&lt;53501),AND(70000&lt;R460,R460&lt;72501)),ROUND($F460/100*R461,DpCU),IF(OR(AND(25000&lt;R460,R460&lt;27501),AND(53500&lt;R460,R460&lt;57001),AND(72500&lt;R460,R460&lt;75001)),ROUND($G460/100*R461,DpCU),ROUND($H460/100*R461,DpCU)))))))</f>
        <v>2.99</v>
      </c>
      <c r="S463">
        <f>IF($K460&gt;0,ROUND(S461*$E460/100,DpCU),IF(S464&gt;10000,ROUND(HLOOKUP(S464,$O460:$S463,4,FALSE)/100*S461,DpCU),IF(OR(S460&lt;20001,S460&gt;95000,AND(60000&lt;S460,S460&lt;70001)),ROUND(ROUND(S461*JL/$C460,DcCU)*S462,DpCU),IF(OR(AND(20000&lt;S460,S460&lt;22501),AND(30000&lt;S460,S460&lt;50001),77500&lt;S460),ROUND(S462*S461,DpCU),IF(OR(AND(22500&lt;S460,S460&lt;25001),AND(50000&lt;S460,S460&lt;53501),AND(70000&lt;S460,S460&lt;72501)),ROUND($F460/100*S461,DpCU),IF(OR(AND(25000&lt;S460,S460&lt;27501),AND(53500&lt;S460,S460&lt;57001),AND(72500&lt;S460,S460&lt;75001)),ROUND($G460/100*S461,DpCU),ROUND($H460/100*S461,DpCU)))))))</f>
        <v>0.3</v>
      </c>
    </row>
    <row r="464" spans="1:25" x14ac:dyDescent="0.2">
      <c r="B464" s="3" t="str">
        <f>A460&amp;"r"</f>
        <v>10092r</v>
      </c>
    </row>
    <row r="465" spans="1:21" x14ac:dyDescent="0.2">
      <c r="A465">
        <v>10093</v>
      </c>
      <c r="B465" s="3" t="s">
        <v>580</v>
      </c>
      <c r="C465" s="1">
        <f>ROUND(J465*JL*Frto/8,4)</f>
        <v>24</v>
      </c>
      <c r="D465" t="s">
        <v>356</v>
      </c>
      <c r="E465">
        <f>SUM($O468:$S468)</f>
        <v>16.010000000000002</v>
      </c>
      <c r="F465">
        <f>SUMIF($O465:$S465,"&lt;22501",$O468:$S468)</f>
        <v>10.07</v>
      </c>
      <c r="G465">
        <f>SUMIFS($O468:$S468,$O465:$S465,"&gt;30000",$O465:$S465,"&lt;50001")</f>
        <v>5.6400000000000006</v>
      </c>
      <c r="H465">
        <f>SUMIFS($O468:$S468,$O465:$S465,"&gt;60000",$O465:$S465,"&lt;70001")</f>
        <v>0</v>
      </c>
      <c r="I465">
        <v>5</v>
      </c>
      <c r="J465">
        <v>24</v>
      </c>
      <c r="O465">
        <v>10001</v>
      </c>
      <c r="P465">
        <v>10004</v>
      </c>
      <c r="Q465">
        <v>30110</v>
      </c>
      <c r="R465">
        <v>30128</v>
      </c>
      <c r="S465">
        <v>70001</v>
      </c>
    </row>
    <row r="466" spans="1:21" x14ac:dyDescent="0.2">
      <c r="B466" s="3" t="str">
        <f>A465&amp;"C"</f>
        <v>10093C</v>
      </c>
      <c r="O466">
        <v>1</v>
      </c>
      <c r="P466">
        <v>1</v>
      </c>
      <c r="Q466">
        <v>7.0000000000000007E-2</v>
      </c>
      <c r="R466">
        <v>1.05</v>
      </c>
      <c r="S466">
        <v>3</v>
      </c>
    </row>
    <row r="467" spans="1:21" x14ac:dyDescent="0.2">
      <c r="O467">
        <f>IF(O469&gt;10000,HLOOKUP(O469,N465:$O468,4,FALSE),IF(OR(AND(22500&lt;O465,O465&lt;25001),AND(50000&lt;O465,O465&lt;53501),AND(70000&lt;O465,O465&lt;72501)),$F465,IF(OR(AND(25001&lt;O465,O465&lt;27501),AND(53500&lt;O465,O465&lt;57001),AND(72500&lt;O465,O465&lt;75001)),$G465,IF(OR(AND(27500&lt;O465,O465&lt;30001),AND(57000&lt;O465,O465&lt;60001),AND(75000&lt;O465,O465&lt;77500)),$H465,VLOOKUP(O465,BDins,6,FALSE)))))</f>
        <v>12.64</v>
      </c>
      <c r="P467">
        <f>IF(P469&gt;10000,HLOOKUP(P469,O465:$O468,4,FALSE),IF(OR(AND(22500&lt;P465,P465&lt;25001),AND(50000&lt;P465,P465&lt;53501),AND(70000&lt;P465,P465&lt;72501)),$F465,IF(OR(AND(25001&lt;P465,P465&lt;27501),AND(53500&lt;P465,P465&lt;57001),AND(72500&lt;P465,P465&lt;75001)),$G465,IF(OR(AND(27500&lt;P465,P465&lt;30001),AND(57000&lt;P465,P465&lt;60001),AND(75000&lt;P465,P465&lt;77500)),$H465,VLOOKUP(P465,BDins,6,FALSE)))))</f>
        <v>17.59</v>
      </c>
      <c r="Q467">
        <f>IF(Q469&gt;10000,HLOOKUP(Q469,$O465:P468,4,FALSE),IF(OR(AND(22500&lt;Q465,Q465&lt;25001),AND(50000&lt;Q465,Q465&lt;53501),AND(70000&lt;Q465,Q465&lt;72501)),$F465,IF(OR(AND(25001&lt;Q465,Q465&lt;27501),AND(53500&lt;Q465,Q465&lt;57001),AND(72500&lt;Q465,Q465&lt;75001)),$G465,IF(OR(AND(27500&lt;Q465,Q465&lt;30001),AND(57000&lt;Q465,Q465&lt;60001),AND(75000&lt;Q465,Q465&lt;77500)),$H465,VLOOKUP(Q465,BDins,6,FALSE)))))</f>
        <v>28.9</v>
      </c>
      <c r="R467">
        <f>IF(R469&gt;10000,HLOOKUP(R469,$O465:Q468,4,FALSE),IF(OR(AND(22500&lt;R465,R465&lt;25001),AND(50000&lt;R465,R465&lt;53501),AND(70000&lt;R465,R465&lt;72501)),$F465,IF(OR(AND(25001&lt;R465,R465&lt;27501),AND(53500&lt;R465,R465&lt;57001),AND(72500&lt;R465,R465&lt;75001)),$G465,IF(OR(AND(27500&lt;R465,R465&lt;30001),AND(57000&lt;R465,R465&lt;60001),AND(75000&lt;R465,R465&lt;77500)),$H465,VLOOKUP(R465,BDins,6,FALSE)))))</f>
        <v>3.45</v>
      </c>
      <c r="S467">
        <f>IF(S469&gt;10000,HLOOKUP(S469,$O465:R468,4,FALSE),IF(OR(AND(22500&lt;S465,S465&lt;25001),AND(50000&lt;S465,S465&lt;53501),AND(70000&lt;S465,S465&lt;72501)),$F465,IF(OR(AND(25001&lt;S465,S465&lt;27501),AND(53500&lt;S465,S465&lt;57001),AND(72500&lt;S465,S465&lt;75001)),$G465,IF(OR(AND(27500&lt;S465,S465&lt;30001),AND(57000&lt;S465,S465&lt;60001),AND(75000&lt;S465,S465&lt;77500)),$H465,VLOOKUP(S465,BDins,6,FALSE)))))</f>
        <v>10.07</v>
      </c>
    </row>
    <row r="468" spans="1:21" x14ac:dyDescent="0.2">
      <c r="O468">
        <f>IF($K465&gt;0,ROUND(O466*$E465/100,DpCU),IF(O469&gt;10000,ROUND(HLOOKUP(O469,$O465:$S468,4,FALSE)/100*O466,DpCU),IF(OR(O465&lt;20001,O465&gt;95000,AND(60000&lt;O465,O465&lt;70001)),ROUND(ROUND(O466*JL/$C465,DcCU)*O467,DpCU),IF(OR(AND(20000&lt;O465,O465&lt;22501),AND(30000&lt;O465,O465&lt;50001),77500&lt;O465),ROUND(O467*O466,DpCU),IF(OR(AND(22500&lt;O465,O465&lt;25001),AND(50000&lt;O465,O465&lt;53501),AND(70000&lt;O465,O465&lt;72501)),ROUND($F465/100*O466,DpCU),IF(OR(AND(25000&lt;O465,O465&lt;27501),AND(53500&lt;O465,O465&lt;57001),AND(72500&lt;O465,O465&lt;75001)),ROUND($G465/100*O466,DpCU),ROUND($H465/100*O466,DpCU)))))))</f>
        <v>4.21</v>
      </c>
      <c r="P468">
        <f>IF($K465&gt;0,ROUND(P466*$E465/100,DpCU),IF(P469&gt;10000,ROUND(HLOOKUP(P469,$O465:$S468,4,FALSE)/100*P466,DpCU),IF(OR(P465&lt;20001,P465&gt;95000,AND(60000&lt;P465,P465&lt;70001)),ROUND(ROUND(P466*JL/$C465,DcCU)*P467,DpCU),IF(OR(AND(20000&lt;P465,P465&lt;22501),AND(30000&lt;P465,P465&lt;50001),77500&lt;P465),ROUND(P467*P466,DpCU),IF(OR(AND(22500&lt;P465,P465&lt;25001),AND(50000&lt;P465,P465&lt;53501),AND(70000&lt;P465,P465&lt;72501)),ROUND($F465/100*P466,DpCU),IF(OR(AND(25000&lt;P465,P465&lt;27501),AND(53500&lt;P465,P465&lt;57001),AND(72500&lt;P465,P465&lt;75001)),ROUND($G465/100*P466,DpCU),ROUND($H465/100*P466,DpCU)))))))</f>
        <v>5.86</v>
      </c>
      <c r="Q468">
        <f>IF($K465&gt;0,ROUND(Q466*$E465/100,DpCU),IF(Q469&gt;10000,ROUND(HLOOKUP(Q469,$O465:$S468,4,FALSE)/100*Q466,DpCU),IF(OR(Q465&lt;20001,Q465&gt;95000,AND(60000&lt;Q465,Q465&lt;70001)),ROUND(ROUND(Q466*JL/$C465,DcCU)*Q467,DpCU),IF(OR(AND(20000&lt;Q465,Q465&lt;22501),AND(30000&lt;Q465,Q465&lt;50001),77500&lt;Q465),ROUND(Q467*Q466,DpCU),IF(OR(AND(22500&lt;Q465,Q465&lt;25001),AND(50000&lt;Q465,Q465&lt;53501),AND(70000&lt;Q465,Q465&lt;72501)),ROUND($F465/100*Q466,DpCU),IF(OR(AND(25000&lt;Q465,Q465&lt;27501),AND(53500&lt;Q465,Q465&lt;57001),AND(72500&lt;Q465,Q465&lt;75001)),ROUND($G465/100*Q466,DpCU),ROUND($H465/100*Q466,DpCU)))))))</f>
        <v>2.02</v>
      </c>
      <c r="R468">
        <f>IF($K465&gt;0,ROUND(R466*$E465/100,DpCU),IF(R469&gt;10000,ROUND(HLOOKUP(R469,$O465:$S468,4,FALSE)/100*R466,DpCU),IF(OR(R465&lt;20001,R465&gt;95000,AND(60000&lt;R465,R465&lt;70001)),ROUND(ROUND(R466*JL/$C465,DcCU)*R467,DpCU),IF(OR(AND(20000&lt;R465,R465&lt;22501),AND(30000&lt;R465,R465&lt;50001),77500&lt;R465),ROUND(R467*R466,DpCU),IF(OR(AND(22500&lt;R465,R465&lt;25001),AND(50000&lt;R465,R465&lt;53501),AND(70000&lt;R465,R465&lt;72501)),ROUND($F465/100*R466,DpCU),IF(OR(AND(25000&lt;R465,R465&lt;27501),AND(53500&lt;R465,R465&lt;57001),AND(72500&lt;R465,R465&lt;75001)),ROUND($G465/100*R466,DpCU),ROUND($H465/100*R466,DpCU)))))))</f>
        <v>3.62</v>
      </c>
      <c r="S468">
        <f>IF($K465&gt;0,ROUND(S466*$E465/100,DpCU),IF(S469&gt;10000,ROUND(HLOOKUP(S469,$O465:$S468,4,FALSE)/100*S466,DpCU),IF(OR(S465&lt;20001,S465&gt;95000,AND(60000&lt;S465,S465&lt;70001)),ROUND(ROUND(S466*JL/$C465,DcCU)*S467,DpCU),IF(OR(AND(20000&lt;S465,S465&lt;22501),AND(30000&lt;S465,S465&lt;50001),77500&lt;S465),ROUND(S467*S466,DpCU),IF(OR(AND(22500&lt;S465,S465&lt;25001),AND(50000&lt;S465,S465&lt;53501),AND(70000&lt;S465,S465&lt;72501)),ROUND($F465/100*S466,DpCU),IF(OR(AND(25000&lt;S465,S465&lt;27501),AND(53500&lt;S465,S465&lt;57001),AND(72500&lt;S465,S465&lt;75001)),ROUND($G465/100*S466,DpCU),ROUND($H465/100*S466,DpCU)))))))</f>
        <v>0.3</v>
      </c>
    </row>
    <row r="469" spans="1:21" x14ac:dyDescent="0.2">
      <c r="B469" s="3" t="str">
        <f>A465&amp;"r"</f>
        <v>10093r</v>
      </c>
    </row>
    <row r="470" spans="1:21" x14ac:dyDescent="0.2">
      <c r="A470">
        <v>10094</v>
      </c>
      <c r="B470" s="3" t="s">
        <v>583</v>
      </c>
      <c r="C470" s="1">
        <f>ROUND(J470*JL*Frto/8,4)</f>
        <v>24</v>
      </c>
      <c r="D470" t="s">
        <v>356</v>
      </c>
      <c r="E470">
        <f>SUM($O473:$S473)</f>
        <v>16.330000000000002</v>
      </c>
      <c r="F470">
        <f>SUMIF($O470:$S470,"&lt;22501",$O473:$S473)</f>
        <v>10.07</v>
      </c>
      <c r="G470">
        <f>SUMIFS($O473:$S473,$O470:$S470,"&gt;30000",$O470:$S470,"&lt;50001")</f>
        <v>5.96</v>
      </c>
      <c r="H470">
        <f>SUMIFS($O473:$S473,$O470:$S470,"&gt;60000",$O470:$S470,"&lt;70001")</f>
        <v>0</v>
      </c>
      <c r="I470">
        <v>5</v>
      </c>
      <c r="J470">
        <v>24</v>
      </c>
      <c r="O470">
        <v>10001</v>
      </c>
      <c r="P470">
        <v>10004</v>
      </c>
      <c r="Q470">
        <v>30110</v>
      </c>
      <c r="R470">
        <v>30129</v>
      </c>
      <c r="S470">
        <v>70001</v>
      </c>
    </row>
    <row r="471" spans="1:21" x14ac:dyDescent="0.2">
      <c r="B471" s="3" t="str">
        <f>A470&amp;"C"</f>
        <v>10094C</v>
      </c>
      <c r="O471">
        <v>1</v>
      </c>
      <c r="P471">
        <v>1</v>
      </c>
      <c r="Q471">
        <v>7.0000000000000007E-2</v>
      </c>
      <c r="R471">
        <v>1.05</v>
      </c>
      <c r="S471">
        <v>3</v>
      </c>
    </row>
    <row r="472" spans="1:21" x14ac:dyDescent="0.2">
      <c r="O472">
        <f>IF(O474&gt;10000,HLOOKUP(O474,N470:$O473,4,FALSE),IF(OR(AND(22500&lt;O470,O470&lt;25001),AND(50000&lt;O470,O470&lt;53501),AND(70000&lt;O470,O470&lt;72501)),$F470,IF(OR(AND(25001&lt;O470,O470&lt;27501),AND(53500&lt;O470,O470&lt;57001),AND(72500&lt;O470,O470&lt;75001)),$G470,IF(OR(AND(27500&lt;O470,O470&lt;30001),AND(57000&lt;O470,O470&lt;60001),AND(75000&lt;O470,O470&lt;77500)),$H470,VLOOKUP(O470,BDins,6,FALSE)))))</f>
        <v>12.64</v>
      </c>
      <c r="P472">
        <f>IF(P474&gt;10000,HLOOKUP(P474,O470:$O473,4,FALSE),IF(OR(AND(22500&lt;P470,P470&lt;25001),AND(50000&lt;P470,P470&lt;53501),AND(70000&lt;P470,P470&lt;72501)),$F470,IF(OR(AND(25001&lt;P470,P470&lt;27501),AND(53500&lt;P470,P470&lt;57001),AND(72500&lt;P470,P470&lt;75001)),$G470,IF(OR(AND(27500&lt;P470,P470&lt;30001),AND(57000&lt;P470,P470&lt;60001),AND(75000&lt;P470,P470&lt;77500)),$H470,VLOOKUP(P470,BDins,6,FALSE)))))</f>
        <v>17.59</v>
      </c>
      <c r="Q472">
        <f>IF(Q474&gt;10000,HLOOKUP(Q474,$O470:P473,4,FALSE),IF(OR(AND(22500&lt;Q470,Q470&lt;25001),AND(50000&lt;Q470,Q470&lt;53501),AND(70000&lt;Q470,Q470&lt;72501)),$F470,IF(OR(AND(25001&lt;Q470,Q470&lt;27501),AND(53500&lt;Q470,Q470&lt;57001),AND(72500&lt;Q470,Q470&lt;75001)),$G470,IF(OR(AND(27500&lt;Q470,Q470&lt;30001),AND(57000&lt;Q470,Q470&lt;60001),AND(75000&lt;Q470,Q470&lt;77500)),$H470,VLOOKUP(Q470,BDins,6,FALSE)))))</f>
        <v>28.9</v>
      </c>
      <c r="R472">
        <f>IF(R474&gt;10000,HLOOKUP(R474,$O470:Q473,4,FALSE),IF(OR(AND(22500&lt;R470,R470&lt;25001),AND(50000&lt;R470,R470&lt;53501),AND(70000&lt;R470,R470&lt;72501)),$F470,IF(OR(AND(25001&lt;R470,R470&lt;27501),AND(53500&lt;R470,R470&lt;57001),AND(72500&lt;R470,R470&lt;75001)),$G470,IF(OR(AND(27500&lt;R470,R470&lt;30001),AND(57000&lt;R470,R470&lt;60001),AND(75000&lt;R470,R470&lt;77500)),$H470,VLOOKUP(R470,BDins,6,FALSE)))))</f>
        <v>3.75</v>
      </c>
      <c r="S472">
        <f>IF(S474&gt;10000,HLOOKUP(S474,$O470:R473,4,FALSE),IF(OR(AND(22500&lt;S470,S470&lt;25001),AND(50000&lt;S470,S470&lt;53501),AND(70000&lt;S470,S470&lt;72501)),$F470,IF(OR(AND(25001&lt;S470,S470&lt;27501),AND(53500&lt;S470,S470&lt;57001),AND(72500&lt;S470,S470&lt;75001)),$G470,IF(OR(AND(27500&lt;S470,S470&lt;30001),AND(57000&lt;S470,S470&lt;60001),AND(75000&lt;S470,S470&lt;77500)),$H470,VLOOKUP(S470,BDins,6,FALSE)))))</f>
        <v>10.07</v>
      </c>
    </row>
    <row r="473" spans="1:21" x14ac:dyDescent="0.2">
      <c r="O473">
        <f>IF($K470&gt;0,ROUND(O471*$E470/100,DpCU),IF(O474&gt;10000,ROUND(HLOOKUP(O474,$O470:$S473,4,FALSE)/100*O471,DpCU),IF(OR(O470&lt;20001,O470&gt;95000,AND(60000&lt;O470,O470&lt;70001)),ROUND(ROUND(O471*JL/$C470,DcCU)*O472,DpCU),IF(OR(AND(20000&lt;O470,O470&lt;22501),AND(30000&lt;O470,O470&lt;50001),77500&lt;O470),ROUND(O472*O471,DpCU),IF(OR(AND(22500&lt;O470,O470&lt;25001),AND(50000&lt;O470,O470&lt;53501),AND(70000&lt;O470,O470&lt;72501)),ROUND($F470/100*O471,DpCU),IF(OR(AND(25000&lt;O470,O470&lt;27501),AND(53500&lt;O470,O470&lt;57001),AND(72500&lt;O470,O470&lt;75001)),ROUND($G470/100*O471,DpCU),ROUND($H470/100*O471,DpCU)))))))</f>
        <v>4.21</v>
      </c>
      <c r="P473">
        <f>IF($K470&gt;0,ROUND(P471*$E470/100,DpCU),IF(P474&gt;10000,ROUND(HLOOKUP(P474,$O470:$S473,4,FALSE)/100*P471,DpCU),IF(OR(P470&lt;20001,P470&gt;95000,AND(60000&lt;P470,P470&lt;70001)),ROUND(ROUND(P471*JL/$C470,DcCU)*P472,DpCU),IF(OR(AND(20000&lt;P470,P470&lt;22501),AND(30000&lt;P470,P470&lt;50001),77500&lt;P470),ROUND(P472*P471,DpCU),IF(OR(AND(22500&lt;P470,P470&lt;25001),AND(50000&lt;P470,P470&lt;53501),AND(70000&lt;P470,P470&lt;72501)),ROUND($F470/100*P471,DpCU),IF(OR(AND(25000&lt;P470,P470&lt;27501),AND(53500&lt;P470,P470&lt;57001),AND(72500&lt;P470,P470&lt;75001)),ROUND($G470/100*P471,DpCU),ROUND($H470/100*P471,DpCU)))))))</f>
        <v>5.86</v>
      </c>
      <c r="Q473">
        <f>IF($K470&gt;0,ROUND(Q471*$E470/100,DpCU),IF(Q474&gt;10000,ROUND(HLOOKUP(Q474,$O470:$S473,4,FALSE)/100*Q471,DpCU),IF(OR(Q470&lt;20001,Q470&gt;95000,AND(60000&lt;Q470,Q470&lt;70001)),ROUND(ROUND(Q471*JL/$C470,DcCU)*Q472,DpCU),IF(OR(AND(20000&lt;Q470,Q470&lt;22501),AND(30000&lt;Q470,Q470&lt;50001),77500&lt;Q470),ROUND(Q472*Q471,DpCU),IF(OR(AND(22500&lt;Q470,Q470&lt;25001),AND(50000&lt;Q470,Q470&lt;53501),AND(70000&lt;Q470,Q470&lt;72501)),ROUND($F470/100*Q471,DpCU),IF(OR(AND(25000&lt;Q470,Q470&lt;27501),AND(53500&lt;Q470,Q470&lt;57001),AND(72500&lt;Q470,Q470&lt;75001)),ROUND($G470/100*Q471,DpCU),ROUND($H470/100*Q471,DpCU)))))))</f>
        <v>2.02</v>
      </c>
      <c r="R473">
        <f>IF($K470&gt;0,ROUND(R471*$E470/100,DpCU),IF(R474&gt;10000,ROUND(HLOOKUP(R474,$O470:$S473,4,FALSE)/100*R471,DpCU),IF(OR(R470&lt;20001,R470&gt;95000,AND(60000&lt;R470,R470&lt;70001)),ROUND(ROUND(R471*JL/$C470,DcCU)*R472,DpCU),IF(OR(AND(20000&lt;R470,R470&lt;22501),AND(30000&lt;R470,R470&lt;50001),77500&lt;R470),ROUND(R472*R471,DpCU),IF(OR(AND(22500&lt;R470,R470&lt;25001),AND(50000&lt;R470,R470&lt;53501),AND(70000&lt;R470,R470&lt;72501)),ROUND($F470/100*R471,DpCU),IF(OR(AND(25000&lt;R470,R470&lt;27501),AND(53500&lt;R470,R470&lt;57001),AND(72500&lt;R470,R470&lt;75001)),ROUND($G470/100*R471,DpCU),ROUND($H470/100*R471,DpCU)))))))</f>
        <v>3.94</v>
      </c>
      <c r="S473">
        <f>IF($K470&gt;0,ROUND(S471*$E470/100,DpCU),IF(S474&gt;10000,ROUND(HLOOKUP(S474,$O470:$S473,4,FALSE)/100*S471,DpCU),IF(OR(S470&lt;20001,S470&gt;95000,AND(60000&lt;S470,S470&lt;70001)),ROUND(ROUND(S471*JL/$C470,DcCU)*S472,DpCU),IF(OR(AND(20000&lt;S470,S470&lt;22501),AND(30000&lt;S470,S470&lt;50001),77500&lt;S470),ROUND(S472*S471,DpCU),IF(OR(AND(22500&lt;S470,S470&lt;25001),AND(50000&lt;S470,S470&lt;53501),AND(70000&lt;S470,S470&lt;72501)),ROUND($F470/100*S471,DpCU),IF(OR(AND(25000&lt;S470,S470&lt;27501),AND(53500&lt;S470,S470&lt;57001),AND(72500&lt;S470,S470&lt;75001)),ROUND($G470/100*S471,DpCU),ROUND($H470/100*S471,DpCU)))))))</f>
        <v>0.3</v>
      </c>
    </row>
    <row r="474" spans="1:21" x14ac:dyDescent="0.2">
      <c r="B474" s="3" t="str">
        <f>A470&amp;"r"</f>
        <v>10094r</v>
      </c>
    </row>
    <row r="475" spans="1:21" x14ac:dyDescent="0.2">
      <c r="A475">
        <v>10095</v>
      </c>
      <c r="B475" s="3" t="s">
        <v>586</v>
      </c>
      <c r="C475" s="1">
        <f>ROUND(J475*JL*Frto/8,4)</f>
        <v>1</v>
      </c>
      <c r="D475" t="s">
        <v>184</v>
      </c>
      <c r="E475">
        <f>SUM($O478:$R478)</f>
        <v>74.600000000000009</v>
      </c>
      <c r="F475">
        <f>SUMIF($O475:$R475,"&lt;22501",$O478:$R478)</f>
        <v>0</v>
      </c>
      <c r="G475">
        <f>SUMIFS($O478:$R478,$O475:$R475,"&gt;30000",$O475:$R475,"&lt;50001")</f>
        <v>74.600000000000009</v>
      </c>
      <c r="H475">
        <f>SUMIFS($O478:$R478,$O475:$R475,"&gt;60000",$O475:$R475,"&lt;70001")</f>
        <v>0</v>
      </c>
      <c r="I475">
        <v>4</v>
      </c>
      <c r="J475">
        <v>1</v>
      </c>
      <c r="O475">
        <v>30130</v>
      </c>
      <c r="P475">
        <v>30131</v>
      </c>
      <c r="Q475">
        <v>30132</v>
      </c>
      <c r="R475">
        <v>30133</v>
      </c>
    </row>
    <row r="476" spans="1:21" x14ac:dyDescent="0.2">
      <c r="B476" s="3" t="str">
        <f>A475&amp;"C"</f>
        <v>10095C</v>
      </c>
      <c r="O476">
        <v>15</v>
      </c>
      <c r="P476">
        <v>1</v>
      </c>
      <c r="Q476">
        <v>11</v>
      </c>
      <c r="R476">
        <v>2</v>
      </c>
    </row>
    <row r="477" spans="1:21" x14ac:dyDescent="0.2">
      <c r="O477">
        <f>IF(O479&gt;10000,HLOOKUP(O479,N475:$O478,4,FALSE),IF(OR(AND(22500&lt;O475,O475&lt;25001),AND(50000&lt;O475,O475&lt;53501),AND(70000&lt;O475,O475&lt;72501)),$F475,IF(OR(AND(25001&lt;O475,O475&lt;27501),AND(53500&lt;O475,O475&lt;57001),AND(72500&lt;O475,O475&lt;75001)),$G475,IF(OR(AND(27500&lt;O475,O475&lt;30001),AND(57000&lt;O475,O475&lt;60001),AND(75000&lt;O475,O475&lt;77500)),$H475,VLOOKUP(O475,BDins,6,FALSE)))))</f>
        <v>2.5</v>
      </c>
      <c r="P477">
        <f>IF(P479&gt;10000,HLOOKUP(P479,O475:$O478,4,FALSE),IF(OR(AND(22500&lt;P475,P475&lt;25001),AND(50000&lt;P475,P475&lt;53501),AND(70000&lt;P475,P475&lt;72501)),$F475,IF(OR(AND(25001&lt;P475,P475&lt;27501),AND(53500&lt;P475,P475&lt;57001),AND(72500&lt;P475,P475&lt;75001)),$G475,IF(OR(AND(27500&lt;P475,P475&lt;30001),AND(57000&lt;P475,P475&lt;60001),AND(75000&lt;P475,P475&lt;77500)),$H475,VLOOKUP(P475,BDins,6,FALSE)))))</f>
        <v>3.2</v>
      </c>
      <c r="Q477">
        <f>IF(Q479&gt;10000,HLOOKUP(Q479,$O475:P478,4,FALSE),IF(OR(AND(22500&lt;Q475,Q475&lt;25001),AND(50000&lt;Q475,Q475&lt;53501),AND(70000&lt;Q475,Q475&lt;72501)),$F475,IF(OR(AND(25001&lt;Q475,Q475&lt;27501),AND(53500&lt;Q475,Q475&lt;57001),AND(72500&lt;Q475,Q475&lt;75001)),$G475,IF(OR(AND(27500&lt;Q475,Q475&lt;30001),AND(57000&lt;Q475,Q475&lt;60001),AND(75000&lt;Q475,Q475&lt;77500)),$H475,VLOOKUP(Q475,BDins,6,FALSE)))))</f>
        <v>2.5</v>
      </c>
      <c r="R477">
        <f>IF(R479&gt;10000,HLOOKUP(R479,$O475:Q478,4,FALSE),IF(OR(AND(22500&lt;R475,R475&lt;25001),AND(50000&lt;R475,R475&lt;53501),AND(70000&lt;R475,R475&lt;72501)),$F475,IF(OR(AND(25001&lt;R475,R475&lt;27501),AND(53500&lt;R475,R475&lt;57001),AND(72500&lt;R475,R475&lt;75001)),$G475,IF(OR(AND(27500&lt;R475,R475&lt;30001),AND(57000&lt;R475,R475&lt;60001),AND(75000&lt;R475,R475&lt;77500)),$H475,VLOOKUP(R475,BDins,6,FALSE)))))</f>
        <v>3.2</v>
      </c>
    </row>
    <row r="478" spans="1:21" x14ac:dyDescent="0.2">
      <c r="O478">
        <f>IF($K475&gt;0,ROUND(O476*$E475/100,DpCU),IF(O479&gt;10000,ROUND(HLOOKUP(O479,$O475:$R478,4,FALSE)/100*O476,DpCU),IF(OR(O475&lt;20001,O475&gt;95000,AND(60000&lt;O475,O475&lt;70001)),ROUND(ROUND(O476*JL/$C475,DcCU)*O477,DpCU),IF(OR(AND(20000&lt;O475,O475&lt;22501),AND(30000&lt;O475,O475&lt;50001),77500&lt;O475),ROUND(O477*O476,DpCU),IF(OR(AND(22500&lt;O475,O475&lt;25001),AND(50000&lt;O475,O475&lt;53501),AND(70000&lt;O475,O475&lt;72501)),ROUND($F475/100*O476,DpCU),IF(OR(AND(25000&lt;O475,O475&lt;27501),AND(53500&lt;O475,O475&lt;57001),AND(72500&lt;O475,O475&lt;75001)),ROUND($G475/100*O476,DpCU),ROUND($H475/100*O476,DpCU)))))))</f>
        <v>37.5</v>
      </c>
      <c r="P478">
        <f>IF($K475&gt;0,ROUND(P476*$E475/100,DpCU),IF(P479&gt;10000,ROUND(HLOOKUP(P479,$O475:$R478,4,FALSE)/100*P476,DpCU),IF(OR(P475&lt;20001,P475&gt;95000,AND(60000&lt;P475,P475&lt;70001)),ROUND(ROUND(P476*JL/$C475,DcCU)*P477,DpCU),IF(OR(AND(20000&lt;P475,P475&lt;22501),AND(30000&lt;P475,P475&lt;50001),77500&lt;P475),ROUND(P477*P476,DpCU),IF(OR(AND(22500&lt;P475,P475&lt;25001),AND(50000&lt;P475,P475&lt;53501),AND(70000&lt;P475,P475&lt;72501)),ROUND($F475/100*P476,DpCU),IF(OR(AND(25000&lt;P475,P475&lt;27501),AND(53500&lt;P475,P475&lt;57001),AND(72500&lt;P475,P475&lt;75001)),ROUND($G475/100*P476,DpCU),ROUND($H475/100*P476,DpCU)))))))</f>
        <v>3.2</v>
      </c>
      <c r="Q478">
        <f>IF($K475&gt;0,ROUND(Q476*$E475/100,DpCU),IF(Q479&gt;10000,ROUND(HLOOKUP(Q479,$O475:$R478,4,FALSE)/100*Q476,DpCU),IF(OR(Q475&lt;20001,Q475&gt;95000,AND(60000&lt;Q475,Q475&lt;70001)),ROUND(ROUND(Q476*JL/$C475,DcCU)*Q477,DpCU),IF(OR(AND(20000&lt;Q475,Q475&lt;22501),AND(30000&lt;Q475,Q475&lt;50001),77500&lt;Q475),ROUND(Q477*Q476,DpCU),IF(OR(AND(22500&lt;Q475,Q475&lt;25001),AND(50000&lt;Q475,Q475&lt;53501),AND(70000&lt;Q475,Q475&lt;72501)),ROUND($F475/100*Q476,DpCU),IF(OR(AND(25000&lt;Q475,Q475&lt;27501),AND(53500&lt;Q475,Q475&lt;57001),AND(72500&lt;Q475,Q475&lt;75001)),ROUND($G475/100*Q476,DpCU),ROUND($H475/100*Q476,DpCU)))))))</f>
        <v>27.5</v>
      </c>
      <c r="R478">
        <f>IF($K475&gt;0,ROUND(R476*$E475/100,DpCU),IF(R479&gt;10000,ROUND(HLOOKUP(R479,$O475:$R478,4,FALSE)/100*R476,DpCU),IF(OR(R475&lt;20001,R475&gt;95000,AND(60000&lt;R475,R475&lt;70001)),ROUND(ROUND(R476*JL/$C475,DcCU)*R477,DpCU),IF(OR(AND(20000&lt;R475,R475&lt;22501),AND(30000&lt;R475,R475&lt;50001),77500&lt;R475),ROUND(R477*R476,DpCU),IF(OR(AND(22500&lt;R475,R475&lt;25001),AND(50000&lt;R475,R475&lt;53501),AND(70000&lt;R475,R475&lt;72501)),ROUND($F475/100*R476,DpCU),IF(OR(AND(25000&lt;R475,R475&lt;27501),AND(53500&lt;R475,R475&lt;57001),AND(72500&lt;R475,R475&lt;75001)),ROUND($G475/100*R476,DpCU),ROUND($H475/100*R476,DpCU)))))))</f>
        <v>6.4</v>
      </c>
    </row>
    <row r="479" spans="1:21" x14ac:dyDescent="0.2">
      <c r="B479" s="3" t="str">
        <f>A475&amp;"r"</f>
        <v>10095r</v>
      </c>
    </row>
    <row r="480" spans="1:21" x14ac:dyDescent="0.2">
      <c r="A480">
        <v>10096</v>
      </c>
      <c r="B480" s="3" t="s">
        <v>592</v>
      </c>
      <c r="C480" s="1">
        <f>ROUND(J480*JL*Frto/8,4)</f>
        <v>6</v>
      </c>
      <c r="D480" t="s">
        <v>167</v>
      </c>
      <c r="E480">
        <f>SUM($O483:$U483)</f>
        <v>87.61</v>
      </c>
      <c r="F480">
        <f>SUMIF($O480:$U480,"&lt;22501",$O483:$U483)</f>
        <v>40.299999999999997</v>
      </c>
      <c r="G480">
        <f>SUMIFS($O483:$U483,$O480:$U480,"&gt;30000",$O480:$U480,"&lt;50001")</f>
        <v>46.1</v>
      </c>
      <c r="H480">
        <f>SUMIFS($O483:$U483,$O480:$U480,"&gt;60000",$O480:$U480,"&lt;70001")</f>
        <v>0</v>
      </c>
      <c r="I480">
        <v>7</v>
      </c>
      <c r="J480">
        <v>6</v>
      </c>
      <c r="O480">
        <v>10001</v>
      </c>
      <c r="P480">
        <v>10004</v>
      </c>
      <c r="Q480">
        <v>30134</v>
      </c>
      <c r="R480">
        <v>30135</v>
      </c>
      <c r="S480">
        <v>30136</v>
      </c>
      <c r="T480">
        <v>30137</v>
      </c>
      <c r="U480">
        <v>70001</v>
      </c>
    </row>
    <row r="481" spans="1:21" x14ac:dyDescent="0.2">
      <c r="B481" s="3" t="str">
        <f>A480&amp;"C"</f>
        <v>10096C</v>
      </c>
      <c r="O481">
        <v>1</v>
      </c>
      <c r="P481">
        <v>1</v>
      </c>
      <c r="Q481">
        <v>0.2</v>
      </c>
      <c r="R481">
        <v>2</v>
      </c>
      <c r="S481">
        <v>2</v>
      </c>
      <c r="T481">
        <v>1</v>
      </c>
      <c r="U481">
        <v>3</v>
      </c>
    </row>
    <row r="482" spans="1:21" x14ac:dyDescent="0.2">
      <c r="O482">
        <f>IF(O484&gt;10000,HLOOKUP(O484,N480:$O483,4,FALSE),IF(OR(AND(22500&lt;O480,O480&lt;25001),AND(50000&lt;O480,O480&lt;53501),AND(70000&lt;O480,O480&lt;72501)),$F480,IF(OR(AND(25001&lt;O480,O480&lt;27501),AND(53500&lt;O480,O480&lt;57001),AND(72500&lt;O480,O480&lt;75001)),$G480,IF(OR(AND(27500&lt;O480,O480&lt;30001),AND(57000&lt;O480,O480&lt;60001),AND(75000&lt;O480,O480&lt;77500)),$H480,VLOOKUP(O480,BDins,6,FALSE)))))</f>
        <v>12.64</v>
      </c>
      <c r="P482">
        <f>IF(P484&gt;10000,HLOOKUP(P484,O480:$O483,4,FALSE),IF(OR(AND(22500&lt;P480,P480&lt;25001),AND(50000&lt;P480,P480&lt;53501),AND(70000&lt;P480,P480&lt;72501)),$F480,IF(OR(AND(25001&lt;P480,P480&lt;27501),AND(53500&lt;P480,P480&lt;57001),AND(72500&lt;P480,P480&lt;75001)),$G480,IF(OR(AND(27500&lt;P480,P480&lt;30001),AND(57000&lt;P480,P480&lt;60001),AND(75000&lt;P480,P480&lt;77500)),$H480,VLOOKUP(P480,BDins,6,FALSE)))))</f>
        <v>17.59</v>
      </c>
      <c r="Q482">
        <f>IF(Q484&gt;10000,HLOOKUP(Q484,$O480:P483,4,FALSE),IF(OR(AND(22500&lt;Q480,Q480&lt;25001),AND(50000&lt;Q480,Q480&lt;53501),AND(70000&lt;Q480,Q480&lt;72501)),$F480,IF(OR(AND(25001&lt;Q480,Q480&lt;27501),AND(53500&lt;Q480,Q480&lt;57001),AND(72500&lt;Q480,Q480&lt;75001)),$G480,IF(OR(AND(27500&lt;Q480,Q480&lt;30001),AND(57000&lt;Q480,Q480&lt;60001),AND(75000&lt;Q480,Q480&lt;77500)),$H480,VLOOKUP(Q480,BDins,6,FALSE)))))</f>
        <v>1</v>
      </c>
      <c r="R482">
        <f>IF(R484&gt;10000,HLOOKUP(R484,$O480:Q483,4,FALSE),IF(OR(AND(22500&lt;R480,R480&lt;25001),AND(50000&lt;R480,R480&lt;53501),AND(70000&lt;R480,R480&lt;72501)),$F480,IF(OR(AND(25001&lt;R480,R480&lt;27501),AND(53500&lt;R480,R480&lt;57001),AND(72500&lt;R480,R480&lt;75001)),$G480,IF(OR(AND(27500&lt;R480,R480&lt;30001),AND(57000&lt;R480,R480&lt;60001),AND(75000&lt;R480,R480&lt;77500)),$H480,VLOOKUP(R480,BDins,6,FALSE)))))</f>
        <v>2.1</v>
      </c>
      <c r="S482">
        <f>IF(S484&gt;10000,HLOOKUP(S484,$O480:R483,4,FALSE),IF(OR(AND(22500&lt;S480,S480&lt;25001),AND(50000&lt;S480,S480&lt;53501),AND(70000&lt;S480,S480&lt;72501)),$F480,IF(OR(AND(25001&lt;S480,S480&lt;27501),AND(53500&lt;S480,S480&lt;57001),AND(72500&lt;S480,S480&lt;75001)),$G480,IF(OR(AND(27500&lt;S480,S480&lt;30001),AND(57000&lt;S480,S480&lt;60001),AND(75000&lt;S480,S480&lt;77500)),$H480,VLOOKUP(S480,BDins,6,FALSE)))))</f>
        <v>8.4</v>
      </c>
      <c r="T482">
        <f>IF(T484&gt;10000,HLOOKUP(T484,$O480:S483,4,FALSE),IF(OR(AND(22500&lt;T480,T480&lt;25001),AND(50000&lt;T480,T480&lt;53501),AND(70000&lt;T480,T480&lt;72501)),$F480,IF(OR(AND(25001&lt;T480,T480&lt;27501),AND(53500&lt;T480,T480&lt;57001),AND(72500&lt;T480,T480&lt;75001)),$G480,IF(OR(AND(27500&lt;T480,T480&lt;30001),AND(57000&lt;T480,T480&lt;60001),AND(75000&lt;T480,T480&lt;77500)),$H480,VLOOKUP(T480,BDins,6,FALSE)))))</f>
        <v>24.9</v>
      </c>
      <c r="U482">
        <f>IF(U484&gt;10000,HLOOKUP(U484,$O480:T483,4,FALSE),IF(OR(AND(22500&lt;U480,U480&lt;25001),AND(50000&lt;U480,U480&lt;53501),AND(70000&lt;U480,U480&lt;72501)),$F480,IF(OR(AND(25001&lt;U480,U480&lt;27501),AND(53500&lt;U480,U480&lt;57001),AND(72500&lt;U480,U480&lt;75001)),$G480,IF(OR(AND(27500&lt;U480,U480&lt;30001),AND(57000&lt;U480,U480&lt;60001),AND(75000&lt;U480,U480&lt;77500)),$H480,VLOOKUP(U480,BDins,6,FALSE)))))</f>
        <v>40.299999999999997</v>
      </c>
    </row>
    <row r="483" spans="1:21" x14ac:dyDescent="0.2">
      <c r="O483">
        <f t="shared" ref="O483:U483" si="53">IF($K480&gt;0,ROUND(O481*$E480/100,DpCU),IF(O484&gt;10000,ROUND(HLOOKUP(O484,$O480:$U483,4,FALSE)/100*O481,DpCU),IF(OR(O480&lt;20001,O480&gt;95000,AND(60000&lt;O480,O480&lt;70001)),ROUND(ROUND(O481*JL/$C480,DcCU)*O482,DpCU),IF(OR(AND(20000&lt;O480,O480&lt;22501),AND(30000&lt;O480,O480&lt;50001),77500&lt;O480),ROUND(O482*O481,DpCU),IF(OR(AND(22500&lt;O480,O480&lt;25001),AND(50000&lt;O480,O480&lt;53501),AND(70000&lt;O480,O480&lt;72501)),ROUND($F480/100*O481,DpCU),IF(OR(AND(25000&lt;O480,O480&lt;27501),AND(53500&lt;O480,O480&lt;57001),AND(72500&lt;O480,O480&lt;75001)),ROUND($G480/100*O481,DpCU),ROUND($H480/100*O481,DpCU)))))))</f>
        <v>16.850000000000001</v>
      </c>
      <c r="P483">
        <f t="shared" si="53"/>
        <v>23.45</v>
      </c>
      <c r="Q483">
        <f t="shared" si="53"/>
        <v>0.2</v>
      </c>
      <c r="R483">
        <f t="shared" si="53"/>
        <v>4.2</v>
      </c>
      <c r="S483">
        <f t="shared" si="53"/>
        <v>16.8</v>
      </c>
      <c r="T483">
        <f t="shared" si="53"/>
        <v>24.9</v>
      </c>
      <c r="U483">
        <f t="shared" si="53"/>
        <v>1.21</v>
      </c>
    </row>
    <row r="484" spans="1:21" x14ac:dyDescent="0.2">
      <c r="B484" s="3" t="str">
        <f>A480&amp;"r"</f>
        <v>10096r</v>
      </c>
    </row>
    <row r="485" spans="1:21" x14ac:dyDescent="0.2">
      <c r="A485">
        <v>10097</v>
      </c>
      <c r="B485" s="3" t="s">
        <v>597</v>
      </c>
      <c r="C485" s="1">
        <f>ROUND(J485*JL*Frto/8,4)</f>
        <v>6</v>
      </c>
      <c r="D485" t="s">
        <v>167</v>
      </c>
      <c r="E485">
        <f>SUM($O488:$U488)</f>
        <v>139.58000000000001</v>
      </c>
      <c r="F485">
        <f>SUMIF($O485:$U485,"&lt;22501",$O488:$U488)</f>
        <v>40.299999999999997</v>
      </c>
      <c r="G485">
        <f>SUMIFS($O488:$U488,$O485:$U485,"&gt;30000",$O485:$U485,"&lt;50001")</f>
        <v>98.07</v>
      </c>
      <c r="H485">
        <f>SUMIFS($O488:$U488,$O485:$U485,"&gt;60000",$O485:$U485,"&lt;70001")</f>
        <v>0</v>
      </c>
      <c r="I485">
        <v>7</v>
      </c>
      <c r="J485">
        <v>6</v>
      </c>
      <c r="O485">
        <v>10001</v>
      </c>
      <c r="P485">
        <v>10004</v>
      </c>
      <c r="Q485">
        <v>30138</v>
      </c>
      <c r="R485">
        <v>30139</v>
      </c>
      <c r="S485">
        <v>30140</v>
      </c>
      <c r="T485">
        <v>30141</v>
      </c>
      <c r="U485">
        <v>70001</v>
      </c>
    </row>
    <row r="486" spans="1:21" x14ac:dyDescent="0.2">
      <c r="B486" s="3" t="str">
        <f>A485&amp;"C"</f>
        <v>10097C</v>
      </c>
      <c r="O486">
        <v>1</v>
      </c>
      <c r="P486">
        <v>1</v>
      </c>
      <c r="Q486">
        <v>2</v>
      </c>
      <c r="R486">
        <v>2</v>
      </c>
      <c r="S486">
        <v>2</v>
      </c>
      <c r="T486">
        <v>1</v>
      </c>
      <c r="U486">
        <v>3</v>
      </c>
    </row>
    <row r="487" spans="1:21" x14ac:dyDescent="0.2">
      <c r="O487">
        <f>IF(O489&gt;10000,HLOOKUP(O489,N485:$O488,4,FALSE),IF(OR(AND(22500&lt;O485,O485&lt;25001),AND(50000&lt;O485,O485&lt;53501),AND(70000&lt;O485,O485&lt;72501)),$F485,IF(OR(AND(25001&lt;O485,O485&lt;27501),AND(53500&lt;O485,O485&lt;57001),AND(72500&lt;O485,O485&lt;75001)),$G485,IF(OR(AND(27500&lt;O485,O485&lt;30001),AND(57000&lt;O485,O485&lt;60001),AND(75000&lt;O485,O485&lt;77500)),$H485,VLOOKUP(O485,BDins,6,FALSE)))))</f>
        <v>12.64</v>
      </c>
      <c r="P487">
        <f>IF(P489&gt;10000,HLOOKUP(P489,O485:$O488,4,FALSE),IF(OR(AND(22500&lt;P485,P485&lt;25001),AND(50000&lt;P485,P485&lt;53501),AND(70000&lt;P485,P485&lt;72501)),$F485,IF(OR(AND(25001&lt;P485,P485&lt;27501),AND(53500&lt;P485,P485&lt;57001),AND(72500&lt;P485,P485&lt;75001)),$G485,IF(OR(AND(27500&lt;P485,P485&lt;30001),AND(57000&lt;P485,P485&lt;60001),AND(75000&lt;P485,P485&lt;77500)),$H485,VLOOKUP(P485,BDins,6,FALSE)))))</f>
        <v>17.59</v>
      </c>
      <c r="Q487">
        <f>IF(Q489&gt;10000,HLOOKUP(Q489,$O485:P488,4,FALSE),IF(OR(AND(22500&lt;Q485,Q485&lt;25001),AND(50000&lt;Q485,Q485&lt;53501),AND(70000&lt;Q485,Q485&lt;72501)),$F485,IF(OR(AND(25001&lt;Q485,Q485&lt;27501),AND(53500&lt;Q485,Q485&lt;57001),AND(72500&lt;Q485,Q485&lt;75001)),$G485,IF(OR(AND(27500&lt;Q485,Q485&lt;30001),AND(57000&lt;Q485,Q485&lt;60001),AND(75000&lt;Q485,Q485&lt;77500)),$H485,VLOOKUP(Q485,BDins,6,FALSE)))))</f>
        <v>4.5</v>
      </c>
      <c r="R487">
        <f>IF(R489&gt;10000,HLOOKUP(R489,$O485:Q488,4,FALSE),IF(OR(AND(22500&lt;R485,R485&lt;25001),AND(50000&lt;R485,R485&lt;53501),AND(70000&lt;R485,R485&lt;72501)),$F485,IF(OR(AND(25001&lt;R485,R485&lt;27501),AND(53500&lt;R485,R485&lt;57001),AND(72500&lt;R485,R485&lt;75001)),$G485,IF(OR(AND(27500&lt;R485,R485&lt;30001),AND(57000&lt;R485,R485&lt;60001),AND(75000&lt;R485,R485&lt;77500)),$H485,VLOOKUP(R485,BDins,6,FALSE)))))</f>
        <v>4.5</v>
      </c>
      <c r="S487">
        <f>IF(S489&gt;10000,HLOOKUP(S489,$O485:R488,4,FALSE),IF(OR(AND(22500&lt;S485,S485&lt;25001),AND(50000&lt;S485,S485&lt;53501),AND(70000&lt;S485,S485&lt;72501)),$F485,IF(OR(AND(25001&lt;S485,S485&lt;27501),AND(53500&lt;S485,S485&lt;57001),AND(72500&lt;S485,S485&lt;75001)),$G485,IF(OR(AND(27500&lt;S485,S485&lt;30001),AND(57000&lt;S485,S485&lt;60001),AND(75000&lt;S485,S485&lt;77500)),$H485,VLOOKUP(S485,BDins,6,FALSE)))))</f>
        <v>18.760000000000002</v>
      </c>
      <c r="T487">
        <f>IF(T489&gt;10000,HLOOKUP(T489,$O485:S488,4,FALSE),IF(OR(AND(22500&lt;T485,T485&lt;25001),AND(50000&lt;T485,T485&lt;53501),AND(70000&lt;T485,T485&lt;72501)),$F485,IF(OR(AND(25001&lt;T485,T485&lt;27501),AND(53500&lt;T485,T485&lt;57001),AND(72500&lt;T485,T485&lt;75001)),$G485,IF(OR(AND(27500&lt;T485,T485&lt;30001),AND(57000&lt;T485,T485&lt;60001),AND(75000&lt;T485,T485&lt;77500)),$H485,VLOOKUP(T485,BDins,6,FALSE)))))</f>
        <v>42.55</v>
      </c>
      <c r="U487">
        <f>IF(U489&gt;10000,HLOOKUP(U489,$O485:T488,4,FALSE),IF(OR(AND(22500&lt;U485,U485&lt;25001),AND(50000&lt;U485,U485&lt;53501),AND(70000&lt;U485,U485&lt;72501)),$F485,IF(OR(AND(25001&lt;U485,U485&lt;27501),AND(53500&lt;U485,U485&lt;57001),AND(72500&lt;U485,U485&lt;75001)),$G485,IF(OR(AND(27500&lt;U485,U485&lt;30001),AND(57000&lt;U485,U485&lt;60001),AND(75000&lt;U485,U485&lt;77500)),$H485,VLOOKUP(U485,BDins,6,FALSE)))))</f>
        <v>40.299999999999997</v>
      </c>
    </row>
    <row r="488" spans="1:21" x14ac:dyDescent="0.2">
      <c r="O488">
        <f t="shared" ref="O488:U488" si="54">IF($K485&gt;0,ROUND(O486*$E485/100,DpCU),IF(O489&gt;10000,ROUND(HLOOKUP(O489,$O485:$U488,4,FALSE)/100*O486,DpCU),IF(OR(O485&lt;20001,O485&gt;95000,AND(60000&lt;O485,O485&lt;70001)),ROUND(ROUND(O486*JL/$C485,DcCU)*O487,DpCU),IF(OR(AND(20000&lt;O485,O485&lt;22501),AND(30000&lt;O485,O485&lt;50001),77500&lt;O485),ROUND(O487*O486,DpCU),IF(OR(AND(22500&lt;O485,O485&lt;25001),AND(50000&lt;O485,O485&lt;53501),AND(70000&lt;O485,O485&lt;72501)),ROUND($F485/100*O486,DpCU),IF(OR(AND(25000&lt;O485,O485&lt;27501),AND(53500&lt;O485,O485&lt;57001),AND(72500&lt;O485,O485&lt;75001)),ROUND($G485/100*O486,DpCU),ROUND($H485/100*O486,DpCU)))))))</f>
        <v>16.850000000000001</v>
      </c>
      <c r="P488">
        <f t="shared" si="54"/>
        <v>23.45</v>
      </c>
      <c r="Q488">
        <f t="shared" si="54"/>
        <v>9</v>
      </c>
      <c r="R488">
        <f t="shared" si="54"/>
        <v>9</v>
      </c>
      <c r="S488">
        <f t="shared" si="54"/>
        <v>37.520000000000003</v>
      </c>
      <c r="T488">
        <f t="shared" si="54"/>
        <v>42.55</v>
      </c>
      <c r="U488">
        <f t="shared" si="54"/>
        <v>1.21</v>
      </c>
    </row>
    <row r="489" spans="1:21" x14ac:dyDescent="0.2">
      <c r="B489" s="3" t="str">
        <f>A485&amp;"r"</f>
        <v>10097r</v>
      </c>
    </row>
  </sheetData>
  <phoneticPr fontId="0" type="noConversion"/>
  <pageMargins left="0.75" right="0.75" top="1" bottom="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L189"/>
  <sheetViews>
    <sheetView tabSelected="1" workbookViewId="0">
      <selection activeCell="F6" sqref="F6"/>
    </sheetView>
  </sheetViews>
  <sheetFormatPr baseColWidth="10" defaultRowHeight="12.75" x14ac:dyDescent="0.2"/>
  <cols>
    <col min="1" max="1" width="1.5703125" customWidth="1"/>
    <col min="2" max="2" width="10.140625" customWidth="1"/>
    <col min="3" max="3" width="59.5703125" customWidth="1"/>
    <col min="4" max="4" width="4.85546875" bestFit="1" customWidth="1"/>
    <col min="5" max="5" width="13.42578125" customWidth="1"/>
    <col min="6" max="6" width="14.42578125" style="128" customWidth="1"/>
    <col min="7" max="7" width="16.28515625" style="128" bestFit="1" customWidth="1"/>
    <col min="8" max="8" width="2" customWidth="1"/>
    <col min="9" max="9" width="8.42578125" style="1" bestFit="1" customWidth="1"/>
    <col min="10" max="10" width="11.42578125" style="124" hidden="1" customWidth="1"/>
    <col min="11" max="11" width="0" hidden="1" customWidth="1"/>
  </cols>
  <sheetData>
    <row r="1" spans="1:12" ht="18.75" customHeight="1" x14ac:dyDescent="0.2">
      <c r="A1" s="43"/>
      <c r="B1" s="84" t="str">
        <f>Datos!C7</f>
        <v>RW7o</v>
      </c>
      <c r="C1" s="44"/>
      <c r="D1" s="45"/>
      <c r="E1" s="49"/>
      <c r="F1" s="126"/>
      <c r="H1" s="44"/>
      <c r="I1" s="45"/>
    </row>
    <row r="2" spans="1:12" ht="20.25" x14ac:dyDescent="0.2">
      <c r="A2" s="35"/>
      <c r="B2" s="71" t="s">
        <v>44</v>
      </c>
      <c r="C2" s="72"/>
      <c r="D2" s="73"/>
      <c r="E2" s="72"/>
      <c r="F2" s="74"/>
      <c r="G2" s="74"/>
      <c r="H2" s="11"/>
      <c r="I2" s="8"/>
    </row>
    <row r="3" spans="1:12" ht="15" x14ac:dyDescent="0.2">
      <c r="A3" s="11"/>
      <c r="B3" s="53" t="s">
        <v>97</v>
      </c>
      <c r="C3" s="178" t="str">
        <f>Datos!C2</f>
        <v xml:space="preserve"> </v>
      </c>
      <c r="D3" s="178"/>
      <c r="E3" s="178"/>
      <c r="F3" s="178"/>
      <c r="G3" s="178"/>
      <c r="H3" s="11"/>
      <c r="I3" s="8"/>
    </row>
    <row r="4" spans="1:12" ht="15" x14ac:dyDescent="0.2">
      <c r="A4" s="11"/>
      <c r="B4" s="36" t="s">
        <v>100</v>
      </c>
      <c r="C4" s="76" t="str">
        <f>Datos!C3</f>
        <v xml:space="preserve"> </v>
      </c>
      <c r="D4" s="8"/>
      <c r="E4" s="50"/>
      <c r="F4" s="18"/>
      <c r="G4" s="18"/>
      <c r="H4" s="11"/>
      <c r="I4" s="8"/>
    </row>
    <row r="5" spans="1:12" ht="15" x14ac:dyDescent="0.2">
      <c r="A5" s="11"/>
      <c r="B5" s="36" t="s">
        <v>98</v>
      </c>
      <c r="C5" s="76" t="str">
        <f>Datos!C4</f>
        <v xml:space="preserve"> </v>
      </c>
      <c r="D5" s="8"/>
      <c r="E5" s="50"/>
      <c r="F5" s="18"/>
      <c r="G5" s="18"/>
      <c r="H5" s="11"/>
      <c r="I5" s="8"/>
    </row>
    <row r="6" spans="1:12" ht="15" x14ac:dyDescent="0.2">
      <c r="A6" s="11"/>
      <c r="B6" s="36" t="s">
        <v>99</v>
      </c>
      <c r="C6" s="75" t="str">
        <f>Datos!C5</f>
        <v xml:space="preserve"> </v>
      </c>
      <c r="D6" s="37"/>
      <c r="E6" s="50"/>
      <c r="F6" s="18"/>
      <c r="G6" s="18"/>
      <c r="H6" s="11"/>
      <c r="I6" s="8"/>
    </row>
    <row r="7" spans="1:12" ht="3" customHeight="1" x14ac:dyDescent="0.2">
      <c r="A7" s="11"/>
      <c r="B7" s="33"/>
      <c r="C7" s="35"/>
      <c r="D7" s="8"/>
      <c r="E7" s="50"/>
      <c r="F7" s="18"/>
      <c r="G7" s="18"/>
      <c r="H7" s="11"/>
      <c r="I7" s="8"/>
    </row>
    <row r="8" spans="1:12" ht="3.75" customHeight="1" x14ac:dyDescent="0.2">
      <c r="A8" s="11"/>
      <c r="B8" s="33"/>
      <c r="C8" s="11"/>
      <c r="D8" s="8"/>
      <c r="E8" s="50"/>
      <c r="F8" s="18"/>
      <c r="G8" s="18"/>
      <c r="H8" s="11"/>
      <c r="I8" s="8"/>
    </row>
    <row r="9" spans="1:12" ht="11.25" customHeight="1" x14ac:dyDescent="0.2">
      <c r="A9" s="35"/>
      <c r="B9" s="38"/>
      <c r="C9" s="39"/>
      <c r="D9" s="40"/>
      <c r="E9" s="51"/>
      <c r="F9" s="34"/>
      <c r="G9" s="34"/>
      <c r="H9" s="11"/>
      <c r="I9" s="8"/>
    </row>
    <row r="10" spans="1:12" x14ac:dyDescent="0.2">
      <c r="A10" s="11"/>
      <c r="B10" s="77"/>
      <c r="C10" s="78" t="s">
        <v>11</v>
      </c>
      <c r="D10" s="16" t="s">
        <v>7</v>
      </c>
      <c r="E10" s="16" t="s">
        <v>12</v>
      </c>
      <c r="F10" s="127" t="s">
        <v>10</v>
      </c>
      <c r="G10" s="127" t="s">
        <v>13</v>
      </c>
      <c r="H10" s="46"/>
      <c r="I10" s="58" t="s">
        <v>66</v>
      </c>
      <c r="J10" s="125" t="s">
        <v>90</v>
      </c>
      <c r="K10" s="58" t="s">
        <v>120</v>
      </c>
      <c r="L10" s="58"/>
    </row>
    <row r="11" spans="1:12" s="180" customFormat="1" x14ac:dyDescent="0.2">
      <c r="B11" s="181" t="str">
        <f>J11 &amp; "  " &amp; K11</f>
        <v>01  ESTRUCTURAS</v>
      </c>
      <c r="C11" s="230"/>
      <c r="D11" s="209"/>
      <c r="E11" s="209"/>
      <c r="F11" s="210"/>
      <c r="G11" s="211">
        <f>SUMIF(Pto!$I12:$I63,"&gt;10000",G12:G63)</f>
        <v>192093.68000000005</v>
      </c>
      <c r="H11" s="182"/>
      <c r="I11" s="183" t="s">
        <v>152</v>
      </c>
      <c r="J11" s="184" t="s">
        <v>153</v>
      </c>
      <c r="K11" s="182" t="s">
        <v>154</v>
      </c>
      <c r="L11" s="182"/>
    </row>
    <row r="12" spans="1:12" s="180" customFormat="1" x14ac:dyDescent="0.2">
      <c r="B12" s="185" t="str">
        <f>J12 &amp; "  " &amp; K12</f>
        <v>01.01  OBRAS PRELIMINARES</v>
      </c>
      <c r="C12" s="231"/>
      <c r="D12" s="212"/>
      <c r="E12" s="212"/>
      <c r="F12" s="213"/>
      <c r="G12" s="214">
        <f>SUM(G13:G16)</f>
        <v>24807.47</v>
      </c>
      <c r="H12" s="186"/>
      <c r="I12" s="187" t="s">
        <v>155</v>
      </c>
      <c r="J12" s="188" t="s">
        <v>156</v>
      </c>
      <c r="K12" s="186" t="s">
        <v>157</v>
      </c>
      <c r="L12" s="186"/>
    </row>
    <row r="13" spans="1:12" s="180" customFormat="1" x14ac:dyDescent="0.2">
      <c r="B13" s="189" t="str">
        <f>J13 &amp; "  " &amp; VLOOKUP(I13,BDcuA,2,FALSE)</f>
        <v>01.01.01  TRAZO Y REPLANTEO INICIAL</v>
      </c>
      <c r="C13" s="232"/>
      <c r="D13" s="215" t="str">
        <f>VLOOKUP(I13,BDcuA,4,FALSE)</f>
        <v>m2</v>
      </c>
      <c r="E13" s="215">
        <v>200</v>
      </c>
      <c r="F13" s="216">
        <f>VLOOKUP(I13,BDcuA,5,FALSE)</f>
        <v>3.02</v>
      </c>
      <c r="G13" s="217">
        <f>ROUND(F13*E13,DpP)</f>
        <v>604</v>
      </c>
      <c r="I13" s="190">
        <v>10001</v>
      </c>
      <c r="J13" s="191" t="s">
        <v>158</v>
      </c>
    </row>
    <row r="14" spans="1:12" s="180" customFormat="1" x14ac:dyDescent="0.2">
      <c r="B14" s="189" t="str">
        <f>J14 &amp; "  " &amp; VLOOKUP(I14,BDcuA,2,FALSE)</f>
        <v>01.01.02  TRAZO DURANTE LA EJECUCION DE LA OBRA (casco)</v>
      </c>
      <c r="C14" s="232"/>
      <c r="D14" s="215" t="str">
        <f>VLOOKUP(I14,BDcuA,4,FALSE)</f>
        <v>mes</v>
      </c>
      <c r="E14" s="215">
        <v>4</v>
      </c>
      <c r="F14" s="216">
        <f>VLOOKUP(I14,BDcuA,5,FALSE)</f>
        <v>5296.05</v>
      </c>
      <c r="G14" s="217">
        <f>ROUND(F14*E14,DpP)</f>
        <v>21184.2</v>
      </c>
      <c r="I14" s="190">
        <v>10002</v>
      </c>
      <c r="J14" s="191" t="s">
        <v>176</v>
      </c>
    </row>
    <row r="15" spans="1:12" s="180" customFormat="1" x14ac:dyDescent="0.2">
      <c r="B15" s="189" t="str">
        <f>J15 &amp; "  " &amp; VLOOKUP(I15,BDcuA,2,FALSE)</f>
        <v>01.01.03  CARTEL DE OBRA</v>
      </c>
      <c r="C15" s="232"/>
      <c r="D15" s="215" t="str">
        <f>VLOOKUP(I15,BDcuA,4,FALSE)</f>
        <v>und</v>
      </c>
      <c r="E15" s="215">
        <v>1</v>
      </c>
      <c r="F15" s="216">
        <f>VLOOKUP(I15,BDcuA,5,FALSE)</f>
        <v>500</v>
      </c>
      <c r="G15" s="217">
        <f>ROUND(F15*E15,DpP)</f>
        <v>500</v>
      </c>
      <c r="I15" s="190">
        <v>10003</v>
      </c>
      <c r="J15" s="191" t="s">
        <v>180</v>
      </c>
    </row>
    <row r="16" spans="1:12" s="180" customFormat="1" x14ac:dyDescent="0.2">
      <c r="B16" s="189" t="str">
        <f>J16 &amp; "  " &amp; VLOOKUP(I16,BDcuA,2,FALSE)</f>
        <v>01.01.04  INSTALACIONES DE OFICINA Y ALMACEN PROVISIONALES</v>
      </c>
      <c r="C16" s="232"/>
      <c r="D16" s="215" t="str">
        <f>VLOOKUP(I16,BDcuA,4,FALSE)</f>
        <v>glb</v>
      </c>
      <c r="E16" s="215">
        <v>1</v>
      </c>
      <c r="F16" s="216">
        <f>VLOOKUP(I16,BDcuA,5,FALSE)</f>
        <v>2519.27</v>
      </c>
      <c r="G16" s="217">
        <f>ROUND(F16*E16,DpP)</f>
        <v>2519.27</v>
      </c>
      <c r="I16" s="190">
        <v>10004</v>
      </c>
      <c r="J16" s="191" t="s">
        <v>182</v>
      </c>
    </row>
    <row r="17" spans="2:12" s="180" customFormat="1" x14ac:dyDescent="0.2">
      <c r="B17" s="185" t="str">
        <f>J17 &amp; "  " &amp; K17</f>
        <v>01.02  EQUIPOS DE PROTECCION PERSONAL, SEÑALIZACION Y CHARLAS DE SEGURIDAD</v>
      </c>
      <c r="C17" s="231"/>
      <c r="D17" s="212"/>
      <c r="E17" s="212"/>
      <c r="F17" s="213"/>
      <c r="G17" s="214">
        <f>SUM(G18:G20)</f>
        <v>11533.07</v>
      </c>
      <c r="H17" s="186"/>
      <c r="I17" s="187" t="s">
        <v>155</v>
      </c>
      <c r="J17" s="188" t="s">
        <v>190</v>
      </c>
      <c r="K17" s="186" t="s">
        <v>191</v>
      </c>
      <c r="L17" s="186"/>
    </row>
    <row r="18" spans="2:12" s="180" customFormat="1" x14ac:dyDescent="0.2">
      <c r="B18" s="189" t="str">
        <f>J18 &amp; "  " &amp; VLOOKUP(I18,BDcuA,2,FALSE)</f>
        <v>01.02.01  EQUIPOS DE PROTECCION PERSONAL (EPP'S)</v>
      </c>
      <c r="C18" s="232"/>
      <c r="D18" s="215" t="str">
        <f>VLOOKUP(I18,BDcuA,4,FALSE)</f>
        <v>glb</v>
      </c>
      <c r="E18" s="215">
        <v>1</v>
      </c>
      <c r="F18" s="216">
        <f>VLOOKUP(I18,BDcuA,5,FALSE)</f>
        <v>4635.75</v>
      </c>
      <c r="G18" s="217">
        <f>ROUND(F18*E18,DpP)</f>
        <v>4635.75</v>
      </c>
      <c r="I18" s="190">
        <v>10005</v>
      </c>
      <c r="J18" s="191" t="s">
        <v>192</v>
      </c>
    </row>
    <row r="19" spans="2:12" s="180" customFormat="1" x14ac:dyDescent="0.2">
      <c r="B19" s="189" t="str">
        <f>J19 &amp; "  " &amp; VLOOKUP(I19,BDcuA,2,FALSE)</f>
        <v>01.02.02  SEÑALIZACION</v>
      </c>
      <c r="C19" s="232"/>
      <c r="D19" s="215" t="str">
        <f>VLOOKUP(I19,BDcuA,4,FALSE)</f>
        <v>und</v>
      </c>
      <c r="E19" s="215">
        <v>12</v>
      </c>
      <c r="F19" s="216">
        <f>VLOOKUP(I19,BDcuA,5,FALSE)</f>
        <v>108.11</v>
      </c>
      <c r="G19" s="217">
        <f>ROUND(F19*E19,DpP)</f>
        <v>1297.32</v>
      </c>
      <c r="I19" s="190">
        <v>10006</v>
      </c>
      <c r="J19" s="191" t="s">
        <v>201</v>
      </c>
    </row>
    <row r="20" spans="2:12" s="180" customFormat="1" x14ac:dyDescent="0.2">
      <c r="B20" s="189" t="str">
        <f>J20 &amp; "  " &amp; VLOOKUP(I20,BDcuA,2,FALSE)</f>
        <v>01.02.03  CHARLAS DE SEGURIDAD</v>
      </c>
      <c r="C20" s="232"/>
      <c r="D20" s="215" t="str">
        <f>VLOOKUP(I20,BDcuA,4,FALSE)</f>
        <v>sem</v>
      </c>
      <c r="E20" s="215">
        <v>16</v>
      </c>
      <c r="F20" s="216">
        <f>VLOOKUP(I20,BDcuA,5,FALSE)</f>
        <v>350</v>
      </c>
      <c r="G20" s="217">
        <f>ROUND(F20*E20,DpP)</f>
        <v>5600</v>
      </c>
      <c r="I20" s="190">
        <v>10007</v>
      </c>
      <c r="J20" s="191" t="s">
        <v>207</v>
      </c>
    </row>
    <row r="21" spans="2:12" s="180" customFormat="1" x14ac:dyDescent="0.2">
      <c r="B21" s="185" t="str">
        <f>J21 &amp; "  " &amp; K21</f>
        <v>01.03  DEMOLICIONES</v>
      </c>
      <c r="C21" s="231"/>
      <c r="D21" s="212"/>
      <c r="E21" s="212"/>
      <c r="F21" s="213"/>
      <c r="G21" s="214">
        <f>SUM(G22:G22)</f>
        <v>2913.61</v>
      </c>
      <c r="H21" s="186"/>
      <c r="I21" s="187" t="s">
        <v>155</v>
      </c>
      <c r="J21" s="188" t="s">
        <v>211</v>
      </c>
      <c r="K21" s="186" t="s">
        <v>212</v>
      </c>
      <c r="L21" s="186"/>
    </row>
    <row r="22" spans="2:12" s="180" customFormat="1" x14ac:dyDescent="0.2">
      <c r="B22" s="189" t="str">
        <f>J22 &amp; "  " &amp; VLOOKUP(I22,BDcuA,2,FALSE)</f>
        <v>01.03.01  DEMOLICION CONSTRUCCION EXISTENTE</v>
      </c>
      <c r="C22" s="232"/>
      <c r="D22" s="215" t="str">
        <f>VLOOKUP(I22,BDcuA,4,FALSE)</f>
        <v>m3</v>
      </c>
      <c r="E22" s="215">
        <v>48.69</v>
      </c>
      <c r="F22" s="216">
        <f>VLOOKUP(I22,BDcuA,5,FALSE)</f>
        <v>59.84</v>
      </c>
      <c r="G22" s="217">
        <f>ROUND(F22*E22,DpP)</f>
        <v>2913.61</v>
      </c>
      <c r="I22" s="190">
        <v>10008</v>
      </c>
      <c r="J22" s="191" t="s">
        <v>213</v>
      </c>
    </row>
    <row r="23" spans="2:12" s="180" customFormat="1" x14ac:dyDescent="0.2">
      <c r="B23" s="185" t="str">
        <f>J23 &amp; "  " &amp; K23</f>
        <v>01.04  MOVIMIENTO DE TIERRAS</v>
      </c>
      <c r="C23" s="231"/>
      <c r="D23" s="212"/>
      <c r="E23" s="212"/>
      <c r="F23" s="213"/>
      <c r="G23" s="214">
        <f>SUM(G24:G31)</f>
        <v>26451.399999999998</v>
      </c>
      <c r="H23" s="186"/>
      <c r="I23" s="187" t="s">
        <v>155</v>
      </c>
      <c r="J23" s="188" t="s">
        <v>216</v>
      </c>
      <c r="K23" s="186" t="s">
        <v>217</v>
      </c>
      <c r="L23" s="186"/>
    </row>
    <row r="24" spans="2:12" s="193" customFormat="1" x14ac:dyDescent="0.2">
      <c r="B24" s="192" t="str">
        <f t="shared" ref="B24:B31" si="0">J24 &amp; "  " &amp; VLOOKUP(I24,BDcuA,2,FALSE)</f>
        <v>01.04.01  EXCAVACION MASIVA</v>
      </c>
      <c r="C24" s="233"/>
      <c r="D24" s="218" t="str">
        <f t="shared" ref="D24:D31" si="1">VLOOKUP(I24,BDcuA,4,FALSE)</f>
        <v>m3</v>
      </c>
      <c r="E24" s="218">
        <v>182</v>
      </c>
      <c r="F24" s="219">
        <f t="shared" ref="F24:F31" si="2">VLOOKUP(I24,BDcuA,5,FALSE)</f>
        <v>15.01</v>
      </c>
      <c r="G24" s="220">
        <f t="shared" ref="G24:G31" si="3">ROUND(F24*E24,DpP)</f>
        <v>2731.82</v>
      </c>
      <c r="I24" s="194">
        <v>10009</v>
      </c>
      <c r="J24" s="195" t="s">
        <v>218</v>
      </c>
    </row>
    <row r="25" spans="2:12" s="193" customFormat="1" x14ac:dyDescent="0.2">
      <c r="B25" s="192" t="str">
        <f t="shared" si="0"/>
        <v>01.04.02  EXCAVACION PARA ZAPATAS EN TERRENO NORMAL</v>
      </c>
      <c r="C25" s="233"/>
      <c r="D25" s="218" t="str">
        <f t="shared" si="1"/>
        <v>m3</v>
      </c>
      <c r="E25" s="218">
        <v>58.9</v>
      </c>
      <c r="F25" s="219">
        <f t="shared" si="2"/>
        <v>34.72</v>
      </c>
      <c r="G25" s="220">
        <f t="shared" si="3"/>
        <v>2045.01</v>
      </c>
      <c r="I25" s="194">
        <v>10010</v>
      </c>
      <c r="J25" s="195" t="s">
        <v>221</v>
      </c>
    </row>
    <row r="26" spans="2:12" s="193" customFormat="1" x14ac:dyDescent="0.2">
      <c r="B26" s="192" t="str">
        <f t="shared" si="0"/>
        <v>01.04.03  EXCAVACION PARA ESTRUCTURA EN ROCA FIJA EQUIPO</v>
      </c>
      <c r="C26" s="233"/>
      <c r="D26" s="218" t="str">
        <f t="shared" si="1"/>
        <v>m3</v>
      </c>
      <c r="E26" s="218">
        <v>17.670000000000002</v>
      </c>
      <c r="F26" s="219">
        <f t="shared" si="2"/>
        <v>25.31</v>
      </c>
      <c r="G26" s="220">
        <f t="shared" si="3"/>
        <v>447.23</v>
      </c>
      <c r="I26" s="194">
        <v>10011</v>
      </c>
      <c r="J26" s="195" t="s">
        <v>223</v>
      </c>
    </row>
    <row r="27" spans="2:12" s="193" customFormat="1" x14ac:dyDescent="0.2">
      <c r="B27" s="192" t="str">
        <f t="shared" si="0"/>
        <v>01.04.04  EXCAVACION PARA CIMIENTOS Y ZANJAS EN TERRENO NORMAL</v>
      </c>
      <c r="C27" s="233"/>
      <c r="D27" s="218" t="str">
        <f t="shared" si="1"/>
        <v>m3</v>
      </c>
      <c r="E27" s="218">
        <v>18</v>
      </c>
      <c r="F27" s="219">
        <f t="shared" si="2"/>
        <v>34.72</v>
      </c>
      <c r="G27" s="220">
        <f t="shared" si="3"/>
        <v>624.96</v>
      </c>
      <c r="I27" s="194">
        <v>10012</v>
      </c>
      <c r="J27" s="195" t="s">
        <v>227</v>
      </c>
    </row>
    <row r="28" spans="2:12" s="193" customFormat="1" x14ac:dyDescent="0.2">
      <c r="B28" s="192" t="str">
        <f t="shared" si="0"/>
        <v>01.04.05  RELLENO DE ESTRUCTURAS CON MATERIAL PROPIO MANUAL</v>
      </c>
      <c r="C28" s="233"/>
      <c r="D28" s="218" t="str">
        <f t="shared" si="1"/>
        <v>m3</v>
      </c>
      <c r="E28" s="218">
        <v>124</v>
      </c>
      <c r="F28" s="219">
        <f t="shared" si="2"/>
        <v>73.67</v>
      </c>
      <c r="G28" s="220">
        <f t="shared" si="3"/>
        <v>9135.08</v>
      </c>
      <c r="I28" s="194">
        <v>10013</v>
      </c>
      <c r="J28" s="195" t="s">
        <v>229</v>
      </c>
    </row>
    <row r="29" spans="2:12" s="193" customFormat="1" x14ac:dyDescent="0.2">
      <c r="B29" s="192" t="str">
        <f t="shared" si="0"/>
        <v>01.04.06  ELIMINACION DE MATERIAL EXCEDENTE CON VOLQUETES (SUBCONTRATO)</v>
      </c>
      <c r="C29" s="233"/>
      <c r="D29" s="218" t="str">
        <f t="shared" si="1"/>
        <v>m3</v>
      </c>
      <c r="E29" s="218">
        <v>399.43</v>
      </c>
      <c r="F29" s="219">
        <f t="shared" si="2"/>
        <v>19.3</v>
      </c>
      <c r="G29" s="220">
        <f t="shared" si="3"/>
        <v>7709</v>
      </c>
      <c r="I29" s="194">
        <v>10014</v>
      </c>
      <c r="J29" s="195" t="s">
        <v>233</v>
      </c>
    </row>
    <row r="30" spans="2:12" s="193" customFormat="1" x14ac:dyDescent="0.2">
      <c r="B30" s="192" t="str">
        <f t="shared" si="0"/>
        <v>01.04.07  NIVELACION INTERIOR Y APISONADO</v>
      </c>
      <c r="C30" s="233"/>
      <c r="D30" s="218" t="str">
        <f t="shared" si="1"/>
        <v>m2</v>
      </c>
      <c r="E30" s="218">
        <v>182</v>
      </c>
      <c r="F30" s="219">
        <f t="shared" si="2"/>
        <v>4.2799999999999994</v>
      </c>
      <c r="G30" s="220">
        <f t="shared" si="3"/>
        <v>778.96</v>
      </c>
      <c r="I30" s="194">
        <v>10015</v>
      </c>
      <c r="J30" s="195" t="s">
        <v>236</v>
      </c>
    </row>
    <row r="31" spans="2:12" s="193" customFormat="1" x14ac:dyDescent="0.2">
      <c r="B31" s="192" t="str">
        <f t="shared" si="0"/>
        <v>01.04.08  BASE GRANULAR E=0.15 m.COMPACTADA</v>
      </c>
      <c r="C31" s="233"/>
      <c r="D31" s="218" t="str">
        <f t="shared" si="1"/>
        <v>m2</v>
      </c>
      <c r="E31" s="218">
        <v>182</v>
      </c>
      <c r="F31" s="219">
        <f t="shared" si="2"/>
        <v>16.37</v>
      </c>
      <c r="G31" s="220">
        <f t="shared" si="3"/>
        <v>2979.34</v>
      </c>
      <c r="I31" s="194">
        <v>10016</v>
      </c>
      <c r="J31" s="195" t="s">
        <v>239</v>
      </c>
    </row>
    <row r="32" spans="2:12" s="193" customFormat="1" x14ac:dyDescent="0.2">
      <c r="B32" s="196" t="str">
        <f>J32 &amp; "  " &amp; K32</f>
        <v>01.05  CONCRETO SIMPLE</v>
      </c>
      <c r="C32" s="234"/>
      <c r="D32" s="221"/>
      <c r="E32" s="221"/>
      <c r="F32" s="222"/>
      <c r="G32" s="223">
        <f>SUMIF(Pto!$I33:$I41,"&gt;10000",G33:G41)</f>
        <v>12448.029999999999</v>
      </c>
      <c r="H32" s="197"/>
      <c r="I32" s="198" t="s">
        <v>155</v>
      </c>
      <c r="J32" s="199" t="s">
        <v>246</v>
      </c>
      <c r="K32" s="197" t="s">
        <v>247</v>
      </c>
      <c r="L32" s="197"/>
    </row>
    <row r="33" spans="2:12" s="193" customFormat="1" x14ac:dyDescent="0.2">
      <c r="B33" s="200" t="str">
        <f>J33 &amp; "  " &amp; K33</f>
        <v>01.05.01  SOLADOS</v>
      </c>
      <c r="C33" s="235"/>
      <c r="D33" s="224"/>
      <c r="E33" s="224"/>
      <c r="F33" s="225"/>
      <c r="G33" s="226">
        <f>SUM(G34:G34)</f>
        <v>4983.16</v>
      </c>
      <c r="H33" s="201"/>
      <c r="I33" s="202" t="s">
        <v>248</v>
      </c>
      <c r="J33" s="203" t="s">
        <v>249</v>
      </c>
      <c r="K33" s="201" t="s">
        <v>250</v>
      </c>
      <c r="L33" s="201"/>
    </row>
    <row r="34" spans="2:12" s="193" customFormat="1" x14ac:dyDescent="0.2">
      <c r="B34" s="204" t="str">
        <f>J34 &amp; "  " &amp; VLOOKUP(I34,BDcuA,2,FALSE)</f>
        <v>01.05.01.01  SOLADO e=3"</v>
      </c>
      <c r="C34" s="233"/>
      <c r="D34" s="218" t="str">
        <f>VLOOKUP(I34,BDcuA,4,FALSE)</f>
        <v>m2</v>
      </c>
      <c r="E34" s="218">
        <v>182</v>
      </c>
      <c r="F34" s="219">
        <f>VLOOKUP(I34,BDcuA,5,FALSE)</f>
        <v>27.379999999999995</v>
      </c>
      <c r="G34" s="220">
        <f>ROUND(F34*E34,DpP)</f>
        <v>4983.16</v>
      </c>
      <c r="I34" s="194">
        <v>10017</v>
      </c>
      <c r="J34" s="195" t="s">
        <v>251</v>
      </c>
    </row>
    <row r="35" spans="2:12" s="193" customFormat="1" x14ac:dyDescent="0.2">
      <c r="B35" s="200" t="str">
        <f>J35 &amp; "  " &amp; K35</f>
        <v>01.05.02  CIMIENTOS</v>
      </c>
      <c r="C35" s="235"/>
      <c r="D35" s="224"/>
      <c r="E35" s="224"/>
      <c r="F35" s="225"/>
      <c r="G35" s="226">
        <f>SUM(G36:G36)</f>
        <v>3449.48</v>
      </c>
      <c r="H35" s="201"/>
      <c r="I35" s="202" t="s">
        <v>248</v>
      </c>
      <c r="J35" s="203" t="s">
        <v>254</v>
      </c>
      <c r="K35" s="201" t="s">
        <v>255</v>
      </c>
      <c r="L35" s="201"/>
    </row>
    <row r="36" spans="2:12" s="193" customFormat="1" x14ac:dyDescent="0.2">
      <c r="B36" s="204" t="str">
        <f>J36 &amp; "  " &amp; VLOOKUP(I36,BDcuA,2,FALSE)</f>
        <v>01.05.02.01  CIMIENTOS CORRIDOS MEZCLA 1:10 CEMENTO-HORMIGON 30% PIEDRA</v>
      </c>
      <c r="C36" s="233"/>
      <c r="D36" s="218" t="str">
        <f>VLOOKUP(I36,BDcuA,4,FALSE)</f>
        <v>m3</v>
      </c>
      <c r="E36" s="218">
        <v>15.12</v>
      </c>
      <c r="F36" s="219">
        <f>VLOOKUP(I36,BDcuA,5,FALSE)</f>
        <v>228.14000000000001</v>
      </c>
      <c r="G36" s="220">
        <f>ROUND(F36*E36,DpP)</f>
        <v>3449.48</v>
      </c>
      <c r="I36" s="194">
        <v>10018</v>
      </c>
      <c r="J36" s="195" t="s">
        <v>256</v>
      </c>
    </row>
    <row r="37" spans="2:12" s="193" customFormat="1" x14ac:dyDescent="0.2">
      <c r="B37" s="200" t="str">
        <f>J37 &amp; "  " &amp; K37</f>
        <v>01.05.03  SOBRECIMIENTOS</v>
      </c>
      <c r="C37" s="235"/>
      <c r="D37" s="224"/>
      <c r="E37" s="224"/>
      <c r="F37" s="225"/>
      <c r="G37" s="226">
        <f>SUM(G38:G39)</f>
        <v>3468.66</v>
      </c>
      <c r="H37" s="201"/>
      <c r="I37" s="202" t="s">
        <v>248</v>
      </c>
      <c r="J37" s="203" t="s">
        <v>260</v>
      </c>
      <c r="K37" s="201" t="s">
        <v>261</v>
      </c>
      <c r="L37" s="201"/>
    </row>
    <row r="38" spans="2:12" s="193" customFormat="1" x14ac:dyDescent="0.2">
      <c r="B38" s="204" t="str">
        <f>J38 &amp; "  " &amp; VLOOKUP(I38,BDcuA,2,FALSE)</f>
        <v>01.05.03.01  CONCRETO 1:8+25% PM PARA SOBRECIMIENTOS</v>
      </c>
      <c r="C38" s="233"/>
      <c r="D38" s="218" t="str">
        <f>VLOOKUP(I38,BDcuA,4,FALSE)</f>
        <v>m3</v>
      </c>
      <c r="E38" s="218">
        <v>5.52</v>
      </c>
      <c r="F38" s="219">
        <f>VLOOKUP(I38,BDcuA,5,FALSE)</f>
        <v>267.81</v>
      </c>
      <c r="G38" s="220">
        <f>ROUND(F38*E38,DpP)</f>
        <v>1478.31</v>
      </c>
      <c r="I38" s="194">
        <v>10019</v>
      </c>
      <c r="J38" s="195" t="s">
        <v>262</v>
      </c>
    </row>
    <row r="39" spans="2:12" s="193" customFormat="1" x14ac:dyDescent="0.2">
      <c r="B39" s="204" t="str">
        <f>J39 &amp; "  " &amp; VLOOKUP(I39,BDcuA,2,FALSE)</f>
        <v>01.05.03.02  ENCOFRADO Y DESENCOFRADO NORMAL PARA SOBRECIMIENTO HASTA 0.30 m</v>
      </c>
      <c r="C39" s="233"/>
      <c r="D39" s="218" t="str">
        <f>VLOOKUP(I39,BDcuA,4,FALSE)</f>
        <v>m2</v>
      </c>
      <c r="E39" s="218">
        <v>45</v>
      </c>
      <c r="F39" s="219">
        <f>VLOOKUP(I39,BDcuA,5,FALSE)</f>
        <v>44.230000000000011</v>
      </c>
      <c r="G39" s="220">
        <f>ROUND(F39*E39,DpP)</f>
        <v>1990.35</v>
      </c>
      <c r="I39" s="194">
        <v>10020</v>
      </c>
      <c r="J39" s="195" t="s">
        <v>266</v>
      </c>
    </row>
    <row r="40" spans="2:12" s="193" customFormat="1" x14ac:dyDescent="0.2">
      <c r="B40" s="200" t="str">
        <f>J40 &amp; "  " &amp; K40</f>
        <v>01.05.04  PISOS</v>
      </c>
      <c r="C40" s="235"/>
      <c r="D40" s="224"/>
      <c r="E40" s="224"/>
      <c r="F40" s="225"/>
      <c r="G40" s="226">
        <f>SUM(G41:G41)</f>
        <v>546.73</v>
      </c>
      <c r="H40" s="201"/>
      <c r="I40" s="202" t="s">
        <v>248</v>
      </c>
      <c r="J40" s="203" t="s">
        <v>271</v>
      </c>
      <c r="K40" s="201" t="s">
        <v>272</v>
      </c>
      <c r="L40" s="201"/>
    </row>
    <row r="41" spans="2:12" s="193" customFormat="1" x14ac:dyDescent="0.2">
      <c r="B41" s="204" t="str">
        <f>J41 &amp; "  " &amp; VLOOKUP(I41,BDcuA,2,FALSE)</f>
        <v>01.05.04.01  CONCRETO EN FALSOPISO MEZCLA  1:8 CEMENTO-HORMIGON E=4"</v>
      </c>
      <c r="C41" s="233"/>
      <c r="D41" s="218" t="str">
        <f>VLOOKUP(I41,BDcuA,4,FALSE)</f>
        <v>m2</v>
      </c>
      <c r="E41" s="218">
        <v>18.2</v>
      </c>
      <c r="F41" s="219">
        <f>VLOOKUP(I41,BDcuA,5,FALSE)</f>
        <v>30.04</v>
      </c>
      <c r="G41" s="220">
        <f>ROUND(F41*E41,DpP)</f>
        <v>546.73</v>
      </c>
      <c r="I41" s="194">
        <v>10021</v>
      </c>
      <c r="J41" s="195" t="s">
        <v>273</v>
      </c>
    </row>
    <row r="42" spans="2:12" s="193" customFormat="1" x14ac:dyDescent="0.2">
      <c r="B42" s="196" t="str">
        <f>J42 &amp; "  " &amp; K42</f>
        <v>01.06  CONCRETO ARMADO</v>
      </c>
      <c r="C42" s="234"/>
      <c r="D42" s="221"/>
      <c r="E42" s="221"/>
      <c r="F42" s="222"/>
      <c r="G42" s="223">
        <f>SUMIF(Pto!$I43:$I63,"&gt;10000",G43:G63)</f>
        <v>113940.09999999998</v>
      </c>
      <c r="H42" s="197"/>
      <c r="I42" s="198" t="s">
        <v>155</v>
      </c>
      <c r="J42" s="199" t="s">
        <v>276</v>
      </c>
      <c r="K42" s="197" t="s">
        <v>277</v>
      </c>
      <c r="L42" s="197"/>
    </row>
    <row r="43" spans="2:12" s="193" customFormat="1" x14ac:dyDescent="0.2">
      <c r="B43" s="200" t="str">
        <f>J43 &amp; "  " &amp; K43</f>
        <v>01.06.01  ZAPATAS</v>
      </c>
      <c r="C43" s="235"/>
      <c r="D43" s="224"/>
      <c r="E43" s="224"/>
      <c r="F43" s="225"/>
      <c r="G43" s="226">
        <f>SUM(G44:G46)</f>
        <v>33576.49</v>
      </c>
      <c r="H43" s="201"/>
      <c r="I43" s="202" t="s">
        <v>248</v>
      </c>
      <c r="J43" s="203" t="s">
        <v>278</v>
      </c>
      <c r="K43" s="201" t="s">
        <v>279</v>
      </c>
      <c r="L43" s="201"/>
    </row>
    <row r="44" spans="2:12" s="193" customFormat="1" x14ac:dyDescent="0.2">
      <c r="B44" s="204" t="str">
        <f>J44 &amp; "  " &amp; VLOOKUP(I44,BDcuA,2,FALSE)</f>
        <v>01.06.01.01  CONCRETO PARA ZAPATAS f'c=280 kg/cm2</v>
      </c>
      <c r="C44" s="233"/>
      <c r="D44" s="218" t="str">
        <f>VLOOKUP(I44,BDcuA,4,FALSE)</f>
        <v>m3</v>
      </c>
      <c r="E44" s="218">
        <v>37.11</v>
      </c>
      <c r="F44" s="219">
        <f>VLOOKUP(I44,BDcuA,5,FALSE)</f>
        <v>483.09000000000003</v>
      </c>
      <c r="G44" s="220">
        <f>ROUND(F44*E44,DpP)</f>
        <v>17927.47</v>
      </c>
      <c r="I44" s="194">
        <v>10022</v>
      </c>
      <c r="J44" s="195" t="s">
        <v>280</v>
      </c>
    </row>
    <row r="45" spans="2:12" s="193" customFormat="1" x14ac:dyDescent="0.2">
      <c r="B45" s="204" t="str">
        <f>J45 &amp; "  " &amp; VLOOKUP(I45,BDcuA,2,FALSE)</f>
        <v>01.06.01.02  ENCOFRADO DE ZAPATAS</v>
      </c>
      <c r="C45" s="233"/>
      <c r="D45" s="218" t="str">
        <f>VLOOKUP(I45,BDcuA,4,FALSE)</f>
        <v>m2</v>
      </c>
      <c r="E45" s="218">
        <v>68.95</v>
      </c>
      <c r="F45" s="219">
        <f>VLOOKUP(I45,BDcuA,5,FALSE)</f>
        <v>41.52000000000001</v>
      </c>
      <c r="G45" s="220">
        <f>ROUND(F45*E45,DpP)</f>
        <v>2862.8</v>
      </c>
      <c r="I45" s="194">
        <v>10023</v>
      </c>
      <c r="J45" s="195" t="s">
        <v>284</v>
      </c>
    </row>
    <row r="46" spans="2:12" s="193" customFormat="1" x14ac:dyDescent="0.2">
      <c r="B46" s="204" t="str">
        <f>J46 &amp; "  " &amp; VLOOKUP(I46,BDcuA,2,FALSE)</f>
        <v>01.06.01.03  ACERO fy=4200 kg/cm2 GRADO 60 en ZAPATAS</v>
      </c>
      <c r="C46" s="233"/>
      <c r="D46" s="218" t="str">
        <f>VLOOKUP(I46,BDcuA,4,FALSE)</f>
        <v>kg</v>
      </c>
      <c r="E46" s="218">
        <v>2686.18</v>
      </c>
      <c r="F46" s="219">
        <f>VLOOKUP(I46,BDcuA,5,FALSE)</f>
        <v>4.76</v>
      </c>
      <c r="G46" s="220">
        <f>ROUND(F46*E46,DpP)</f>
        <v>12786.22</v>
      </c>
      <c r="I46" s="194">
        <v>10024</v>
      </c>
      <c r="J46" s="195" t="s">
        <v>287</v>
      </c>
    </row>
    <row r="47" spans="2:12" s="193" customFormat="1" x14ac:dyDescent="0.2">
      <c r="B47" s="200" t="str">
        <f>J47 &amp; "  " &amp; K47</f>
        <v>01.06.02  COLUMNAS</v>
      </c>
      <c r="C47" s="235"/>
      <c r="D47" s="224"/>
      <c r="E47" s="224"/>
      <c r="F47" s="225"/>
      <c r="G47" s="226">
        <f>SUM(G48:G50)</f>
        <v>21713.94</v>
      </c>
      <c r="H47" s="201"/>
      <c r="I47" s="202" t="s">
        <v>248</v>
      </c>
      <c r="J47" s="203" t="s">
        <v>290</v>
      </c>
      <c r="K47" s="201" t="s">
        <v>291</v>
      </c>
      <c r="L47" s="201"/>
    </row>
    <row r="48" spans="2:12" s="193" customFormat="1" x14ac:dyDescent="0.2">
      <c r="B48" s="204" t="str">
        <f>J48 &amp; "  " &amp; VLOOKUP(I48,BDcuA,2,FALSE)</f>
        <v>01.06.02.01  CONCRETO EN COLUMNAS f'c=280 kg/cm2</v>
      </c>
      <c r="C48" s="233"/>
      <c r="D48" s="218" t="str">
        <f>VLOOKUP(I48,BDcuA,4,FALSE)</f>
        <v>m3</v>
      </c>
      <c r="E48" s="218">
        <v>11.18</v>
      </c>
      <c r="F48" s="219">
        <f>VLOOKUP(I48,BDcuA,5,FALSE)</f>
        <v>466.41</v>
      </c>
      <c r="G48" s="220">
        <f>ROUND(F48*E48,DpP)</f>
        <v>5214.46</v>
      </c>
      <c r="I48" s="194">
        <v>10025</v>
      </c>
      <c r="J48" s="195" t="s">
        <v>292</v>
      </c>
    </row>
    <row r="49" spans="2:12" s="193" customFormat="1" x14ac:dyDescent="0.2">
      <c r="B49" s="204" t="str">
        <f>J49 &amp; "  " &amp; VLOOKUP(I49,BDcuA,2,FALSE)</f>
        <v>01.06.02.02  ENCOFRADO Y DESENCOFRADO NORMAL EN COLUMNAS</v>
      </c>
      <c r="C49" s="233"/>
      <c r="D49" s="218" t="str">
        <f>VLOOKUP(I49,BDcuA,4,FALSE)</f>
        <v>m2</v>
      </c>
      <c r="E49" s="218">
        <v>120.79</v>
      </c>
      <c r="F49" s="219">
        <f>VLOOKUP(I49,BDcuA,5,FALSE)</f>
        <v>72.910000000000011</v>
      </c>
      <c r="G49" s="220">
        <f>ROUND(F49*E49,DpP)</f>
        <v>8806.7999999999993</v>
      </c>
      <c r="I49" s="194">
        <v>10026</v>
      </c>
      <c r="J49" s="195" t="s">
        <v>296</v>
      </c>
    </row>
    <row r="50" spans="2:12" s="193" customFormat="1" x14ac:dyDescent="0.2">
      <c r="B50" s="204" t="str">
        <f>J50 &amp; "  " &amp; VLOOKUP(I50,BDcuA,2,FALSE)</f>
        <v>01.06.02.03  ACERO fy=4200 kg/cm2 GRADO 60 en COLUMNAS</v>
      </c>
      <c r="C50" s="233"/>
      <c r="D50" s="218" t="str">
        <f>VLOOKUP(I50,BDcuA,4,FALSE)</f>
        <v>kg</v>
      </c>
      <c r="E50" s="218">
        <v>1616.11</v>
      </c>
      <c r="F50" s="219">
        <f>VLOOKUP(I50,BDcuA,5,FALSE)</f>
        <v>4.76</v>
      </c>
      <c r="G50" s="220">
        <f>ROUND(F50*E50,DpP)</f>
        <v>7692.68</v>
      </c>
      <c r="I50" s="194">
        <v>10027</v>
      </c>
      <c r="J50" s="195" t="s">
        <v>298</v>
      </c>
    </row>
    <row r="51" spans="2:12" s="193" customFormat="1" x14ac:dyDescent="0.2">
      <c r="B51" s="200" t="str">
        <f>J51 &amp; "  " &amp; K51</f>
        <v>01.06.03  VIGAS</v>
      </c>
      <c r="C51" s="235"/>
      <c r="D51" s="224"/>
      <c r="E51" s="224"/>
      <c r="F51" s="225"/>
      <c r="G51" s="226">
        <f>SUM(G52:G54)</f>
        <v>28570.190000000002</v>
      </c>
      <c r="H51" s="201"/>
      <c r="I51" s="202" t="s">
        <v>248</v>
      </c>
      <c r="J51" s="203" t="s">
        <v>300</v>
      </c>
      <c r="K51" s="201" t="s">
        <v>301</v>
      </c>
      <c r="L51" s="201"/>
    </row>
    <row r="52" spans="2:12" s="193" customFormat="1" x14ac:dyDescent="0.2">
      <c r="B52" s="204" t="str">
        <f>J52 &amp; "  " &amp; VLOOKUP(I52,BDcuA,2,FALSE)</f>
        <v>01.06.03.01  CONCRETO EN VIGAS f'c=280 kg/cm2</v>
      </c>
      <c r="C52" s="233"/>
      <c r="D52" s="218" t="str">
        <f>VLOOKUP(I52,BDcuA,4,FALSE)</f>
        <v>m3</v>
      </c>
      <c r="E52" s="218">
        <v>11.91</v>
      </c>
      <c r="F52" s="219">
        <f>VLOOKUP(I52,BDcuA,5,FALSE)</f>
        <v>468.99</v>
      </c>
      <c r="G52" s="220">
        <f>ROUND(F52*E52,DpP)</f>
        <v>5585.67</v>
      </c>
      <c r="I52" s="194">
        <v>10028</v>
      </c>
      <c r="J52" s="195" t="s">
        <v>302</v>
      </c>
    </row>
    <row r="53" spans="2:12" s="193" customFormat="1" x14ac:dyDescent="0.2">
      <c r="B53" s="204" t="str">
        <f>J53 &amp; "  " &amp; VLOOKUP(I53,BDcuA,2,FALSE)</f>
        <v>01.06.03.02  ENCOFRADO Y DESENCOFRADO NORMAL EN VIGAS</v>
      </c>
      <c r="C53" s="233"/>
      <c r="D53" s="218" t="str">
        <f>VLOOKUP(I53,BDcuA,4,FALSE)</f>
        <v>m2</v>
      </c>
      <c r="E53" s="218">
        <v>110.76</v>
      </c>
      <c r="F53" s="219">
        <f>VLOOKUP(I53,BDcuA,5,FALSE)</f>
        <v>101.71</v>
      </c>
      <c r="G53" s="220">
        <f>ROUND(F53*E53,DpP)</f>
        <v>11265.4</v>
      </c>
      <c r="I53" s="194">
        <v>10029</v>
      </c>
      <c r="J53" s="195" t="s">
        <v>304</v>
      </c>
    </row>
    <row r="54" spans="2:12" s="193" customFormat="1" x14ac:dyDescent="0.2">
      <c r="B54" s="204" t="str">
        <f>J54 &amp; "  " &amp; VLOOKUP(I54,BDcuA,2,FALSE)</f>
        <v>01.06.03.03  ACERO fy=4200 kg/cm2 GRADO 60 en VIGAS</v>
      </c>
      <c r="C54" s="233"/>
      <c r="D54" s="218" t="str">
        <f>VLOOKUP(I54,BDcuA,4,FALSE)</f>
        <v>kg</v>
      </c>
      <c r="E54" s="218">
        <v>2462</v>
      </c>
      <c r="F54" s="219">
        <f>VLOOKUP(I54,BDcuA,5,FALSE)</f>
        <v>4.76</v>
      </c>
      <c r="G54" s="220">
        <f>ROUND(F54*E54,DpP)</f>
        <v>11719.12</v>
      </c>
      <c r="I54" s="194">
        <v>10030</v>
      </c>
      <c r="J54" s="195" t="s">
        <v>309</v>
      </c>
    </row>
    <row r="55" spans="2:12" s="193" customFormat="1" x14ac:dyDescent="0.2">
      <c r="B55" s="200" t="str">
        <f>J55 &amp; "  " &amp; K55</f>
        <v>01.06.04  LOSAS ALIGERADAS</v>
      </c>
      <c r="C55" s="235"/>
      <c r="D55" s="224"/>
      <c r="E55" s="224"/>
      <c r="F55" s="225"/>
      <c r="G55" s="226">
        <f>SUM(G56:G59)</f>
        <v>26079.43</v>
      </c>
      <c r="H55" s="201"/>
      <c r="I55" s="202" t="s">
        <v>248</v>
      </c>
      <c r="J55" s="203" t="s">
        <v>311</v>
      </c>
      <c r="K55" s="201" t="s">
        <v>312</v>
      </c>
      <c r="L55" s="201"/>
    </row>
    <row r="56" spans="2:12" s="193" customFormat="1" x14ac:dyDescent="0.2">
      <c r="B56" s="204" t="str">
        <f>J56 &amp; "  " &amp; VLOOKUP(I56,BDcuA,2,FALSE)</f>
        <v>01.06.04.01  CONCRETO EN LOSAS ALIGERADA f'c= 280 kg/cm2</v>
      </c>
      <c r="C56" s="233"/>
      <c r="D56" s="218" t="str">
        <f>VLOOKUP(I56,BDcuA,4,FALSE)</f>
        <v>m3</v>
      </c>
      <c r="E56" s="218">
        <v>12.69</v>
      </c>
      <c r="F56" s="219">
        <f>VLOOKUP(I56,BDcuA,5,FALSE)</f>
        <v>475.51</v>
      </c>
      <c r="G56" s="220">
        <f>ROUND(F56*E56,DpP)</f>
        <v>6034.22</v>
      </c>
      <c r="I56" s="194">
        <v>10031</v>
      </c>
      <c r="J56" s="195" t="s">
        <v>313</v>
      </c>
    </row>
    <row r="57" spans="2:12" s="193" customFormat="1" x14ac:dyDescent="0.2">
      <c r="B57" s="204" t="str">
        <f>J57 &amp; "  " &amp; VLOOKUP(I57,BDcuA,2,FALSE)</f>
        <v>01.06.04.02  ENCOFRADO Y DESENCOFRADO NORMAL EN LOSAS ALIGERADAS</v>
      </c>
      <c r="C57" s="233"/>
      <c r="D57" s="218" t="str">
        <f>VLOOKUP(I57,BDcuA,4,FALSE)</f>
        <v>m2</v>
      </c>
      <c r="E57" s="218">
        <v>145.91</v>
      </c>
      <c r="F57" s="219">
        <f>VLOOKUP(I57,BDcuA,5,FALSE)</f>
        <v>68.089999999999989</v>
      </c>
      <c r="G57" s="220">
        <f>ROUND(F57*E57,DpP)</f>
        <v>9935.01</v>
      </c>
      <c r="I57" s="194">
        <v>10032</v>
      </c>
      <c r="J57" s="195" t="s">
        <v>316</v>
      </c>
    </row>
    <row r="58" spans="2:12" s="193" customFormat="1" x14ac:dyDescent="0.2">
      <c r="B58" s="204" t="str">
        <f>J58 &amp; "  " &amp; VLOOKUP(I58,BDcuA,2,FALSE)</f>
        <v>01.06.04.03  LADRILLO HUECO DE ARCILLA h=15 cm PARA TECHO ALIGERADO</v>
      </c>
      <c r="C58" s="233"/>
      <c r="D58" s="218" t="str">
        <f>VLOOKUP(I58,BDcuA,4,FALSE)</f>
        <v>pza</v>
      </c>
      <c r="E58" s="218">
        <v>1269.44</v>
      </c>
      <c r="F58" s="219">
        <f>VLOOKUP(I58,BDcuA,5,FALSE)</f>
        <v>2.54</v>
      </c>
      <c r="G58" s="220">
        <f>ROUND(F58*E58,DpP)</f>
        <v>3224.38</v>
      </c>
      <c r="I58" s="194">
        <v>10033</v>
      </c>
      <c r="J58" s="195" t="s">
        <v>318</v>
      </c>
    </row>
    <row r="59" spans="2:12" s="193" customFormat="1" x14ac:dyDescent="0.2">
      <c r="B59" s="204" t="str">
        <f>J59 &amp; "  " &amp; VLOOKUP(I59,BDcuA,2,FALSE)</f>
        <v>01.06.04.04  ACERO fy=4200 kg/cm2 GRADO 60 en LOSAS ALIGERADAS</v>
      </c>
      <c r="C59" s="233"/>
      <c r="D59" s="218" t="str">
        <f>VLOOKUP(I59,BDcuA,4,FALSE)</f>
        <v>kg</v>
      </c>
      <c r="E59" s="218">
        <v>1446.6</v>
      </c>
      <c r="F59" s="219">
        <f>VLOOKUP(I59,BDcuA,5,FALSE)</f>
        <v>4.76</v>
      </c>
      <c r="G59" s="220">
        <f>ROUND(F59*E59,DpP)</f>
        <v>6885.82</v>
      </c>
      <c r="I59" s="194">
        <v>10034</v>
      </c>
      <c r="J59" s="195" t="s">
        <v>322</v>
      </c>
    </row>
    <row r="60" spans="2:12" s="193" customFormat="1" x14ac:dyDescent="0.2">
      <c r="B60" s="200" t="str">
        <f>J60 &amp; "  " &amp; K60</f>
        <v>01.06.05  ESCALERAS y RAMPAS</v>
      </c>
      <c r="C60" s="235"/>
      <c r="D60" s="224"/>
      <c r="E60" s="224"/>
      <c r="F60" s="225"/>
      <c r="G60" s="226">
        <f>SUM(G61:G63)</f>
        <v>4000.05</v>
      </c>
      <c r="H60" s="201"/>
      <c r="I60" s="202" t="s">
        <v>248</v>
      </c>
      <c r="J60" s="203" t="s">
        <v>324</v>
      </c>
      <c r="K60" s="201" t="s">
        <v>325</v>
      </c>
      <c r="L60" s="201"/>
    </row>
    <row r="61" spans="2:12" s="193" customFormat="1" x14ac:dyDescent="0.2">
      <c r="B61" s="204" t="str">
        <f>J61 &amp; "  " &amp; VLOOKUP(I61,BDcuA,2,FALSE)</f>
        <v>01.06.05.01  CONCRETO EN ESCALERAS Y RAMPAS f'c=210 kg/cm2</v>
      </c>
      <c r="C61" s="233"/>
      <c r="D61" s="218" t="str">
        <f>VLOOKUP(I61,BDcuA,4,FALSE)</f>
        <v>m3</v>
      </c>
      <c r="E61" s="218">
        <v>2.1</v>
      </c>
      <c r="F61" s="219">
        <f>VLOOKUP(I61,BDcuA,5,FALSE)</f>
        <v>458.02</v>
      </c>
      <c r="G61" s="220">
        <f>ROUND(F61*E61,DpP)</f>
        <v>961.84</v>
      </c>
      <c r="I61" s="194">
        <v>10035</v>
      </c>
      <c r="J61" s="195" t="s">
        <v>326</v>
      </c>
    </row>
    <row r="62" spans="2:12" s="193" customFormat="1" x14ac:dyDescent="0.2">
      <c r="B62" s="204" t="str">
        <f>J62 &amp; "  " &amp; VLOOKUP(I62,BDcuA,2,FALSE)</f>
        <v>01.06.05.02  ENCOFRADO Y DESENCOFRADO NORMAL EN ESCALERAS Y RAMPAS</v>
      </c>
      <c r="C62" s="233"/>
      <c r="D62" s="218" t="str">
        <f>VLOOKUP(I62,BDcuA,4,FALSE)</f>
        <v>m2</v>
      </c>
      <c r="E62" s="218">
        <v>21.5</v>
      </c>
      <c r="F62" s="219">
        <f>VLOOKUP(I62,BDcuA,5,FALSE)</f>
        <v>87.07</v>
      </c>
      <c r="G62" s="220">
        <f>ROUND(F62*E62,DpP)</f>
        <v>1872.01</v>
      </c>
      <c r="I62" s="194">
        <v>10036</v>
      </c>
      <c r="J62" s="195" t="s">
        <v>328</v>
      </c>
    </row>
    <row r="63" spans="2:12" s="193" customFormat="1" x14ac:dyDescent="0.2">
      <c r="B63" s="204" t="str">
        <f>J63 &amp; "  " &amp; VLOOKUP(I63,BDcuA,2,FALSE)</f>
        <v>01.06.05.03  ACERO fy=4200 kg/cm2 GRADO 60 en ESCALERAS Y RAMPAS</v>
      </c>
      <c r="C63" s="233"/>
      <c r="D63" s="218" t="str">
        <f>VLOOKUP(I63,BDcuA,4,FALSE)</f>
        <v>kg</v>
      </c>
      <c r="E63" s="218">
        <v>245</v>
      </c>
      <c r="F63" s="219">
        <f>VLOOKUP(I63,BDcuA,5,FALSE)</f>
        <v>4.76</v>
      </c>
      <c r="G63" s="220">
        <f>ROUND(F63*E63,DpP)</f>
        <v>1166.2</v>
      </c>
      <c r="I63" s="194">
        <v>10037</v>
      </c>
      <c r="J63" s="195" t="s">
        <v>330</v>
      </c>
    </row>
    <row r="64" spans="2:12" s="193" customFormat="1" x14ac:dyDescent="0.2">
      <c r="B64" s="205" t="str">
        <f>J64 &amp; "  " &amp; K64</f>
        <v>02  ARQUITECTURA Y ACABADOS</v>
      </c>
      <c r="C64" s="236"/>
      <c r="D64" s="227"/>
      <c r="E64" s="227"/>
      <c r="F64" s="228"/>
      <c r="G64" s="229">
        <f>SUMIF(Pto!$I65:$I112,"&gt;10000",G65:G112)</f>
        <v>148553.18999999997</v>
      </c>
      <c r="H64" s="206"/>
      <c r="I64" s="207" t="s">
        <v>152</v>
      </c>
      <c r="J64" s="208" t="s">
        <v>332</v>
      </c>
      <c r="K64" s="206" t="s">
        <v>333</v>
      </c>
      <c r="L64" s="206"/>
    </row>
    <row r="65" spans="2:12" s="193" customFormat="1" x14ac:dyDescent="0.2">
      <c r="B65" s="196" t="str">
        <f>J65 &amp; "  " &amp; K65</f>
        <v>02.01  MUROS Y TABIQUES</v>
      </c>
      <c r="C65" s="234"/>
      <c r="D65" s="221"/>
      <c r="E65" s="221"/>
      <c r="F65" s="222"/>
      <c r="G65" s="223">
        <f>SUM(G66:G67)</f>
        <v>24813.64</v>
      </c>
      <c r="H65" s="197"/>
      <c r="I65" s="198" t="s">
        <v>155</v>
      </c>
      <c r="J65" s="199" t="s">
        <v>334</v>
      </c>
      <c r="K65" s="197" t="s">
        <v>335</v>
      </c>
      <c r="L65" s="197"/>
    </row>
    <row r="66" spans="2:12" s="193" customFormat="1" x14ac:dyDescent="0.2">
      <c r="B66" s="192" t="str">
        <f>J66 &amp; "  " &amp; VLOOKUP(I66,BDcuA,2,FALSE)</f>
        <v>02.01.01  MURO LADRILLO K.K DE ARCILLA 18H ( 09x013x0.24) AMARRE DE CABEZA, JUNTA 1.5 cm. MORTERO 1:1:5</v>
      </c>
      <c r="C66" s="233"/>
      <c r="D66" s="218" t="str">
        <f>VLOOKUP(I66,BDcuA,4,FALSE)</f>
        <v>m2</v>
      </c>
      <c r="E66" s="218">
        <v>165.3</v>
      </c>
      <c r="F66" s="219">
        <f>VLOOKUP(I66,BDcuA,5,FALSE)</f>
        <v>112.09</v>
      </c>
      <c r="G66" s="220">
        <f>ROUND(F66*E66,DpP)</f>
        <v>18528.48</v>
      </c>
      <c r="I66" s="194">
        <v>10038</v>
      </c>
      <c r="J66" s="195" t="s">
        <v>336</v>
      </c>
    </row>
    <row r="67" spans="2:12" s="193" customFormat="1" x14ac:dyDescent="0.2">
      <c r="B67" s="192" t="str">
        <f>J67 &amp; "  " &amp; VLOOKUP(I67,BDcuA,2,FALSE)</f>
        <v>02.01.02  MURO LADRILLO K.K.DE ARCILLA 18 H ( 0.09x0.13x0.24) AMARRE DE SOGA JUNTA 1.5 cm. MORTERO 1:1:5</v>
      </c>
      <c r="C67" s="233"/>
      <c r="D67" s="218" t="str">
        <f>VLOOKUP(I67,BDcuA,4,FALSE)</f>
        <v>m2</v>
      </c>
      <c r="E67" s="218">
        <v>74.099999999999994</v>
      </c>
      <c r="F67" s="219">
        <f>VLOOKUP(I67,BDcuA,5,FALSE)</f>
        <v>84.82</v>
      </c>
      <c r="G67" s="220">
        <f>ROUND(F67*E67,DpP)</f>
        <v>6285.16</v>
      </c>
      <c r="I67" s="194">
        <v>10039</v>
      </c>
      <c r="J67" s="195" t="s">
        <v>340</v>
      </c>
    </row>
    <row r="68" spans="2:12" s="193" customFormat="1" x14ac:dyDescent="0.2">
      <c r="B68" s="196" t="str">
        <f>J68 &amp; "  " &amp; K68</f>
        <v>02.02  REVOQUES</v>
      </c>
      <c r="C68" s="234"/>
      <c r="D68" s="221"/>
      <c r="E68" s="221"/>
      <c r="F68" s="222"/>
      <c r="G68" s="223">
        <f>SUM(G69:G74)</f>
        <v>16571.169999999998</v>
      </c>
      <c r="H68" s="197"/>
      <c r="I68" s="198" t="s">
        <v>155</v>
      </c>
      <c r="J68" s="199" t="s">
        <v>342</v>
      </c>
      <c r="K68" s="197" t="s">
        <v>343</v>
      </c>
      <c r="L68" s="197"/>
    </row>
    <row r="69" spans="2:12" s="193" customFormat="1" x14ac:dyDescent="0.2">
      <c r="B69" s="192" t="str">
        <f t="shared" ref="B69:B74" si="4">J69 &amp; "  " &amp; VLOOKUP(I69,BDcuA,2,FALSE)</f>
        <v>02.02.01  TARRAJEO MUROS INTERIORES</v>
      </c>
      <c r="C69" s="233"/>
      <c r="D69" s="218" t="str">
        <f t="shared" ref="D69:D74" si="5">VLOOKUP(I69,BDcuA,4,FALSE)</f>
        <v>m2</v>
      </c>
      <c r="E69" s="218">
        <v>257</v>
      </c>
      <c r="F69" s="219">
        <f t="shared" ref="F69:F74" si="6">VLOOKUP(I69,BDcuA,5,FALSE)</f>
        <v>22.740000000000002</v>
      </c>
      <c r="G69" s="220">
        <f t="shared" ref="G69:G74" si="7">ROUND(F69*E69,DpP)</f>
        <v>5844.18</v>
      </c>
      <c r="I69" s="194">
        <v>10040</v>
      </c>
      <c r="J69" s="195" t="s">
        <v>344</v>
      </c>
    </row>
    <row r="70" spans="2:12" s="193" customFormat="1" x14ac:dyDescent="0.2">
      <c r="B70" s="192" t="str">
        <f t="shared" si="4"/>
        <v>02.02.02  TARRAJEO MUROS EXTERIORES</v>
      </c>
      <c r="C70" s="233"/>
      <c r="D70" s="218" t="str">
        <f t="shared" si="5"/>
        <v>m2</v>
      </c>
      <c r="E70" s="218">
        <v>79</v>
      </c>
      <c r="F70" s="219">
        <f t="shared" si="6"/>
        <v>34.22</v>
      </c>
      <c r="G70" s="220">
        <f t="shared" si="7"/>
        <v>2703.38</v>
      </c>
      <c r="I70" s="194">
        <v>10041</v>
      </c>
      <c r="J70" s="195" t="s">
        <v>348</v>
      </c>
    </row>
    <row r="71" spans="2:12" s="193" customFormat="1" x14ac:dyDescent="0.2">
      <c r="B71" s="192" t="str">
        <f t="shared" si="4"/>
        <v>02.02.03  TARRAJEO COLUMNAS</v>
      </c>
      <c r="C71" s="233"/>
      <c r="D71" s="218" t="str">
        <f t="shared" si="5"/>
        <v>m2</v>
      </c>
      <c r="E71" s="218">
        <v>55.67</v>
      </c>
      <c r="F71" s="219">
        <f t="shared" si="6"/>
        <v>44.129999999999995</v>
      </c>
      <c r="G71" s="220">
        <f t="shared" si="7"/>
        <v>2456.7199999999998</v>
      </c>
      <c r="I71" s="194">
        <v>10042</v>
      </c>
      <c r="J71" s="195" t="s">
        <v>350</v>
      </c>
    </row>
    <row r="72" spans="2:12" s="193" customFormat="1" x14ac:dyDescent="0.2">
      <c r="B72" s="192" t="str">
        <f t="shared" si="4"/>
        <v>02.02.04  TARRAJEO DE VIGAS</v>
      </c>
      <c r="C72" s="233"/>
      <c r="D72" s="218" t="str">
        <f t="shared" si="5"/>
        <v>m2</v>
      </c>
      <c r="E72" s="218">
        <v>44.2</v>
      </c>
      <c r="F72" s="219">
        <f t="shared" si="6"/>
        <v>44.129999999999995</v>
      </c>
      <c r="G72" s="220">
        <f t="shared" si="7"/>
        <v>1950.55</v>
      </c>
      <c r="I72" s="194">
        <v>10043</v>
      </c>
      <c r="J72" s="195" t="s">
        <v>352</v>
      </c>
    </row>
    <row r="73" spans="2:12" s="193" customFormat="1" x14ac:dyDescent="0.2">
      <c r="B73" s="192" t="str">
        <f t="shared" si="4"/>
        <v>02.02.05  DERRAMES A=0.15 m.MORTERO 1:3</v>
      </c>
      <c r="C73" s="233"/>
      <c r="D73" s="218" t="str">
        <f t="shared" si="5"/>
        <v>m</v>
      </c>
      <c r="E73" s="218">
        <v>125.05</v>
      </c>
      <c r="F73" s="219">
        <f t="shared" si="6"/>
        <v>16.700000000000003</v>
      </c>
      <c r="G73" s="220">
        <f t="shared" si="7"/>
        <v>2088.34</v>
      </c>
      <c r="I73" s="194">
        <v>10044</v>
      </c>
      <c r="J73" s="195" t="s">
        <v>354</v>
      </c>
    </row>
    <row r="74" spans="2:12" s="193" customFormat="1" x14ac:dyDescent="0.2">
      <c r="B74" s="192" t="str">
        <f t="shared" si="4"/>
        <v>02.02.06  BRUÑAS DE 1 X 1 cm</v>
      </c>
      <c r="C74" s="233"/>
      <c r="D74" s="218" t="str">
        <f t="shared" si="5"/>
        <v>m</v>
      </c>
      <c r="E74" s="218">
        <v>200</v>
      </c>
      <c r="F74" s="219">
        <f t="shared" si="6"/>
        <v>7.64</v>
      </c>
      <c r="G74" s="220">
        <f t="shared" si="7"/>
        <v>1528</v>
      </c>
      <c r="I74" s="194">
        <v>10046</v>
      </c>
      <c r="J74" s="195" t="s">
        <v>357</v>
      </c>
    </row>
    <row r="75" spans="2:12" s="193" customFormat="1" x14ac:dyDescent="0.2">
      <c r="B75" s="196" t="str">
        <f>J75 &amp; "  " &amp; K75</f>
        <v>02.03  CIELO RASOS</v>
      </c>
      <c r="C75" s="234"/>
      <c r="D75" s="221"/>
      <c r="E75" s="221"/>
      <c r="F75" s="222"/>
      <c r="G75" s="223">
        <f>SUM(G76:G77)</f>
        <v>7019.9699999999993</v>
      </c>
      <c r="H75" s="197"/>
      <c r="I75" s="198" t="s">
        <v>155</v>
      </c>
      <c r="J75" s="199" t="s">
        <v>360</v>
      </c>
      <c r="K75" s="197" t="s">
        <v>361</v>
      </c>
      <c r="L75" s="197"/>
    </row>
    <row r="76" spans="2:12" s="193" customFormat="1" x14ac:dyDescent="0.2">
      <c r="B76" s="192" t="str">
        <f>J76 &amp; "  " &amp; VLOOKUP(I76,BDcuA,2,FALSE)</f>
        <v>02.03.01  CIELO RASO DE MADERA MACHIHEMBRADA</v>
      </c>
      <c r="C76" s="233"/>
      <c r="D76" s="218" t="str">
        <f>VLOOKUP(I76,BDcuA,4,FALSE)</f>
        <v>m2</v>
      </c>
      <c r="E76" s="218">
        <v>8.9600000000000009</v>
      </c>
      <c r="F76" s="219">
        <f>VLOOKUP(I76,BDcuA,5,FALSE)</f>
        <v>148.51000000000002</v>
      </c>
      <c r="G76" s="220">
        <f>ROUND(F76*E76,DpP)</f>
        <v>1330.65</v>
      </c>
      <c r="I76" s="194">
        <v>10047</v>
      </c>
      <c r="J76" s="195" t="s">
        <v>362</v>
      </c>
    </row>
    <row r="77" spans="2:12" s="193" customFormat="1" x14ac:dyDescent="0.2">
      <c r="B77" s="192" t="str">
        <f>J77 &amp; "  " &amp; VLOOKUP(I77,BDcuA,2,FALSE)</f>
        <v>02.03.02  TARRAJEO DE CIELORASO</v>
      </c>
      <c r="C77" s="233"/>
      <c r="D77" s="218" t="str">
        <f>VLOOKUP(I77,BDcuA,4,FALSE)</f>
        <v>m2</v>
      </c>
      <c r="E77" s="218">
        <v>182</v>
      </c>
      <c r="F77" s="219">
        <f>VLOOKUP(I77,BDcuA,5,FALSE)</f>
        <v>31.259999999999998</v>
      </c>
      <c r="G77" s="220">
        <f>ROUND(F77*E77,DpP)</f>
        <v>5689.32</v>
      </c>
      <c r="I77" s="194">
        <v>10048</v>
      </c>
      <c r="J77" s="195" t="s">
        <v>367</v>
      </c>
    </row>
    <row r="78" spans="2:12" s="193" customFormat="1" x14ac:dyDescent="0.2">
      <c r="B78" s="196" t="str">
        <f>J78 &amp; "  " &amp; K78</f>
        <v>02.04  PISOS</v>
      </c>
      <c r="C78" s="234"/>
      <c r="D78" s="221"/>
      <c r="E78" s="221"/>
      <c r="F78" s="222"/>
      <c r="G78" s="223">
        <f>SUM(G79:G82)</f>
        <v>24027.98</v>
      </c>
      <c r="H78" s="197"/>
      <c r="I78" s="198" t="s">
        <v>155</v>
      </c>
      <c r="J78" s="199" t="s">
        <v>369</v>
      </c>
      <c r="K78" s="197" t="s">
        <v>272</v>
      </c>
      <c r="L78" s="197"/>
    </row>
    <row r="79" spans="2:12" s="193" customFormat="1" x14ac:dyDescent="0.2">
      <c r="B79" s="192" t="str">
        <f>J79 &amp; "  " &amp; VLOOKUP(I79,BDcuA,2,FALSE)</f>
        <v>02.04.01  CONTRAPISO DE 2"</v>
      </c>
      <c r="C79" s="233"/>
      <c r="D79" s="218" t="str">
        <f>VLOOKUP(I79,BDcuA,4,FALSE)</f>
        <v>m2</v>
      </c>
      <c r="E79" s="218">
        <v>165</v>
      </c>
      <c r="F79" s="219">
        <f>VLOOKUP(I79,BDcuA,5,FALSE)</f>
        <v>27.810000000000002</v>
      </c>
      <c r="G79" s="220">
        <f>ROUND(F79*E79,DpP)</f>
        <v>4588.6499999999996</v>
      </c>
      <c r="I79" s="194">
        <v>10049</v>
      </c>
      <c r="J79" s="195" t="s">
        <v>370</v>
      </c>
    </row>
    <row r="80" spans="2:12" s="193" customFormat="1" x14ac:dyDescent="0.2">
      <c r="B80" s="192" t="str">
        <f>J80 &amp; "  " &amp; VLOOKUP(I80,BDcuA,2,FALSE)</f>
        <v>02.04.02  ENCHAPE DE PORCELANATO 30 X 30 cm EN PISO</v>
      </c>
      <c r="C80" s="233"/>
      <c r="D80" s="218" t="str">
        <f>VLOOKUP(I80,BDcuA,4,FALSE)</f>
        <v>m2</v>
      </c>
      <c r="E80" s="218">
        <v>154.84</v>
      </c>
      <c r="F80" s="219">
        <f>VLOOKUP(I80,BDcuA,5,FALSE)</f>
        <v>62</v>
      </c>
      <c r="G80" s="220">
        <f>ROUND(F80*E80,DpP)</f>
        <v>9600.08</v>
      </c>
      <c r="I80" s="194">
        <v>10050</v>
      </c>
      <c r="J80" s="195" t="s">
        <v>373</v>
      </c>
    </row>
    <row r="81" spans="2:12" s="193" customFormat="1" x14ac:dyDescent="0.2">
      <c r="B81" s="192" t="str">
        <f>J81 &amp; "  " &amp; VLOOKUP(I81,BDcuA,2,FALSE)</f>
        <v>02.04.03  PISO CERAMICO ANTIDESLIZANTE CELIMA 30x30 (MOSAICO BLANCO Y/O CUPIRITA)</v>
      </c>
      <c r="C81" s="233"/>
      <c r="D81" s="218" t="str">
        <f>VLOOKUP(I81,BDcuA,4,FALSE)</f>
        <v>m2</v>
      </c>
      <c r="E81" s="218">
        <v>10</v>
      </c>
      <c r="F81" s="219">
        <f>VLOOKUP(I81,BDcuA,5,FALSE)</f>
        <v>187.92</v>
      </c>
      <c r="G81" s="220">
        <f>ROUND(F81*E81,DpP)</f>
        <v>1879.2</v>
      </c>
      <c r="I81" s="194">
        <v>10052</v>
      </c>
      <c r="J81" s="195" t="s">
        <v>376</v>
      </c>
    </row>
    <row r="82" spans="2:12" s="193" customFormat="1" x14ac:dyDescent="0.2">
      <c r="B82" s="192" t="str">
        <f>J82 &amp; "  " &amp; VLOOKUP(I82,BDcuA,2,FALSE)</f>
        <v>02.04.04  PISO DE CEMENTO BARRIDO Y BRUÑADO E=0.04 m</v>
      </c>
      <c r="C82" s="233"/>
      <c r="D82" s="218" t="str">
        <f>VLOOKUP(I82,BDcuA,4,FALSE)</f>
        <v>m2</v>
      </c>
      <c r="E82" s="218">
        <v>285</v>
      </c>
      <c r="F82" s="219">
        <f>VLOOKUP(I82,BDcuA,5,FALSE)</f>
        <v>27.930000000000003</v>
      </c>
      <c r="G82" s="220">
        <f>ROUND(F82*E82,DpP)</f>
        <v>7960.05</v>
      </c>
      <c r="I82" s="194">
        <v>10053</v>
      </c>
      <c r="J82" s="195" t="s">
        <v>382</v>
      </c>
    </row>
    <row r="83" spans="2:12" s="193" customFormat="1" x14ac:dyDescent="0.2">
      <c r="B83" s="196" t="str">
        <f>J83 &amp; "  " &amp; K83</f>
        <v>02.05  SARDINELES Y VEREDAS</v>
      </c>
      <c r="C83" s="234"/>
      <c r="D83" s="221"/>
      <c r="E83" s="221"/>
      <c r="F83" s="222"/>
      <c r="G83" s="223">
        <f>SUM(G84:G84)</f>
        <v>2376.11</v>
      </c>
      <c r="H83" s="197"/>
      <c r="I83" s="198" t="s">
        <v>155</v>
      </c>
      <c r="J83" s="199" t="s">
        <v>385</v>
      </c>
      <c r="K83" s="197" t="s">
        <v>386</v>
      </c>
      <c r="L83" s="197"/>
    </row>
    <row r="84" spans="2:12" s="193" customFormat="1" x14ac:dyDescent="0.2">
      <c r="B84" s="192" t="str">
        <f>J84 &amp; "  " &amp; VLOOKUP(I84,BDcuA,2,FALSE)</f>
        <v>02.05.01  CONCRETO VEREDAS f'c=175 kg/cm2 UN SARDINEL INCORPORADO A=1.00 m. INCLUYE BASE DE AFIRMADO E=0.10 m.</v>
      </c>
      <c r="C84" s="233"/>
      <c r="D84" s="218" t="str">
        <f>VLOOKUP(I84,BDcuA,4,FALSE)</f>
        <v>m2</v>
      </c>
      <c r="E84" s="218">
        <v>37.799999999999997</v>
      </c>
      <c r="F84" s="219">
        <f>VLOOKUP(I84,BDcuA,5,FALSE)</f>
        <v>62.860000000000007</v>
      </c>
      <c r="G84" s="220">
        <f>ROUND(F84*E84,DpP)</f>
        <v>2376.11</v>
      </c>
      <c r="I84" s="194">
        <v>10055</v>
      </c>
      <c r="J84" s="195" t="s">
        <v>387</v>
      </c>
    </row>
    <row r="85" spans="2:12" s="193" customFormat="1" x14ac:dyDescent="0.2">
      <c r="B85" s="196" t="str">
        <f>J85 &amp; "  " &amp; K85</f>
        <v>02.06  CONTRAZOCALOS</v>
      </c>
      <c r="C85" s="234"/>
      <c r="D85" s="221"/>
      <c r="E85" s="221"/>
      <c r="F85" s="222"/>
      <c r="G85" s="223">
        <f>SUM(G86:G86)</f>
        <v>653.36</v>
      </c>
      <c r="H85" s="197"/>
      <c r="I85" s="198" t="s">
        <v>155</v>
      </c>
      <c r="J85" s="199" t="s">
        <v>390</v>
      </c>
      <c r="K85" s="197" t="s">
        <v>391</v>
      </c>
      <c r="L85" s="197"/>
    </row>
    <row r="86" spans="2:12" s="193" customFormat="1" x14ac:dyDescent="0.2">
      <c r="B86" s="192" t="str">
        <f>J86 &amp; "  " &amp; VLOOKUP(I86,BDcuA,2,FALSE)</f>
        <v>02.06.01  CONTRAZOCALO CERAMICO 30X30 H=0.10 m. FRAGUA CON PORCELANA COLOR</v>
      </c>
      <c r="C86" s="233"/>
      <c r="D86" s="218" t="str">
        <f>VLOOKUP(I86,BDcuA,4,FALSE)</f>
        <v>m</v>
      </c>
      <c r="E86" s="218">
        <v>33.42</v>
      </c>
      <c r="F86" s="219">
        <f>VLOOKUP(I86,BDcuA,5,FALSE)</f>
        <v>19.549999999999997</v>
      </c>
      <c r="G86" s="220">
        <f>ROUND(F86*E86,DpP)</f>
        <v>653.36</v>
      </c>
      <c r="I86" s="194">
        <v>10057</v>
      </c>
      <c r="J86" s="195" t="s">
        <v>392</v>
      </c>
    </row>
    <row r="87" spans="2:12" s="193" customFormat="1" x14ac:dyDescent="0.2">
      <c r="B87" s="196" t="str">
        <f>J87 &amp; "  " &amp; K87</f>
        <v>02.07  ZOCALOS</v>
      </c>
      <c r="C87" s="234"/>
      <c r="D87" s="221"/>
      <c r="E87" s="221"/>
      <c r="F87" s="222"/>
      <c r="G87" s="223">
        <f>SUM(G88:G88)</f>
        <v>6907.59</v>
      </c>
      <c r="H87" s="197"/>
      <c r="I87" s="198" t="s">
        <v>155</v>
      </c>
      <c r="J87" s="199" t="s">
        <v>397</v>
      </c>
      <c r="K87" s="197" t="s">
        <v>398</v>
      </c>
      <c r="L87" s="197"/>
    </row>
    <row r="88" spans="2:12" s="193" customFormat="1" x14ac:dyDescent="0.2">
      <c r="B88" s="192" t="str">
        <f>J88 &amp; "  " &amp; VLOOKUP(I88,BDcuA,2,FALSE)</f>
        <v>02.07.01  ZOCALO DE CERAMICA 30 X 30 EN BAÑO O SIMILAR</v>
      </c>
      <c r="C88" s="233"/>
      <c r="D88" s="218" t="str">
        <f>VLOOKUP(I88,BDcuA,4,FALSE)</f>
        <v>m2</v>
      </c>
      <c r="E88" s="218">
        <v>56.68</v>
      </c>
      <c r="F88" s="219">
        <f>VLOOKUP(I88,BDcuA,5,FALSE)</f>
        <v>121.87</v>
      </c>
      <c r="G88" s="220">
        <f>ROUND(F88*E88,DpP)</f>
        <v>6907.59</v>
      </c>
      <c r="I88" s="194">
        <v>10058</v>
      </c>
      <c r="J88" s="195" t="s">
        <v>399</v>
      </c>
    </row>
    <row r="89" spans="2:12" s="193" customFormat="1" x14ac:dyDescent="0.2">
      <c r="B89" s="196" t="str">
        <f>J89 &amp; "  " &amp; K89</f>
        <v>02.08  ESCALERAS Y RAMPAS</v>
      </c>
      <c r="C89" s="234"/>
      <c r="D89" s="221"/>
      <c r="E89" s="221"/>
      <c r="F89" s="222"/>
      <c r="G89" s="223">
        <f>SUM(G90:G91)</f>
        <v>16371.5</v>
      </c>
      <c r="H89" s="197"/>
      <c r="I89" s="198" t="s">
        <v>155</v>
      </c>
      <c r="J89" s="199" t="s">
        <v>402</v>
      </c>
      <c r="K89" s="197" t="s">
        <v>403</v>
      </c>
      <c r="L89" s="197"/>
    </row>
    <row r="90" spans="2:12" s="193" customFormat="1" x14ac:dyDescent="0.2">
      <c r="B90" s="192" t="str">
        <f>J90 &amp; "  " &amp; VLOOKUP(I90,BDcuA,2,FALSE)</f>
        <v>02.08.01  PISO DE CEMENTO BARRIDO Y BRUÑADO E=0.04 m</v>
      </c>
      <c r="C90" s="233"/>
      <c r="D90" s="218" t="str">
        <f>VLOOKUP(I90,BDcuA,4,FALSE)</f>
        <v>m2</v>
      </c>
      <c r="E90" s="218">
        <v>288</v>
      </c>
      <c r="F90" s="219">
        <f>VLOOKUP(I90,BDcuA,5,FALSE)</f>
        <v>27.930000000000003</v>
      </c>
      <c r="G90" s="220">
        <f>ROUND(F90*E90,DpP)</f>
        <v>8043.84</v>
      </c>
      <c r="I90" s="194">
        <v>10053</v>
      </c>
      <c r="J90" s="195" t="s">
        <v>404</v>
      </c>
    </row>
    <row r="91" spans="2:12" s="193" customFormat="1" x14ac:dyDescent="0.2">
      <c r="B91" s="192" t="str">
        <f>J91 &amp; "  " &amp; VLOOKUP(I91,BDcuA,2,FALSE)</f>
        <v>02.08.02  TARRAJEO DE FONDO DE ESCALERAS Y RAMPAS MORTERO 1:5</v>
      </c>
      <c r="C91" s="233"/>
      <c r="D91" s="218" t="str">
        <f>VLOOKUP(I91,BDcuA,4,FALSE)</f>
        <v>m2</v>
      </c>
      <c r="E91" s="218">
        <v>266.39999999999998</v>
      </c>
      <c r="F91" s="219">
        <f>VLOOKUP(I91,BDcuA,5,FALSE)</f>
        <v>31.259999999999998</v>
      </c>
      <c r="G91" s="220">
        <f>ROUND(F91*E91,DpP)</f>
        <v>8327.66</v>
      </c>
      <c r="I91" s="194">
        <v>10059</v>
      </c>
      <c r="J91" s="195" t="s">
        <v>405</v>
      </c>
    </row>
    <row r="92" spans="2:12" s="193" customFormat="1" x14ac:dyDescent="0.2">
      <c r="B92" s="196" t="str">
        <f>J92 &amp; "  " &amp; K92</f>
        <v>02.09  COBERTURAS</v>
      </c>
      <c r="C92" s="234"/>
      <c r="D92" s="221"/>
      <c r="E92" s="221"/>
      <c r="F92" s="222"/>
      <c r="G92" s="223">
        <f>SUM(G93:G93)</f>
        <v>867.95</v>
      </c>
      <c r="H92" s="197"/>
      <c r="I92" s="198" t="s">
        <v>155</v>
      </c>
      <c r="J92" s="199" t="s">
        <v>407</v>
      </c>
      <c r="K92" s="197" t="s">
        <v>408</v>
      </c>
      <c r="L92" s="197"/>
    </row>
    <row r="93" spans="2:12" s="193" customFormat="1" x14ac:dyDescent="0.2">
      <c r="B93" s="192" t="str">
        <f>J93 &amp; "  " &amp; VLOOKUP(I93,BDcuA,2,FALSE)</f>
        <v>02.09.01  COBERTURA DE TEJA ANDINA</v>
      </c>
      <c r="C93" s="233"/>
      <c r="D93" s="218" t="str">
        <f>VLOOKUP(I93,BDcuA,4,FALSE)</f>
        <v>m2</v>
      </c>
      <c r="E93" s="218">
        <v>12.53</v>
      </c>
      <c r="F93" s="219">
        <f>VLOOKUP(I93,BDcuA,5,FALSE)</f>
        <v>69.27</v>
      </c>
      <c r="G93" s="220">
        <f>ROUND(F93*E93,DpP)</f>
        <v>867.95</v>
      </c>
      <c r="I93" s="194">
        <v>10060</v>
      </c>
      <c r="J93" s="195" t="s">
        <v>409</v>
      </c>
    </row>
    <row r="94" spans="2:12" s="193" customFormat="1" x14ac:dyDescent="0.2">
      <c r="B94" s="196" t="str">
        <f>J94 &amp; "  " &amp; K94</f>
        <v>02.10  CARPINTERIA DE MADERA</v>
      </c>
      <c r="C94" s="234"/>
      <c r="D94" s="221"/>
      <c r="E94" s="221"/>
      <c r="F94" s="222"/>
      <c r="G94" s="223">
        <f>SUMIF(Pto!$I95:$I100,"&gt;10000",G95:G100)</f>
        <v>11477.2</v>
      </c>
      <c r="H94" s="197"/>
      <c r="I94" s="198" t="s">
        <v>155</v>
      </c>
      <c r="J94" s="199" t="s">
        <v>413</v>
      </c>
      <c r="K94" s="197" t="s">
        <v>414</v>
      </c>
      <c r="L94" s="197"/>
    </row>
    <row r="95" spans="2:12" s="193" customFormat="1" x14ac:dyDescent="0.2">
      <c r="B95" s="200" t="str">
        <f>J95 &amp; "  " &amp; K95</f>
        <v>02.10.01  PUERTAS DE MADERA</v>
      </c>
      <c r="C95" s="235"/>
      <c r="D95" s="224"/>
      <c r="E95" s="224"/>
      <c r="F95" s="225"/>
      <c r="G95" s="226">
        <f>SUM(G96:G98)</f>
        <v>6977.2000000000007</v>
      </c>
      <c r="H95" s="201"/>
      <c r="I95" s="202" t="s">
        <v>248</v>
      </c>
      <c r="J95" s="203" t="s">
        <v>415</v>
      </c>
      <c r="K95" s="201" t="s">
        <v>416</v>
      </c>
      <c r="L95" s="201"/>
    </row>
    <row r="96" spans="2:12" s="193" customFormat="1" x14ac:dyDescent="0.2">
      <c r="B96" s="204" t="str">
        <f>J96 &amp; "  " &amp; VLOOKUP(I96,BDcuA,2,FALSE)</f>
        <v>02.10.01.01  PUERTA PRINCIPAL DE MADERA TORNILLO APANELADA</v>
      </c>
      <c r="C96" s="233"/>
      <c r="D96" s="218" t="str">
        <f>VLOOKUP(I96,BDcuA,4,FALSE)</f>
        <v>und</v>
      </c>
      <c r="E96" s="218">
        <v>1</v>
      </c>
      <c r="F96" s="219">
        <f>VLOOKUP(I96,BDcuA,5,FALSE)</f>
        <v>1865.9</v>
      </c>
      <c r="G96" s="220">
        <f>ROUND(F96*E96,DpP)</f>
        <v>1865.9</v>
      </c>
      <c r="I96" s="194">
        <v>10061</v>
      </c>
      <c r="J96" s="195" t="s">
        <v>417</v>
      </c>
    </row>
    <row r="97" spans="2:12" s="193" customFormat="1" x14ac:dyDescent="0.2">
      <c r="B97" s="204" t="str">
        <f>J97 &amp; "  " &amp; VLOOKUP(I97,BDcuA,2,FALSE)</f>
        <v>02.10.01.02  PUERTA APANELADA DE MADERA TORNILLO</v>
      </c>
      <c r="C97" s="233"/>
      <c r="D97" s="218" t="str">
        <f>VLOOKUP(I97,BDcuA,4,FALSE)</f>
        <v>und</v>
      </c>
      <c r="E97" s="218">
        <v>1</v>
      </c>
      <c r="F97" s="219">
        <f>VLOOKUP(I97,BDcuA,5,FALSE)</f>
        <v>1325.9</v>
      </c>
      <c r="G97" s="220">
        <f>ROUND(F97*E97,DpP)</f>
        <v>1325.9</v>
      </c>
      <c r="I97" s="194">
        <v>10062</v>
      </c>
      <c r="J97" s="195" t="s">
        <v>422</v>
      </c>
    </row>
    <row r="98" spans="2:12" s="193" customFormat="1" x14ac:dyDescent="0.2">
      <c r="B98" s="204" t="str">
        <f>J98 &amp; "  " &amp; VLOOKUP(I98,BDcuA,2,FALSE)</f>
        <v>02.10.01.03  PUERTA CONTRAPLACADA MOLDEADA  P-04'</v>
      </c>
      <c r="C98" s="233"/>
      <c r="D98" s="218" t="str">
        <f>VLOOKUP(I98,BDcuA,4,FALSE)</f>
        <v>und</v>
      </c>
      <c r="E98" s="218">
        <v>6</v>
      </c>
      <c r="F98" s="219">
        <f>VLOOKUP(I98,BDcuA,5,FALSE)</f>
        <v>630.9</v>
      </c>
      <c r="G98" s="220">
        <f>ROUND(F98*E98,DpP)</f>
        <v>3785.4</v>
      </c>
      <c r="I98" s="194">
        <v>10063</v>
      </c>
      <c r="J98" s="195" t="s">
        <v>426</v>
      </c>
    </row>
    <row r="99" spans="2:12" s="193" customFormat="1" x14ac:dyDescent="0.2">
      <c r="B99" s="200" t="str">
        <f>J99 &amp; "  " &amp; K99</f>
        <v>02.10.02  CARPINTERIA DE MADERA</v>
      </c>
      <c r="C99" s="235"/>
      <c r="D99" s="224"/>
      <c r="E99" s="224"/>
      <c r="F99" s="225"/>
      <c r="G99" s="226">
        <f>SUM(G100:G100)</f>
        <v>4500</v>
      </c>
      <c r="H99" s="201"/>
      <c r="I99" s="202" t="s">
        <v>248</v>
      </c>
      <c r="J99" s="203" t="s">
        <v>431</v>
      </c>
      <c r="K99" s="201" t="s">
        <v>414</v>
      </c>
      <c r="L99" s="201"/>
    </row>
    <row r="100" spans="2:12" s="193" customFormat="1" x14ac:dyDescent="0.2">
      <c r="B100" s="204" t="str">
        <f>J100 &amp; "  " &amp; VLOOKUP(I100,BDcuA,2,FALSE)</f>
        <v>02.10.02.01  MUEBLE DE COCINA CON MELAMINE Y GRANITO (Area de usos multiples)</v>
      </c>
      <c r="C100" s="233"/>
      <c r="D100" s="218" t="str">
        <f>VLOOKUP(I100,BDcuA,4,FALSE)</f>
        <v>und</v>
      </c>
      <c r="E100" s="218">
        <v>1</v>
      </c>
      <c r="F100" s="219">
        <f>VLOOKUP(I100,BDcuA,5,FALSE)</f>
        <v>4500</v>
      </c>
      <c r="G100" s="220">
        <f>ROUND(F100*E100,DpP)</f>
        <v>4500</v>
      </c>
      <c r="I100" s="194">
        <v>10064</v>
      </c>
      <c r="J100" s="195" t="s">
        <v>432</v>
      </c>
    </row>
    <row r="101" spans="2:12" s="193" customFormat="1" x14ac:dyDescent="0.2">
      <c r="B101" s="196" t="str">
        <f>J101 &amp; "  " &amp; K101</f>
        <v>02.11  CARPINTERIA METALICA</v>
      </c>
      <c r="C101" s="234"/>
      <c r="D101" s="221"/>
      <c r="E101" s="221"/>
      <c r="F101" s="222"/>
      <c r="G101" s="223">
        <f>SUM(G102:G104)</f>
        <v>19696.5</v>
      </c>
      <c r="H101" s="197"/>
      <c r="I101" s="198" t="s">
        <v>155</v>
      </c>
      <c r="J101" s="199" t="s">
        <v>435</v>
      </c>
      <c r="K101" s="197" t="s">
        <v>436</v>
      </c>
      <c r="L101" s="197"/>
    </row>
    <row r="102" spans="2:12" s="193" customFormat="1" x14ac:dyDescent="0.2">
      <c r="B102" s="192" t="str">
        <f>J102 &amp; "  " &amp; VLOOKUP(I102,BDcuA,2,FALSE)</f>
        <v>02.11.01  BARANDA DE FIERRO</v>
      </c>
      <c r="C102" s="233"/>
      <c r="D102" s="218" t="str">
        <f>VLOOKUP(I102,BDcuA,4,FALSE)</f>
        <v>m</v>
      </c>
      <c r="E102" s="218">
        <v>50</v>
      </c>
      <c r="F102" s="219">
        <f>VLOOKUP(I102,BDcuA,5,FALSE)</f>
        <v>180</v>
      </c>
      <c r="G102" s="220">
        <f>ROUND(F102*E102,DpP)</f>
        <v>9000</v>
      </c>
      <c r="I102" s="194">
        <v>10065</v>
      </c>
      <c r="J102" s="195" t="s">
        <v>437</v>
      </c>
    </row>
    <row r="103" spans="2:12" s="193" customFormat="1" x14ac:dyDescent="0.2">
      <c r="B103" s="192" t="str">
        <f>J103 &amp; "  " &amp; VLOOKUP(I103,BDcuA,2,FALSE)</f>
        <v>02.11.02  PUERTA METALICA</v>
      </c>
      <c r="C103" s="233"/>
      <c r="D103" s="218" t="str">
        <f>VLOOKUP(I103,BDcuA,4,FALSE)</f>
        <v>m2</v>
      </c>
      <c r="E103" s="218">
        <v>7.77</v>
      </c>
      <c r="F103" s="219">
        <f>VLOOKUP(I103,BDcuA,5,FALSE)</f>
        <v>450</v>
      </c>
      <c r="G103" s="220">
        <f>ROUND(F103*E103,DpP)</f>
        <v>3496.5</v>
      </c>
      <c r="I103" s="194">
        <v>10066</v>
      </c>
      <c r="J103" s="195" t="s">
        <v>440</v>
      </c>
    </row>
    <row r="104" spans="2:12" s="193" customFormat="1" x14ac:dyDescent="0.2">
      <c r="B104" s="192" t="str">
        <f>J104 &amp; "  " &amp; VLOOKUP(I104,BDcuA,2,FALSE)</f>
        <v>02.11.03  REJA METALICA</v>
      </c>
      <c r="C104" s="233"/>
      <c r="D104" s="218" t="str">
        <f>VLOOKUP(I104,BDcuA,4,FALSE)</f>
        <v>und</v>
      </c>
      <c r="E104" s="218">
        <v>4</v>
      </c>
      <c r="F104" s="219">
        <f>VLOOKUP(I104,BDcuA,5,FALSE)</f>
        <v>1800</v>
      </c>
      <c r="G104" s="220">
        <f>ROUND(F104*E104,DpP)</f>
        <v>7200</v>
      </c>
      <c r="I104" s="194">
        <v>10067</v>
      </c>
      <c r="J104" s="195" t="s">
        <v>443</v>
      </c>
    </row>
    <row r="105" spans="2:12" s="193" customFormat="1" x14ac:dyDescent="0.2">
      <c r="B105" s="196" t="str">
        <f>J105 &amp; "  " &amp; K105</f>
        <v>02.12  VIDRIOS</v>
      </c>
      <c r="C105" s="234"/>
      <c r="D105" s="221"/>
      <c r="E105" s="221"/>
      <c r="F105" s="222"/>
      <c r="G105" s="223">
        <f>SUM(G106:G106)</f>
        <v>3999.52</v>
      </c>
      <c r="H105" s="197"/>
      <c r="I105" s="198" t="s">
        <v>155</v>
      </c>
      <c r="J105" s="199" t="s">
        <v>446</v>
      </c>
      <c r="K105" s="197" t="s">
        <v>447</v>
      </c>
      <c r="L105" s="197"/>
    </row>
    <row r="106" spans="2:12" s="193" customFormat="1" x14ac:dyDescent="0.2">
      <c r="B106" s="192" t="str">
        <f>J106 &amp; "  " &amp; VLOOKUP(I106,BDcuA,2,FALSE)</f>
        <v>02.12.01  VIDRIO SEMIDOBLE INCOLORO CRUDO</v>
      </c>
      <c r="C106" s="233"/>
      <c r="D106" s="218" t="str">
        <f>VLOOKUP(I106,BDcuA,4,FALSE)</f>
        <v>p2</v>
      </c>
      <c r="E106" s="218">
        <v>481.87</v>
      </c>
      <c r="F106" s="219">
        <f>VLOOKUP(I106,BDcuA,5,FALSE)</f>
        <v>8.2999999999999989</v>
      </c>
      <c r="G106" s="220">
        <f>ROUND(F106*E106,DpP)</f>
        <v>3999.52</v>
      </c>
      <c r="I106" s="194">
        <v>10068</v>
      </c>
      <c r="J106" s="195" t="s">
        <v>448</v>
      </c>
    </row>
    <row r="107" spans="2:12" s="193" customFormat="1" x14ac:dyDescent="0.2">
      <c r="B107" s="196" t="str">
        <f>J107 &amp; "  " &amp; K107</f>
        <v>02.13  VENTANAS</v>
      </c>
      <c r="C107" s="234"/>
      <c r="D107" s="221"/>
      <c r="E107" s="221"/>
      <c r="F107" s="222"/>
      <c r="G107" s="223">
        <f>SUM(G108:G108)</f>
        <v>6409.79</v>
      </c>
      <c r="H107" s="197"/>
      <c r="I107" s="198" t="s">
        <v>155</v>
      </c>
      <c r="J107" s="199" t="s">
        <v>451</v>
      </c>
      <c r="K107" s="197" t="s">
        <v>452</v>
      </c>
      <c r="L107" s="197"/>
    </row>
    <row r="108" spans="2:12" s="193" customFormat="1" x14ac:dyDescent="0.2">
      <c r="B108" s="192" t="str">
        <f>J108 &amp; "  " &amp; VLOOKUP(I108,BDcuA,2,FALSE)</f>
        <v>02.13.01  VENTANA DE MADERA CEDRO CON HOJAS</v>
      </c>
      <c r="C108" s="233"/>
      <c r="D108" s="218" t="str">
        <f>VLOOKUP(I108,BDcuA,4,FALSE)</f>
        <v>m2</v>
      </c>
      <c r="E108" s="218">
        <v>44.68</v>
      </c>
      <c r="F108" s="219">
        <f>VLOOKUP(I108,BDcuA,5,FALSE)</f>
        <v>143.45999999999998</v>
      </c>
      <c r="G108" s="220">
        <f>ROUND(F108*E108,DpP)</f>
        <v>6409.79</v>
      </c>
      <c r="I108" s="194">
        <v>10069</v>
      </c>
      <c r="J108" s="195" t="s">
        <v>453</v>
      </c>
    </row>
    <row r="109" spans="2:12" s="193" customFormat="1" x14ac:dyDescent="0.2">
      <c r="B109" s="196" t="str">
        <f>J109 &amp; "  " &amp; K109</f>
        <v>02.14  PINTURAS</v>
      </c>
      <c r="C109" s="234"/>
      <c r="D109" s="221"/>
      <c r="E109" s="221"/>
      <c r="F109" s="222"/>
      <c r="G109" s="223">
        <f>SUM(G110:G112)</f>
        <v>7360.91</v>
      </c>
      <c r="H109" s="197"/>
      <c r="I109" s="198" t="s">
        <v>155</v>
      </c>
      <c r="J109" s="199" t="s">
        <v>461</v>
      </c>
      <c r="K109" s="197" t="s">
        <v>462</v>
      </c>
      <c r="L109" s="197"/>
    </row>
    <row r="110" spans="2:12" s="193" customFormat="1" x14ac:dyDescent="0.2">
      <c r="B110" s="192" t="str">
        <f>J110 &amp; "  " &amp; VLOOKUP(I110,BDcuA,2,FALSE)</f>
        <v>02.14.01  PINTURA LATEX EN CIELO RASO</v>
      </c>
      <c r="C110" s="233"/>
      <c r="D110" s="218" t="str">
        <f>VLOOKUP(I110,BDcuA,4,FALSE)</f>
        <v>m2</v>
      </c>
      <c r="E110" s="218">
        <v>182</v>
      </c>
      <c r="F110" s="219">
        <f>VLOOKUP(I110,BDcuA,5,FALSE)</f>
        <v>11.41</v>
      </c>
      <c r="G110" s="220">
        <f>ROUND(F110*E110,DpP)</f>
        <v>2076.62</v>
      </c>
      <c r="I110" s="194">
        <v>10070</v>
      </c>
      <c r="J110" s="195" t="s">
        <v>463</v>
      </c>
    </row>
    <row r="111" spans="2:12" s="193" customFormat="1" x14ac:dyDescent="0.2">
      <c r="B111" s="192" t="str">
        <f>J111 &amp; "  " &amp; VLOOKUP(I111,BDcuA,2,FALSE)</f>
        <v>02.14.02  PINTURA LATEX EN MUROS INTERIORES</v>
      </c>
      <c r="C111" s="233"/>
      <c r="D111" s="218" t="str">
        <f>VLOOKUP(I111,BDcuA,4,FALSE)</f>
        <v>m2</v>
      </c>
      <c r="E111" s="218">
        <v>323</v>
      </c>
      <c r="F111" s="219">
        <f>VLOOKUP(I111,BDcuA,5,FALSE)</f>
        <v>11.22</v>
      </c>
      <c r="G111" s="220">
        <f>ROUND(F111*E111,DpP)</f>
        <v>3624.06</v>
      </c>
      <c r="I111" s="194">
        <v>10071</v>
      </c>
      <c r="J111" s="195" t="s">
        <v>468</v>
      </c>
    </row>
    <row r="112" spans="2:12" s="193" customFormat="1" x14ac:dyDescent="0.2">
      <c r="B112" s="192" t="str">
        <f>J112 &amp; "  " &amp; VLOOKUP(I112,BDcuA,2,FALSE)</f>
        <v>02.14.03  PINTURA LATEX EN MUROS EXTERIORES</v>
      </c>
      <c r="C112" s="233"/>
      <c r="D112" s="218" t="str">
        <f>VLOOKUP(I112,BDcuA,4,FALSE)</f>
        <v>m2</v>
      </c>
      <c r="E112" s="218">
        <v>129</v>
      </c>
      <c r="F112" s="219">
        <f>VLOOKUP(I112,BDcuA,5,FALSE)</f>
        <v>12.87</v>
      </c>
      <c r="G112" s="220">
        <f>ROUND(F112*E112,DpP)</f>
        <v>1660.23</v>
      </c>
      <c r="I112" s="194">
        <v>10072</v>
      </c>
      <c r="J112" s="195" t="s">
        <v>470</v>
      </c>
    </row>
    <row r="113" spans="2:12" s="193" customFormat="1" x14ac:dyDescent="0.2">
      <c r="B113" s="205" t="str">
        <f>J113 &amp; "  " &amp; K113</f>
        <v>03  INSTALACIONES ELECTRICAS</v>
      </c>
      <c r="C113" s="236"/>
      <c r="D113" s="227"/>
      <c r="E113" s="227"/>
      <c r="F113" s="228"/>
      <c r="G113" s="229">
        <f>SUM(G114:G123)</f>
        <v>6794.9199999999992</v>
      </c>
      <c r="H113" s="206"/>
      <c r="I113" s="207" t="s">
        <v>152</v>
      </c>
      <c r="J113" s="208" t="s">
        <v>474</v>
      </c>
      <c r="K113" s="206" t="s">
        <v>475</v>
      </c>
      <c r="L113" s="206"/>
    </row>
    <row r="114" spans="2:12" s="193" customFormat="1" x14ac:dyDescent="0.2">
      <c r="B114" s="237" t="str">
        <f t="shared" ref="B114:B123" si="8">J114 &amp; "  " &amp; VLOOKUP(I114,BDcuA,2,FALSE)</f>
        <v>03.01  SALIDA PARA CENTRO DE LUZ</v>
      </c>
      <c r="C114" s="233"/>
      <c r="D114" s="218" t="str">
        <f t="shared" ref="D114:D123" si="9">VLOOKUP(I114,BDcuA,4,FALSE)</f>
        <v>pto</v>
      </c>
      <c r="E114" s="218">
        <v>16</v>
      </c>
      <c r="F114" s="219">
        <f t="shared" ref="F114:F123" si="10">VLOOKUP(I114,BDcuA,5,FALSE)</f>
        <v>112.57000000000004</v>
      </c>
      <c r="G114" s="220">
        <f t="shared" ref="G114:G123" si="11">ROUND(F114*E114,DpP)</f>
        <v>1801.12</v>
      </c>
      <c r="I114" s="194">
        <v>10073</v>
      </c>
      <c r="J114" s="195" t="s">
        <v>476</v>
      </c>
    </row>
    <row r="115" spans="2:12" s="193" customFormat="1" x14ac:dyDescent="0.2">
      <c r="B115" s="237" t="str">
        <f t="shared" si="8"/>
        <v>03.02  SALIDA PARA BRAQUETE</v>
      </c>
      <c r="C115" s="233"/>
      <c r="D115" s="218" t="str">
        <f t="shared" si="9"/>
        <v>pto</v>
      </c>
      <c r="E115" s="218">
        <v>8</v>
      </c>
      <c r="F115" s="219">
        <f t="shared" si="10"/>
        <v>125.27000000000002</v>
      </c>
      <c r="G115" s="220">
        <f t="shared" si="11"/>
        <v>1002.16</v>
      </c>
      <c r="I115" s="194">
        <v>10074</v>
      </c>
      <c r="J115" s="195" t="s">
        <v>500</v>
      </c>
    </row>
    <row r="116" spans="2:12" s="193" customFormat="1" x14ac:dyDescent="0.2">
      <c r="B116" s="237" t="str">
        <f t="shared" si="8"/>
        <v>03.03  SALIDA PARA INTERRUPTOR BIPOLAR DOBLE</v>
      </c>
      <c r="C116" s="233"/>
      <c r="D116" s="218" t="str">
        <f t="shared" si="9"/>
        <v>pto</v>
      </c>
      <c r="E116" s="218">
        <v>8</v>
      </c>
      <c r="F116" s="219">
        <f t="shared" si="10"/>
        <v>108.96</v>
      </c>
      <c r="G116" s="220">
        <f t="shared" si="11"/>
        <v>871.68</v>
      </c>
      <c r="I116" s="194">
        <v>10075</v>
      </c>
      <c r="J116" s="195" t="s">
        <v>502</v>
      </c>
    </row>
    <row r="117" spans="2:12" s="193" customFormat="1" x14ac:dyDescent="0.2">
      <c r="B117" s="237" t="str">
        <f t="shared" si="8"/>
        <v>03.04  SALIDA PARA TOMACORRIENTE BIPOLAR DOBLE + L.T. A PRUEBA DE AGUA</v>
      </c>
      <c r="C117" s="233"/>
      <c r="D117" s="218" t="str">
        <f t="shared" si="9"/>
        <v>pto</v>
      </c>
      <c r="E117" s="218">
        <v>10</v>
      </c>
      <c r="F117" s="219">
        <f t="shared" si="10"/>
        <v>130.86000000000001</v>
      </c>
      <c r="G117" s="220">
        <f t="shared" si="11"/>
        <v>1308.5999999999999</v>
      </c>
      <c r="I117" s="194">
        <v>10076</v>
      </c>
      <c r="J117" s="195" t="s">
        <v>508</v>
      </c>
    </row>
    <row r="118" spans="2:12" s="193" customFormat="1" x14ac:dyDescent="0.2">
      <c r="B118" s="237" t="str">
        <f t="shared" si="8"/>
        <v>03.05  SALIDA PARA LUZ DE EMERGENCIA</v>
      </c>
      <c r="C118" s="233"/>
      <c r="D118" s="218" t="str">
        <f t="shared" si="9"/>
        <v>pto</v>
      </c>
      <c r="E118" s="218">
        <v>2</v>
      </c>
      <c r="F118" s="219">
        <f t="shared" si="10"/>
        <v>157.9</v>
      </c>
      <c r="G118" s="220">
        <f t="shared" si="11"/>
        <v>315.8</v>
      </c>
      <c r="I118" s="194">
        <v>10077</v>
      </c>
      <c r="J118" s="195" t="s">
        <v>511</v>
      </c>
    </row>
    <row r="119" spans="2:12" s="193" customFormat="1" x14ac:dyDescent="0.2">
      <c r="B119" s="237" t="str">
        <f t="shared" si="8"/>
        <v>03.06  ALAMBRE TW 6 mm2</v>
      </c>
      <c r="C119" s="233"/>
      <c r="D119" s="218" t="str">
        <f t="shared" si="9"/>
        <v>m</v>
      </c>
      <c r="E119" s="218">
        <v>5</v>
      </c>
      <c r="F119" s="219">
        <f t="shared" si="10"/>
        <v>2.4</v>
      </c>
      <c r="G119" s="220">
        <f t="shared" si="11"/>
        <v>12</v>
      </c>
      <c r="I119" s="194">
        <v>10078</v>
      </c>
      <c r="J119" s="195" t="s">
        <v>514</v>
      </c>
    </row>
    <row r="120" spans="2:12" s="193" customFormat="1" x14ac:dyDescent="0.2">
      <c r="B120" s="237" t="str">
        <f t="shared" si="8"/>
        <v>03.07  ALAMBRE TW 4 mm2</v>
      </c>
      <c r="C120" s="233"/>
      <c r="D120" s="218" t="str">
        <f t="shared" si="9"/>
        <v>m</v>
      </c>
      <c r="E120" s="218">
        <v>92.21</v>
      </c>
      <c r="F120" s="219">
        <f t="shared" si="10"/>
        <v>2.57</v>
      </c>
      <c r="G120" s="220">
        <f t="shared" si="11"/>
        <v>236.98</v>
      </c>
      <c r="I120" s="194">
        <v>10079</v>
      </c>
      <c r="J120" s="195" t="s">
        <v>517</v>
      </c>
    </row>
    <row r="121" spans="2:12" s="193" customFormat="1" x14ac:dyDescent="0.2">
      <c r="B121" s="237" t="str">
        <f t="shared" si="8"/>
        <v>03.08  ALAMBRE TW 2.5 mm2</v>
      </c>
      <c r="C121" s="233"/>
      <c r="D121" s="218" t="str">
        <f t="shared" si="9"/>
        <v>m</v>
      </c>
      <c r="E121" s="218">
        <v>53</v>
      </c>
      <c r="F121" s="219">
        <f t="shared" si="10"/>
        <v>1.26</v>
      </c>
      <c r="G121" s="220">
        <f t="shared" si="11"/>
        <v>66.78</v>
      </c>
      <c r="I121" s="194">
        <v>10080</v>
      </c>
      <c r="J121" s="195" t="s">
        <v>519</v>
      </c>
    </row>
    <row r="122" spans="2:12" s="193" customFormat="1" x14ac:dyDescent="0.2">
      <c r="B122" s="237" t="str">
        <f t="shared" si="8"/>
        <v>03.09  TABLEROS DISTRIBUCION CAJA METALICA CON 12 POLOS</v>
      </c>
      <c r="C122" s="233"/>
      <c r="D122" s="218" t="str">
        <f t="shared" si="9"/>
        <v>pza</v>
      </c>
      <c r="E122" s="218">
        <v>2</v>
      </c>
      <c r="F122" s="219">
        <f t="shared" si="10"/>
        <v>189.9</v>
      </c>
      <c r="G122" s="220">
        <f t="shared" si="11"/>
        <v>379.8</v>
      </c>
      <c r="I122" s="194">
        <v>10081</v>
      </c>
      <c r="J122" s="195" t="s">
        <v>521</v>
      </c>
    </row>
    <row r="123" spans="2:12" s="193" customFormat="1" x14ac:dyDescent="0.2">
      <c r="B123" s="237" t="str">
        <f t="shared" si="8"/>
        <v>03.10  POZO A TIERRA</v>
      </c>
      <c r="C123" s="233"/>
      <c r="D123" s="218" t="str">
        <f t="shared" si="9"/>
        <v>und</v>
      </c>
      <c r="E123" s="218">
        <v>1</v>
      </c>
      <c r="F123" s="219">
        <f t="shared" si="10"/>
        <v>800</v>
      </c>
      <c r="G123" s="220">
        <f t="shared" si="11"/>
        <v>800</v>
      </c>
      <c r="I123" s="194">
        <v>10082</v>
      </c>
      <c r="J123" s="195" t="s">
        <v>525</v>
      </c>
    </row>
    <row r="124" spans="2:12" s="193" customFormat="1" x14ac:dyDescent="0.2">
      <c r="B124" s="205" t="str">
        <f>J124 &amp; "  " &amp; K124</f>
        <v>04  INSTALACIONES SANITARIAS</v>
      </c>
      <c r="C124" s="236"/>
      <c r="D124" s="227"/>
      <c r="E124" s="227"/>
      <c r="F124" s="228"/>
      <c r="G124" s="229">
        <f>SUMIF(Pto!$I125:$I141,"&gt;10000",G125:G141)</f>
        <v>5255.2900000000009</v>
      </c>
      <c r="H124" s="206"/>
      <c r="I124" s="207" t="s">
        <v>152</v>
      </c>
      <c r="J124" s="208" t="s">
        <v>527</v>
      </c>
      <c r="K124" s="206" t="s">
        <v>528</v>
      </c>
      <c r="L124" s="206"/>
    </row>
    <row r="125" spans="2:12" s="193" customFormat="1" x14ac:dyDescent="0.2">
      <c r="B125" s="196" t="str">
        <f>J125 &amp; "  " &amp; K125</f>
        <v>04.01  SISTEMA DE DESAGUE</v>
      </c>
      <c r="C125" s="234"/>
      <c r="D125" s="221"/>
      <c r="E125" s="221"/>
      <c r="F125" s="222"/>
      <c r="G125" s="223">
        <f>SUM(G126:G134)</f>
        <v>3588.9500000000003</v>
      </c>
      <c r="H125" s="197"/>
      <c r="I125" s="198" t="s">
        <v>155</v>
      </c>
      <c r="J125" s="199" t="s">
        <v>529</v>
      </c>
      <c r="K125" s="197" t="s">
        <v>530</v>
      </c>
      <c r="L125" s="197"/>
    </row>
    <row r="126" spans="2:12" s="193" customFormat="1" x14ac:dyDescent="0.2">
      <c r="B126" s="192" t="str">
        <f t="shared" ref="B126:B134" si="12">J126 &amp; "  " &amp; VLOOKUP(I126,BDcuA,2,FALSE)</f>
        <v>04.01.01  SALIDA DESAGUE DE PVC SAL 2"</v>
      </c>
      <c r="C126" s="233"/>
      <c r="D126" s="218" t="str">
        <f t="shared" ref="D126:D134" si="13">VLOOKUP(I126,BDcuA,4,FALSE)</f>
        <v>pto</v>
      </c>
      <c r="E126" s="218">
        <v>16</v>
      </c>
      <c r="F126" s="219">
        <f t="shared" ref="F126:F134" si="14">VLOOKUP(I126,BDcuA,5,FALSE)</f>
        <v>22.47</v>
      </c>
      <c r="G126" s="220">
        <f t="shared" ref="G126:G134" si="15">ROUND(F126*E126,DpP)</f>
        <v>359.52</v>
      </c>
      <c r="I126" s="194">
        <v>10083</v>
      </c>
      <c r="J126" s="195" t="s">
        <v>531</v>
      </c>
    </row>
    <row r="127" spans="2:12" s="193" customFormat="1" x14ac:dyDescent="0.2">
      <c r="B127" s="192" t="str">
        <f t="shared" si="12"/>
        <v>04.01.02  SALIDA DESAGUE DE PVC-SAL 4"</v>
      </c>
      <c r="C127" s="233"/>
      <c r="D127" s="218" t="str">
        <f t="shared" si="13"/>
        <v>pto</v>
      </c>
      <c r="E127" s="218">
        <v>7</v>
      </c>
      <c r="F127" s="219">
        <f t="shared" si="14"/>
        <v>64.219999999999985</v>
      </c>
      <c r="G127" s="220">
        <f t="shared" si="15"/>
        <v>449.54</v>
      </c>
      <c r="I127" s="194">
        <v>10084</v>
      </c>
      <c r="J127" s="195" t="s">
        <v>537</v>
      </c>
    </row>
    <row r="128" spans="2:12" s="193" customFormat="1" x14ac:dyDescent="0.2">
      <c r="B128" s="192" t="str">
        <f t="shared" si="12"/>
        <v>04.01.03  SALIDA VENTILACION DE PVC-SAL 2"</v>
      </c>
      <c r="C128" s="233"/>
      <c r="D128" s="218" t="str">
        <f t="shared" si="13"/>
        <v>pto</v>
      </c>
      <c r="E128" s="218">
        <v>3</v>
      </c>
      <c r="F128" s="219">
        <f t="shared" si="14"/>
        <v>57.289999999999992</v>
      </c>
      <c r="G128" s="220">
        <f t="shared" si="15"/>
        <v>171.87</v>
      </c>
      <c r="I128" s="194">
        <v>10085</v>
      </c>
      <c r="J128" s="195" t="s">
        <v>542</v>
      </c>
    </row>
    <row r="129" spans="2:12" s="193" customFormat="1" x14ac:dyDescent="0.2">
      <c r="B129" s="192" t="str">
        <f t="shared" si="12"/>
        <v>04.01.04  SUMINISTRO Y COLOCACION DE TUBERIA PVC SAL DE 2"</v>
      </c>
      <c r="C129" s="233"/>
      <c r="D129" s="218" t="str">
        <f t="shared" si="13"/>
        <v>m</v>
      </c>
      <c r="E129" s="218">
        <v>30.28</v>
      </c>
      <c r="F129" s="219">
        <f t="shared" si="14"/>
        <v>16.340000000000003</v>
      </c>
      <c r="G129" s="220">
        <f t="shared" si="15"/>
        <v>494.78</v>
      </c>
      <c r="I129" s="194">
        <v>10086</v>
      </c>
      <c r="J129" s="195" t="s">
        <v>544</v>
      </c>
    </row>
    <row r="130" spans="2:12" s="193" customFormat="1" x14ac:dyDescent="0.2">
      <c r="B130" s="192" t="str">
        <f t="shared" si="12"/>
        <v>04.01.05  SUMINISTRO Y COLOCACION DE TUBERIA PVC SAL DE 4"</v>
      </c>
      <c r="C130" s="233"/>
      <c r="D130" s="218" t="str">
        <f t="shared" si="13"/>
        <v>m</v>
      </c>
      <c r="E130" s="218">
        <v>17.84</v>
      </c>
      <c r="F130" s="219">
        <f t="shared" si="14"/>
        <v>16.340000000000003</v>
      </c>
      <c r="G130" s="220">
        <f t="shared" si="15"/>
        <v>291.51</v>
      </c>
      <c r="I130" s="194">
        <v>10087</v>
      </c>
      <c r="J130" s="195" t="s">
        <v>547</v>
      </c>
    </row>
    <row r="131" spans="2:12" s="193" customFormat="1" x14ac:dyDescent="0.2">
      <c r="B131" s="192" t="str">
        <f t="shared" si="12"/>
        <v>04.01.06  MONTANTE DE TUBERIA PVC SAL 4"</v>
      </c>
      <c r="C131" s="233"/>
      <c r="D131" s="218" t="str">
        <f t="shared" si="13"/>
        <v>m</v>
      </c>
      <c r="E131" s="218">
        <v>4.24</v>
      </c>
      <c r="F131" s="219">
        <f t="shared" si="14"/>
        <v>30.58</v>
      </c>
      <c r="G131" s="220">
        <f t="shared" si="15"/>
        <v>129.66</v>
      </c>
      <c r="I131" s="194">
        <v>10088</v>
      </c>
      <c r="J131" s="195" t="s">
        <v>549</v>
      </c>
    </row>
    <row r="132" spans="2:12" s="193" customFormat="1" x14ac:dyDescent="0.2">
      <c r="B132" s="192" t="str">
        <f t="shared" si="12"/>
        <v>04.01.07  REGISTRO DE BRONCE  4"</v>
      </c>
      <c r="C132" s="233"/>
      <c r="D132" s="218" t="str">
        <f t="shared" si="13"/>
        <v>und</v>
      </c>
      <c r="E132" s="218">
        <v>4</v>
      </c>
      <c r="F132" s="219">
        <f t="shared" si="14"/>
        <v>42.78</v>
      </c>
      <c r="G132" s="220">
        <f t="shared" si="15"/>
        <v>171.12</v>
      </c>
      <c r="I132" s="194">
        <v>10089</v>
      </c>
      <c r="J132" s="195" t="s">
        <v>552</v>
      </c>
    </row>
    <row r="133" spans="2:12" s="193" customFormat="1" x14ac:dyDescent="0.2">
      <c r="B133" s="192" t="str">
        <f t="shared" si="12"/>
        <v>04.01.08  CAJAS DE REGISTRO DE DESAGUE 12" x 24"</v>
      </c>
      <c r="C133" s="233"/>
      <c r="D133" s="218" t="str">
        <f t="shared" si="13"/>
        <v>und</v>
      </c>
      <c r="E133" s="218">
        <v>3</v>
      </c>
      <c r="F133" s="219">
        <f t="shared" si="14"/>
        <v>436.74</v>
      </c>
      <c r="G133" s="220">
        <f t="shared" si="15"/>
        <v>1310.22</v>
      </c>
      <c r="I133" s="194">
        <v>10090</v>
      </c>
      <c r="J133" s="195" t="s">
        <v>555</v>
      </c>
    </row>
    <row r="134" spans="2:12" s="193" customFormat="1" x14ac:dyDescent="0.2">
      <c r="B134" s="192" t="str">
        <f t="shared" si="12"/>
        <v>04.01.09  ACCESORIOS VARIOS PARA TUB. PVC.</v>
      </c>
      <c r="C134" s="233"/>
      <c r="D134" s="218" t="str">
        <f t="shared" si="13"/>
        <v>glb</v>
      </c>
      <c r="E134" s="218">
        <v>1</v>
      </c>
      <c r="F134" s="219">
        <f t="shared" si="14"/>
        <v>210.73000000000002</v>
      </c>
      <c r="G134" s="220">
        <f t="shared" si="15"/>
        <v>210.73</v>
      </c>
      <c r="I134" s="194">
        <v>10091</v>
      </c>
      <c r="J134" s="195" t="s">
        <v>561</v>
      </c>
    </row>
    <row r="135" spans="2:12" s="193" customFormat="1" x14ac:dyDescent="0.2">
      <c r="B135" s="196" t="str">
        <f>J135 &amp; "  " &amp; K135</f>
        <v>04.02  SISTEMA DE AGUA FRIA</v>
      </c>
      <c r="C135" s="234"/>
      <c r="D135" s="221"/>
      <c r="E135" s="221"/>
      <c r="F135" s="222"/>
      <c r="G135" s="223">
        <f>SUM(G136:G141)</f>
        <v>1666.34</v>
      </c>
      <c r="H135" s="197"/>
      <c r="I135" s="198" t="s">
        <v>155</v>
      </c>
      <c r="J135" s="199" t="s">
        <v>574</v>
      </c>
      <c r="K135" s="197" t="s">
        <v>575</v>
      </c>
      <c r="L135" s="197"/>
    </row>
    <row r="136" spans="2:12" s="193" customFormat="1" x14ac:dyDescent="0.2">
      <c r="B136" s="192" t="str">
        <f t="shared" ref="B136:B141" si="16">J136 &amp; "  " &amp; VLOOKUP(I136,BDcuA,2,FALSE)</f>
        <v>04.02.01  SUMINISTRO E INSTALACION DE TUBERIA PVC UF C-10 DE 1/2"</v>
      </c>
      <c r="C136" s="233"/>
      <c r="D136" s="218" t="str">
        <f t="shared" ref="D136:D141" si="17">VLOOKUP(I136,BDcuA,4,FALSE)</f>
        <v>m</v>
      </c>
      <c r="E136" s="218">
        <v>31.97</v>
      </c>
      <c r="F136" s="219">
        <f t="shared" ref="F136:F141" si="18">VLOOKUP(I136,BDcuA,5,FALSE)</f>
        <v>15.38</v>
      </c>
      <c r="G136" s="220">
        <f t="shared" ref="G136:G141" si="19">ROUND(F136*E136,DpP)</f>
        <v>491.7</v>
      </c>
      <c r="I136" s="194">
        <v>10092</v>
      </c>
      <c r="J136" s="195" t="s">
        <v>576</v>
      </c>
    </row>
    <row r="137" spans="2:12" s="193" customFormat="1" x14ac:dyDescent="0.2">
      <c r="B137" s="192" t="str">
        <f t="shared" si="16"/>
        <v>04.02.02  SUMINISTRO E INSTALACION DE TUBERIA PVC UF C-10 DE 3/4"</v>
      </c>
      <c r="C137" s="233"/>
      <c r="D137" s="218" t="str">
        <f t="shared" si="17"/>
        <v>m</v>
      </c>
      <c r="E137" s="218">
        <v>22.94</v>
      </c>
      <c r="F137" s="219">
        <f t="shared" si="18"/>
        <v>16.010000000000002</v>
      </c>
      <c r="G137" s="220">
        <f t="shared" si="19"/>
        <v>367.27</v>
      </c>
      <c r="I137" s="194">
        <v>10093</v>
      </c>
      <c r="J137" s="195" t="s">
        <v>579</v>
      </c>
    </row>
    <row r="138" spans="2:12" s="193" customFormat="1" x14ac:dyDescent="0.2">
      <c r="B138" s="192" t="str">
        <f t="shared" si="16"/>
        <v>04.02.03  SUMINISTRO E INSTALACION DE TUBERIA PVC UF C-10 DE 1"</v>
      </c>
      <c r="C138" s="233"/>
      <c r="D138" s="218" t="str">
        <f t="shared" si="17"/>
        <v>m</v>
      </c>
      <c r="E138" s="218">
        <v>9.5</v>
      </c>
      <c r="F138" s="219">
        <f t="shared" si="18"/>
        <v>16.330000000000002</v>
      </c>
      <c r="G138" s="220">
        <f t="shared" si="19"/>
        <v>155.13999999999999</v>
      </c>
      <c r="I138" s="194">
        <v>10094</v>
      </c>
      <c r="J138" s="195" t="s">
        <v>582</v>
      </c>
    </row>
    <row r="139" spans="2:12" s="193" customFormat="1" x14ac:dyDescent="0.2">
      <c r="B139" s="192" t="str">
        <f t="shared" si="16"/>
        <v>04.02.04  ACCESORIOS VARIOS PARA TUB. AGUA PVC UF.</v>
      </c>
      <c r="C139" s="233"/>
      <c r="D139" s="218" t="str">
        <f t="shared" si="17"/>
        <v>glb</v>
      </c>
      <c r="E139" s="218">
        <v>1</v>
      </c>
      <c r="F139" s="219">
        <f t="shared" si="18"/>
        <v>74.600000000000009</v>
      </c>
      <c r="G139" s="220">
        <f t="shared" si="19"/>
        <v>74.599999999999994</v>
      </c>
      <c r="I139" s="194">
        <v>10095</v>
      </c>
      <c r="J139" s="195" t="s">
        <v>585</v>
      </c>
    </row>
    <row r="140" spans="2:12" s="193" customFormat="1" x14ac:dyDescent="0.2">
      <c r="B140" s="192" t="str">
        <f t="shared" si="16"/>
        <v>04.02.05  VALVULA COMPUERTA DE 1/2"</v>
      </c>
      <c r="C140" s="233"/>
      <c r="D140" s="218" t="str">
        <f t="shared" si="17"/>
        <v>und</v>
      </c>
      <c r="E140" s="218">
        <v>5</v>
      </c>
      <c r="F140" s="219">
        <f t="shared" si="18"/>
        <v>87.61</v>
      </c>
      <c r="G140" s="220">
        <f t="shared" si="19"/>
        <v>438.05</v>
      </c>
      <c r="I140" s="194">
        <v>10096</v>
      </c>
      <c r="J140" s="195" t="s">
        <v>591</v>
      </c>
    </row>
    <row r="141" spans="2:12" s="193" customFormat="1" x14ac:dyDescent="0.2">
      <c r="B141" s="192" t="str">
        <f t="shared" si="16"/>
        <v>04.02.06  VALVULA COMPUERTA DE 1"</v>
      </c>
      <c r="C141" s="233"/>
      <c r="D141" s="218" t="str">
        <f t="shared" si="17"/>
        <v>und</v>
      </c>
      <c r="E141" s="218">
        <v>1</v>
      </c>
      <c r="F141" s="219">
        <f t="shared" si="18"/>
        <v>139.58000000000001</v>
      </c>
      <c r="G141" s="220">
        <f t="shared" si="19"/>
        <v>139.58000000000001</v>
      </c>
      <c r="I141" s="194">
        <v>10097</v>
      </c>
      <c r="J141" s="195" t="s">
        <v>596</v>
      </c>
    </row>
    <row r="142" spans="2:12" s="242" customFormat="1" ht="15" x14ac:dyDescent="0.25">
      <c r="B142" s="238"/>
      <c r="C142" s="239" t="s">
        <v>621</v>
      </c>
      <c r="D142" s="239"/>
      <c r="E142" s="239"/>
      <c r="F142" s="240"/>
      <c r="G142" s="241">
        <f>SUMIF(Pto!$I11:$I141,"&gt;1000",G11:G141)</f>
        <v>352697.08</v>
      </c>
      <c r="I142" s="243"/>
      <c r="J142" s="244"/>
    </row>
    <row r="143" spans="2:12" s="242" customFormat="1" ht="15" x14ac:dyDescent="0.25">
      <c r="B143" s="238"/>
      <c r="C143" s="239" t="str">
        <f>Datos!$A38 &amp; " (" &amp; Datos!$C38 &amp; "% CD)"</f>
        <v>GASTOS GENERALES (15% CD)</v>
      </c>
      <c r="D143" s="239"/>
      <c r="E143" s="239"/>
      <c r="F143" s="240"/>
      <c r="G143" s="241">
        <f>ROUND(Datos!$C38/100*G142,2)</f>
        <v>52904.56</v>
      </c>
      <c r="I143" s="243"/>
      <c r="J143" s="244"/>
    </row>
    <row r="144" spans="2:12" s="249" customFormat="1" ht="15" x14ac:dyDescent="0.25">
      <c r="B144" s="245"/>
      <c r="C144" s="246" t="str">
        <f>Datos!$A39 &amp; " (" &amp; Datos!$C39 &amp; "% CD)"</f>
        <v>UTILIDAD (10% CD)</v>
      </c>
      <c r="D144" s="246"/>
      <c r="E144" s="246"/>
      <c r="F144" s="247"/>
      <c r="G144" s="248">
        <f>ROUND(Datos!$C39/100*G142,2)</f>
        <v>35269.71</v>
      </c>
      <c r="I144" s="250"/>
      <c r="J144" s="251"/>
    </row>
    <row r="145" spans="2:10" s="242" customFormat="1" ht="15" x14ac:dyDescent="0.25">
      <c r="B145" s="238"/>
      <c r="C145" s="239" t="str">
        <f>Datos!$A40 &amp; " (" &amp; Datos!$B40 &amp; ")"</f>
        <v>SUBTOTAL (ST)</v>
      </c>
      <c r="D145" s="239"/>
      <c r="E145" s="239"/>
      <c r="F145" s="240"/>
      <c r="G145" s="241">
        <f>SUM(G142:G144)</f>
        <v>440871.35000000003</v>
      </c>
      <c r="I145" s="243"/>
      <c r="J145" s="244"/>
    </row>
    <row r="146" spans="2:10" s="249" customFormat="1" ht="15" x14ac:dyDescent="0.25">
      <c r="B146" s="245"/>
      <c r="C146" s="246" t="str">
        <f>Datos!$A41 &amp; " (" &amp; Datos!$C41 &amp; "%" &amp; Datos!$B40 &amp; ")"</f>
        <v>IMPUESTO (IGV) (18%ST)</v>
      </c>
      <c r="D146" s="246"/>
      <c r="E146" s="246"/>
      <c r="F146" s="247"/>
      <c r="G146" s="248">
        <f>ROUND(Datos!$C41/100*G145,2)</f>
        <v>79356.84</v>
      </c>
      <c r="I146" s="250"/>
      <c r="J146" s="251"/>
    </row>
    <row r="147" spans="2:10" s="242" customFormat="1" ht="15" x14ac:dyDescent="0.25">
      <c r="B147" s="238"/>
      <c r="C147" s="239" t="str">
        <f>Datos!$A42 &amp; " (" &amp; Datos!$B42 &amp; ")"</f>
        <v>VALOR REFERENCIAL (VR)</v>
      </c>
      <c r="D147" s="239"/>
      <c r="E147" s="239"/>
      <c r="F147" s="240"/>
      <c r="G147" s="241">
        <f>SUM(G145:G146)</f>
        <v>520228.19000000006</v>
      </c>
      <c r="I147" s="243"/>
      <c r="J147" s="244"/>
    </row>
    <row r="148" spans="2:10" s="249" customFormat="1" ht="15" x14ac:dyDescent="0.25">
      <c r="B148" s="245"/>
      <c r="C148" s="246" t="str">
        <f>Datos!$A43 &amp; " (" &amp; Datos!$C43 &amp; "%" &amp; Datos!$B42 &amp; ")"</f>
        <v>SUPERVISIÓN (2.5%VR)</v>
      </c>
      <c r="D148" s="246"/>
      <c r="E148" s="246"/>
      <c r="F148" s="247"/>
      <c r="G148" s="248">
        <f>ROUND(Datos!$C43/100*G147,2)</f>
        <v>13005.7</v>
      </c>
      <c r="I148" s="250"/>
      <c r="J148" s="251"/>
    </row>
    <row r="149" spans="2:10" s="242" customFormat="1" ht="15" x14ac:dyDescent="0.25">
      <c r="B149" s="238"/>
      <c r="C149" s="239" t="s">
        <v>601</v>
      </c>
      <c r="D149" s="239"/>
      <c r="E149" s="239"/>
      <c r="F149" s="240"/>
      <c r="G149" s="241">
        <f>SUM(G147:G148)</f>
        <v>533233.89</v>
      </c>
      <c r="I149" s="243"/>
      <c r="J149" s="244"/>
    </row>
    <row r="150" spans="2:10" s="193" customFormat="1" x14ac:dyDescent="0.2">
      <c r="F150" s="252"/>
      <c r="G150" s="252"/>
      <c r="I150" s="194"/>
      <c r="J150" s="195"/>
    </row>
    <row r="151" spans="2:10" s="193" customFormat="1" x14ac:dyDescent="0.2">
      <c r="F151" s="252"/>
      <c r="G151" s="253" t="str">
        <f>IF(G149=533233.89,"SON QUINIENTOS TREINTA Y TRES  MIL DOSCIENTOS TREINTA Y TRES  CON 89/100 SOLES","")</f>
        <v>SON QUINIENTOS TREINTA Y TRES  MIL DOSCIENTOS TREINTA Y TRES  CON 89/100 SOLES</v>
      </c>
      <c r="I151" s="194"/>
      <c r="J151" s="195"/>
    </row>
    <row r="152" spans="2:10" s="193" customFormat="1" x14ac:dyDescent="0.2">
      <c r="F152" s="252"/>
      <c r="G152" s="253" t="s">
        <v>602</v>
      </c>
      <c r="I152" s="194"/>
      <c r="J152" s="195"/>
    </row>
    <row r="153" spans="2:10" s="193" customFormat="1" x14ac:dyDescent="0.2">
      <c r="F153" s="252"/>
      <c r="G153" s="252"/>
      <c r="I153" s="194"/>
      <c r="J153" s="195"/>
    </row>
    <row r="154" spans="2:10" s="193" customFormat="1" x14ac:dyDescent="0.2">
      <c r="F154" s="252"/>
      <c r="G154" s="252"/>
      <c r="I154" s="194"/>
      <c r="J154" s="195"/>
    </row>
    <row r="155" spans="2:10" s="193" customFormat="1" x14ac:dyDescent="0.2">
      <c r="F155" s="252"/>
      <c r="G155" s="252"/>
      <c r="I155" s="194"/>
      <c r="J155" s="195"/>
    </row>
    <row r="156" spans="2:10" s="193" customFormat="1" x14ac:dyDescent="0.2">
      <c r="F156" s="252"/>
      <c r="G156" s="252"/>
      <c r="I156" s="194"/>
      <c r="J156" s="195"/>
    </row>
    <row r="157" spans="2:10" s="193" customFormat="1" x14ac:dyDescent="0.2">
      <c r="F157" s="252"/>
      <c r="G157" s="252"/>
      <c r="I157" s="194"/>
      <c r="J157" s="195"/>
    </row>
    <row r="158" spans="2:10" s="193" customFormat="1" x14ac:dyDescent="0.2">
      <c r="F158" s="252"/>
      <c r="G158" s="252"/>
      <c r="I158" s="194"/>
      <c r="J158" s="195"/>
    </row>
    <row r="159" spans="2:10" s="193" customFormat="1" x14ac:dyDescent="0.2">
      <c r="F159" s="252"/>
      <c r="G159" s="252"/>
      <c r="I159" s="194"/>
      <c r="J159" s="195"/>
    </row>
    <row r="160" spans="2:10" s="193" customFormat="1" x14ac:dyDescent="0.2">
      <c r="F160" s="252"/>
      <c r="G160" s="252"/>
      <c r="I160" s="194"/>
      <c r="J160" s="195"/>
    </row>
    <row r="161" spans="6:10" s="193" customFormat="1" x14ac:dyDescent="0.2">
      <c r="F161" s="252"/>
      <c r="G161" s="252"/>
      <c r="I161" s="194"/>
      <c r="J161" s="195"/>
    </row>
    <row r="162" spans="6:10" s="193" customFormat="1" x14ac:dyDescent="0.2">
      <c r="F162" s="252"/>
      <c r="G162" s="252"/>
      <c r="I162" s="194"/>
      <c r="J162" s="195"/>
    </row>
    <row r="163" spans="6:10" s="193" customFormat="1" x14ac:dyDescent="0.2">
      <c r="F163" s="252"/>
      <c r="G163" s="252"/>
      <c r="I163" s="194"/>
      <c r="J163" s="195"/>
    </row>
    <row r="164" spans="6:10" s="193" customFormat="1" x14ac:dyDescent="0.2">
      <c r="F164" s="252"/>
      <c r="G164" s="252"/>
      <c r="I164" s="194"/>
      <c r="J164" s="195"/>
    </row>
    <row r="165" spans="6:10" s="193" customFormat="1" x14ac:dyDescent="0.2">
      <c r="F165" s="252"/>
      <c r="G165" s="252"/>
      <c r="I165" s="194"/>
      <c r="J165" s="195"/>
    </row>
    <row r="166" spans="6:10" s="193" customFormat="1" x14ac:dyDescent="0.2">
      <c r="F166" s="252"/>
      <c r="G166" s="252"/>
      <c r="I166" s="194"/>
      <c r="J166" s="195"/>
    </row>
    <row r="167" spans="6:10" s="193" customFormat="1" x14ac:dyDescent="0.2">
      <c r="F167" s="252"/>
      <c r="G167" s="252"/>
      <c r="I167" s="194"/>
      <c r="J167" s="195"/>
    </row>
    <row r="168" spans="6:10" s="193" customFormat="1" x14ac:dyDescent="0.2">
      <c r="F168" s="252"/>
      <c r="G168" s="252"/>
      <c r="I168" s="194"/>
      <c r="J168" s="195"/>
    </row>
    <row r="169" spans="6:10" s="193" customFormat="1" x14ac:dyDescent="0.2">
      <c r="F169" s="252"/>
      <c r="G169" s="252"/>
      <c r="I169" s="194"/>
      <c r="J169" s="195"/>
    </row>
    <row r="170" spans="6:10" s="193" customFormat="1" x14ac:dyDescent="0.2">
      <c r="F170" s="252"/>
      <c r="G170" s="252"/>
      <c r="I170" s="194"/>
      <c r="J170" s="195"/>
    </row>
    <row r="171" spans="6:10" s="193" customFormat="1" x14ac:dyDescent="0.2">
      <c r="F171" s="252"/>
      <c r="G171" s="252"/>
      <c r="I171" s="194"/>
      <c r="J171" s="195"/>
    </row>
    <row r="172" spans="6:10" s="193" customFormat="1" x14ac:dyDescent="0.2">
      <c r="F172" s="252"/>
      <c r="G172" s="252"/>
      <c r="I172" s="194"/>
      <c r="J172" s="195"/>
    </row>
    <row r="173" spans="6:10" s="193" customFormat="1" x14ac:dyDescent="0.2">
      <c r="F173" s="252"/>
      <c r="G173" s="252"/>
      <c r="I173" s="194"/>
      <c r="J173" s="195"/>
    </row>
    <row r="174" spans="6:10" s="193" customFormat="1" x14ac:dyDescent="0.2">
      <c r="F174" s="252"/>
      <c r="G174" s="252"/>
      <c r="I174" s="194"/>
      <c r="J174" s="195"/>
    </row>
    <row r="175" spans="6:10" s="193" customFormat="1" x14ac:dyDescent="0.2">
      <c r="F175" s="252"/>
      <c r="G175" s="252"/>
      <c r="I175" s="194"/>
      <c r="J175" s="195"/>
    </row>
    <row r="176" spans="6:10" s="193" customFormat="1" x14ac:dyDescent="0.2">
      <c r="F176" s="252"/>
      <c r="G176" s="252"/>
      <c r="I176" s="194"/>
      <c r="J176" s="195"/>
    </row>
    <row r="177" spans="6:10" s="193" customFormat="1" x14ac:dyDescent="0.2">
      <c r="F177" s="252"/>
      <c r="G177" s="252"/>
      <c r="I177" s="194"/>
      <c r="J177" s="195"/>
    </row>
    <row r="178" spans="6:10" s="193" customFormat="1" x14ac:dyDescent="0.2">
      <c r="F178" s="252"/>
      <c r="G178" s="252"/>
      <c r="I178" s="194"/>
      <c r="J178" s="195"/>
    </row>
    <row r="179" spans="6:10" s="193" customFormat="1" x14ac:dyDescent="0.2">
      <c r="F179" s="252"/>
      <c r="G179" s="252"/>
      <c r="I179" s="194"/>
      <c r="J179" s="195"/>
    </row>
    <row r="180" spans="6:10" s="193" customFormat="1" x14ac:dyDescent="0.2">
      <c r="F180" s="252"/>
      <c r="G180" s="252"/>
      <c r="I180" s="194"/>
      <c r="J180" s="195"/>
    </row>
    <row r="181" spans="6:10" s="193" customFormat="1" x14ac:dyDescent="0.2">
      <c r="F181" s="252"/>
      <c r="G181" s="252"/>
      <c r="I181" s="194"/>
      <c r="J181" s="195"/>
    </row>
    <row r="182" spans="6:10" s="193" customFormat="1" x14ac:dyDescent="0.2">
      <c r="F182" s="252"/>
      <c r="G182" s="252"/>
      <c r="I182" s="194"/>
      <c r="J182" s="195"/>
    </row>
    <row r="183" spans="6:10" s="193" customFormat="1" x14ac:dyDescent="0.2">
      <c r="F183" s="252"/>
      <c r="G183" s="252"/>
      <c r="I183" s="194"/>
      <c r="J183" s="195"/>
    </row>
    <row r="184" spans="6:10" s="193" customFormat="1" x14ac:dyDescent="0.2">
      <c r="F184" s="252"/>
      <c r="G184" s="252"/>
      <c r="I184" s="194"/>
      <c r="J184" s="195"/>
    </row>
    <row r="185" spans="6:10" s="193" customFormat="1" x14ac:dyDescent="0.2">
      <c r="F185" s="252"/>
      <c r="G185" s="252"/>
      <c r="I185" s="194"/>
      <c r="J185" s="195"/>
    </row>
    <row r="186" spans="6:10" s="193" customFormat="1" x14ac:dyDescent="0.2">
      <c r="F186" s="252"/>
      <c r="G186" s="252"/>
      <c r="I186" s="194"/>
      <c r="J186" s="195"/>
    </row>
    <row r="187" spans="6:10" s="193" customFormat="1" x14ac:dyDescent="0.2">
      <c r="F187" s="252"/>
      <c r="G187" s="252"/>
      <c r="I187" s="194"/>
      <c r="J187" s="195"/>
    </row>
    <row r="188" spans="6:10" s="193" customFormat="1" x14ac:dyDescent="0.2">
      <c r="F188" s="252"/>
      <c r="G188" s="252"/>
      <c r="I188" s="194"/>
      <c r="J188" s="195"/>
    </row>
    <row r="189" spans="6:10" s="193" customFormat="1" x14ac:dyDescent="0.2">
      <c r="F189" s="252"/>
      <c r="G189" s="252"/>
      <c r="I189" s="194"/>
      <c r="J189" s="195"/>
    </row>
  </sheetData>
  <mergeCells count="1">
    <mergeCell ref="C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vt:i4>
      </vt:variant>
    </vt:vector>
  </HeadingPairs>
  <TitlesOfParts>
    <vt:vector size="17" baseType="lpstr">
      <vt:lpstr>Datos</vt:lpstr>
      <vt:lpstr>InsB</vt:lpstr>
      <vt:lpstr>ApuB</vt:lpstr>
      <vt:lpstr>Pto</vt:lpstr>
      <vt:lpstr>BDcodCU</vt:lpstr>
      <vt:lpstr>BDcodINS</vt:lpstr>
      <vt:lpstr>BDcuA</vt:lpstr>
      <vt:lpstr>BDcuB</vt:lpstr>
      <vt:lpstr>BDins</vt:lpstr>
      <vt:lpstr>DcCU</vt:lpstr>
      <vt:lpstr>Dins</vt:lpstr>
      <vt:lpstr>DLS</vt:lpstr>
      <vt:lpstr>DpCU</vt:lpstr>
      <vt:lpstr>DpP</vt:lpstr>
      <vt:lpstr>Frto</vt:lpstr>
      <vt:lpstr>JL</vt:lpstr>
      <vt:lpstr>NO</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Wilfredo Rios Espinoza</dc:creator>
  <cp:lastModifiedBy>SISTEMAS RW7</cp:lastModifiedBy>
  <cp:lastPrinted>2016-08-24T17:23:45Z</cp:lastPrinted>
  <dcterms:created xsi:type="dcterms:W3CDTF">2003-04-11T20:39:42Z</dcterms:created>
  <dcterms:modified xsi:type="dcterms:W3CDTF">2025-04-07T13:34:26Z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imCT.Renderer.Visible">
    <vt:lpwstr>false</vt:lpwstr>
  </property>
  <property fmtid="{D5CDD505-2E9C-101B-9397-08002B2CF9AE}" pid="3" name="BimCT.ModelTree.Visible">
    <vt:lpwstr>false</vt:lpwstr>
  </property>
  <property fmtid="{D5CDD505-2E9C-101B-9397-08002B2CF9AE}" pid="4" name="BimCT.Renderer.Width">
    <vt:lpwstr>600</vt:lpwstr>
  </property>
  <property fmtid="{D5CDD505-2E9C-101B-9397-08002B2CF9AE}" pid="5" name="BimCT.Renderer.GameMode">
    <vt:lpwstr>false</vt:lpwstr>
  </property>
  <property fmtid="{D5CDD505-2E9C-101B-9397-08002B2CF9AE}" pid="6" name="BimCT.Renderer.DockPosition">
    <vt:lpwstr>2</vt:lpwstr>
  </property>
  <property fmtid="{D5CDD505-2E9C-101B-9397-08002B2CF9AE}" pid="7" name="BimCT.Renderer.ShadingMode">
    <vt:lpwstr>5</vt:lpwstr>
  </property>
  <property fmtid="{D5CDD505-2E9C-101B-9397-08002B2CF9AE}" pid="8" name="BimCT.ModelTree.Height">
    <vt:lpwstr>797</vt:lpwstr>
  </property>
  <property fmtid="{D5CDD505-2E9C-101B-9397-08002B2CF9AE}" pid="9" name="BimCT.Renderer.Height">
    <vt:lpwstr>797</vt:lpwstr>
  </property>
  <property fmtid="{D5CDD505-2E9C-101B-9397-08002B2CF9AE}" pid="10" name="BimCT.Schema.Version">
    <vt:lpwstr>1.1</vt:lpwstr>
  </property>
  <property fmtid="{D5CDD505-2E9C-101B-9397-08002B2CF9AE}" pid="11" name="BimCT.ShowFPS">
    <vt:lpwstr>false</vt:lpwstr>
  </property>
  <property fmtid="{D5CDD505-2E9C-101B-9397-08002B2CF9AE}" pid="12" name="BimCT.ModelTree.Width">
    <vt:lpwstr>500</vt:lpwstr>
  </property>
  <property fmtid="{D5CDD505-2E9C-101B-9397-08002B2CF9AE}" pid="13" name="BimCT.Database.Id">
    <vt:lpwstr>1d0e6aec-04bb-44fd-867e-997f5b29edaf</vt:lpwstr>
  </property>
  <property fmtid="{D5CDD505-2E9C-101B-9397-08002B2CF9AE}" pid="14" name="BimCT.ModelTree.DockPosition">
    <vt:lpwstr>0</vt:lpwstr>
  </property>
</Properties>
</file>