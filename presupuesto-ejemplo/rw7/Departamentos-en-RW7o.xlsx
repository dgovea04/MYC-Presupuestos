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D:\RW7o\Plantillas-de-RW7o\EDIFICACION\"/>
    </mc:Choice>
  </mc:AlternateContent>
  <xr:revisionPtr revIDLastSave="0" documentId="13_ncr:1_{078D9BC9-846A-4C8D-A781-0E6D62B2B81D}" xr6:coauthVersionLast="47" xr6:coauthVersionMax="47" xr10:uidLastSave="{00000000-0000-0000-0000-000000000000}"/>
  <bookViews>
    <workbookView xWindow="-285" yWindow="675" windowWidth="14985" windowHeight="14745" tabRatio="890" activeTab="3" xr2:uid="{00000000-000D-0000-FFFF-FFFF00000000}"/>
  </bookViews>
  <sheets>
    <sheet name="Datos" sheetId="24" r:id="rId1"/>
    <sheet name="InsB" sheetId="1" state="hidden" r:id="rId2"/>
    <sheet name="ApuB" sheetId="15" state="hidden" r:id="rId3"/>
    <sheet name="Pto" sheetId="29" r:id="rId4"/>
  </sheets>
  <definedNames>
    <definedName name="_xlnm._FilterDatabase" localSheetId="1" hidden="1">InsB!$A$15:$L$15</definedName>
    <definedName name="APUb">#REF!</definedName>
    <definedName name="BDcodCU">ApuB!$A$5:$A$50005</definedName>
    <definedName name="BDcodINS">InsB!$A$16:$A$3015</definedName>
    <definedName name="BDcuA">ApuB!$A$5:$DJ$50005</definedName>
    <definedName name="BDcuB">ApuB!$B$5:$DJ$50005</definedName>
    <definedName name="BDins">InsB!$A$16:$M$3015</definedName>
    <definedName name="cellbimuser0EB30BF1602D56040B4019F3" comment="    ">1714952548072</definedName>
    <definedName name="cellbimuser33120D4C9001780EE8508FEB" comment="Walter Rios Espinoza">1715181719314</definedName>
    <definedName name="CODc">#REF!&amp;"C"</definedName>
    <definedName name="CODp">#REF!</definedName>
    <definedName name="CODr">#REF!&amp;"P"</definedName>
    <definedName name="DcCU">Datos!$J$13</definedName>
    <definedName name="Dins">Datos!$J$15</definedName>
    <definedName name="DLS">Datos!$AJ$12:$AJ$18</definedName>
    <definedName name="DpCU">Datos!$J$12</definedName>
    <definedName name="DpP">Datos!$J$9</definedName>
    <definedName name="EQ">#REF!</definedName>
    <definedName name="Frto">Datos!$J$19</definedName>
    <definedName name="JL">Datos!$H$19</definedName>
    <definedName name="MA">#REF!</definedName>
    <definedName name="MO">#REF!</definedName>
    <definedName name="NO">Datos!$AJ$12:$AJ$18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83" i="29" l="1"/>
  <c r="C480" i="29"/>
  <c r="C479" i="29"/>
  <c r="C478" i="29"/>
  <c r="C477" i="29"/>
  <c r="C476" i="29"/>
  <c r="C475" i="29"/>
  <c r="A3" i="15"/>
  <c r="C2" i="15"/>
  <c r="A2" i="15"/>
  <c r="B1" i="15"/>
  <c r="C14" i="1" a="1"/>
  <c r="C14" i="1" s="1"/>
  <c r="C13" i="1" a="1"/>
  <c r="C13" i="1" s="1"/>
  <c r="A8" i="1" a="1"/>
  <c r="A8" i="1" s="1"/>
  <c r="C9" i="1" a="1"/>
  <c r="C9" i="1" s="1"/>
  <c r="C10" i="1" a="1"/>
  <c r="C10" i="1" s="1"/>
  <c r="C11" i="1" a="1"/>
  <c r="C11" i="1" s="1"/>
  <c r="C12" i="1" a="1"/>
  <c r="C12" i="1" s="1"/>
  <c r="B8" i="1" a="1"/>
  <c r="B8" i="1" s="1"/>
  <c r="B9" i="1" a="1"/>
  <c r="B9" i="1" s="1"/>
  <c r="B10" i="1" a="1"/>
  <c r="B10" i="1" s="1"/>
  <c r="B11" i="1" a="1"/>
  <c r="B11" i="1" s="1"/>
  <c r="B12" i="1" a="1"/>
  <c r="B12" i="1" s="1"/>
  <c r="A9" i="1" a="1"/>
  <c r="A9" i="1" s="1"/>
  <c r="A10" i="1" a="1"/>
  <c r="A10" i="1" s="1"/>
  <c r="A11" i="1" a="1"/>
  <c r="A11" i="1" s="1"/>
  <c r="C8" i="1" a="1"/>
  <c r="C8" i="1" s="1"/>
  <c r="A12" i="1" a="1"/>
  <c r="A12" i="1" s="1"/>
  <c r="B13" i="1"/>
  <c r="A14" i="1"/>
  <c r="D23" i="24"/>
  <c r="D22" i="24"/>
  <c r="D21" i="24"/>
  <c r="D20" i="24"/>
  <c r="D19" i="24"/>
  <c r="D18" i="24"/>
  <c r="D17" i="24"/>
  <c r="D16" i="24"/>
  <c r="D15" i="24"/>
  <c r="D14" i="24"/>
  <c r="D7" i="24"/>
  <c r="F15" i="1"/>
  <c r="P13" i="1"/>
  <c r="N13" i="1"/>
  <c r="O14" i="1"/>
  <c r="P492" i="1"/>
  <c r="O492" i="1"/>
  <c r="F492" i="1" s="1"/>
  <c r="P491" i="1"/>
  <c r="P490" i="1"/>
  <c r="P489" i="1"/>
  <c r="P488" i="1"/>
  <c r="O488" i="1"/>
  <c r="P487" i="1"/>
  <c r="P486" i="1"/>
  <c r="P485" i="1"/>
  <c r="O485" i="1"/>
  <c r="P484" i="1"/>
  <c r="P483" i="1"/>
  <c r="P482" i="1"/>
  <c r="P481" i="1"/>
  <c r="O481" i="1"/>
  <c r="F481" i="1" s="1"/>
  <c r="V1492" i="15" s="1"/>
  <c r="V1493" i="15" s="1"/>
  <c r="P480" i="1"/>
  <c r="O480" i="1"/>
  <c r="F480" i="1" s="1"/>
  <c r="U1492" i="15" s="1"/>
  <c r="U1493" i="15" s="1"/>
  <c r="P479" i="1"/>
  <c r="P478" i="1"/>
  <c r="P477" i="1"/>
  <c r="O477" i="1"/>
  <c r="P476" i="1"/>
  <c r="O476" i="1"/>
  <c r="F476" i="1" s="1"/>
  <c r="W1472" i="15" s="1"/>
  <c r="W1473" i="15" s="1"/>
  <c r="P475" i="1"/>
  <c r="P474" i="1"/>
  <c r="P473" i="1"/>
  <c r="P472" i="1"/>
  <c r="O472" i="1"/>
  <c r="P471" i="1"/>
  <c r="P470" i="1"/>
  <c r="P469" i="1"/>
  <c r="O469" i="1"/>
  <c r="P468" i="1"/>
  <c r="P467" i="1"/>
  <c r="P466" i="1"/>
  <c r="P465" i="1"/>
  <c r="O465" i="1"/>
  <c r="F465" i="1" s="1"/>
  <c r="P464" i="1"/>
  <c r="O464" i="1"/>
  <c r="F464" i="1" s="1"/>
  <c r="AA1432" i="15" s="1"/>
  <c r="AA1433" i="15" s="1"/>
  <c r="P463" i="1"/>
  <c r="P462" i="1"/>
  <c r="P461" i="1"/>
  <c r="O461" i="1"/>
  <c r="P460" i="1"/>
  <c r="O460" i="1"/>
  <c r="F460" i="1" s="1"/>
  <c r="W1432" i="15" s="1"/>
  <c r="W1433" i="15" s="1"/>
  <c r="P459" i="1"/>
  <c r="P458" i="1"/>
  <c r="P457" i="1"/>
  <c r="P456" i="1"/>
  <c r="O456" i="1"/>
  <c r="P455" i="1"/>
  <c r="P454" i="1"/>
  <c r="P453" i="1"/>
  <c r="O453" i="1"/>
  <c r="P452" i="1"/>
  <c r="P451" i="1"/>
  <c r="P450" i="1"/>
  <c r="P449" i="1"/>
  <c r="O449" i="1"/>
  <c r="F449" i="1" s="1"/>
  <c r="AH1427" i="15" s="1"/>
  <c r="AH1428" i="15" s="1"/>
  <c r="P448" i="1"/>
  <c r="O448" i="1"/>
  <c r="F448" i="1" s="1"/>
  <c r="P447" i="1"/>
  <c r="P446" i="1"/>
  <c r="P445" i="1"/>
  <c r="O445" i="1"/>
  <c r="P444" i="1"/>
  <c r="O444" i="1"/>
  <c r="F444" i="1" s="1"/>
  <c r="AC1427" i="15" s="1"/>
  <c r="AC1428" i="15" s="1"/>
  <c r="P443" i="1"/>
  <c r="P442" i="1"/>
  <c r="P441" i="1"/>
  <c r="P440" i="1"/>
  <c r="O440" i="1"/>
  <c r="P439" i="1"/>
  <c r="P438" i="1"/>
  <c r="P437" i="1"/>
  <c r="O437" i="1"/>
  <c r="P436" i="1"/>
  <c r="P435" i="1"/>
  <c r="P434" i="1"/>
  <c r="P433" i="1"/>
  <c r="O433" i="1"/>
  <c r="F433" i="1" s="1"/>
  <c r="R1422" i="15" s="1"/>
  <c r="R1423" i="15" s="1"/>
  <c r="G1420" i="15" s="1"/>
  <c r="P432" i="1"/>
  <c r="O432" i="1"/>
  <c r="F432" i="1" s="1"/>
  <c r="S1417" i="15" s="1"/>
  <c r="S1418" i="15" s="1"/>
  <c r="P431" i="1"/>
  <c r="P430" i="1"/>
  <c r="P429" i="1"/>
  <c r="O429" i="1"/>
  <c r="P428" i="1"/>
  <c r="O428" i="1"/>
  <c r="F428" i="1" s="1"/>
  <c r="S1402" i="15" s="1"/>
  <c r="S1403" i="15" s="1"/>
  <c r="P427" i="1"/>
  <c r="P426" i="1"/>
  <c r="P425" i="1"/>
  <c r="P424" i="1"/>
  <c r="O424" i="1"/>
  <c r="P423" i="1"/>
  <c r="P422" i="1"/>
  <c r="P421" i="1"/>
  <c r="O421" i="1"/>
  <c r="P420" i="1"/>
  <c r="P419" i="1"/>
  <c r="P418" i="1"/>
  <c r="P417" i="1"/>
  <c r="O417" i="1"/>
  <c r="F417" i="1" s="1"/>
  <c r="P416" i="1"/>
  <c r="O416" i="1"/>
  <c r="F416" i="1" s="1"/>
  <c r="P415" i="1"/>
  <c r="P414" i="1"/>
  <c r="P413" i="1"/>
  <c r="O413" i="1"/>
  <c r="P412" i="1"/>
  <c r="O412" i="1"/>
  <c r="F412" i="1" s="1"/>
  <c r="W1287" i="15" s="1"/>
  <c r="W1288" i="15" s="1"/>
  <c r="P411" i="1"/>
  <c r="P410" i="1"/>
  <c r="P409" i="1"/>
  <c r="P408" i="1"/>
  <c r="O408" i="1"/>
  <c r="P407" i="1"/>
  <c r="P406" i="1"/>
  <c r="P405" i="1"/>
  <c r="O405" i="1"/>
  <c r="P404" i="1"/>
  <c r="P403" i="1"/>
  <c r="P402" i="1"/>
  <c r="P401" i="1"/>
  <c r="O401" i="1"/>
  <c r="F401" i="1" s="1"/>
  <c r="P400" i="1"/>
  <c r="O400" i="1"/>
  <c r="F400" i="1" s="1"/>
  <c r="S1277" i="15" s="1"/>
  <c r="S1278" i="15" s="1"/>
  <c r="P399" i="1"/>
  <c r="P398" i="1"/>
  <c r="P397" i="1"/>
  <c r="O397" i="1"/>
  <c r="P396" i="1"/>
  <c r="O396" i="1"/>
  <c r="F396" i="1" s="1"/>
  <c r="P395" i="1"/>
  <c r="P394" i="1"/>
  <c r="P393" i="1"/>
  <c r="P392" i="1"/>
  <c r="O392" i="1"/>
  <c r="P391" i="1"/>
  <c r="P390" i="1"/>
  <c r="P389" i="1"/>
  <c r="O389" i="1"/>
  <c r="P388" i="1"/>
  <c r="P387" i="1"/>
  <c r="P386" i="1"/>
  <c r="P385" i="1"/>
  <c r="O385" i="1"/>
  <c r="F385" i="1" s="1"/>
  <c r="R1252" i="15" s="1"/>
  <c r="R1253" i="15" s="1"/>
  <c r="G1250" i="15" s="1"/>
  <c r="P384" i="1"/>
  <c r="O384" i="1"/>
  <c r="P383" i="1"/>
  <c r="P382" i="1"/>
  <c r="P381" i="1"/>
  <c r="O381" i="1"/>
  <c r="P380" i="1"/>
  <c r="O380" i="1"/>
  <c r="F380" i="1" s="1"/>
  <c r="S1462" i="15" s="1"/>
  <c r="S1463" i="15" s="1"/>
  <c r="P379" i="1"/>
  <c r="P378" i="1"/>
  <c r="P377" i="1"/>
  <c r="P376" i="1"/>
  <c r="O376" i="1"/>
  <c r="P375" i="1"/>
  <c r="P374" i="1"/>
  <c r="P373" i="1"/>
  <c r="O373" i="1"/>
  <c r="P372" i="1"/>
  <c r="O372" i="1"/>
  <c r="P371" i="1"/>
  <c r="P370" i="1"/>
  <c r="P369" i="1"/>
  <c r="O369" i="1"/>
  <c r="F369" i="1" s="1"/>
  <c r="S1347" i="15" s="1"/>
  <c r="S1348" i="15" s="1"/>
  <c r="P368" i="1"/>
  <c r="O368" i="1"/>
  <c r="P367" i="1"/>
  <c r="P366" i="1"/>
  <c r="P365" i="1"/>
  <c r="O365" i="1"/>
  <c r="P364" i="1"/>
  <c r="O364" i="1"/>
  <c r="F364" i="1" s="1"/>
  <c r="O1192" i="15" s="1"/>
  <c r="O1193" i="15" s="1"/>
  <c r="E1190" i="15" s="1"/>
  <c r="F355" i="29" s="1"/>
  <c r="G355" i="29" s="1"/>
  <c r="P363" i="1"/>
  <c r="P362" i="1"/>
  <c r="P361" i="1"/>
  <c r="O361" i="1"/>
  <c r="P360" i="1"/>
  <c r="O360" i="1"/>
  <c r="P359" i="1"/>
  <c r="P358" i="1"/>
  <c r="P357" i="1"/>
  <c r="O357" i="1"/>
  <c r="P356" i="1"/>
  <c r="O356" i="1"/>
  <c r="P355" i="1"/>
  <c r="P354" i="1"/>
  <c r="P353" i="1"/>
  <c r="O353" i="1"/>
  <c r="F353" i="1" s="1"/>
  <c r="P352" i="1"/>
  <c r="O352" i="1"/>
  <c r="P351" i="1"/>
  <c r="P350" i="1"/>
  <c r="P349" i="1"/>
  <c r="O349" i="1"/>
  <c r="P348" i="1"/>
  <c r="O348" i="1"/>
  <c r="F348" i="1" s="1"/>
  <c r="U1102" i="15" s="1"/>
  <c r="U1103" i="15" s="1"/>
  <c r="P347" i="1"/>
  <c r="P346" i="1"/>
  <c r="P345" i="1"/>
  <c r="O345" i="1"/>
  <c r="P344" i="1"/>
  <c r="O344" i="1"/>
  <c r="P343" i="1"/>
  <c r="P342" i="1"/>
  <c r="P341" i="1"/>
  <c r="O341" i="1"/>
  <c r="P340" i="1"/>
  <c r="O340" i="1"/>
  <c r="P339" i="1"/>
  <c r="P338" i="1"/>
  <c r="P337" i="1"/>
  <c r="O337" i="1"/>
  <c r="F337" i="1" s="1"/>
  <c r="P336" i="1"/>
  <c r="O336" i="1"/>
  <c r="P335" i="1"/>
  <c r="P334" i="1"/>
  <c r="P333" i="1"/>
  <c r="O333" i="1"/>
  <c r="P332" i="1"/>
  <c r="O332" i="1"/>
  <c r="F332" i="1" s="1"/>
  <c r="P331" i="1"/>
  <c r="P330" i="1"/>
  <c r="P329" i="1"/>
  <c r="O329" i="1"/>
  <c r="P328" i="1"/>
  <c r="O328" i="1"/>
  <c r="P327" i="1"/>
  <c r="P326" i="1"/>
  <c r="P325" i="1"/>
  <c r="O325" i="1"/>
  <c r="P324" i="1"/>
  <c r="O324" i="1"/>
  <c r="P323" i="1"/>
  <c r="P322" i="1"/>
  <c r="P321" i="1"/>
  <c r="O321" i="1"/>
  <c r="F321" i="1" s="1"/>
  <c r="P320" i="1"/>
  <c r="O320" i="1"/>
  <c r="P319" i="1"/>
  <c r="P318" i="1"/>
  <c r="P317" i="1"/>
  <c r="O317" i="1"/>
  <c r="P316" i="1"/>
  <c r="O316" i="1"/>
  <c r="F316" i="1" s="1"/>
  <c r="R1012" i="15" s="1"/>
  <c r="R1013" i="15" s="1"/>
  <c r="P315" i="1"/>
  <c r="P314" i="1"/>
  <c r="P313" i="1"/>
  <c r="O313" i="1"/>
  <c r="P312" i="1"/>
  <c r="O312" i="1"/>
  <c r="P311" i="1"/>
  <c r="P310" i="1"/>
  <c r="P309" i="1"/>
  <c r="O309" i="1"/>
  <c r="P308" i="1"/>
  <c r="O308" i="1"/>
  <c r="P307" i="1"/>
  <c r="P306" i="1"/>
  <c r="P305" i="1"/>
  <c r="O305" i="1"/>
  <c r="F305" i="1" s="1"/>
  <c r="P304" i="1"/>
  <c r="O304" i="1"/>
  <c r="P303" i="1"/>
  <c r="P302" i="1"/>
  <c r="P301" i="1"/>
  <c r="O301" i="1"/>
  <c r="P300" i="1"/>
  <c r="O300" i="1"/>
  <c r="F300" i="1" s="1"/>
  <c r="P299" i="1"/>
  <c r="P298" i="1"/>
  <c r="P297" i="1"/>
  <c r="O297" i="1"/>
  <c r="P296" i="1"/>
  <c r="O296" i="1"/>
  <c r="P295" i="1"/>
  <c r="P294" i="1"/>
  <c r="P293" i="1"/>
  <c r="O293" i="1"/>
  <c r="P292" i="1"/>
  <c r="O292" i="1"/>
  <c r="P291" i="1"/>
  <c r="P290" i="1"/>
  <c r="P289" i="1"/>
  <c r="O289" i="1"/>
  <c r="F289" i="1" s="1"/>
  <c r="P288" i="1"/>
  <c r="O288" i="1"/>
  <c r="P287" i="1"/>
  <c r="P286" i="1"/>
  <c r="P285" i="1"/>
  <c r="O285" i="1"/>
  <c r="P284" i="1"/>
  <c r="O284" i="1"/>
  <c r="F284" i="1" s="1"/>
  <c r="P283" i="1"/>
  <c r="P282" i="1"/>
  <c r="P281" i="1"/>
  <c r="O281" i="1"/>
  <c r="P280" i="1"/>
  <c r="O280" i="1"/>
  <c r="P279" i="1"/>
  <c r="P278" i="1"/>
  <c r="P277" i="1"/>
  <c r="O277" i="1"/>
  <c r="P276" i="1"/>
  <c r="O276" i="1"/>
  <c r="P275" i="1"/>
  <c r="P274" i="1"/>
  <c r="P273" i="1"/>
  <c r="O273" i="1"/>
  <c r="F273" i="1" s="1"/>
  <c r="P272" i="1"/>
  <c r="O272" i="1"/>
  <c r="P271" i="1"/>
  <c r="P270" i="1"/>
  <c r="P269" i="1"/>
  <c r="O269" i="1"/>
  <c r="P268" i="1"/>
  <c r="O268" i="1"/>
  <c r="F268" i="1" s="1"/>
  <c r="P267" i="1"/>
  <c r="P266" i="1"/>
  <c r="P265" i="1"/>
  <c r="O265" i="1"/>
  <c r="P264" i="1"/>
  <c r="O264" i="1"/>
  <c r="P263" i="1"/>
  <c r="P262" i="1"/>
  <c r="P261" i="1"/>
  <c r="O261" i="1"/>
  <c r="P260" i="1"/>
  <c r="O260" i="1"/>
  <c r="P259" i="1"/>
  <c r="P258" i="1"/>
  <c r="P257" i="1"/>
  <c r="O257" i="1"/>
  <c r="F257" i="1" s="1"/>
  <c r="P256" i="1"/>
  <c r="O256" i="1"/>
  <c r="P255" i="1"/>
  <c r="P254" i="1"/>
  <c r="P253" i="1"/>
  <c r="O253" i="1"/>
  <c r="P252" i="1"/>
  <c r="O252" i="1"/>
  <c r="F252" i="1" s="1"/>
  <c r="P251" i="1"/>
  <c r="P250" i="1"/>
  <c r="P249" i="1"/>
  <c r="O249" i="1"/>
  <c r="P248" i="1"/>
  <c r="O248" i="1"/>
  <c r="P247" i="1"/>
  <c r="P246" i="1"/>
  <c r="P245" i="1"/>
  <c r="O245" i="1"/>
  <c r="P244" i="1"/>
  <c r="O244" i="1"/>
  <c r="P243" i="1"/>
  <c r="P242" i="1"/>
  <c r="P241" i="1"/>
  <c r="O241" i="1"/>
  <c r="F241" i="1" s="1"/>
  <c r="P240" i="1"/>
  <c r="O240" i="1"/>
  <c r="P239" i="1"/>
  <c r="P238" i="1"/>
  <c r="P237" i="1"/>
  <c r="O237" i="1"/>
  <c r="P236" i="1"/>
  <c r="O236" i="1"/>
  <c r="F236" i="1" s="1"/>
  <c r="P235" i="1"/>
  <c r="P234" i="1"/>
  <c r="P233" i="1"/>
  <c r="O233" i="1"/>
  <c r="P232" i="1"/>
  <c r="O232" i="1"/>
  <c r="P231" i="1"/>
  <c r="P230" i="1"/>
  <c r="P229" i="1"/>
  <c r="O229" i="1"/>
  <c r="P228" i="1"/>
  <c r="O228" i="1"/>
  <c r="P227" i="1"/>
  <c r="P226" i="1"/>
  <c r="P225" i="1"/>
  <c r="O225" i="1"/>
  <c r="F225" i="1" s="1"/>
  <c r="P224" i="1"/>
  <c r="O224" i="1"/>
  <c r="P223" i="1"/>
  <c r="P222" i="1"/>
  <c r="P221" i="1"/>
  <c r="O221" i="1"/>
  <c r="P220" i="1"/>
  <c r="O220" i="1"/>
  <c r="F220" i="1" s="1"/>
  <c r="P219" i="1"/>
  <c r="P218" i="1"/>
  <c r="P217" i="1"/>
  <c r="O217" i="1"/>
  <c r="P216" i="1"/>
  <c r="O216" i="1"/>
  <c r="P215" i="1"/>
  <c r="P214" i="1"/>
  <c r="P213" i="1"/>
  <c r="O213" i="1"/>
  <c r="P212" i="1"/>
  <c r="O212" i="1"/>
  <c r="P211" i="1"/>
  <c r="P210" i="1"/>
  <c r="P209" i="1"/>
  <c r="O209" i="1"/>
  <c r="F209" i="1" s="1"/>
  <c r="P208" i="1"/>
  <c r="O208" i="1"/>
  <c r="P207" i="1"/>
  <c r="P206" i="1"/>
  <c r="P205" i="1"/>
  <c r="O205" i="1"/>
  <c r="P204" i="1"/>
  <c r="O204" i="1"/>
  <c r="F204" i="1" s="1"/>
  <c r="P203" i="1"/>
  <c r="P202" i="1"/>
  <c r="P201" i="1"/>
  <c r="O201" i="1"/>
  <c r="P200" i="1"/>
  <c r="O200" i="1"/>
  <c r="P199" i="1"/>
  <c r="P198" i="1"/>
  <c r="P197" i="1"/>
  <c r="O197" i="1"/>
  <c r="P196" i="1"/>
  <c r="O196" i="1"/>
  <c r="P195" i="1"/>
  <c r="P194" i="1"/>
  <c r="P193" i="1"/>
  <c r="O193" i="1"/>
  <c r="F193" i="1" s="1"/>
  <c r="P192" i="1"/>
  <c r="O192" i="1"/>
  <c r="P191" i="1"/>
  <c r="P190" i="1"/>
  <c r="P189" i="1"/>
  <c r="O189" i="1"/>
  <c r="P188" i="1"/>
  <c r="O188" i="1"/>
  <c r="F188" i="1" s="1"/>
  <c r="P187" i="1"/>
  <c r="P186" i="1"/>
  <c r="P185" i="1"/>
  <c r="O185" i="1"/>
  <c r="P184" i="1"/>
  <c r="O184" i="1"/>
  <c r="P183" i="1"/>
  <c r="P182" i="1"/>
  <c r="P181" i="1"/>
  <c r="O181" i="1"/>
  <c r="P180" i="1"/>
  <c r="O180" i="1"/>
  <c r="P179" i="1"/>
  <c r="P178" i="1"/>
  <c r="P177" i="1"/>
  <c r="O177" i="1"/>
  <c r="F177" i="1" s="1"/>
  <c r="P176" i="1"/>
  <c r="O176" i="1"/>
  <c r="P175" i="1"/>
  <c r="P174" i="1"/>
  <c r="P173" i="1"/>
  <c r="O173" i="1"/>
  <c r="P172" i="1"/>
  <c r="O172" i="1"/>
  <c r="F172" i="1" s="1"/>
  <c r="P171" i="1"/>
  <c r="P170" i="1"/>
  <c r="P169" i="1"/>
  <c r="O169" i="1"/>
  <c r="P168" i="1"/>
  <c r="O168" i="1"/>
  <c r="P167" i="1"/>
  <c r="P166" i="1"/>
  <c r="P165" i="1"/>
  <c r="O165" i="1"/>
  <c r="P164" i="1"/>
  <c r="O164" i="1"/>
  <c r="P163" i="1"/>
  <c r="P162" i="1"/>
  <c r="P161" i="1"/>
  <c r="O161" i="1"/>
  <c r="F161" i="1" s="1"/>
  <c r="P160" i="1"/>
  <c r="O160" i="1"/>
  <c r="P159" i="1"/>
  <c r="P158" i="1"/>
  <c r="P157" i="1"/>
  <c r="O157" i="1"/>
  <c r="P156" i="1"/>
  <c r="O156" i="1"/>
  <c r="F156" i="1" s="1"/>
  <c r="P155" i="1"/>
  <c r="P154" i="1"/>
  <c r="P153" i="1"/>
  <c r="O153" i="1"/>
  <c r="P152" i="1"/>
  <c r="O152" i="1"/>
  <c r="P151" i="1"/>
  <c r="O151" i="1"/>
  <c r="F151" i="1" s="1"/>
  <c r="P150" i="1"/>
  <c r="O150" i="1"/>
  <c r="P149" i="1"/>
  <c r="O149" i="1"/>
  <c r="P148" i="1"/>
  <c r="O148" i="1"/>
  <c r="P147" i="1"/>
  <c r="O147" i="1"/>
  <c r="F147" i="1" s="1"/>
  <c r="P146" i="1"/>
  <c r="O146" i="1"/>
  <c r="F146" i="1" s="1"/>
  <c r="P145" i="1"/>
  <c r="O145" i="1"/>
  <c r="P144" i="1"/>
  <c r="O144" i="1"/>
  <c r="P143" i="1"/>
  <c r="O143" i="1"/>
  <c r="P142" i="1"/>
  <c r="O142" i="1"/>
  <c r="P141" i="1"/>
  <c r="O141" i="1"/>
  <c r="P140" i="1"/>
  <c r="O140" i="1"/>
  <c r="P139" i="1"/>
  <c r="O139" i="1"/>
  <c r="F139" i="1" s="1"/>
  <c r="P138" i="1"/>
  <c r="O138" i="1"/>
  <c r="F138" i="1" s="1"/>
  <c r="P137" i="1"/>
  <c r="O137" i="1"/>
  <c r="P136" i="1"/>
  <c r="O136" i="1"/>
  <c r="P135" i="1"/>
  <c r="O135" i="1"/>
  <c r="F135" i="1" s="1"/>
  <c r="Y827" i="15" s="1"/>
  <c r="Y828" i="15" s="1"/>
  <c r="P134" i="1"/>
  <c r="O134" i="1"/>
  <c r="P133" i="1"/>
  <c r="O133" i="1"/>
  <c r="P132" i="1"/>
  <c r="O132" i="1"/>
  <c r="P131" i="1"/>
  <c r="O131" i="1"/>
  <c r="F131" i="1" s="1"/>
  <c r="P130" i="1"/>
  <c r="O130" i="1"/>
  <c r="F130" i="1" s="1"/>
  <c r="P129" i="1"/>
  <c r="O129" i="1"/>
  <c r="P128" i="1"/>
  <c r="O128" i="1"/>
  <c r="P127" i="1"/>
  <c r="O127" i="1"/>
  <c r="F127" i="1" s="1"/>
  <c r="P126" i="1"/>
  <c r="O126" i="1"/>
  <c r="P125" i="1"/>
  <c r="O125" i="1"/>
  <c r="P124" i="1"/>
  <c r="O124" i="1"/>
  <c r="P123" i="1"/>
  <c r="O123" i="1"/>
  <c r="F123" i="1" s="1"/>
  <c r="P122" i="1"/>
  <c r="O122" i="1"/>
  <c r="F122" i="1" s="1"/>
  <c r="P121" i="1"/>
  <c r="O121" i="1"/>
  <c r="P120" i="1"/>
  <c r="O120" i="1"/>
  <c r="P119" i="1"/>
  <c r="O119" i="1"/>
  <c r="F119" i="1" s="1"/>
  <c r="P118" i="1"/>
  <c r="O118" i="1"/>
  <c r="P117" i="1"/>
  <c r="O117" i="1"/>
  <c r="P116" i="1"/>
  <c r="O116" i="1"/>
  <c r="P115" i="1"/>
  <c r="O115" i="1"/>
  <c r="F115" i="1" s="1"/>
  <c r="P114" i="1"/>
  <c r="O114" i="1"/>
  <c r="F114" i="1" s="1"/>
  <c r="P113" i="1"/>
  <c r="O113" i="1"/>
  <c r="P112" i="1"/>
  <c r="O112" i="1"/>
  <c r="P111" i="1"/>
  <c r="O111" i="1"/>
  <c r="P110" i="1"/>
  <c r="O110" i="1"/>
  <c r="P109" i="1"/>
  <c r="O109" i="1"/>
  <c r="P108" i="1"/>
  <c r="O108" i="1"/>
  <c r="P107" i="1"/>
  <c r="O107" i="1"/>
  <c r="F107" i="1" s="1"/>
  <c r="P106" i="1"/>
  <c r="O106" i="1"/>
  <c r="F106" i="1" s="1"/>
  <c r="P105" i="1"/>
  <c r="O105" i="1"/>
  <c r="P104" i="1"/>
  <c r="O104" i="1"/>
  <c r="P103" i="1"/>
  <c r="O103" i="1"/>
  <c r="F103" i="1" s="1"/>
  <c r="P102" i="1"/>
  <c r="O102" i="1"/>
  <c r="P101" i="1"/>
  <c r="O101" i="1"/>
  <c r="P100" i="1"/>
  <c r="O100" i="1"/>
  <c r="P99" i="1"/>
  <c r="O99" i="1"/>
  <c r="F99" i="1" s="1"/>
  <c r="P98" i="1"/>
  <c r="O98" i="1"/>
  <c r="F98" i="1" s="1"/>
  <c r="P97" i="1"/>
  <c r="O97" i="1"/>
  <c r="P96" i="1"/>
  <c r="O96" i="1"/>
  <c r="P95" i="1"/>
  <c r="O95" i="1"/>
  <c r="F95" i="1" s="1"/>
  <c r="P94" i="1"/>
  <c r="O94" i="1"/>
  <c r="P93" i="1"/>
  <c r="O93" i="1"/>
  <c r="P92" i="1"/>
  <c r="O92" i="1"/>
  <c r="P91" i="1"/>
  <c r="O91" i="1"/>
  <c r="F91" i="1" s="1"/>
  <c r="P90" i="1"/>
  <c r="O90" i="1"/>
  <c r="F90" i="1" s="1"/>
  <c r="P89" i="1"/>
  <c r="O89" i="1"/>
  <c r="P88" i="1"/>
  <c r="O88" i="1"/>
  <c r="P87" i="1"/>
  <c r="Q87" i="1" s="1"/>
  <c r="O87" i="1"/>
  <c r="F87" i="1" s="1"/>
  <c r="Q86" i="1"/>
  <c r="P86" i="1"/>
  <c r="O86" i="1"/>
  <c r="P85" i="1"/>
  <c r="O85" i="1"/>
  <c r="P84" i="1"/>
  <c r="O84" i="1"/>
  <c r="P83" i="1"/>
  <c r="O83" i="1"/>
  <c r="F83" i="1" s="1"/>
  <c r="P82" i="1"/>
  <c r="O82" i="1"/>
  <c r="P81" i="1"/>
  <c r="O81" i="1"/>
  <c r="P80" i="1"/>
  <c r="O80" i="1"/>
  <c r="P79" i="1"/>
  <c r="O79" i="1"/>
  <c r="F79" i="1" s="1"/>
  <c r="S107" i="15" s="1"/>
  <c r="S108" i="15" s="1"/>
  <c r="P78" i="1"/>
  <c r="O78" i="1"/>
  <c r="P77" i="1"/>
  <c r="O77" i="1"/>
  <c r="P76" i="1"/>
  <c r="O76" i="1"/>
  <c r="P75" i="1"/>
  <c r="O75" i="1"/>
  <c r="F75" i="1" s="1"/>
  <c r="T102" i="15" s="1"/>
  <c r="T103" i="15" s="1"/>
  <c r="P74" i="1"/>
  <c r="O74" i="1"/>
  <c r="P73" i="1"/>
  <c r="O73" i="1"/>
  <c r="P72" i="1"/>
  <c r="O72" i="1"/>
  <c r="P71" i="1"/>
  <c r="O71" i="1"/>
  <c r="F71" i="1" s="1"/>
  <c r="P102" i="15" s="1"/>
  <c r="P103" i="15" s="1"/>
  <c r="P70" i="1"/>
  <c r="O70" i="1"/>
  <c r="P69" i="1"/>
  <c r="O69" i="1"/>
  <c r="P68" i="1"/>
  <c r="O68" i="1"/>
  <c r="P67" i="1"/>
  <c r="O67" i="1"/>
  <c r="F67" i="1" s="1"/>
  <c r="V97" i="15" s="1"/>
  <c r="V98" i="15" s="1"/>
  <c r="P66" i="1"/>
  <c r="O66" i="1"/>
  <c r="P65" i="1"/>
  <c r="O65" i="1"/>
  <c r="P64" i="1"/>
  <c r="O64" i="1"/>
  <c r="P63" i="1"/>
  <c r="O63" i="1"/>
  <c r="F63" i="1" s="1"/>
  <c r="R97" i="15" s="1"/>
  <c r="R98" i="15" s="1"/>
  <c r="P62" i="1"/>
  <c r="O62" i="1"/>
  <c r="P61" i="1"/>
  <c r="O61" i="1"/>
  <c r="P60" i="1"/>
  <c r="O60" i="1"/>
  <c r="P59" i="1"/>
  <c r="O59" i="1"/>
  <c r="F59" i="1" s="1"/>
  <c r="O92" i="15" s="1"/>
  <c r="O93" i="15" s="1"/>
  <c r="E90" i="15" s="1"/>
  <c r="F39" i="29" s="1"/>
  <c r="G39" i="29" s="1"/>
  <c r="P58" i="1"/>
  <c r="O58" i="1"/>
  <c r="P57" i="1"/>
  <c r="O57" i="1"/>
  <c r="P56" i="1"/>
  <c r="O56" i="1"/>
  <c r="P55" i="1"/>
  <c r="O55" i="1"/>
  <c r="F55" i="1" s="1"/>
  <c r="P54" i="1"/>
  <c r="O54" i="1"/>
  <c r="P53" i="1"/>
  <c r="O53" i="1"/>
  <c r="P52" i="1"/>
  <c r="O52" i="1"/>
  <c r="P51" i="1"/>
  <c r="Q51" i="1" s="1"/>
  <c r="O51" i="1"/>
  <c r="F51" i="1" s="1"/>
  <c r="P50" i="1"/>
  <c r="O50" i="1"/>
  <c r="P49" i="1"/>
  <c r="O49" i="1"/>
  <c r="P48" i="1"/>
  <c r="O48" i="1"/>
  <c r="F48" i="1" s="1"/>
  <c r="P47" i="1"/>
  <c r="O47" i="1"/>
  <c r="P46" i="1"/>
  <c r="O46" i="1"/>
  <c r="P45" i="1"/>
  <c r="O45" i="1"/>
  <c r="P44" i="1"/>
  <c r="O44" i="1"/>
  <c r="F44" i="1" s="1"/>
  <c r="P43" i="1"/>
  <c r="O43" i="1"/>
  <c r="F43" i="1" s="1"/>
  <c r="P42" i="1"/>
  <c r="O42" i="1"/>
  <c r="P41" i="1"/>
  <c r="O41" i="1"/>
  <c r="P40" i="1"/>
  <c r="O40" i="1"/>
  <c r="F40" i="1" s="1"/>
  <c r="P39" i="1"/>
  <c r="O39" i="1"/>
  <c r="P38" i="1"/>
  <c r="O38" i="1"/>
  <c r="P37" i="1"/>
  <c r="O37" i="1"/>
  <c r="P36" i="1"/>
  <c r="O36" i="1"/>
  <c r="F36" i="1" s="1"/>
  <c r="P35" i="1"/>
  <c r="O35" i="1"/>
  <c r="F35" i="1" s="1"/>
  <c r="P34" i="1"/>
  <c r="O34" i="1"/>
  <c r="P33" i="1"/>
  <c r="Q33" i="1" s="1"/>
  <c r="O33" i="1"/>
  <c r="P32" i="1"/>
  <c r="Q32" i="1" s="1"/>
  <c r="O32" i="1"/>
  <c r="P31" i="1"/>
  <c r="O31" i="1"/>
  <c r="P30" i="1"/>
  <c r="O30" i="1"/>
  <c r="P29" i="1"/>
  <c r="O29" i="1"/>
  <c r="P28" i="1"/>
  <c r="O28" i="1"/>
  <c r="F28" i="1" s="1"/>
  <c r="P27" i="1"/>
  <c r="O27" i="1"/>
  <c r="P26" i="1"/>
  <c r="O26" i="1"/>
  <c r="P25" i="1"/>
  <c r="O25" i="1"/>
  <c r="P24" i="1"/>
  <c r="O24" i="1"/>
  <c r="F24" i="1" s="1"/>
  <c r="P23" i="1"/>
  <c r="O23" i="1"/>
  <c r="P22" i="1"/>
  <c r="O22" i="1"/>
  <c r="P21" i="1"/>
  <c r="O21" i="1"/>
  <c r="P20" i="1"/>
  <c r="O20" i="1"/>
  <c r="F20" i="1" s="1"/>
  <c r="P19" i="1"/>
  <c r="O19" i="1"/>
  <c r="P18" i="1"/>
  <c r="Q18" i="1" s="1"/>
  <c r="O18" i="1"/>
  <c r="Q17" i="1"/>
  <c r="P17" i="1"/>
  <c r="O17" i="1"/>
  <c r="F17" i="1" s="1"/>
  <c r="P16" i="1"/>
  <c r="Q16" i="1" s="1"/>
  <c r="O16" i="1"/>
  <c r="F488" i="1"/>
  <c r="F485" i="1"/>
  <c r="T1502" i="15" s="1"/>
  <c r="T1503" i="15" s="1"/>
  <c r="F477" i="1"/>
  <c r="W1487" i="15" s="1"/>
  <c r="W1488" i="15" s="1"/>
  <c r="F472" i="1"/>
  <c r="F469" i="1"/>
  <c r="AG1432" i="15" s="1"/>
  <c r="AG1433" i="15" s="1"/>
  <c r="F461" i="1"/>
  <c r="X1432" i="15" s="1"/>
  <c r="X1433" i="15" s="1"/>
  <c r="F456" i="1"/>
  <c r="F453" i="1"/>
  <c r="AL1427" i="15" s="1"/>
  <c r="AL1428" i="15" s="1"/>
  <c r="F445" i="1"/>
  <c r="AD1427" i="15" s="1"/>
  <c r="AD1428" i="15" s="1"/>
  <c r="F440" i="1"/>
  <c r="F437" i="1"/>
  <c r="V1427" i="15" s="1"/>
  <c r="V1428" i="15" s="1"/>
  <c r="F429" i="1"/>
  <c r="T1402" i="15" s="1"/>
  <c r="T1403" i="15" s="1"/>
  <c r="F424" i="1"/>
  <c r="F421" i="1"/>
  <c r="F413" i="1"/>
  <c r="F408" i="1"/>
  <c r="S1287" i="15" s="1"/>
  <c r="S1288" i="15" s="1"/>
  <c r="F405" i="1"/>
  <c r="F397" i="1"/>
  <c r="F392" i="1"/>
  <c r="V1267" i="15" s="1"/>
  <c r="V1268" i="15" s="1"/>
  <c r="F389" i="1"/>
  <c r="R1272" i="15" s="1"/>
  <c r="R1273" i="15" s="1"/>
  <c r="F384" i="1"/>
  <c r="F381" i="1"/>
  <c r="F376" i="1"/>
  <c r="F373" i="1"/>
  <c r="T1482" i="15" s="1"/>
  <c r="T1483" i="15" s="1"/>
  <c r="F372" i="1"/>
  <c r="F368" i="1"/>
  <c r="F365" i="1"/>
  <c r="R1217" i="15" s="1"/>
  <c r="R1218" i="15" s="1"/>
  <c r="F361" i="1"/>
  <c r="F360" i="1"/>
  <c r="F357" i="1"/>
  <c r="F356" i="1"/>
  <c r="F352" i="1"/>
  <c r="F349" i="1"/>
  <c r="F345" i="1"/>
  <c r="F344" i="1"/>
  <c r="U1062" i="15" s="1"/>
  <c r="U1063" i="15" s="1"/>
  <c r="F341" i="1"/>
  <c r="F340" i="1"/>
  <c r="F336" i="1"/>
  <c r="F333" i="1"/>
  <c r="F329" i="1"/>
  <c r="F328" i="1"/>
  <c r="F325" i="1"/>
  <c r="F324" i="1"/>
  <c r="F320" i="1"/>
  <c r="S1012" i="15" s="1"/>
  <c r="S1013" i="15" s="1"/>
  <c r="F317" i="1"/>
  <c r="F313" i="1"/>
  <c r="F312" i="1"/>
  <c r="F309" i="1"/>
  <c r="F308" i="1"/>
  <c r="F304" i="1"/>
  <c r="F301" i="1"/>
  <c r="W957" i="15" s="1"/>
  <c r="W958" i="15" s="1"/>
  <c r="F297" i="1"/>
  <c r="F296" i="1"/>
  <c r="F293" i="1"/>
  <c r="F292" i="1"/>
  <c r="F288" i="1"/>
  <c r="F285" i="1"/>
  <c r="F281" i="1"/>
  <c r="F280" i="1"/>
  <c r="F277" i="1"/>
  <c r="F276" i="1"/>
  <c r="F272" i="1"/>
  <c r="F269" i="1"/>
  <c r="F265" i="1"/>
  <c r="F264" i="1"/>
  <c r="F261" i="1"/>
  <c r="F260" i="1"/>
  <c r="F256" i="1"/>
  <c r="S892" i="15" s="1"/>
  <c r="S893" i="15" s="1"/>
  <c r="F253" i="1"/>
  <c r="F249" i="1"/>
  <c r="F248" i="1"/>
  <c r="X867" i="15" s="1"/>
  <c r="X868" i="15" s="1"/>
  <c r="F245" i="1"/>
  <c r="F244" i="1"/>
  <c r="F240" i="1"/>
  <c r="F237" i="1"/>
  <c r="F233" i="1"/>
  <c r="F232" i="1"/>
  <c r="F229" i="1"/>
  <c r="F228" i="1"/>
  <c r="F224" i="1"/>
  <c r="F221" i="1"/>
  <c r="F217" i="1"/>
  <c r="F216" i="1"/>
  <c r="F213" i="1"/>
  <c r="F212" i="1"/>
  <c r="F208" i="1"/>
  <c r="F205" i="1"/>
  <c r="T772" i="15" s="1"/>
  <c r="T773" i="15" s="1"/>
  <c r="F201" i="1"/>
  <c r="F200" i="1"/>
  <c r="F197" i="1"/>
  <c r="F196" i="1"/>
  <c r="F192" i="1"/>
  <c r="F189" i="1"/>
  <c r="F185" i="1"/>
  <c r="F184" i="1"/>
  <c r="F181" i="1"/>
  <c r="F180" i="1"/>
  <c r="F176" i="1"/>
  <c r="F173" i="1"/>
  <c r="R862" i="15" s="1"/>
  <c r="R863" i="15" s="1"/>
  <c r="F169" i="1"/>
  <c r="F168" i="1"/>
  <c r="F165" i="1"/>
  <c r="F164" i="1"/>
  <c r="F160" i="1"/>
  <c r="F157" i="1"/>
  <c r="F153" i="1"/>
  <c r="F152" i="1"/>
  <c r="F150" i="1"/>
  <c r="F149" i="1"/>
  <c r="F148" i="1"/>
  <c r="F145" i="1"/>
  <c r="F144" i="1"/>
  <c r="F143" i="1"/>
  <c r="F142" i="1"/>
  <c r="W472" i="15" s="1"/>
  <c r="W473" i="15" s="1"/>
  <c r="F141" i="1"/>
  <c r="F140" i="1"/>
  <c r="F137" i="1"/>
  <c r="F136" i="1"/>
  <c r="AB437" i="15" s="1"/>
  <c r="AB438" i="15" s="1"/>
  <c r="F134" i="1"/>
  <c r="F133" i="1"/>
  <c r="F132" i="1"/>
  <c r="F129" i="1"/>
  <c r="F128" i="1"/>
  <c r="F126" i="1"/>
  <c r="F125" i="1"/>
  <c r="F124" i="1"/>
  <c r="F121" i="1"/>
  <c r="F120" i="1"/>
  <c r="F118" i="1"/>
  <c r="F117" i="1"/>
  <c r="F116" i="1"/>
  <c r="F113" i="1"/>
  <c r="F112" i="1"/>
  <c r="F111" i="1"/>
  <c r="F110" i="1"/>
  <c r="F109" i="1"/>
  <c r="F108" i="1"/>
  <c r="F105" i="1"/>
  <c r="F104" i="1"/>
  <c r="F102" i="1"/>
  <c r="F101" i="1"/>
  <c r="V1282" i="15" s="1"/>
  <c r="V1283" i="15" s="1"/>
  <c r="F100" i="1"/>
  <c r="F97" i="1"/>
  <c r="F96" i="1"/>
  <c r="F94" i="1"/>
  <c r="F93" i="1"/>
  <c r="F92" i="1"/>
  <c r="F89" i="1"/>
  <c r="F88" i="1"/>
  <c r="F86" i="1"/>
  <c r="F85" i="1"/>
  <c r="F84" i="1"/>
  <c r="F82" i="1"/>
  <c r="F81" i="1"/>
  <c r="F80" i="1"/>
  <c r="F78" i="1"/>
  <c r="F77" i="1"/>
  <c r="F76" i="1"/>
  <c r="F74" i="1"/>
  <c r="F73" i="1"/>
  <c r="F72" i="1"/>
  <c r="F70" i="1"/>
  <c r="F69" i="1"/>
  <c r="F68" i="1"/>
  <c r="F66" i="1"/>
  <c r="F65" i="1"/>
  <c r="F64" i="1"/>
  <c r="F62" i="1"/>
  <c r="F61" i="1"/>
  <c r="F60" i="1"/>
  <c r="F58" i="1"/>
  <c r="F57" i="1"/>
  <c r="F56" i="1"/>
  <c r="F54" i="1"/>
  <c r="F53" i="1"/>
  <c r="F52" i="1"/>
  <c r="F50" i="1"/>
  <c r="F49" i="1"/>
  <c r="F47" i="1"/>
  <c r="F46" i="1"/>
  <c r="F45" i="1"/>
  <c r="T1167" i="15" s="1"/>
  <c r="T1168" i="15" s="1"/>
  <c r="F42" i="1"/>
  <c r="F41" i="1"/>
  <c r="F39" i="1"/>
  <c r="F38" i="1"/>
  <c r="F37" i="1"/>
  <c r="F34" i="1"/>
  <c r="F33" i="1"/>
  <c r="F32" i="1"/>
  <c r="F31" i="1"/>
  <c r="F30" i="1"/>
  <c r="F29" i="1"/>
  <c r="F27" i="1"/>
  <c r="F26" i="1"/>
  <c r="F25" i="1"/>
  <c r="F23" i="1"/>
  <c r="F22" i="1"/>
  <c r="F21" i="1"/>
  <c r="F19" i="1"/>
  <c r="F18" i="1"/>
  <c r="Q1507" i="15" s="1"/>
  <c r="F16" i="1"/>
  <c r="O772" i="15" s="1"/>
  <c r="O773" i="15" s="1"/>
  <c r="D473" i="29"/>
  <c r="B473" i="29"/>
  <c r="S1507" i="15"/>
  <c r="S1508" i="15" s="1"/>
  <c r="H1505" i="15"/>
  <c r="C1505" i="15"/>
  <c r="B1509" i="15"/>
  <c r="B1506" i="15"/>
  <c r="B472" i="29"/>
  <c r="D471" i="29"/>
  <c r="B471" i="29"/>
  <c r="W1502" i="15"/>
  <c r="W1503" i="15" s="1"/>
  <c r="H1500" i="15"/>
  <c r="C1500" i="15"/>
  <c r="B1504" i="15"/>
  <c r="B1501" i="15"/>
  <c r="B470" i="29"/>
  <c r="B469" i="29"/>
  <c r="D468" i="29"/>
  <c r="B468" i="29"/>
  <c r="H1495" i="15"/>
  <c r="C1495" i="15"/>
  <c r="B1499" i="15"/>
  <c r="B1496" i="15"/>
  <c r="B467" i="29"/>
  <c r="B466" i="29"/>
  <c r="D465" i="29"/>
  <c r="B465" i="29"/>
  <c r="B464" i="29"/>
  <c r="D463" i="29"/>
  <c r="B463" i="29"/>
  <c r="D462" i="29"/>
  <c r="B462" i="29"/>
  <c r="B461" i="29"/>
  <c r="D460" i="29"/>
  <c r="B460" i="29"/>
  <c r="D459" i="29"/>
  <c r="B459" i="29"/>
  <c r="B458" i="29"/>
  <c r="B457" i="29"/>
  <c r="D456" i="29"/>
  <c r="B456" i="29"/>
  <c r="D455" i="29"/>
  <c r="B455" i="29"/>
  <c r="B454" i="29"/>
  <c r="D453" i="29"/>
  <c r="B453" i="29"/>
  <c r="D452" i="29"/>
  <c r="B452" i="29"/>
  <c r="B451" i="29"/>
  <c r="D450" i="29"/>
  <c r="B450" i="29"/>
  <c r="H1490" i="15"/>
  <c r="C1490" i="15"/>
  <c r="B1494" i="15"/>
  <c r="B1491" i="15"/>
  <c r="D449" i="29"/>
  <c r="B449" i="29"/>
  <c r="B448" i="29"/>
  <c r="B447" i="29"/>
  <c r="D446" i="29"/>
  <c r="B446" i="29"/>
  <c r="T1487" i="15"/>
  <c r="T1488" i="15" s="1"/>
  <c r="H1485" i="15"/>
  <c r="C1485" i="15"/>
  <c r="B1489" i="15"/>
  <c r="B1486" i="15"/>
  <c r="D445" i="29"/>
  <c r="B445" i="29"/>
  <c r="S1482" i="15"/>
  <c r="S1483" i="15" s="1"/>
  <c r="Q1482" i="15"/>
  <c r="Q1483" i="15" s="1"/>
  <c r="P1482" i="15"/>
  <c r="P1483" i="15" s="1"/>
  <c r="H1480" i="15"/>
  <c r="C1480" i="15"/>
  <c r="B1484" i="15"/>
  <c r="B1481" i="15"/>
  <c r="B444" i="29"/>
  <c r="D443" i="29"/>
  <c r="B443" i="29"/>
  <c r="H1475" i="15"/>
  <c r="C1475" i="15"/>
  <c r="B1479" i="15"/>
  <c r="B1476" i="15"/>
  <c r="B442" i="29"/>
  <c r="D441" i="29"/>
  <c r="B441" i="29"/>
  <c r="T1472" i="15"/>
  <c r="T1473" i="15" s="1"/>
  <c r="Q1472" i="15"/>
  <c r="H1470" i="15"/>
  <c r="C1470" i="15"/>
  <c r="B1474" i="15"/>
  <c r="B1471" i="15"/>
  <c r="B440" i="29"/>
  <c r="D439" i="29"/>
  <c r="B439" i="29"/>
  <c r="T1467" i="15"/>
  <c r="T1468" i="15" s="1"/>
  <c r="Q1467" i="15"/>
  <c r="H1465" i="15"/>
  <c r="C1465" i="15"/>
  <c r="B1469" i="15"/>
  <c r="B1466" i="15"/>
  <c r="B438" i="29"/>
  <c r="B437" i="29"/>
  <c r="B436" i="29"/>
  <c r="D435" i="29"/>
  <c r="B435" i="29"/>
  <c r="D434" i="29"/>
  <c r="B434" i="29"/>
  <c r="D433" i="29"/>
  <c r="B433" i="29"/>
  <c r="D432" i="29"/>
  <c r="B432" i="29"/>
  <c r="T1462" i="15"/>
  <c r="T1463" i="15" s="1"/>
  <c r="H1460" i="15"/>
  <c r="C1460" i="15"/>
  <c r="B1464" i="15"/>
  <c r="B1461" i="15"/>
  <c r="D431" i="29"/>
  <c r="B431" i="29"/>
  <c r="Q1457" i="15"/>
  <c r="Q1458" i="15" s="1"/>
  <c r="P1457" i="15"/>
  <c r="P1458" i="15" s="1"/>
  <c r="H1455" i="15"/>
  <c r="C1455" i="15"/>
  <c r="B1459" i="15"/>
  <c r="B1456" i="15"/>
  <c r="D430" i="29"/>
  <c r="B430" i="29"/>
  <c r="T1452" i="15"/>
  <c r="T1453" i="15" s="1"/>
  <c r="Q1452" i="15"/>
  <c r="H1450" i="15"/>
  <c r="C1450" i="15"/>
  <c r="B1454" i="15"/>
  <c r="B1451" i="15"/>
  <c r="D429" i="29"/>
  <c r="B429" i="29"/>
  <c r="S1447" i="15"/>
  <c r="S1448" i="15" s="1"/>
  <c r="P1447" i="15"/>
  <c r="P1448" i="15" s="1"/>
  <c r="H1445" i="15"/>
  <c r="C1445" i="15"/>
  <c r="B1449" i="15"/>
  <c r="B1446" i="15"/>
  <c r="B428" i="29"/>
  <c r="D427" i="29"/>
  <c r="B427" i="29"/>
  <c r="P1442" i="15"/>
  <c r="P1443" i="15" s="1"/>
  <c r="H1440" i="15"/>
  <c r="F1440" i="15"/>
  <c r="C1440" i="15"/>
  <c r="B1444" i="15"/>
  <c r="B1441" i="15"/>
  <c r="B426" i="29"/>
  <c r="D425" i="29"/>
  <c r="B425" i="29"/>
  <c r="H1435" i="15"/>
  <c r="F1435" i="15"/>
  <c r="C1435" i="15"/>
  <c r="B1439" i="15"/>
  <c r="B1436" i="15"/>
  <c r="B424" i="29"/>
  <c r="D423" i="29"/>
  <c r="B423" i="29"/>
  <c r="AB1432" i="15"/>
  <c r="AB1433" i="15" s="1"/>
  <c r="S1432" i="15"/>
  <c r="S1433" i="15" s="1"/>
  <c r="H1430" i="15"/>
  <c r="C1430" i="15"/>
  <c r="B1434" i="15"/>
  <c r="B1431" i="15"/>
  <c r="B422" i="29"/>
  <c r="D421" i="29"/>
  <c r="B421" i="29"/>
  <c r="AG1427" i="15"/>
  <c r="AG1428" i="15" s="1"/>
  <c r="Y1427" i="15"/>
  <c r="Y1428" i="15" s="1"/>
  <c r="P1427" i="15"/>
  <c r="P1428" i="15" s="1"/>
  <c r="H1425" i="15"/>
  <c r="C1425" i="15"/>
  <c r="B1429" i="15"/>
  <c r="B1426" i="15"/>
  <c r="B420" i="29"/>
  <c r="B419" i="29"/>
  <c r="D418" i="29"/>
  <c r="B418" i="29"/>
  <c r="Q1422" i="15"/>
  <c r="Q1423" i="15" s="1"/>
  <c r="H1420" i="15"/>
  <c r="C1420" i="15"/>
  <c r="B1424" i="15"/>
  <c r="B1421" i="15"/>
  <c r="D417" i="29"/>
  <c r="B417" i="29"/>
  <c r="Q1417" i="15"/>
  <c r="H1415" i="15"/>
  <c r="C1415" i="15"/>
  <c r="B1419" i="15"/>
  <c r="B1416" i="15"/>
  <c r="D416" i="29"/>
  <c r="B416" i="29"/>
  <c r="Q1412" i="15"/>
  <c r="H1410" i="15"/>
  <c r="C1410" i="15"/>
  <c r="B1414" i="15"/>
  <c r="B1411" i="15"/>
  <c r="D415" i="29"/>
  <c r="B415" i="29"/>
  <c r="Q1407" i="15"/>
  <c r="Q1408" i="15" s="1"/>
  <c r="H1405" i="15"/>
  <c r="C1405" i="15"/>
  <c r="B1409" i="15"/>
  <c r="B1406" i="15"/>
  <c r="D414" i="29"/>
  <c r="B414" i="29"/>
  <c r="H1400" i="15"/>
  <c r="C1400" i="15"/>
  <c r="B1404" i="15"/>
  <c r="B1401" i="15"/>
  <c r="B413" i="29"/>
  <c r="D412" i="29"/>
  <c r="B412" i="29"/>
  <c r="Q1397" i="15"/>
  <c r="Q1398" i="15" s="1"/>
  <c r="H1395" i="15"/>
  <c r="C1395" i="15"/>
  <c r="B1399" i="15"/>
  <c r="B1396" i="15"/>
  <c r="D411" i="29"/>
  <c r="B411" i="29"/>
  <c r="Q1392" i="15"/>
  <c r="Q1393" i="15" s="1"/>
  <c r="H1390" i="15"/>
  <c r="C1390" i="15"/>
  <c r="B1394" i="15"/>
  <c r="B1391" i="15"/>
  <c r="D410" i="29"/>
  <c r="B410" i="29"/>
  <c r="Q1387" i="15"/>
  <c r="H1385" i="15"/>
  <c r="C1385" i="15"/>
  <c r="B1389" i="15"/>
  <c r="B1386" i="15"/>
  <c r="D409" i="29"/>
  <c r="B409" i="29"/>
  <c r="R1382" i="15"/>
  <c r="R1383" i="15" s="1"/>
  <c r="G1380" i="15" s="1"/>
  <c r="Q1382" i="15"/>
  <c r="H1380" i="15"/>
  <c r="C1380" i="15"/>
  <c r="B1384" i="15"/>
  <c r="B1381" i="15"/>
  <c r="D408" i="29"/>
  <c r="B408" i="29"/>
  <c r="Q1377" i="15"/>
  <c r="P1377" i="15"/>
  <c r="H1375" i="15"/>
  <c r="C1375" i="15"/>
  <c r="B1379" i="15"/>
  <c r="B1376" i="15"/>
  <c r="D407" i="29"/>
  <c r="B407" i="29"/>
  <c r="Q1372" i="15"/>
  <c r="P1372" i="15"/>
  <c r="H1370" i="15"/>
  <c r="C1370" i="15"/>
  <c r="B1374" i="15"/>
  <c r="B1371" i="15"/>
  <c r="B406" i="29"/>
  <c r="D405" i="29"/>
  <c r="B405" i="29"/>
  <c r="D404" i="29"/>
  <c r="B404" i="29"/>
  <c r="R1367" i="15"/>
  <c r="R1368" i="15" s="1"/>
  <c r="G1365" i="15" s="1"/>
  <c r="H1365" i="15"/>
  <c r="C1365" i="15"/>
  <c r="B1369" i="15"/>
  <c r="B1366" i="15"/>
  <c r="B403" i="29"/>
  <c r="D402" i="29"/>
  <c r="B402" i="29"/>
  <c r="Q1362" i="15"/>
  <c r="Q1363" i="15" s="1"/>
  <c r="P1362" i="15"/>
  <c r="P1363" i="15" s="1"/>
  <c r="H1360" i="15"/>
  <c r="C1360" i="15"/>
  <c r="B1364" i="15"/>
  <c r="B1361" i="15"/>
  <c r="B401" i="29"/>
  <c r="D400" i="29"/>
  <c r="B400" i="29"/>
  <c r="Q1357" i="15"/>
  <c r="H1355" i="15"/>
  <c r="C1355" i="15"/>
  <c r="B1359" i="15"/>
  <c r="B1356" i="15"/>
  <c r="D399" i="29"/>
  <c r="B399" i="29"/>
  <c r="Q1352" i="15"/>
  <c r="P1352" i="15"/>
  <c r="H1350" i="15"/>
  <c r="C1350" i="15"/>
  <c r="B1354" i="15"/>
  <c r="B1351" i="15"/>
  <c r="D398" i="29"/>
  <c r="B398" i="29"/>
  <c r="Q1347" i="15"/>
  <c r="Q1348" i="15" s="1"/>
  <c r="P1347" i="15"/>
  <c r="P1348" i="15" s="1"/>
  <c r="H1345" i="15"/>
  <c r="C1345" i="15"/>
  <c r="B1349" i="15"/>
  <c r="B1346" i="15"/>
  <c r="B397" i="29"/>
  <c r="D396" i="29"/>
  <c r="B396" i="29"/>
  <c r="S1342" i="15"/>
  <c r="S1343" i="15" s="1"/>
  <c r="Q1342" i="15"/>
  <c r="H1340" i="15"/>
  <c r="C1340" i="15"/>
  <c r="B1344" i="15"/>
  <c r="B1341" i="15"/>
  <c r="D395" i="29"/>
  <c r="B395" i="29"/>
  <c r="S1337" i="15"/>
  <c r="S1338" i="15" s="1"/>
  <c r="Q1337" i="15"/>
  <c r="Q1338" i="15" s="1"/>
  <c r="H1335" i="15"/>
  <c r="C1335" i="15"/>
  <c r="B1339" i="15"/>
  <c r="B1336" i="15"/>
  <c r="D394" i="29"/>
  <c r="B394" i="29"/>
  <c r="S1332" i="15"/>
  <c r="S1333" i="15" s="1"/>
  <c r="Q1332" i="15"/>
  <c r="Q1333" i="15" s="1"/>
  <c r="H1330" i="15"/>
  <c r="C1330" i="15"/>
  <c r="B1334" i="15"/>
  <c r="B1331" i="15"/>
  <c r="D393" i="29"/>
  <c r="B393" i="29"/>
  <c r="S1327" i="15"/>
  <c r="S1328" i="15" s="1"/>
  <c r="Q1327" i="15"/>
  <c r="H1325" i="15"/>
  <c r="C1325" i="15"/>
  <c r="B1329" i="15"/>
  <c r="B1326" i="15"/>
  <c r="D392" i="29"/>
  <c r="B392" i="29"/>
  <c r="S1322" i="15"/>
  <c r="S1323" i="15" s="1"/>
  <c r="Q1322" i="15"/>
  <c r="H1320" i="15"/>
  <c r="C1320" i="15"/>
  <c r="B1324" i="15"/>
  <c r="B1321" i="15"/>
  <c r="D391" i="29"/>
  <c r="B391" i="29"/>
  <c r="S1317" i="15"/>
  <c r="S1318" i="15" s="1"/>
  <c r="Q1317" i="15"/>
  <c r="Q1318" i="15" s="1"/>
  <c r="P1317" i="15"/>
  <c r="P1318" i="15" s="1"/>
  <c r="H1315" i="15"/>
  <c r="C1315" i="15"/>
  <c r="B1319" i="15"/>
  <c r="B1316" i="15"/>
  <c r="D390" i="29"/>
  <c r="B390" i="29"/>
  <c r="S1312" i="15"/>
  <c r="S1313" i="15" s="1"/>
  <c r="Q1312" i="15"/>
  <c r="H1310" i="15"/>
  <c r="C1310" i="15"/>
  <c r="B1314" i="15"/>
  <c r="B1311" i="15"/>
  <c r="D389" i="29"/>
  <c r="B389" i="29"/>
  <c r="S1307" i="15"/>
  <c r="S1308" i="15" s="1"/>
  <c r="R1307" i="15"/>
  <c r="R1308" i="15" s="1"/>
  <c r="Q1307" i="15"/>
  <c r="Q1308" i="15" s="1"/>
  <c r="P1307" i="15"/>
  <c r="P1308" i="15" s="1"/>
  <c r="H1305" i="15"/>
  <c r="C1305" i="15"/>
  <c r="B1309" i="15"/>
  <c r="B1306" i="15"/>
  <c r="D388" i="29"/>
  <c r="B388" i="29"/>
  <c r="T1302" i="15"/>
  <c r="T1303" i="15" s="1"/>
  <c r="S1302" i="15"/>
  <c r="S1303" i="15" s="1"/>
  <c r="R1302" i="15"/>
  <c r="R1303" i="15" s="1"/>
  <c r="Q1302" i="15"/>
  <c r="H1300" i="15"/>
  <c r="C1300" i="15"/>
  <c r="B1304" i="15"/>
  <c r="B1301" i="15"/>
  <c r="D387" i="29"/>
  <c r="B387" i="29"/>
  <c r="S1297" i="15"/>
  <c r="S1298" i="15" s="1"/>
  <c r="R1297" i="15"/>
  <c r="R1298" i="15" s="1"/>
  <c r="Q1297" i="15"/>
  <c r="Q1298" i="15" s="1"/>
  <c r="P1297" i="15"/>
  <c r="P1298" i="15" s="1"/>
  <c r="H1295" i="15"/>
  <c r="C1295" i="15"/>
  <c r="B1299" i="15"/>
  <c r="B1296" i="15"/>
  <c r="D386" i="29"/>
  <c r="B386" i="29"/>
  <c r="U1292" i="15"/>
  <c r="U1293" i="15" s="1"/>
  <c r="T1292" i="15"/>
  <c r="T1293" i="15" s="1"/>
  <c r="R1292" i="15"/>
  <c r="R1293" i="15" s="1"/>
  <c r="Q1292" i="15"/>
  <c r="H1290" i="15"/>
  <c r="C1290" i="15"/>
  <c r="B1294" i="15"/>
  <c r="B1291" i="15"/>
  <c r="B385" i="29"/>
  <c r="B384" i="29"/>
  <c r="D383" i="29"/>
  <c r="B383" i="29"/>
  <c r="X1287" i="15"/>
  <c r="X1288" i="15" s="1"/>
  <c r="Q1287" i="15"/>
  <c r="H1285" i="15"/>
  <c r="C1285" i="15"/>
  <c r="B1289" i="15"/>
  <c r="B1286" i="15"/>
  <c r="B382" i="29"/>
  <c r="D381" i="29"/>
  <c r="B381" i="29"/>
  <c r="X1282" i="15"/>
  <c r="X1283" i="15" s="1"/>
  <c r="W1282" i="15"/>
  <c r="W1283" i="15" s="1"/>
  <c r="U1282" i="15"/>
  <c r="U1283" i="15" s="1"/>
  <c r="T1282" i="15"/>
  <c r="T1283" i="15" s="1"/>
  <c r="S1282" i="15"/>
  <c r="S1283" i="15" s="1"/>
  <c r="R1282" i="15"/>
  <c r="R1283" i="15" s="1"/>
  <c r="Q1282" i="15"/>
  <c r="P1282" i="15"/>
  <c r="H1280" i="15"/>
  <c r="C1280" i="15"/>
  <c r="B1284" i="15"/>
  <c r="B1281" i="15"/>
  <c r="B380" i="29"/>
  <c r="D379" i="29"/>
  <c r="B379" i="29"/>
  <c r="X1277" i="15"/>
  <c r="X1278" i="15" s="1"/>
  <c r="T1277" i="15"/>
  <c r="T1278" i="15" s="1"/>
  <c r="R1277" i="15"/>
  <c r="R1278" i="15" s="1"/>
  <c r="Q1277" i="15"/>
  <c r="P1277" i="15"/>
  <c r="P1278" i="15" s="1"/>
  <c r="H1275" i="15"/>
  <c r="C1275" i="15"/>
  <c r="B1279" i="15"/>
  <c r="B1276" i="15"/>
  <c r="D378" i="29"/>
  <c r="B378" i="29"/>
  <c r="U1272" i="15"/>
  <c r="U1273" i="15" s="1"/>
  <c r="Q1272" i="15"/>
  <c r="H1270" i="15"/>
  <c r="C1270" i="15"/>
  <c r="B1274" i="15"/>
  <c r="B1271" i="15"/>
  <c r="D377" i="29"/>
  <c r="B377" i="29"/>
  <c r="AA1267" i="15"/>
  <c r="AA1268" i="15" s="1"/>
  <c r="Z1267" i="15"/>
  <c r="Z1268" i="15" s="1"/>
  <c r="S1267" i="15"/>
  <c r="S1268" i="15" s="1"/>
  <c r="Q1267" i="15"/>
  <c r="Q1268" i="15" s="1"/>
  <c r="P1267" i="15"/>
  <c r="P1268" i="15" s="1"/>
  <c r="H1265" i="15"/>
  <c r="C1265" i="15"/>
  <c r="B1269" i="15"/>
  <c r="B1266" i="15"/>
  <c r="B376" i="29"/>
  <c r="D375" i="29"/>
  <c r="B375" i="29"/>
  <c r="Q1262" i="15"/>
  <c r="Q1263" i="15" s="1"/>
  <c r="H1260" i="15"/>
  <c r="C1260" i="15"/>
  <c r="B1264" i="15"/>
  <c r="B1261" i="15"/>
  <c r="D374" i="29"/>
  <c r="B374" i="29"/>
  <c r="H1255" i="15"/>
  <c r="C1255" i="15"/>
  <c r="B1259" i="15"/>
  <c r="B1256" i="15"/>
  <c r="D373" i="29"/>
  <c r="B373" i="29"/>
  <c r="H1250" i="15"/>
  <c r="C1250" i="15"/>
  <c r="B1254" i="15"/>
  <c r="B1251" i="15"/>
  <c r="D372" i="29"/>
  <c r="B372" i="29"/>
  <c r="P1247" i="15"/>
  <c r="H1245" i="15"/>
  <c r="C1245" i="15"/>
  <c r="B1249" i="15"/>
  <c r="B1246" i="15"/>
  <c r="D371" i="29"/>
  <c r="B371" i="29"/>
  <c r="Q1242" i="15"/>
  <c r="H1240" i="15"/>
  <c r="C1240" i="15"/>
  <c r="B1244" i="15"/>
  <c r="B1241" i="15"/>
  <c r="B370" i="29"/>
  <c r="D369" i="29"/>
  <c r="B369" i="29"/>
  <c r="U1237" i="15"/>
  <c r="U1238" i="15" s="1"/>
  <c r="Q1237" i="15"/>
  <c r="H1235" i="15"/>
  <c r="C1235" i="15"/>
  <c r="B1239" i="15"/>
  <c r="B1236" i="15"/>
  <c r="D368" i="29"/>
  <c r="B368" i="29"/>
  <c r="T1232" i="15"/>
  <c r="T1233" i="15" s="1"/>
  <c r="Q1232" i="15"/>
  <c r="Q1233" i="15" s="1"/>
  <c r="P1232" i="15"/>
  <c r="P1233" i="15" s="1"/>
  <c r="H1230" i="15"/>
  <c r="C1230" i="15"/>
  <c r="B1234" i="15"/>
  <c r="B1231" i="15"/>
  <c r="D367" i="29"/>
  <c r="B367" i="29"/>
  <c r="U1227" i="15"/>
  <c r="U1228" i="15" s="1"/>
  <c r="T1227" i="15"/>
  <c r="T1228" i="15" s="1"/>
  <c r="Q1227" i="15"/>
  <c r="Q1228" i="15" s="1"/>
  <c r="P1227" i="15"/>
  <c r="H1225" i="15"/>
  <c r="C1225" i="15"/>
  <c r="B1229" i="15"/>
  <c r="B1226" i="15"/>
  <c r="D366" i="29"/>
  <c r="B366" i="29"/>
  <c r="T1222" i="15"/>
  <c r="T1223" i="15" s="1"/>
  <c r="Q1222" i="15"/>
  <c r="H1220" i="15"/>
  <c r="C1220" i="15"/>
  <c r="B1224" i="15"/>
  <c r="B1221" i="15"/>
  <c r="B365" i="29"/>
  <c r="D364" i="29"/>
  <c r="B364" i="29"/>
  <c r="Q1217" i="15"/>
  <c r="Q1218" i="15" s="1"/>
  <c r="P1217" i="15"/>
  <c r="H1215" i="15"/>
  <c r="C1215" i="15"/>
  <c r="B1219" i="15"/>
  <c r="B1216" i="15"/>
  <c r="D363" i="29"/>
  <c r="B363" i="29"/>
  <c r="R1212" i="15"/>
  <c r="R1213" i="15" s="1"/>
  <c r="Q1212" i="15"/>
  <c r="Q1213" i="15" s="1"/>
  <c r="P1212" i="15"/>
  <c r="P1213" i="15" s="1"/>
  <c r="H1210" i="15"/>
  <c r="C1210" i="15"/>
  <c r="B1214" i="15"/>
  <c r="B1211" i="15"/>
  <c r="D362" i="29"/>
  <c r="B362" i="29"/>
  <c r="S1207" i="15"/>
  <c r="S1208" i="15" s="1"/>
  <c r="Q1207" i="15"/>
  <c r="H1205" i="15"/>
  <c r="C1205" i="15"/>
  <c r="B1209" i="15"/>
  <c r="B1206" i="15"/>
  <c r="B361" i="29"/>
  <c r="D360" i="29"/>
  <c r="B360" i="29"/>
  <c r="T1202" i="15"/>
  <c r="T1203" i="15" s="1"/>
  <c r="Q1202" i="15"/>
  <c r="P1202" i="15"/>
  <c r="P1203" i="15" s="1"/>
  <c r="H1200" i="15"/>
  <c r="C1200" i="15"/>
  <c r="B1204" i="15"/>
  <c r="B1201" i="15"/>
  <c r="D359" i="29"/>
  <c r="B359" i="29"/>
  <c r="R1197" i="15"/>
  <c r="R1198" i="15" s="1"/>
  <c r="Q1197" i="15"/>
  <c r="Q1198" i="15" s="1"/>
  <c r="P1197" i="15"/>
  <c r="P1198" i="15" s="1"/>
  <c r="H1195" i="15"/>
  <c r="C1195" i="15"/>
  <c r="B1199" i="15"/>
  <c r="B1196" i="15"/>
  <c r="B358" i="29"/>
  <c r="B357" i="29"/>
  <c r="B356" i="29"/>
  <c r="D355" i="29"/>
  <c r="B355" i="29"/>
  <c r="H1190" i="15"/>
  <c r="F1190" i="15"/>
  <c r="C1190" i="15"/>
  <c r="B1194" i="15"/>
  <c r="B1191" i="15"/>
  <c r="D354" i="29"/>
  <c r="B354" i="29"/>
  <c r="H1185" i="15"/>
  <c r="F1185" i="15"/>
  <c r="C1185" i="15"/>
  <c r="B1189" i="15"/>
  <c r="B1186" i="15"/>
  <c r="D353" i="29"/>
  <c r="B353" i="29"/>
  <c r="H1180" i="15"/>
  <c r="F1180" i="15"/>
  <c r="C1180" i="15"/>
  <c r="B1184" i="15"/>
  <c r="B1181" i="15"/>
  <c r="B352" i="29"/>
  <c r="D351" i="29"/>
  <c r="B351" i="29"/>
  <c r="R1177" i="15"/>
  <c r="R1178" i="15" s="1"/>
  <c r="Q1177" i="15"/>
  <c r="P1177" i="15"/>
  <c r="H1175" i="15"/>
  <c r="C1175" i="15"/>
  <c r="B1179" i="15"/>
  <c r="B1176" i="15"/>
  <c r="B350" i="29"/>
  <c r="D349" i="29"/>
  <c r="B349" i="29"/>
  <c r="U1172" i="15"/>
  <c r="U1173" i="15" s="1"/>
  <c r="S1172" i="15"/>
  <c r="S1173" i="15" s="1"/>
  <c r="Q1172" i="15"/>
  <c r="H1170" i="15"/>
  <c r="C1170" i="15"/>
  <c r="B1174" i="15"/>
  <c r="B1171" i="15"/>
  <c r="B348" i="29"/>
  <c r="B347" i="29"/>
  <c r="D346" i="29"/>
  <c r="B346" i="29"/>
  <c r="Y1167" i="15"/>
  <c r="Y1168" i="15" s="1"/>
  <c r="X1167" i="15"/>
  <c r="X1168" i="15" s="1"/>
  <c r="W1167" i="15"/>
  <c r="W1168" i="15" s="1"/>
  <c r="V1167" i="15"/>
  <c r="V1168" i="15" s="1"/>
  <c r="U1167" i="15"/>
  <c r="U1168" i="15" s="1"/>
  <c r="R1167" i="15"/>
  <c r="R1168" i="15" s="1"/>
  <c r="Q1167" i="15"/>
  <c r="P1167" i="15"/>
  <c r="H1165" i="15"/>
  <c r="C1165" i="15"/>
  <c r="B1169" i="15"/>
  <c r="B1166" i="15"/>
  <c r="D345" i="29"/>
  <c r="B345" i="29"/>
  <c r="Y1162" i="15"/>
  <c r="Y1163" i="15" s="1"/>
  <c r="X1162" i="15"/>
  <c r="X1163" i="15" s="1"/>
  <c r="W1162" i="15"/>
  <c r="W1163" i="15" s="1"/>
  <c r="V1162" i="15"/>
  <c r="V1163" i="15" s="1"/>
  <c r="U1162" i="15"/>
  <c r="U1163" i="15" s="1"/>
  <c r="R1162" i="15"/>
  <c r="R1163" i="15" s="1"/>
  <c r="Q1162" i="15"/>
  <c r="Q1163" i="15" s="1"/>
  <c r="P1162" i="15"/>
  <c r="P1163" i="15" s="1"/>
  <c r="H1160" i="15"/>
  <c r="C1160" i="15"/>
  <c r="B1164" i="15"/>
  <c r="B1161" i="15"/>
  <c r="B344" i="29"/>
  <c r="B343" i="29"/>
  <c r="D342" i="29"/>
  <c r="B342" i="29"/>
  <c r="S1157" i="15"/>
  <c r="S1158" i="15" s="1"/>
  <c r="H1155" i="15"/>
  <c r="C1155" i="15"/>
  <c r="B1159" i="15"/>
  <c r="B1156" i="15"/>
  <c r="B341" i="29"/>
  <c r="D340" i="29"/>
  <c r="B340" i="29"/>
  <c r="Q1152" i="15"/>
  <c r="Q1153" i="15" s="1"/>
  <c r="P1152" i="15"/>
  <c r="H1150" i="15"/>
  <c r="C1150" i="15"/>
  <c r="B1154" i="15"/>
  <c r="B1151" i="15"/>
  <c r="D339" i="29"/>
  <c r="B339" i="29"/>
  <c r="R1147" i="15"/>
  <c r="R1148" i="15" s="1"/>
  <c r="G1145" i="15" s="1"/>
  <c r="Q1147" i="15"/>
  <c r="Q1148" i="15" s="1"/>
  <c r="P1147" i="15"/>
  <c r="P1148" i="15" s="1"/>
  <c r="H1145" i="15"/>
  <c r="C1145" i="15"/>
  <c r="B1149" i="15"/>
  <c r="B1146" i="15"/>
  <c r="D338" i="29"/>
  <c r="B338" i="29"/>
  <c r="S1142" i="15"/>
  <c r="S1143" i="15" s="1"/>
  <c r="R1142" i="15"/>
  <c r="R1143" i="15" s="1"/>
  <c r="Q1142" i="15"/>
  <c r="Q1143" i="15" s="1"/>
  <c r="H1140" i="15"/>
  <c r="C1140" i="15"/>
  <c r="B1144" i="15"/>
  <c r="B1141" i="15"/>
  <c r="D337" i="29"/>
  <c r="B337" i="29"/>
  <c r="R1137" i="15"/>
  <c r="R1138" i="15" s="1"/>
  <c r="Q1137" i="15"/>
  <c r="H1135" i="15"/>
  <c r="C1135" i="15"/>
  <c r="B1139" i="15"/>
  <c r="B1136" i="15"/>
  <c r="D336" i="29"/>
  <c r="B336" i="29"/>
  <c r="Q1132" i="15"/>
  <c r="P1132" i="15"/>
  <c r="P1133" i="15" s="1"/>
  <c r="H1130" i="15"/>
  <c r="C1130" i="15"/>
  <c r="B1134" i="15"/>
  <c r="B1131" i="15"/>
  <c r="B335" i="29"/>
  <c r="D334" i="29"/>
  <c r="B334" i="29"/>
  <c r="T1127" i="15"/>
  <c r="T1128" i="15" s="1"/>
  <c r="R1127" i="15"/>
  <c r="R1128" i="15" s="1"/>
  <c r="Q1127" i="15"/>
  <c r="Q1128" i="15" s="1"/>
  <c r="P1127" i="15"/>
  <c r="P1128" i="15" s="1"/>
  <c r="H1125" i="15"/>
  <c r="C1125" i="15"/>
  <c r="B1129" i="15"/>
  <c r="B1126" i="15"/>
  <c r="D333" i="29"/>
  <c r="B333" i="29"/>
  <c r="R1122" i="15"/>
  <c r="R1123" i="15" s="1"/>
  <c r="Q1122" i="15"/>
  <c r="H1120" i="15"/>
  <c r="C1120" i="15"/>
  <c r="B1124" i="15"/>
  <c r="B1121" i="15"/>
  <c r="D332" i="29"/>
  <c r="B332" i="29"/>
  <c r="R1117" i="15"/>
  <c r="R1118" i="15" s="1"/>
  <c r="Q1117" i="15"/>
  <c r="P1117" i="15"/>
  <c r="P1118" i="15" s="1"/>
  <c r="H1115" i="15"/>
  <c r="C1115" i="15"/>
  <c r="B1119" i="15"/>
  <c r="B1116" i="15"/>
  <c r="D331" i="29"/>
  <c r="B331" i="29"/>
  <c r="U1112" i="15"/>
  <c r="U1113" i="15" s="1"/>
  <c r="R1112" i="15"/>
  <c r="R1113" i="15" s="1"/>
  <c r="Q1112" i="15"/>
  <c r="Q1113" i="15" s="1"/>
  <c r="P1112" i="15"/>
  <c r="P1113" i="15" s="1"/>
  <c r="H1110" i="15"/>
  <c r="C1110" i="15"/>
  <c r="B1114" i="15"/>
  <c r="B1111" i="15"/>
  <c r="D330" i="29"/>
  <c r="B330" i="29"/>
  <c r="T1107" i="15"/>
  <c r="T1108" i="15" s="1"/>
  <c r="R1107" i="15"/>
  <c r="R1108" i="15" s="1"/>
  <c r="Q1107" i="15"/>
  <c r="P1107" i="15"/>
  <c r="H1105" i="15"/>
  <c r="C1105" i="15"/>
  <c r="B1109" i="15"/>
  <c r="B1106" i="15"/>
  <c r="D329" i="29"/>
  <c r="B329" i="29"/>
  <c r="R1102" i="15"/>
  <c r="R1103" i="15" s="1"/>
  <c r="Q1102" i="15"/>
  <c r="Q1103" i="15" s="1"/>
  <c r="P1102" i="15"/>
  <c r="P1103" i="15" s="1"/>
  <c r="H1100" i="15"/>
  <c r="C1100" i="15"/>
  <c r="B1104" i="15"/>
  <c r="B1101" i="15"/>
  <c r="D328" i="29"/>
  <c r="B328" i="29"/>
  <c r="S1097" i="15"/>
  <c r="S1098" i="15" s="1"/>
  <c r="R1097" i="15"/>
  <c r="R1098" i="15" s="1"/>
  <c r="Q1097" i="15"/>
  <c r="P1097" i="15"/>
  <c r="H1095" i="15"/>
  <c r="C1095" i="15"/>
  <c r="B1099" i="15"/>
  <c r="B1096" i="15"/>
  <c r="D327" i="29"/>
  <c r="B327" i="29"/>
  <c r="T1092" i="15"/>
  <c r="T1093" i="15" s="1"/>
  <c r="R1092" i="15"/>
  <c r="R1093" i="15" s="1"/>
  <c r="Q1092" i="15"/>
  <c r="Q1093" i="15" s="1"/>
  <c r="P1092" i="15"/>
  <c r="H1090" i="15"/>
  <c r="C1090" i="15"/>
  <c r="B1094" i="15"/>
  <c r="B1091" i="15"/>
  <c r="D326" i="29"/>
  <c r="B326" i="29"/>
  <c r="S1087" i="15"/>
  <c r="S1088" i="15" s="1"/>
  <c r="R1087" i="15"/>
  <c r="R1088" i="15" s="1"/>
  <c r="Q1087" i="15"/>
  <c r="Q1088" i="15" s="1"/>
  <c r="P1087" i="15"/>
  <c r="P1088" i="15" s="1"/>
  <c r="H1085" i="15"/>
  <c r="C1085" i="15"/>
  <c r="B1089" i="15"/>
  <c r="B1086" i="15"/>
  <c r="D325" i="29"/>
  <c r="B325" i="29"/>
  <c r="S1082" i="15"/>
  <c r="S1083" i="15" s="1"/>
  <c r="R1082" i="15"/>
  <c r="R1083" i="15" s="1"/>
  <c r="Q1082" i="15"/>
  <c r="P1082" i="15"/>
  <c r="P1083" i="15" s="1"/>
  <c r="C1080" i="15"/>
  <c r="B1084" i="15"/>
  <c r="B1081" i="15"/>
  <c r="D324" i="29"/>
  <c r="B324" i="29"/>
  <c r="P1077" i="15"/>
  <c r="P1078" i="15" s="1"/>
  <c r="H1075" i="15"/>
  <c r="G1075" i="15"/>
  <c r="C1075" i="15"/>
  <c r="B1079" i="15"/>
  <c r="B1076" i="15"/>
  <c r="B323" i="29"/>
  <c r="D322" i="29"/>
  <c r="B322" i="29"/>
  <c r="R1072" i="15"/>
  <c r="R1073" i="15" s="1"/>
  <c r="Q1072" i="15"/>
  <c r="P1072" i="15"/>
  <c r="H1070" i="15"/>
  <c r="C1070" i="15"/>
  <c r="B1074" i="15"/>
  <c r="B1071" i="15"/>
  <c r="D321" i="29"/>
  <c r="B321" i="29"/>
  <c r="R1067" i="15"/>
  <c r="R1068" i="15" s="1"/>
  <c r="Q1067" i="15"/>
  <c r="P1067" i="15"/>
  <c r="P1068" i="15" s="1"/>
  <c r="H1065" i="15"/>
  <c r="C1065" i="15"/>
  <c r="B1069" i="15"/>
  <c r="B1066" i="15"/>
  <c r="D320" i="29"/>
  <c r="B320" i="29"/>
  <c r="S1062" i="15"/>
  <c r="S1063" i="15" s="1"/>
  <c r="Q1062" i="15"/>
  <c r="P1062" i="15"/>
  <c r="H1060" i="15"/>
  <c r="C1060" i="15"/>
  <c r="B1064" i="15"/>
  <c r="B1061" i="15"/>
  <c r="B319" i="29"/>
  <c r="D318" i="29"/>
  <c r="B318" i="29"/>
  <c r="W1057" i="15"/>
  <c r="W1058" i="15" s="1"/>
  <c r="V1057" i="15"/>
  <c r="V1058" i="15" s="1"/>
  <c r="U1057" i="15"/>
  <c r="U1058" i="15" s="1"/>
  <c r="S1057" i="15"/>
  <c r="S1058" i="15" s="1"/>
  <c r="Q1057" i="15"/>
  <c r="P1057" i="15"/>
  <c r="H1055" i="15"/>
  <c r="C1055" i="15"/>
  <c r="B1059" i="15"/>
  <c r="B1056" i="15"/>
  <c r="D317" i="29"/>
  <c r="B317" i="29"/>
  <c r="U1052" i="15"/>
  <c r="U1053" i="15" s="1"/>
  <c r="R1052" i="15"/>
  <c r="R1053" i="15" s="1"/>
  <c r="Q1052" i="15"/>
  <c r="P1052" i="15"/>
  <c r="P1053" i="15" s="1"/>
  <c r="H1050" i="15"/>
  <c r="C1050" i="15"/>
  <c r="B1054" i="15"/>
  <c r="B1051" i="15"/>
  <c r="D316" i="29"/>
  <c r="B316" i="29"/>
  <c r="W1047" i="15"/>
  <c r="W1048" i="15" s="1"/>
  <c r="V1047" i="15"/>
  <c r="V1048" i="15" s="1"/>
  <c r="R1047" i="15"/>
  <c r="R1048" i="15" s="1"/>
  <c r="Q1047" i="15"/>
  <c r="P1047" i="15"/>
  <c r="P1048" i="15" s="1"/>
  <c r="H1045" i="15"/>
  <c r="C1045" i="15"/>
  <c r="B1049" i="15"/>
  <c r="B1046" i="15"/>
  <c r="B315" i="29"/>
  <c r="B314" i="29"/>
  <c r="D313" i="29"/>
  <c r="B313" i="29"/>
  <c r="S1042" i="15"/>
  <c r="S1043" i="15" s="1"/>
  <c r="R1042" i="15"/>
  <c r="R1043" i="15" s="1"/>
  <c r="Q1042" i="15"/>
  <c r="Q1043" i="15" s="1"/>
  <c r="P1042" i="15"/>
  <c r="P1043" i="15" s="1"/>
  <c r="H1040" i="15"/>
  <c r="C1040" i="15"/>
  <c r="B1044" i="15"/>
  <c r="B1041" i="15"/>
  <c r="B312" i="29"/>
  <c r="D311" i="29"/>
  <c r="B311" i="29"/>
  <c r="R1037" i="15"/>
  <c r="R1038" i="15" s="1"/>
  <c r="Q1037" i="15"/>
  <c r="P1037" i="15"/>
  <c r="H1035" i="15"/>
  <c r="C1035" i="15"/>
  <c r="B1039" i="15"/>
  <c r="B1036" i="15"/>
  <c r="D310" i="29"/>
  <c r="B310" i="29"/>
  <c r="R1032" i="15"/>
  <c r="R1033" i="15" s="1"/>
  <c r="Q1032" i="15"/>
  <c r="Q1033" i="15" s="1"/>
  <c r="P1032" i="15"/>
  <c r="P1033" i="15" s="1"/>
  <c r="C1030" i="15"/>
  <c r="B1034" i="15"/>
  <c r="B1031" i="15"/>
  <c r="D309" i="29"/>
  <c r="B309" i="29"/>
  <c r="P1027" i="15"/>
  <c r="H1025" i="15"/>
  <c r="G1025" i="15"/>
  <c r="C1025" i="15"/>
  <c r="B1029" i="15"/>
  <c r="B1026" i="15"/>
  <c r="B308" i="29"/>
  <c r="D307" i="29"/>
  <c r="B307" i="29"/>
  <c r="T1022" i="15"/>
  <c r="T1023" i="15" s="1"/>
  <c r="S1022" i="15"/>
  <c r="S1023" i="15" s="1"/>
  <c r="R1022" i="15"/>
  <c r="R1023" i="15" s="1"/>
  <c r="Q1022" i="15"/>
  <c r="P1022" i="15"/>
  <c r="H1020" i="15"/>
  <c r="C1020" i="15"/>
  <c r="B1024" i="15"/>
  <c r="B1021" i="15"/>
  <c r="B306" i="29"/>
  <c r="D305" i="29"/>
  <c r="B305" i="29"/>
  <c r="R1017" i="15"/>
  <c r="R1018" i="15" s="1"/>
  <c r="Q1017" i="15"/>
  <c r="P1017" i="15"/>
  <c r="H1015" i="15"/>
  <c r="C1015" i="15"/>
  <c r="B1019" i="15"/>
  <c r="B1016" i="15"/>
  <c r="B304" i="29"/>
  <c r="B303" i="29"/>
  <c r="D302" i="29"/>
  <c r="B302" i="29"/>
  <c r="D301" i="29"/>
  <c r="B301" i="29"/>
  <c r="D300" i="29"/>
  <c r="B300" i="29"/>
  <c r="B299" i="29"/>
  <c r="D298" i="29"/>
  <c r="B298" i="29"/>
  <c r="V1012" i="15"/>
  <c r="V1013" i="15" s="1"/>
  <c r="T1012" i="15"/>
  <c r="T1013" i="15" s="1"/>
  <c r="Q1012" i="15"/>
  <c r="P1012" i="15"/>
  <c r="H1010" i="15"/>
  <c r="C1010" i="15"/>
  <c r="B1014" i="15"/>
  <c r="B1011" i="15"/>
  <c r="D297" i="29"/>
  <c r="B297" i="29"/>
  <c r="S1007" i="15"/>
  <c r="S1008" i="15" s="1"/>
  <c r="R1007" i="15"/>
  <c r="R1008" i="15" s="1"/>
  <c r="Q1007" i="15"/>
  <c r="Q1008" i="15" s="1"/>
  <c r="P1007" i="15"/>
  <c r="P1008" i="15" s="1"/>
  <c r="H1005" i="15"/>
  <c r="C1005" i="15"/>
  <c r="B1009" i="15"/>
  <c r="B1006" i="15"/>
  <c r="B296" i="29"/>
  <c r="D295" i="29"/>
  <c r="B295" i="29"/>
  <c r="V1002" i="15"/>
  <c r="V1003" i="15" s="1"/>
  <c r="T1002" i="15"/>
  <c r="T1003" i="15" s="1"/>
  <c r="S1002" i="15"/>
  <c r="S1003" i="15" s="1"/>
  <c r="Q1002" i="15"/>
  <c r="Q1003" i="15" s="1"/>
  <c r="P1002" i="15"/>
  <c r="P1003" i="15" s="1"/>
  <c r="H1000" i="15"/>
  <c r="C1000" i="15"/>
  <c r="B1004" i="15"/>
  <c r="B1001" i="15"/>
  <c r="D294" i="29"/>
  <c r="B294" i="29"/>
  <c r="U997" i="15"/>
  <c r="U998" i="15" s="1"/>
  <c r="T997" i="15"/>
  <c r="T998" i="15" s="1"/>
  <c r="R997" i="15"/>
  <c r="R998" i="15" s="1"/>
  <c r="Q997" i="15"/>
  <c r="P997" i="15"/>
  <c r="H995" i="15"/>
  <c r="C995" i="15"/>
  <c r="B999" i="15"/>
  <c r="B996" i="15"/>
  <c r="B293" i="29"/>
  <c r="B292" i="29"/>
  <c r="D291" i="29"/>
  <c r="B291" i="29"/>
  <c r="H990" i="15"/>
  <c r="F990" i="15"/>
  <c r="C990" i="15"/>
  <c r="B994" i="15"/>
  <c r="B991" i="15"/>
  <c r="D290" i="29"/>
  <c r="B290" i="29"/>
  <c r="P987" i="15"/>
  <c r="P988" i="15" s="1"/>
  <c r="O987" i="15"/>
  <c r="O988" i="15" s="1"/>
  <c r="H985" i="15"/>
  <c r="C985" i="15"/>
  <c r="B989" i="15"/>
  <c r="B986" i="15"/>
  <c r="D289" i="29"/>
  <c r="B289" i="29"/>
  <c r="Q982" i="15"/>
  <c r="Q983" i="15" s="1"/>
  <c r="O982" i="15"/>
  <c r="H980" i="15"/>
  <c r="C980" i="15"/>
  <c r="B984" i="15"/>
  <c r="B981" i="15"/>
  <c r="D288" i="29"/>
  <c r="B288" i="29"/>
  <c r="S977" i="15"/>
  <c r="S978" i="15" s="1"/>
  <c r="R977" i="15"/>
  <c r="R978" i="15" s="1"/>
  <c r="Q977" i="15"/>
  <c r="Q978" i="15" s="1"/>
  <c r="P977" i="15"/>
  <c r="H975" i="15"/>
  <c r="C975" i="15"/>
  <c r="B979" i="15"/>
  <c r="B976" i="15"/>
  <c r="D287" i="29"/>
  <c r="B287" i="29"/>
  <c r="S972" i="15"/>
  <c r="S973" i="15" s="1"/>
  <c r="Q972" i="15"/>
  <c r="Q973" i="15" s="1"/>
  <c r="P972" i="15"/>
  <c r="P973" i="15" s="1"/>
  <c r="H970" i="15"/>
  <c r="C970" i="15"/>
  <c r="B974" i="15"/>
  <c r="B971" i="15"/>
  <c r="D286" i="29"/>
  <c r="B286" i="29"/>
  <c r="U967" i="15"/>
  <c r="U968" i="15" s="1"/>
  <c r="P967" i="15"/>
  <c r="H965" i="15"/>
  <c r="C965" i="15"/>
  <c r="B969" i="15"/>
  <c r="B966" i="15"/>
  <c r="D285" i="29"/>
  <c r="B285" i="29"/>
  <c r="W962" i="15"/>
  <c r="W963" i="15" s="1"/>
  <c r="V962" i="15"/>
  <c r="V963" i="15" s="1"/>
  <c r="S962" i="15"/>
  <c r="S963" i="15" s="1"/>
  <c r="Q962" i="15"/>
  <c r="Q963" i="15" s="1"/>
  <c r="P962" i="15"/>
  <c r="H960" i="15"/>
  <c r="C960" i="15"/>
  <c r="B964" i="15"/>
  <c r="B961" i="15"/>
  <c r="D284" i="29"/>
  <c r="B284" i="29"/>
  <c r="V957" i="15"/>
  <c r="V958" i="15" s="1"/>
  <c r="Q957" i="15"/>
  <c r="Q958" i="15" s="1"/>
  <c r="P957" i="15"/>
  <c r="P958" i="15" s="1"/>
  <c r="H955" i="15"/>
  <c r="C955" i="15"/>
  <c r="B959" i="15"/>
  <c r="B956" i="15"/>
  <c r="D283" i="29"/>
  <c r="B283" i="29"/>
  <c r="W952" i="15"/>
  <c r="W953" i="15" s="1"/>
  <c r="V952" i="15"/>
  <c r="V953" i="15" s="1"/>
  <c r="P952" i="15"/>
  <c r="P953" i="15" s="1"/>
  <c r="H950" i="15"/>
  <c r="C950" i="15"/>
  <c r="B954" i="15"/>
  <c r="B951" i="15"/>
  <c r="D282" i="29"/>
  <c r="B282" i="29"/>
  <c r="W947" i="15"/>
  <c r="W948" i="15" s="1"/>
  <c r="V947" i="15"/>
  <c r="V948" i="15" s="1"/>
  <c r="T947" i="15"/>
  <c r="T948" i="15" s="1"/>
  <c r="P947" i="15"/>
  <c r="P948" i="15" s="1"/>
  <c r="H945" i="15"/>
  <c r="C945" i="15"/>
  <c r="B949" i="15"/>
  <c r="B946" i="15"/>
  <c r="B281" i="29"/>
  <c r="D280" i="29"/>
  <c r="B280" i="29"/>
  <c r="D279" i="29"/>
  <c r="B279" i="29"/>
  <c r="Q942" i="15"/>
  <c r="Q943" i="15" s="1"/>
  <c r="P942" i="15"/>
  <c r="H940" i="15"/>
  <c r="C940" i="15"/>
  <c r="B944" i="15"/>
  <c r="B941" i="15"/>
  <c r="B278" i="29"/>
  <c r="D277" i="29"/>
  <c r="B277" i="29"/>
  <c r="D276" i="29"/>
  <c r="B276" i="29"/>
  <c r="U937" i="15"/>
  <c r="U938" i="15" s="1"/>
  <c r="T937" i="15"/>
  <c r="T938" i="15" s="1"/>
  <c r="Q937" i="15"/>
  <c r="P937" i="15"/>
  <c r="H935" i="15"/>
  <c r="C935" i="15"/>
  <c r="B939" i="15"/>
  <c r="B936" i="15"/>
  <c r="D275" i="29"/>
  <c r="B275" i="29"/>
  <c r="H930" i="15"/>
  <c r="F930" i="15"/>
  <c r="C930" i="15"/>
  <c r="B934" i="15"/>
  <c r="B931" i="15"/>
  <c r="D274" i="29"/>
  <c r="B274" i="29"/>
  <c r="O927" i="15"/>
  <c r="O928" i="15" s="1"/>
  <c r="E925" i="15" s="1"/>
  <c r="F274" i="29" s="1"/>
  <c r="G274" i="29" s="1"/>
  <c r="H925" i="15"/>
  <c r="G925" i="15"/>
  <c r="F925" i="15"/>
  <c r="C925" i="15"/>
  <c r="B929" i="15"/>
  <c r="B926" i="15"/>
  <c r="B273" i="29"/>
  <c r="D272" i="29"/>
  <c r="B272" i="29"/>
  <c r="O922" i="15"/>
  <c r="O923" i="15" s="1"/>
  <c r="E920" i="15" s="1"/>
  <c r="F272" i="29" s="1"/>
  <c r="G272" i="29" s="1"/>
  <c r="H920" i="15"/>
  <c r="G920" i="15"/>
  <c r="F920" i="15"/>
  <c r="C920" i="15"/>
  <c r="B924" i="15"/>
  <c r="B921" i="15"/>
  <c r="D271" i="29"/>
  <c r="B271" i="29"/>
  <c r="U917" i="15"/>
  <c r="U918" i="15" s="1"/>
  <c r="Q917" i="15"/>
  <c r="Q918" i="15" s="1"/>
  <c r="P917" i="15"/>
  <c r="H915" i="15"/>
  <c r="C915" i="15"/>
  <c r="B919" i="15"/>
  <c r="B916" i="15"/>
  <c r="D270" i="29"/>
  <c r="B270" i="29"/>
  <c r="W912" i="15"/>
  <c r="W913" i="15" s="1"/>
  <c r="Q912" i="15"/>
  <c r="P912" i="15"/>
  <c r="H910" i="15"/>
  <c r="C910" i="15"/>
  <c r="B914" i="15"/>
  <c r="B911" i="15"/>
  <c r="D269" i="29"/>
  <c r="B269" i="29"/>
  <c r="W907" i="15"/>
  <c r="W908" i="15" s="1"/>
  <c r="V907" i="15"/>
  <c r="V908" i="15" s="1"/>
  <c r="Q907" i="15"/>
  <c r="Q908" i="15" s="1"/>
  <c r="P907" i="15"/>
  <c r="H905" i="15"/>
  <c r="C905" i="15"/>
  <c r="B909" i="15"/>
  <c r="B906" i="15"/>
  <c r="D268" i="29"/>
  <c r="B268" i="29"/>
  <c r="W902" i="15"/>
  <c r="W903" i="15" s="1"/>
  <c r="V902" i="15"/>
  <c r="V903" i="15" s="1"/>
  <c r="Q902" i="15"/>
  <c r="Q903" i="15" s="1"/>
  <c r="P902" i="15"/>
  <c r="P903" i="15" s="1"/>
  <c r="H900" i="15"/>
  <c r="C900" i="15"/>
  <c r="B904" i="15"/>
  <c r="B901" i="15"/>
  <c r="D267" i="29"/>
  <c r="B267" i="29"/>
  <c r="U897" i="15"/>
  <c r="U898" i="15" s="1"/>
  <c r="T897" i="15"/>
  <c r="T898" i="15" s="1"/>
  <c r="Q897" i="15"/>
  <c r="Q898" i="15" s="1"/>
  <c r="P897" i="15"/>
  <c r="H895" i="15"/>
  <c r="C895" i="15"/>
  <c r="B899" i="15"/>
  <c r="B896" i="15"/>
  <c r="B266" i="29"/>
  <c r="D265" i="29"/>
  <c r="B265" i="29"/>
  <c r="Y892" i="15"/>
  <c r="Y893" i="15" s="1"/>
  <c r="V892" i="15"/>
  <c r="V893" i="15" s="1"/>
  <c r="U892" i="15"/>
  <c r="U893" i="15" s="1"/>
  <c r="Q892" i="15"/>
  <c r="P892" i="15"/>
  <c r="H890" i="15"/>
  <c r="C890" i="15"/>
  <c r="B894" i="15"/>
  <c r="B891" i="15"/>
  <c r="D264" i="29"/>
  <c r="B264" i="29"/>
  <c r="X887" i="15"/>
  <c r="X888" i="15" s="1"/>
  <c r="W887" i="15"/>
  <c r="W888" i="15" s="1"/>
  <c r="T887" i="15"/>
  <c r="T888" i="15" s="1"/>
  <c r="Q887" i="15"/>
  <c r="Q888" i="15" s="1"/>
  <c r="P887" i="15"/>
  <c r="P888" i="15" s="1"/>
  <c r="O887" i="15"/>
  <c r="O888" i="15" s="1"/>
  <c r="H885" i="15"/>
  <c r="C885" i="15"/>
  <c r="B889" i="15"/>
  <c r="B886" i="15"/>
  <c r="B263" i="29"/>
  <c r="B262" i="29"/>
  <c r="D261" i="29"/>
  <c r="B261" i="29"/>
  <c r="S882" i="15"/>
  <c r="S883" i="15" s="1"/>
  <c r="P882" i="15"/>
  <c r="P883" i="15" s="1"/>
  <c r="H880" i="15"/>
  <c r="C880" i="15"/>
  <c r="B884" i="15"/>
  <c r="B881" i="15"/>
  <c r="D260" i="29"/>
  <c r="B260" i="29"/>
  <c r="T877" i="15"/>
  <c r="T878" i="15" s="1"/>
  <c r="S877" i="15"/>
  <c r="S878" i="15" s="1"/>
  <c r="P877" i="15"/>
  <c r="P878" i="15" s="1"/>
  <c r="H875" i="15"/>
  <c r="C875" i="15"/>
  <c r="B879" i="15"/>
  <c r="B876" i="15"/>
  <c r="D259" i="29"/>
  <c r="B259" i="29"/>
  <c r="T872" i="15"/>
  <c r="T873" i="15" s="1"/>
  <c r="P872" i="15"/>
  <c r="H870" i="15"/>
  <c r="C870" i="15"/>
  <c r="B874" i="15"/>
  <c r="B871" i="15"/>
  <c r="B258" i="29"/>
  <c r="D257" i="29"/>
  <c r="B257" i="29"/>
  <c r="Y867" i="15"/>
  <c r="Y868" i="15" s="1"/>
  <c r="U867" i="15"/>
  <c r="U868" i="15" s="1"/>
  <c r="R867" i="15"/>
  <c r="R868" i="15" s="1"/>
  <c r="Q867" i="15"/>
  <c r="Q868" i="15" s="1"/>
  <c r="P867" i="15"/>
  <c r="H865" i="15"/>
  <c r="C865" i="15"/>
  <c r="B869" i="15"/>
  <c r="B866" i="15"/>
  <c r="D256" i="29"/>
  <c r="B256" i="29"/>
  <c r="Z862" i="15"/>
  <c r="Z863" i="15" s="1"/>
  <c r="W862" i="15"/>
  <c r="W863" i="15" s="1"/>
  <c r="V862" i="15"/>
  <c r="V863" i="15" s="1"/>
  <c r="Q862" i="15"/>
  <c r="P862" i="15"/>
  <c r="P863" i="15" s="1"/>
  <c r="H860" i="15"/>
  <c r="C860" i="15"/>
  <c r="B864" i="15"/>
  <c r="B861" i="15"/>
  <c r="D255" i="29"/>
  <c r="B255" i="29"/>
  <c r="W857" i="15"/>
  <c r="W858" i="15" s="1"/>
  <c r="T857" i="15"/>
  <c r="T858" i="15" s="1"/>
  <c r="R857" i="15"/>
  <c r="R858" i="15" s="1"/>
  <c r="Q857" i="15"/>
  <c r="P857" i="15"/>
  <c r="H855" i="15"/>
  <c r="C855" i="15"/>
  <c r="B859" i="15"/>
  <c r="B856" i="15"/>
  <c r="D254" i="29"/>
  <c r="B254" i="29"/>
  <c r="W852" i="15"/>
  <c r="W853" i="15" s="1"/>
  <c r="V852" i="15"/>
  <c r="V853" i="15" s="1"/>
  <c r="S852" i="15"/>
  <c r="S853" i="15" s="1"/>
  <c r="R852" i="15"/>
  <c r="R853" i="15" s="1"/>
  <c r="Q852" i="15"/>
  <c r="Q853" i="15" s="1"/>
  <c r="P852" i="15"/>
  <c r="P853" i="15" s="1"/>
  <c r="H850" i="15"/>
  <c r="C850" i="15"/>
  <c r="B854" i="15"/>
  <c r="B851" i="15"/>
  <c r="D253" i="29"/>
  <c r="B253" i="29"/>
  <c r="U847" i="15"/>
  <c r="U848" i="15" s="1"/>
  <c r="T847" i="15"/>
  <c r="T848" i="15" s="1"/>
  <c r="R847" i="15"/>
  <c r="R848" i="15" s="1"/>
  <c r="Q847" i="15"/>
  <c r="Q848" i="15" s="1"/>
  <c r="P847" i="15"/>
  <c r="H845" i="15"/>
  <c r="C845" i="15"/>
  <c r="B849" i="15"/>
  <c r="B846" i="15"/>
  <c r="D252" i="29"/>
  <c r="B252" i="29"/>
  <c r="W842" i="15"/>
  <c r="W843" i="15" s="1"/>
  <c r="V842" i="15"/>
  <c r="V843" i="15" s="1"/>
  <c r="S842" i="15"/>
  <c r="S843" i="15" s="1"/>
  <c r="R842" i="15"/>
  <c r="R843" i="15" s="1"/>
  <c r="Q842" i="15"/>
  <c r="Q843" i="15" s="1"/>
  <c r="P842" i="15"/>
  <c r="P843" i="15" s="1"/>
  <c r="H840" i="15"/>
  <c r="C840" i="15"/>
  <c r="B844" i="15"/>
  <c r="B841" i="15"/>
  <c r="B251" i="29"/>
  <c r="B250" i="29"/>
  <c r="B249" i="29"/>
  <c r="D248" i="29"/>
  <c r="B248" i="29"/>
  <c r="P837" i="15"/>
  <c r="H835" i="15"/>
  <c r="C835" i="15"/>
  <c r="B839" i="15"/>
  <c r="B836" i="15"/>
  <c r="D247" i="29"/>
  <c r="B247" i="29"/>
  <c r="P832" i="15"/>
  <c r="H830" i="15"/>
  <c r="C830" i="15"/>
  <c r="B834" i="15"/>
  <c r="B831" i="15"/>
  <c r="D246" i="29"/>
  <c r="B246" i="29"/>
  <c r="Z827" i="15"/>
  <c r="Z828" i="15" s="1"/>
  <c r="X827" i="15"/>
  <c r="X828" i="15" s="1"/>
  <c r="W827" i="15"/>
  <c r="W828" i="15" s="1"/>
  <c r="V827" i="15"/>
  <c r="V828" i="15" s="1"/>
  <c r="U827" i="15"/>
  <c r="U828" i="15" s="1"/>
  <c r="T827" i="15"/>
  <c r="T828" i="15" s="1"/>
  <c r="S827" i="15"/>
  <c r="S828" i="15" s="1"/>
  <c r="R827" i="15"/>
  <c r="R828" i="15" s="1"/>
  <c r="Q827" i="15"/>
  <c r="Q828" i="15" s="1"/>
  <c r="P827" i="15"/>
  <c r="P828" i="15" s="1"/>
  <c r="H825" i="15"/>
  <c r="C825" i="15"/>
  <c r="B829" i="15"/>
  <c r="B826" i="15"/>
  <c r="B245" i="29"/>
  <c r="D244" i="29"/>
  <c r="B244" i="29"/>
  <c r="T822" i="15"/>
  <c r="T823" i="15" s="1"/>
  <c r="S822" i="15"/>
  <c r="S823" i="15" s="1"/>
  <c r="R822" i="15"/>
  <c r="R823" i="15" s="1"/>
  <c r="Q822" i="15"/>
  <c r="Q823" i="15" s="1"/>
  <c r="P822" i="15"/>
  <c r="P823" i="15" s="1"/>
  <c r="H820" i="15"/>
  <c r="C820" i="15"/>
  <c r="B824" i="15"/>
  <c r="B821" i="15"/>
  <c r="D243" i="29"/>
  <c r="B243" i="29"/>
  <c r="P817" i="15"/>
  <c r="P818" i="15" s="1"/>
  <c r="H815" i="15"/>
  <c r="G815" i="15"/>
  <c r="C815" i="15"/>
  <c r="B819" i="15"/>
  <c r="B816" i="15"/>
  <c r="B242" i="29"/>
  <c r="D241" i="29"/>
  <c r="B241" i="29"/>
  <c r="U812" i="15"/>
  <c r="U813" i="15" s="1"/>
  <c r="T812" i="15"/>
  <c r="T813" i="15" s="1"/>
  <c r="R812" i="15"/>
  <c r="R813" i="15" s="1"/>
  <c r="Q812" i="15"/>
  <c r="P812" i="15"/>
  <c r="H810" i="15"/>
  <c r="C810" i="15"/>
  <c r="B814" i="15"/>
  <c r="B811" i="15"/>
  <c r="D240" i="29"/>
  <c r="B240" i="29"/>
  <c r="U807" i="15"/>
  <c r="U808" i="15" s="1"/>
  <c r="T807" i="15"/>
  <c r="T808" i="15" s="1"/>
  <c r="R807" i="15"/>
  <c r="R808" i="15" s="1"/>
  <c r="Q807" i="15"/>
  <c r="Q808" i="15" s="1"/>
  <c r="P807" i="15"/>
  <c r="P808" i="15" s="1"/>
  <c r="H805" i="15"/>
  <c r="C805" i="15"/>
  <c r="B809" i="15"/>
  <c r="B806" i="15"/>
  <c r="D239" i="29"/>
  <c r="B239" i="29"/>
  <c r="T802" i="15"/>
  <c r="T803" i="15" s="1"/>
  <c r="S802" i="15"/>
  <c r="S803" i="15" s="1"/>
  <c r="R802" i="15"/>
  <c r="R803" i="15" s="1"/>
  <c r="Q802" i="15"/>
  <c r="Q803" i="15" s="1"/>
  <c r="P802" i="15"/>
  <c r="H800" i="15"/>
  <c r="C800" i="15"/>
  <c r="B804" i="15"/>
  <c r="B801" i="15"/>
  <c r="D238" i="29"/>
  <c r="B238" i="29"/>
  <c r="U797" i="15"/>
  <c r="U798" i="15" s="1"/>
  <c r="T797" i="15"/>
  <c r="T798" i="15" s="1"/>
  <c r="S797" i="15"/>
  <c r="S798" i="15" s="1"/>
  <c r="R797" i="15"/>
  <c r="R798" i="15" s="1"/>
  <c r="Q797" i="15"/>
  <c r="Q798" i="15" s="1"/>
  <c r="P797" i="15"/>
  <c r="H795" i="15"/>
  <c r="C795" i="15"/>
  <c r="B799" i="15"/>
  <c r="B796" i="15"/>
  <c r="D237" i="29"/>
  <c r="B237" i="29"/>
  <c r="U792" i="15"/>
  <c r="U793" i="15" s="1"/>
  <c r="T792" i="15"/>
  <c r="T793" i="15" s="1"/>
  <c r="R792" i="15"/>
  <c r="R793" i="15" s="1"/>
  <c r="Q792" i="15"/>
  <c r="P792" i="15"/>
  <c r="P793" i="15" s="1"/>
  <c r="H790" i="15"/>
  <c r="C790" i="15"/>
  <c r="B794" i="15"/>
  <c r="B791" i="15"/>
  <c r="B236" i="29"/>
  <c r="D235" i="29"/>
  <c r="B235" i="29"/>
  <c r="T787" i="15"/>
  <c r="T788" i="15" s="1"/>
  <c r="R787" i="15"/>
  <c r="R788" i="15" s="1"/>
  <c r="Q787" i="15"/>
  <c r="P787" i="15"/>
  <c r="H785" i="15"/>
  <c r="C785" i="15"/>
  <c r="B789" i="15"/>
  <c r="B786" i="15"/>
  <c r="B234" i="29"/>
  <c r="D233" i="29"/>
  <c r="B233" i="29"/>
  <c r="V782" i="15"/>
  <c r="V783" i="15" s="1"/>
  <c r="T782" i="15"/>
  <c r="T783" i="15" s="1"/>
  <c r="S782" i="15"/>
  <c r="S783" i="15" s="1"/>
  <c r="Q782" i="15"/>
  <c r="P782" i="15"/>
  <c r="H780" i="15"/>
  <c r="C780" i="15"/>
  <c r="B784" i="15"/>
  <c r="B781" i="15"/>
  <c r="D232" i="29"/>
  <c r="B232" i="29"/>
  <c r="X777" i="15"/>
  <c r="X778" i="15" s="1"/>
  <c r="T777" i="15"/>
  <c r="T778" i="15" s="1"/>
  <c r="S777" i="15"/>
  <c r="S778" i="15" s="1"/>
  <c r="Q777" i="15"/>
  <c r="Q778" i="15" s="1"/>
  <c r="P777" i="15"/>
  <c r="P778" i="15" s="1"/>
  <c r="H775" i="15"/>
  <c r="C775" i="15"/>
  <c r="B779" i="15"/>
  <c r="B776" i="15"/>
  <c r="D231" i="29"/>
  <c r="B231" i="29"/>
  <c r="S772" i="15"/>
  <c r="S773" i="15" s="1"/>
  <c r="Q772" i="15"/>
  <c r="P772" i="15"/>
  <c r="H770" i="15"/>
  <c r="C770" i="15"/>
  <c r="B774" i="15"/>
  <c r="B771" i="15"/>
  <c r="B230" i="29"/>
  <c r="B229" i="29"/>
  <c r="D228" i="29"/>
  <c r="B228" i="29"/>
  <c r="Q767" i="15"/>
  <c r="Q768" i="15" s="1"/>
  <c r="P767" i="15"/>
  <c r="P768" i="15" s="1"/>
  <c r="H765" i="15"/>
  <c r="C765" i="15"/>
  <c r="B769" i="15"/>
  <c r="B766" i="15"/>
  <c r="D227" i="29"/>
  <c r="B227" i="29"/>
  <c r="O762" i="15"/>
  <c r="O763" i="15" s="1"/>
  <c r="E760" i="15" s="1"/>
  <c r="F227" i="29" s="1"/>
  <c r="G227" i="29" s="1"/>
  <c r="H760" i="15"/>
  <c r="F760" i="15"/>
  <c r="C760" i="15"/>
  <c r="B764" i="15"/>
  <c r="B761" i="15"/>
  <c r="D226" i="29"/>
  <c r="B226" i="29"/>
  <c r="O757" i="15"/>
  <c r="O758" i="15" s="1"/>
  <c r="E755" i="15" s="1"/>
  <c r="F226" i="29" s="1"/>
  <c r="G226" i="29" s="1"/>
  <c r="H755" i="15"/>
  <c r="F755" i="15"/>
  <c r="C755" i="15"/>
  <c r="B759" i="15"/>
  <c r="B756" i="15"/>
  <c r="D225" i="29"/>
  <c r="B225" i="29"/>
  <c r="H750" i="15"/>
  <c r="F750" i="15"/>
  <c r="C750" i="15"/>
  <c r="B754" i="15"/>
  <c r="B751" i="15"/>
  <c r="B224" i="29"/>
  <c r="D223" i="29"/>
  <c r="B223" i="29"/>
  <c r="P747" i="15"/>
  <c r="P748" i="15" s="1"/>
  <c r="H745" i="15"/>
  <c r="C745" i="15"/>
  <c r="B749" i="15"/>
  <c r="B746" i="15"/>
  <c r="D222" i="29"/>
  <c r="B222" i="29"/>
  <c r="O742" i="15"/>
  <c r="O743" i="15" s="1"/>
  <c r="E740" i="15" s="1"/>
  <c r="F222" i="29" s="1"/>
  <c r="G222" i="29" s="1"/>
  <c r="H740" i="15"/>
  <c r="F740" i="15"/>
  <c r="C740" i="15"/>
  <c r="B744" i="15"/>
  <c r="B741" i="15"/>
  <c r="D221" i="29"/>
  <c r="B221" i="29"/>
  <c r="O737" i="15"/>
  <c r="O738" i="15" s="1"/>
  <c r="E735" i="15" s="1"/>
  <c r="F221" i="29" s="1"/>
  <c r="G221" i="29" s="1"/>
  <c r="H735" i="15"/>
  <c r="F735" i="15"/>
  <c r="C735" i="15"/>
  <c r="B739" i="15"/>
  <c r="B736" i="15"/>
  <c r="D220" i="29"/>
  <c r="B220" i="29"/>
  <c r="O732" i="15"/>
  <c r="O733" i="15" s="1"/>
  <c r="E730" i="15" s="1"/>
  <c r="F220" i="29" s="1"/>
  <c r="G220" i="29" s="1"/>
  <c r="H730" i="15"/>
  <c r="F730" i="15"/>
  <c r="C730" i="15"/>
  <c r="B734" i="15"/>
  <c r="B731" i="15"/>
  <c r="D219" i="29"/>
  <c r="B219" i="29"/>
  <c r="H725" i="15"/>
  <c r="F725" i="15"/>
  <c r="C725" i="15"/>
  <c r="B729" i="15"/>
  <c r="B726" i="15"/>
  <c r="B218" i="29"/>
  <c r="D217" i="29"/>
  <c r="B217" i="29"/>
  <c r="P722" i="15"/>
  <c r="H720" i="15"/>
  <c r="C720" i="15"/>
  <c r="B724" i="15"/>
  <c r="B721" i="15"/>
  <c r="D216" i="29"/>
  <c r="B216" i="29"/>
  <c r="Q717" i="15"/>
  <c r="Q718" i="15" s="1"/>
  <c r="G715" i="15" s="1"/>
  <c r="P717" i="15"/>
  <c r="H715" i="15"/>
  <c r="C715" i="15"/>
  <c r="B719" i="15"/>
  <c r="B716" i="15"/>
  <c r="B215" i="29"/>
  <c r="B214" i="29"/>
  <c r="D213" i="29"/>
  <c r="B213" i="29"/>
  <c r="P712" i="15"/>
  <c r="O712" i="15"/>
  <c r="O713" i="15" s="1"/>
  <c r="H710" i="15"/>
  <c r="C710" i="15"/>
  <c r="B714" i="15"/>
  <c r="B711" i="15"/>
  <c r="D212" i="29"/>
  <c r="B212" i="29"/>
  <c r="O707" i="15"/>
  <c r="O708" i="15" s="1"/>
  <c r="E705" i="15" s="1"/>
  <c r="F212" i="29" s="1"/>
  <c r="G212" i="29" s="1"/>
  <c r="H705" i="15"/>
  <c r="F705" i="15"/>
  <c r="C705" i="15"/>
  <c r="B709" i="15"/>
  <c r="B706" i="15"/>
  <c r="D211" i="29"/>
  <c r="B211" i="29"/>
  <c r="H700" i="15"/>
  <c r="F700" i="15"/>
  <c r="C700" i="15"/>
  <c r="B704" i="15"/>
  <c r="B701" i="15"/>
  <c r="D210" i="29"/>
  <c r="B210" i="29"/>
  <c r="H695" i="15"/>
  <c r="F695" i="15"/>
  <c r="C695" i="15"/>
  <c r="B699" i="15"/>
  <c r="B696" i="15"/>
  <c r="B209" i="29"/>
  <c r="D208" i="29"/>
  <c r="B208" i="29"/>
  <c r="W692" i="15"/>
  <c r="W693" i="15" s="1"/>
  <c r="H690" i="15" s="1"/>
  <c r="V692" i="15"/>
  <c r="V693" i="15" s="1"/>
  <c r="U692" i="15"/>
  <c r="U693" i="15" s="1"/>
  <c r="S692" i="15"/>
  <c r="S693" i="15" s="1"/>
  <c r="R692" i="15"/>
  <c r="R693" i="15" s="1"/>
  <c r="Q692" i="15"/>
  <c r="P692" i="15"/>
  <c r="C690" i="15"/>
  <c r="B694" i="15"/>
  <c r="B691" i="15"/>
  <c r="D207" i="29"/>
  <c r="B207" i="29"/>
  <c r="W687" i="15"/>
  <c r="U687" i="15"/>
  <c r="U688" i="15" s="1"/>
  <c r="T687" i="15"/>
  <c r="T688" i="15" s="1"/>
  <c r="R687" i="15"/>
  <c r="R688" i="15" s="1"/>
  <c r="Q687" i="15"/>
  <c r="Q688" i="15" s="1"/>
  <c r="P687" i="15"/>
  <c r="P688" i="15" s="1"/>
  <c r="C685" i="15"/>
  <c r="B689" i="15"/>
  <c r="B686" i="15"/>
  <c r="B206" i="29"/>
  <c r="D205" i="29"/>
  <c r="B205" i="29"/>
  <c r="H680" i="15"/>
  <c r="F680" i="15"/>
  <c r="C680" i="15"/>
  <c r="B684" i="15"/>
  <c r="B681" i="15"/>
  <c r="B204" i="29"/>
  <c r="D203" i="29"/>
  <c r="B203" i="29"/>
  <c r="O677" i="15"/>
  <c r="O678" i="15" s="1"/>
  <c r="E675" i="15" s="1"/>
  <c r="F203" i="29" s="1"/>
  <c r="G203" i="29" s="1"/>
  <c r="G202" i="29" s="1"/>
  <c r="H675" i="15"/>
  <c r="F675" i="15"/>
  <c r="C675" i="15"/>
  <c r="B679" i="15"/>
  <c r="B676" i="15"/>
  <c r="B202" i="29"/>
  <c r="D201" i="29"/>
  <c r="B201" i="29"/>
  <c r="O672" i="15"/>
  <c r="O673" i="15" s="1"/>
  <c r="E670" i="15" s="1"/>
  <c r="F201" i="29" s="1"/>
  <c r="G201" i="29" s="1"/>
  <c r="G200" i="29" s="1"/>
  <c r="H670" i="15"/>
  <c r="F670" i="15"/>
  <c r="C670" i="15"/>
  <c r="B674" i="15"/>
  <c r="B671" i="15"/>
  <c r="B200" i="29"/>
  <c r="D199" i="29"/>
  <c r="B199" i="29"/>
  <c r="H665" i="15"/>
  <c r="F665" i="15"/>
  <c r="C665" i="15"/>
  <c r="B669" i="15"/>
  <c r="B666" i="15"/>
  <c r="B198" i="29"/>
  <c r="B197" i="29"/>
  <c r="D196" i="29"/>
  <c r="B196" i="29"/>
  <c r="H660" i="15"/>
  <c r="F660" i="15"/>
  <c r="C660" i="15"/>
  <c r="B664" i="15"/>
  <c r="B661" i="15"/>
  <c r="B195" i="29"/>
  <c r="D194" i="29"/>
  <c r="B194" i="29"/>
  <c r="O657" i="15"/>
  <c r="O658" i="15" s="1"/>
  <c r="E655" i="15" s="1"/>
  <c r="F194" i="29" s="1"/>
  <c r="G194" i="29" s="1"/>
  <c r="H655" i="15"/>
  <c r="F655" i="15"/>
  <c r="C655" i="15"/>
  <c r="B659" i="15"/>
  <c r="B656" i="15"/>
  <c r="D193" i="29"/>
  <c r="B193" i="29"/>
  <c r="O652" i="15"/>
  <c r="O653" i="15" s="1"/>
  <c r="E650" i="15" s="1"/>
  <c r="F193" i="29" s="1"/>
  <c r="G193" i="29" s="1"/>
  <c r="G192" i="29" s="1"/>
  <c r="H650" i="15"/>
  <c r="F650" i="15"/>
  <c r="C650" i="15"/>
  <c r="B654" i="15"/>
  <c r="B651" i="15"/>
  <c r="B192" i="29"/>
  <c r="D191" i="29"/>
  <c r="B191" i="29"/>
  <c r="R647" i="15"/>
  <c r="R648" i="15" s="1"/>
  <c r="Q647" i="15"/>
  <c r="Q648" i="15" s="1"/>
  <c r="P647" i="15"/>
  <c r="H645" i="15"/>
  <c r="C645" i="15"/>
  <c r="B649" i="15"/>
  <c r="B646" i="15"/>
  <c r="D190" i="29"/>
  <c r="B190" i="29"/>
  <c r="R642" i="15"/>
  <c r="R643" i="15" s="1"/>
  <c r="Q642" i="15"/>
  <c r="Q643" i="15" s="1"/>
  <c r="P642" i="15"/>
  <c r="P643" i="15" s="1"/>
  <c r="H640" i="15"/>
  <c r="C640" i="15"/>
  <c r="B644" i="15"/>
  <c r="B641" i="15"/>
  <c r="D189" i="29"/>
  <c r="B189" i="29"/>
  <c r="T637" i="15"/>
  <c r="T638" i="15" s="1"/>
  <c r="Q637" i="15"/>
  <c r="P637" i="15"/>
  <c r="H635" i="15"/>
  <c r="C635" i="15"/>
  <c r="B639" i="15"/>
  <c r="B636" i="15"/>
  <c r="D188" i="29"/>
  <c r="B188" i="29"/>
  <c r="Q632" i="15"/>
  <c r="Q633" i="15" s="1"/>
  <c r="P632" i="15"/>
  <c r="H630" i="15"/>
  <c r="C630" i="15"/>
  <c r="B634" i="15"/>
  <c r="B631" i="15"/>
  <c r="D187" i="29"/>
  <c r="B187" i="29"/>
  <c r="T627" i="15"/>
  <c r="T628" i="15" s="1"/>
  <c r="S627" i="15"/>
  <c r="S628" i="15" s="1"/>
  <c r="Q627" i="15"/>
  <c r="Q628" i="15" s="1"/>
  <c r="P627" i="15"/>
  <c r="P628" i="15" s="1"/>
  <c r="H625" i="15"/>
  <c r="C625" i="15"/>
  <c r="B629" i="15"/>
  <c r="B626" i="15"/>
  <c r="D186" i="29"/>
  <c r="B186" i="29"/>
  <c r="Q622" i="15"/>
  <c r="Q623" i="15" s="1"/>
  <c r="P622" i="15"/>
  <c r="H620" i="15"/>
  <c r="C620" i="15"/>
  <c r="B624" i="15"/>
  <c r="B621" i="15"/>
  <c r="B185" i="29"/>
  <c r="B184" i="29"/>
  <c r="D183" i="29"/>
  <c r="B183" i="29"/>
  <c r="W617" i="15"/>
  <c r="W618" i="15" s="1"/>
  <c r="V617" i="15"/>
  <c r="V618" i="15" s="1"/>
  <c r="U617" i="15"/>
  <c r="U618" i="15" s="1"/>
  <c r="T617" i="15"/>
  <c r="T618" i="15" s="1"/>
  <c r="S617" i="15"/>
  <c r="S618" i="15" s="1"/>
  <c r="R617" i="15"/>
  <c r="Q617" i="15"/>
  <c r="Q618" i="15" s="1"/>
  <c r="P617" i="15"/>
  <c r="H615" i="15"/>
  <c r="C615" i="15"/>
  <c r="B619" i="15"/>
  <c r="B616" i="15"/>
  <c r="B182" i="29"/>
  <c r="D181" i="29"/>
  <c r="B181" i="29"/>
  <c r="S612" i="15"/>
  <c r="S613" i="15" s="1"/>
  <c r="R612" i="15"/>
  <c r="R613" i="15" s="1"/>
  <c r="Q612" i="15"/>
  <c r="Q613" i="15" s="1"/>
  <c r="P612" i="15"/>
  <c r="H610" i="15"/>
  <c r="C610" i="15"/>
  <c r="B614" i="15"/>
  <c r="B611" i="15"/>
  <c r="D180" i="29"/>
  <c r="B180" i="29"/>
  <c r="W607" i="15"/>
  <c r="W608" i="15" s="1"/>
  <c r="U607" i="15"/>
  <c r="U608" i="15" s="1"/>
  <c r="T607" i="15"/>
  <c r="T608" i="15" s="1"/>
  <c r="S607" i="15"/>
  <c r="S608" i="15" s="1"/>
  <c r="R607" i="15"/>
  <c r="R608" i="15" s="1"/>
  <c r="Q607" i="15"/>
  <c r="P607" i="15"/>
  <c r="H605" i="15"/>
  <c r="C605" i="15"/>
  <c r="B609" i="15"/>
  <c r="B606" i="15"/>
  <c r="D179" i="29"/>
  <c r="B179" i="29"/>
  <c r="W602" i="15"/>
  <c r="W603" i="15" s="1"/>
  <c r="U602" i="15"/>
  <c r="U603" i="15" s="1"/>
  <c r="T602" i="15"/>
  <c r="T603" i="15" s="1"/>
  <c r="S602" i="15"/>
  <c r="S603" i="15" s="1"/>
  <c r="R602" i="15"/>
  <c r="R603" i="15" s="1"/>
  <c r="Q602" i="15"/>
  <c r="P602" i="15"/>
  <c r="P603" i="15" s="1"/>
  <c r="H600" i="15"/>
  <c r="C600" i="15"/>
  <c r="B604" i="15"/>
  <c r="B601" i="15"/>
  <c r="D178" i="29"/>
  <c r="B178" i="29"/>
  <c r="W597" i="15"/>
  <c r="W598" i="15" s="1"/>
  <c r="S597" i="15"/>
  <c r="S598" i="15" s="1"/>
  <c r="R597" i="15"/>
  <c r="R598" i="15" s="1"/>
  <c r="Q597" i="15"/>
  <c r="Q598" i="15" s="1"/>
  <c r="P597" i="15"/>
  <c r="P598" i="15" s="1"/>
  <c r="H595" i="15"/>
  <c r="C595" i="15"/>
  <c r="B599" i="15"/>
  <c r="B596" i="15"/>
  <c r="B177" i="29"/>
  <c r="D176" i="29"/>
  <c r="B176" i="29"/>
  <c r="V592" i="15"/>
  <c r="V593" i="15" s="1"/>
  <c r="U592" i="15"/>
  <c r="U593" i="15" s="1"/>
  <c r="T592" i="15"/>
  <c r="T593" i="15" s="1"/>
  <c r="S592" i="15"/>
  <c r="S593" i="15" s="1"/>
  <c r="R592" i="15"/>
  <c r="R593" i="15" s="1"/>
  <c r="Q592" i="15"/>
  <c r="P592" i="15"/>
  <c r="H590" i="15"/>
  <c r="C590" i="15"/>
  <c r="B594" i="15"/>
  <c r="B591" i="15"/>
  <c r="B175" i="29"/>
  <c r="B174" i="29"/>
  <c r="D173" i="29"/>
  <c r="B173" i="29"/>
  <c r="AA587" i="15"/>
  <c r="AA588" i="15" s="1"/>
  <c r="Y587" i="15"/>
  <c r="Y588" i="15" s="1"/>
  <c r="X587" i="15"/>
  <c r="W587" i="15"/>
  <c r="W588" i="15" s="1"/>
  <c r="V587" i="15"/>
  <c r="V588" i="15" s="1"/>
  <c r="U587" i="15"/>
  <c r="U588" i="15" s="1"/>
  <c r="T587" i="15"/>
  <c r="T588" i="15" s="1"/>
  <c r="S587" i="15"/>
  <c r="S588" i="15" s="1"/>
  <c r="R587" i="15"/>
  <c r="R588" i="15" s="1"/>
  <c r="Q587" i="15"/>
  <c r="Q588" i="15" s="1"/>
  <c r="P587" i="15"/>
  <c r="P588" i="15" s="1"/>
  <c r="C585" i="15"/>
  <c r="B589" i="15"/>
  <c r="B586" i="15"/>
  <c r="D172" i="29"/>
  <c r="B172" i="29"/>
  <c r="T582" i="15"/>
  <c r="T583" i="15" s="1"/>
  <c r="S582" i="15"/>
  <c r="S583" i="15" s="1"/>
  <c r="R582" i="15"/>
  <c r="R583" i="15" s="1"/>
  <c r="Q582" i="15"/>
  <c r="Q583" i="15" s="1"/>
  <c r="P582" i="15"/>
  <c r="P583" i="15" s="1"/>
  <c r="H580" i="15"/>
  <c r="C580" i="15"/>
  <c r="B584" i="15"/>
  <c r="B581" i="15"/>
  <c r="D171" i="29"/>
  <c r="B171" i="29"/>
  <c r="W577" i="15"/>
  <c r="W578" i="15" s="1"/>
  <c r="U577" i="15"/>
  <c r="U578" i="15" s="1"/>
  <c r="T577" i="15"/>
  <c r="T578" i="15" s="1"/>
  <c r="S577" i="15"/>
  <c r="S578" i="15" s="1"/>
  <c r="R577" i="15"/>
  <c r="R578" i="15" s="1"/>
  <c r="Q577" i="15"/>
  <c r="Q578" i="15" s="1"/>
  <c r="P577" i="15"/>
  <c r="H575" i="15"/>
  <c r="C575" i="15"/>
  <c r="B579" i="15"/>
  <c r="B576" i="15"/>
  <c r="D170" i="29"/>
  <c r="B170" i="29"/>
  <c r="W572" i="15"/>
  <c r="W573" i="15" s="1"/>
  <c r="V572" i="15"/>
  <c r="V573" i="15" s="1"/>
  <c r="U572" i="15"/>
  <c r="U573" i="15" s="1"/>
  <c r="T572" i="15"/>
  <c r="T573" i="15" s="1"/>
  <c r="S572" i="15"/>
  <c r="S573" i="15" s="1"/>
  <c r="R572" i="15"/>
  <c r="R573" i="15" s="1"/>
  <c r="Q572" i="15"/>
  <c r="Q573" i="15" s="1"/>
  <c r="P572" i="15"/>
  <c r="P573" i="15" s="1"/>
  <c r="H570" i="15"/>
  <c r="C570" i="15"/>
  <c r="B574" i="15"/>
  <c r="B571" i="15"/>
  <c r="D169" i="29"/>
  <c r="B169" i="29"/>
  <c r="T567" i="15"/>
  <c r="T568" i="15" s="1"/>
  <c r="S567" i="15"/>
  <c r="S568" i="15" s="1"/>
  <c r="R567" i="15"/>
  <c r="R568" i="15" s="1"/>
  <c r="Q567" i="15"/>
  <c r="Q568" i="15" s="1"/>
  <c r="P567" i="15"/>
  <c r="P568" i="15" s="1"/>
  <c r="H565" i="15"/>
  <c r="C565" i="15"/>
  <c r="B569" i="15"/>
  <c r="B566" i="15"/>
  <c r="D168" i="29"/>
  <c r="B168" i="29"/>
  <c r="Z562" i="15"/>
  <c r="Z563" i="15" s="1"/>
  <c r="X562" i="15"/>
  <c r="X563" i="15" s="1"/>
  <c r="H560" i="15" s="1"/>
  <c r="W562" i="15"/>
  <c r="W563" i="15" s="1"/>
  <c r="V562" i="15"/>
  <c r="V563" i="15" s="1"/>
  <c r="U562" i="15"/>
  <c r="U563" i="15" s="1"/>
  <c r="T562" i="15"/>
  <c r="T563" i="15" s="1"/>
  <c r="S562" i="15"/>
  <c r="S563" i="15" s="1"/>
  <c r="R562" i="15"/>
  <c r="R563" i="15" s="1"/>
  <c r="Q562" i="15"/>
  <c r="Q563" i="15" s="1"/>
  <c r="P562" i="15"/>
  <c r="P563" i="15" s="1"/>
  <c r="C560" i="15"/>
  <c r="B564" i="15"/>
  <c r="B561" i="15"/>
  <c r="B167" i="29"/>
  <c r="D166" i="29"/>
  <c r="B166" i="29"/>
  <c r="X557" i="15"/>
  <c r="X558" i="15" s="1"/>
  <c r="V557" i="15"/>
  <c r="V558" i="15" s="1"/>
  <c r="U557" i="15"/>
  <c r="U558" i="15" s="1"/>
  <c r="T557" i="15"/>
  <c r="T558" i="15" s="1"/>
  <c r="S557" i="15"/>
  <c r="S558" i="15" s="1"/>
  <c r="R557" i="15"/>
  <c r="R558" i="15" s="1"/>
  <c r="Q557" i="15"/>
  <c r="P557" i="15"/>
  <c r="H555" i="15"/>
  <c r="C555" i="15"/>
  <c r="B559" i="15"/>
  <c r="B556" i="15"/>
  <c r="B165" i="29"/>
  <c r="D164" i="29"/>
  <c r="B164" i="29"/>
  <c r="U552" i="15"/>
  <c r="U553" i="15" s="1"/>
  <c r="T552" i="15"/>
  <c r="T553" i="15" s="1"/>
  <c r="S552" i="15"/>
  <c r="S553" i="15" s="1"/>
  <c r="R552" i="15"/>
  <c r="R553" i="15" s="1"/>
  <c r="Q552" i="15"/>
  <c r="Q553" i="15" s="1"/>
  <c r="P552" i="15"/>
  <c r="P553" i="15" s="1"/>
  <c r="H550" i="15"/>
  <c r="C550" i="15"/>
  <c r="B554" i="15"/>
  <c r="B551" i="15"/>
  <c r="D163" i="29"/>
  <c r="B163" i="29"/>
  <c r="U547" i="15"/>
  <c r="U548" i="15" s="1"/>
  <c r="T547" i="15"/>
  <c r="T548" i="15" s="1"/>
  <c r="S547" i="15"/>
  <c r="S548" i="15" s="1"/>
  <c r="R547" i="15"/>
  <c r="R548" i="15" s="1"/>
  <c r="Q547" i="15"/>
  <c r="P547" i="15"/>
  <c r="H545" i="15"/>
  <c r="C545" i="15"/>
  <c r="B549" i="15"/>
  <c r="B546" i="15"/>
  <c r="D162" i="29"/>
  <c r="B162" i="29"/>
  <c r="U542" i="15"/>
  <c r="U543" i="15" s="1"/>
  <c r="T542" i="15"/>
  <c r="T543" i="15" s="1"/>
  <c r="S542" i="15"/>
  <c r="S543" i="15" s="1"/>
  <c r="R542" i="15"/>
  <c r="R543" i="15" s="1"/>
  <c r="Q542" i="15"/>
  <c r="P542" i="15"/>
  <c r="H540" i="15"/>
  <c r="C540" i="15"/>
  <c r="B544" i="15"/>
  <c r="B541" i="15"/>
  <c r="D161" i="29"/>
  <c r="B161" i="29"/>
  <c r="U537" i="15"/>
  <c r="U538" i="15" s="1"/>
  <c r="T537" i="15"/>
  <c r="T538" i="15" s="1"/>
  <c r="S537" i="15"/>
  <c r="S538" i="15" s="1"/>
  <c r="R537" i="15"/>
  <c r="R538" i="15" s="1"/>
  <c r="Q537" i="15"/>
  <c r="P537" i="15"/>
  <c r="H535" i="15"/>
  <c r="C535" i="15"/>
  <c r="B539" i="15"/>
  <c r="B536" i="15"/>
  <c r="D160" i="29"/>
  <c r="B160" i="29"/>
  <c r="W532" i="15"/>
  <c r="W533" i="15" s="1"/>
  <c r="U532" i="15"/>
  <c r="U533" i="15" s="1"/>
  <c r="T532" i="15"/>
  <c r="T533" i="15" s="1"/>
  <c r="S532" i="15"/>
  <c r="S533" i="15" s="1"/>
  <c r="R532" i="15"/>
  <c r="R533" i="15" s="1"/>
  <c r="Q532" i="15"/>
  <c r="P532" i="15"/>
  <c r="P533" i="15" s="1"/>
  <c r="H530" i="15"/>
  <c r="C530" i="15"/>
  <c r="B534" i="15"/>
  <c r="B531" i="15"/>
  <c r="D159" i="29"/>
  <c r="B159" i="29"/>
  <c r="S527" i="15"/>
  <c r="S528" i="15" s="1"/>
  <c r="R527" i="15"/>
  <c r="R528" i="15" s="1"/>
  <c r="Q527" i="15"/>
  <c r="Q528" i="15" s="1"/>
  <c r="P527" i="15"/>
  <c r="H525" i="15"/>
  <c r="C525" i="15"/>
  <c r="B529" i="15"/>
  <c r="B526" i="15"/>
  <c r="D158" i="29"/>
  <c r="B158" i="29"/>
  <c r="S522" i="15"/>
  <c r="S523" i="15" s="1"/>
  <c r="R522" i="15"/>
  <c r="R523" i="15" s="1"/>
  <c r="Q522" i="15"/>
  <c r="Q523" i="15" s="1"/>
  <c r="P522" i="15"/>
  <c r="P523" i="15" s="1"/>
  <c r="H520" i="15"/>
  <c r="C520" i="15"/>
  <c r="B524" i="15"/>
  <c r="B521" i="15"/>
  <c r="D157" i="29"/>
  <c r="B157" i="29"/>
  <c r="U517" i="15"/>
  <c r="U518" i="15" s="1"/>
  <c r="S517" i="15"/>
  <c r="S518" i="15" s="1"/>
  <c r="R517" i="15"/>
  <c r="R518" i="15" s="1"/>
  <c r="Q517" i="15"/>
  <c r="P517" i="15"/>
  <c r="H515" i="15"/>
  <c r="C515" i="15"/>
  <c r="B519" i="15"/>
  <c r="B516" i="15"/>
  <c r="D156" i="29"/>
  <c r="B156" i="29"/>
  <c r="X512" i="15"/>
  <c r="X513" i="15" s="1"/>
  <c r="V512" i="15"/>
  <c r="V513" i="15" s="1"/>
  <c r="U512" i="15"/>
  <c r="U513" i="15" s="1"/>
  <c r="T512" i="15"/>
  <c r="T513" i="15" s="1"/>
  <c r="S512" i="15"/>
  <c r="S513" i="15" s="1"/>
  <c r="R512" i="15"/>
  <c r="R513" i="15" s="1"/>
  <c r="Q512" i="15"/>
  <c r="Q513" i="15" s="1"/>
  <c r="P512" i="15"/>
  <c r="P513" i="15" s="1"/>
  <c r="H510" i="15"/>
  <c r="C510" i="15"/>
  <c r="B514" i="15"/>
  <c r="B511" i="15"/>
  <c r="D155" i="29"/>
  <c r="B155" i="29"/>
  <c r="W507" i="15"/>
  <c r="W508" i="15" s="1"/>
  <c r="V507" i="15"/>
  <c r="V508" i="15" s="1"/>
  <c r="T507" i="15"/>
  <c r="T508" i="15" s="1"/>
  <c r="S507" i="15"/>
  <c r="S508" i="15" s="1"/>
  <c r="R507" i="15"/>
  <c r="R508" i="15" s="1"/>
  <c r="Q507" i="15"/>
  <c r="Q508" i="15" s="1"/>
  <c r="P507" i="15"/>
  <c r="H505" i="15"/>
  <c r="C505" i="15"/>
  <c r="B509" i="15"/>
  <c r="B506" i="15"/>
  <c r="D154" i="29"/>
  <c r="B154" i="29"/>
  <c r="V502" i="15"/>
  <c r="V503" i="15" s="1"/>
  <c r="T502" i="15"/>
  <c r="T503" i="15" s="1"/>
  <c r="S502" i="15"/>
  <c r="S503" i="15" s="1"/>
  <c r="R502" i="15"/>
  <c r="R503" i="15" s="1"/>
  <c r="Q502" i="15"/>
  <c r="Q503" i="15" s="1"/>
  <c r="P502" i="15"/>
  <c r="H500" i="15"/>
  <c r="C500" i="15"/>
  <c r="B504" i="15"/>
  <c r="B501" i="15"/>
  <c r="D153" i="29"/>
  <c r="B153" i="29"/>
  <c r="T497" i="15"/>
  <c r="T498" i="15" s="1"/>
  <c r="S497" i="15"/>
  <c r="S498" i="15" s="1"/>
  <c r="R497" i="15"/>
  <c r="R498" i="15" s="1"/>
  <c r="Q497" i="15"/>
  <c r="Q498" i="15" s="1"/>
  <c r="P497" i="15"/>
  <c r="P498" i="15" s="1"/>
  <c r="H495" i="15"/>
  <c r="C495" i="15"/>
  <c r="B499" i="15"/>
  <c r="B496" i="15"/>
  <c r="D152" i="29"/>
  <c r="B152" i="29"/>
  <c r="W492" i="15"/>
  <c r="W493" i="15" s="1"/>
  <c r="V492" i="15"/>
  <c r="V493" i="15" s="1"/>
  <c r="T492" i="15"/>
  <c r="T493" i="15" s="1"/>
  <c r="S492" i="15"/>
  <c r="S493" i="15" s="1"/>
  <c r="R492" i="15"/>
  <c r="R493" i="15" s="1"/>
  <c r="Q492" i="15"/>
  <c r="Q493" i="15" s="1"/>
  <c r="P492" i="15"/>
  <c r="H490" i="15"/>
  <c r="C490" i="15"/>
  <c r="B494" i="15"/>
  <c r="B491" i="15"/>
  <c r="D151" i="29"/>
  <c r="B151" i="29"/>
  <c r="V487" i="15"/>
  <c r="V488" i="15" s="1"/>
  <c r="T487" i="15"/>
  <c r="T488" i="15" s="1"/>
  <c r="S487" i="15"/>
  <c r="S488" i="15" s="1"/>
  <c r="R487" i="15"/>
  <c r="R488" i="15" s="1"/>
  <c r="Q487" i="15"/>
  <c r="Q488" i="15" s="1"/>
  <c r="P487" i="15"/>
  <c r="H485" i="15"/>
  <c r="C485" i="15"/>
  <c r="B489" i="15"/>
  <c r="B486" i="15"/>
  <c r="B150" i="29"/>
  <c r="D149" i="29"/>
  <c r="B149" i="29"/>
  <c r="U482" i="15"/>
  <c r="U483" i="15" s="1"/>
  <c r="T482" i="15"/>
  <c r="T483" i="15" s="1"/>
  <c r="S482" i="15"/>
  <c r="S483" i="15" s="1"/>
  <c r="R482" i="15"/>
  <c r="R483" i="15" s="1"/>
  <c r="Q482" i="15"/>
  <c r="P482" i="15"/>
  <c r="P483" i="15" s="1"/>
  <c r="H480" i="15"/>
  <c r="C480" i="15"/>
  <c r="B484" i="15"/>
  <c r="B481" i="15"/>
  <c r="D148" i="29"/>
  <c r="B148" i="29"/>
  <c r="W477" i="15"/>
  <c r="W478" i="15" s="1"/>
  <c r="U477" i="15"/>
  <c r="U478" i="15" s="1"/>
  <c r="T477" i="15"/>
  <c r="T478" i="15" s="1"/>
  <c r="S477" i="15"/>
  <c r="S478" i="15" s="1"/>
  <c r="R477" i="15"/>
  <c r="R478" i="15" s="1"/>
  <c r="Q477" i="15"/>
  <c r="Q478" i="15" s="1"/>
  <c r="P477" i="15"/>
  <c r="P478" i="15" s="1"/>
  <c r="H475" i="15"/>
  <c r="C475" i="15"/>
  <c r="B479" i="15"/>
  <c r="B476" i="15"/>
  <c r="D147" i="29"/>
  <c r="B147" i="29"/>
  <c r="Z472" i="15"/>
  <c r="Z473" i="15" s="1"/>
  <c r="Y472" i="15"/>
  <c r="Y473" i="15" s="1"/>
  <c r="X472" i="15"/>
  <c r="X473" i="15" s="1"/>
  <c r="V472" i="15"/>
  <c r="V473" i="15" s="1"/>
  <c r="U472" i="15"/>
  <c r="U473" i="15" s="1"/>
  <c r="T472" i="15"/>
  <c r="T473" i="15" s="1"/>
  <c r="S472" i="15"/>
  <c r="S473" i="15" s="1"/>
  <c r="R472" i="15"/>
  <c r="R473" i="15" s="1"/>
  <c r="Q472" i="15"/>
  <c r="Q473" i="15" s="1"/>
  <c r="P472" i="15"/>
  <c r="H470" i="15"/>
  <c r="C470" i="15"/>
  <c r="B474" i="15"/>
  <c r="B471" i="15"/>
  <c r="D146" i="29"/>
  <c r="B146" i="29"/>
  <c r="AA467" i="15"/>
  <c r="AA468" i="15" s="1"/>
  <c r="Z467" i="15"/>
  <c r="Z468" i="15" s="1"/>
  <c r="Y467" i="15"/>
  <c r="Y468" i="15" s="1"/>
  <c r="W467" i="15"/>
  <c r="W468" i="15" s="1"/>
  <c r="V467" i="15"/>
  <c r="V468" i="15" s="1"/>
  <c r="U467" i="15"/>
  <c r="U468" i="15" s="1"/>
  <c r="T467" i="15"/>
  <c r="T468" i="15" s="1"/>
  <c r="S467" i="15"/>
  <c r="S468" i="15" s="1"/>
  <c r="R467" i="15"/>
  <c r="R468" i="15" s="1"/>
  <c r="Q467" i="15"/>
  <c r="Q468" i="15" s="1"/>
  <c r="P467" i="15"/>
  <c r="P468" i="15" s="1"/>
  <c r="H465" i="15"/>
  <c r="C465" i="15"/>
  <c r="B469" i="15"/>
  <c r="B466" i="15"/>
  <c r="B145" i="29"/>
  <c r="B144" i="29"/>
  <c r="D143" i="29"/>
  <c r="B143" i="29"/>
  <c r="R462" i="15"/>
  <c r="R463" i="15" s="1"/>
  <c r="G460" i="15" s="1"/>
  <c r="Q462" i="15"/>
  <c r="P462" i="15"/>
  <c r="H460" i="15"/>
  <c r="C460" i="15"/>
  <c r="B464" i="15"/>
  <c r="B461" i="15"/>
  <c r="D142" i="29"/>
  <c r="B142" i="29"/>
  <c r="Q457" i="15"/>
  <c r="Q458" i="15" s="1"/>
  <c r="G455" i="15" s="1"/>
  <c r="P457" i="15"/>
  <c r="H455" i="15"/>
  <c r="C455" i="15"/>
  <c r="B459" i="15"/>
  <c r="B456" i="15"/>
  <c r="D141" i="29"/>
  <c r="B141" i="29"/>
  <c r="Q452" i="15"/>
  <c r="Q453" i="15" s="1"/>
  <c r="G450" i="15" s="1"/>
  <c r="P452" i="15"/>
  <c r="H450" i="15"/>
  <c r="C450" i="15"/>
  <c r="B454" i="15"/>
  <c r="B451" i="15"/>
  <c r="B140" i="29"/>
  <c r="D139" i="29"/>
  <c r="B139" i="29"/>
  <c r="U447" i="15"/>
  <c r="U448" i="15" s="1"/>
  <c r="S447" i="15"/>
  <c r="S448" i="15" s="1"/>
  <c r="R447" i="15"/>
  <c r="R448" i="15" s="1"/>
  <c r="Q447" i="15"/>
  <c r="P447" i="15"/>
  <c r="H445" i="15"/>
  <c r="C445" i="15"/>
  <c r="B449" i="15"/>
  <c r="B446" i="15"/>
  <c r="D138" i="29"/>
  <c r="B138" i="29"/>
  <c r="T442" i="15"/>
  <c r="T443" i="15" s="1"/>
  <c r="S442" i="15"/>
  <c r="S443" i="15" s="1"/>
  <c r="R442" i="15"/>
  <c r="R443" i="15" s="1"/>
  <c r="Q442" i="15"/>
  <c r="Q443" i="15" s="1"/>
  <c r="P442" i="15"/>
  <c r="P443" i="15" s="1"/>
  <c r="H440" i="15"/>
  <c r="C440" i="15"/>
  <c r="B444" i="15"/>
  <c r="B441" i="15"/>
  <c r="D137" i="29"/>
  <c r="B137" i="29"/>
  <c r="AA437" i="15"/>
  <c r="AA438" i="15" s="1"/>
  <c r="Z437" i="15"/>
  <c r="Z438" i="15" s="1"/>
  <c r="Y437" i="15"/>
  <c r="Y438" i="15" s="1"/>
  <c r="X437" i="15"/>
  <c r="X438" i="15" s="1"/>
  <c r="W437" i="15"/>
  <c r="W438" i="15" s="1"/>
  <c r="V437" i="15"/>
  <c r="V438" i="15" s="1"/>
  <c r="U437" i="15"/>
  <c r="U438" i="15" s="1"/>
  <c r="T437" i="15"/>
  <c r="T438" i="15" s="1"/>
  <c r="S437" i="15"/>
  <c r="S438" i="15" s="1"/>
  <c r="R437" i="15"/>
  <c r="R438" i="15" s="1"/>
  <c r="Q437" i="15"/>
  <c r="P437" i="15"/>
  <c r="C435" i="15"/>
  <c r="B439" i="15"/>
  <c r="B436" i="15"/>
  <c r="B136" i="29"/>
  <c r="D135" i="29"/>
  <c r="B135" i="29"/>
  <c r="U432" i="15"/>
  <c r="U433" i="15" s="1"/>
  <c r="S432" i="15"/>
  <c r="S433" i="15" s="1"/>
  <c r="R432" i="15"/>
  <c r="R433" i="15" s="1"/>
  <c r="Q432" i="15"/>
  <c r="Q433" i="15" s="1"/>
  <c r="P432" i="15"/>
  <c r="H430" i="15"/>
  <c r="C430" i="15"/>
  <c r="B434" i="15"/>
  <c r="B431" i="15"/>
  <c r="D134" i="29"/>
  <c r="B134" i="29"/>
  <c r="T427" i="15"/>
  <c r="T428" i="15" s="1"/>
  <c r="S427" i="15"/>
  <c r="S428" i="15" s="1"/>
  <c r="R427" i="15"/>
  <c r="R428" i="15" s="1"/>
  <c r="Q427" i="15"/>
  <c r="Q428" i="15" s="1"/>
  <c r="P427" i="15"/>
  <c r="P428" i="15" s="1"/>
  <c r="H425" i="15"/>
  <c r="C425" i="15"/>
  <c r="B429" i="15"/>
  <c r="B426" i="15"/>
  <c r="D133" i="29"/>
  <c r="B133" i="29"/>
  <c r="Z422" i="15"/>
  <c r="Z423" i="15" s="1"/>
  <c r="Y422" i="15"/>
  <c r="Y423" i="15" s="1"/>
  <c r="X422" i="15"/>
  <c r="X423" i="15" s="1"/>
  <c r="W422" i="15"/>
  <c r="W423" i="15" s="1"/>
  <c r="V422" i="15"/>
  <c r="V423" i="15" s="1"/>
  <c r="U422" i="15"/>
  <c r="U423" i="15" s="1"/>
  <c r="T422" i="15"/>
  <c r="T423" i="15" s="1"/>
  <c r="S422" i="15"/>
  <c r="S423" i="15" s="1"/>
  <c r="R422" i="15"/>
  <c r="R423" i="15" s="1"/>
  <c r="Q422" i="15"/>
  <c r="Q423" i="15" s="1"/>
  <c r="P422" i="15"/>
  <c r="C420" i="15"/>
  <c r="B424" i="15"/>
  <c r="B421" i="15"/>
  <c r="B132" i="29"/>
  <c r="D131" i="29"/>
  <c r="B131" i="29"/>
  <c r="U417" i="15"/>
  <c r="U418" i="15" s="1"/>
  <c r="S417" i="15"/>
  <c r="S418" i="15" s="1"/>
  <c r="R417" i="15"/>
  <c r="R418" i="15" s="1"/>
  <c r="Q417" i="15"/>
  <c r="Q418" i="15" s="1"/>
  <c r="P417" i="15"/>
  <c r="P418" i="15" s="1"/>
  <c r="H415" i="15"/>
  <c r="C415" i="15"/>
  <c r="B419" i="15"/>
  <c r="B416" i="15"/>
  <c r="D130" i="29"/>
  <c r="B130" i="29"/>
  <c r="T412" i="15"/>
  <c r="T413" i="15" s="1"/>
  <c r="S412" i="15"/>
  <c r="S413" i="15" s="1"/>
  <c r="R412" i="15"/>
  <c r="R413" i="15" s="1"/>
  <c r="Q412" i="15"/>
  <c r="Q413" i="15" s="1"/>
  <c r="P412" i="15"/>
  <c r="P413" i="15" s="1"/>
  <c r="H410" i="15"/>
  <c r="C410" i="15"/>
  <c r="B414" i="15"/>
  <c r="B411" i="15"/>
  <c r="D129" i="29"/>
  <c r="B129" i="29"/>
  <c r="Z407" i="15"/>
  <c r="Z408" i="15" s="1"/>
  <c r="Y407" i="15"/>
  <c r="Y408" i="15" s="1"/>
  <c r="X407" i="15"/>
  <c r="X408" i="15" s="1"/>
  <c r="W407" i="15"/>
  <c r="W408" i="15" s="1"/>
  <c r="V407" i="15"/>
  <c r="V408" i="15" s="1"/>
  <c r="U407" i="15"/>
  <c r="U408" i="15" s="1"/>
  <c r="T407" i="15"/>
  <c r="T408" i="15" s="1"/>
  <c r="S407" i="15"/>
  <c r="S408" i="15" s="1"/>
  <c r="R407" i="15"/>
  <c r="R408" i="15" s="1"/>
  <c r="Q407" i="15"/>
  <c r="Q408" i="15" s="1"/>
  <c r="P407" i="15"/>
  <c r="P408" i="15" s="1"/>
  <c r="C405" i="15"/>
  <c r="B409" i="15"/>
  <c r="B406" i="15"/>
  <c r="B128" i="29"/>
  <c r="D127" i="29"/>
  <c r="B127" i="29"/>
  <c r="U402" i="15"/>
  <c r="U403" i="15" s="1"/>
  <c r="S402" i="15"/>
  <c r="S403" i="15" s="1"/>
  <c r="R402" i="15"/>
  <c r="R403" i="15" s="1"/>
  <c r="Q402" i="15"/>
  <c r="P402" i="15"/>
  <c r="P403" i="15" s="1"/>
  <c r="H400" i="15"/>
  <c r="C400" i="15"/>
  <c r="B404" i="15"/>
  <c r="B401" i="15"/>
  <c r="D126" i="29"/>
  <c r="B126" i="29"/>
  <c r="V397" i="15"/>
  <c r="V398" i="15" s="1"/>
  <c r="T397" i="15"/>
  <c r="T398" i="15" s="1"/>
  <c r="S397" i="15"/>
  <c r="S398" i="15" s="1"/>
  <c r="R397" i="15"/>
  <c r="R398" i="15" s="1"/>
  <c r="Q397" i="15"/>
  <c r="Q398" i="15" s="1"/>
  <c r="P397" i="15"/>
  <c r="P398" i="15" s="1"/>
  <c r="H395" i="15"/>
  <c r="C395" i="15"/>
  <c r="B399" i="15"/>
  <c r="B396" i="15"/>
  <c r="D125" i="29"/>
  <c r="B125" i="29"/>
  <c r="Z392" i="15"/>
  <c r="Z393" i="15" s="1"/>
  <c r="Y392" i="15"/>
  <c r="Y393" i="15" s="1"/>
  <c r="X392" i="15"/>
  <c r="X393" i="15" s="1"/>
  <c r="W392" i="15"/>
  <c r="W393" i="15" s="1"/>
  <c r="V392" i="15"/>
  <c r="V393" i="15" s="1"/>
  <c r="U392" i="15"/>
  <c r="U393" i="15" s="1"/>
  <c r="T392" i="15"/>
  <c r="T393" i="15" s="1"/>
  <c r="S392" i="15"/>
  <c r="S393" i="15" s="1"/>
  <c r="R392" i="15"/>
  <c r="R393" i="15" s="1"/>
  <c r="Q392" i="15"/>
  <c r="Q393" i="15" s="1"/>
  <c r="P392" i="15"/>
  <c r="P393" i="15" s="1"/>
  <c r="C390" i="15"/>
  <c r="B394" i="15"/>
  <c r="B391" i="15"/>
  <c r="B124" i="29"/>
  <c r="D123" i="29"/>
  <c r="B123" i="29"/>
  <c r="U387" i="15"/>
  <c r="U388" i="15" s="1"/>
  <c r="S387" i="15"/>
  <c r="S388" i="15" s="1"/>
  <c r="R387" i="15"/>
  <c r="R388" i="15" s="1"/>
  <c r="Q387" i="15"/>
  <c r="Q388" i="15" s="1"/>
  <c r="P387" i="15"/>
  <c r="P388" i="15" s="1"/>
  <c r="H385" i="15"/>
  <c r="C385" i="15"/>
  <c r="B389" i="15"/>
  <c r="B386" i="15"/>
  <c r="D122" i="29"/>
  <c r="B122" i="29"/>
  <c r="Q382" i="15"/>
  <c r="Q383" i="15" s="1"/>
  <c r="G380" i="15" s="1"/>
  <c r="P382" i="15"/>
  <c r="P383" i="15" s="1"/>
  <c r="H380" i="15"/>
  <c r="C380" i="15"/>
  <c r="B384" i="15"/>
  <c r="B381" i="15"/>
  <c r="D121" i="29"/>
  <c r="B121" i="29"/>
  <c r="T377" i="15"/>
  <c r="T378" i="15" s="1"/>
  <c r="S377" i="15"/>
  <c r="S378" i="15" s="1"/>
  <c r="R377" i="15"/>
  <c r="Q377" i="15"/>
  <c r="Q378" i="15" s="1"/>
  <c r="P377" i="15"/>
  <c r="P378" i="15" s="1"/>
  <c r="H375" i="15"/>
  <c r="C375" i="15"/>
  <c r="B379" i="15"/>
  <c r="B376" i="15"/>
  <c r="D120" i="29"/>
  <c r="B120" i="29"/>
  <c r="S372" i="15"/>
  <c r="S373" i="15" s="1"/>
  <c r="R372" i="15"/>
  <c r="R373" i="15" s="1"/>
  <c r="Q372" i="15"/>
  <c r="P372" i="15"/>
  <c r="H370" i="15"/>
  <c r="C370" i="15"/>
  <c r="B374" i="15"/>
  <c r="B371" i="15"/>
  <c r="D119" i="29"/>
  <c r="B119" i="29"/>
  <c r="S367" i="15"/>
  <c r="S368" i="15" s="1"/>
  <c r="R367" i="15"/>
  <c r="R368" i="15" s="1"/>
  <c r="Q367" i="15"/>
  <c r="Q368" i="15" s="1"/>
  <c r="P367" i="15"/>
  <c r="P368" i="15" s="1"/>
  <c r="H365" i="15"/>
  <c r="C365" i="15"/>
  <c r="B369" i="15"/>
  <c r="B366" i="15"/>
  <c r="D118" i="29"/>
  <c r="B118" i="29"/>
  <c r="S362" i="15"/>
  <c r="S363" i="15" s="1"/>
  <c r="R362" i="15"/>
  <c r="R363" i="15" s="1"/>
  <c r="Q362" i="15"/>
  <c r="P362" i="15"/>
  <c r="H360" i="15"/>
  <c r="C360" i="15"/>
  <c r="B364" i="15"/>
  <c r="B361" i="15"/>
  <c r="D117" i="29"/>
  <c r="B117" i="29"/>
  <c r="W357" i="15"/>
  <c r="W358" i="15" s="1"/>
  <c r="V357" i="15"/>
  <c r="V358" i="15" s="1"/>
  <c r="T357" i="15"/>
  <c r="T358" i="15" s="1"/>
  <c r="H355" i="15" s="1"/>
  <c r="S357" i="15"/>
  <c r="S358" i="15" s="1"/>
  <c r="G355" i="15" s="1"/>
  <c r="R357" i="15"/>
  <c r="Q357" i="15"/>
  <c r="Q358" i="15" s="1"/>
  <c r="P357" i="15"/>
  <c r="P358" i="15" s="1"/>
  <c r="O357" i="15"/>
  <c r="O358" i="15" s="1"/>
  <c r="C355" i="15"/>
  <c r="B359" i="15"/>
  <c r="B356" i="15"/>
  <c r="B116" i="29"/>
  <c r="D115" i="29"/>
  <c r="B115" i="29"/>
  <c r="U352" i="15"/>
  <c r="U353" i="15" s="1"/>
  <c r="S352" i="15"/>
  <c r="S353" i="15" s="1"/>
  <c r="R352" i="15"/>
  <c r="R353" i="15" s="1"/>
  <c r="Q352" i="15"/>
  <c r="Q353" i="15" s="1"/>
  <c r="P352" i="15"/>
  <c r="P353" i="15" s="1"/>
  <c r="O352" i="15"/>
  <c r="O353" i="15" s="1"/>
  <c r="H350" i="15"/>
  <c r="C350" i="15"/>
  <c r="B354" i="15"/>
  <c r="B351" i="15"/>
  <c r="D114" i="29"/>
  <c r="B114" i="29"/>
  <c r="V347" i="15"/>
  <c r="V348" i="15" s="1"/>
  <c r="T347" i="15"/>
  <c r="T348" i="15" s="1"/>
  <c r="S347" i="15"/>
  <c r="S348" i="15" s="1"/>
  <c r="R347" i="15"/>
  <c r="R348" i="15" s="1"/>
  <c r="Q347" i="15"/>
  <c r="Q348" i="15" s="1"/>
  <c r="P347" i="15"/>
  <c r="P348" i="15" s="1"/>
  <c r="H345" i="15"/>
  <c r="C345" i="15"/>
  <c r="B349" i="15"/>
  <c r="B346" i="15"/>
  <c r="D113" i="29"/>
  <c r="B113" i="29"/>
  <c r="W342" i="15"/>
  <c r="W343" i="15" s="1"/>
  <c r="V342" i="15"/>
  <c r="V343" i="15" s="1"/>
  <c r="T342" i="15"/>
  <c r="S342" i="15"/>
  <c r="S343" i="15" s="1"/>
  <c r="G340" i="15" s="1"/>
  <c r="R342" i="15"/>
  <c r="R343" i="15" s="1"/>
  <c r="Q342" i="15"/>
  <c r="Q343" i="15" s="1"/>
  <c r="P342" i="15"/>
  <c r="P343" i="15" s="1"/>
  <c r="C340" i="15"/>
  <c r="B344" i="15"/>
  <c r="B341" i="15"/>
  <c r="B112" i="29"/>
  <c r="D111" i="29"/>
  <c r="B111" i="29"/>
  <c r="U337" i="15"/>
  <c r="U338" i="15" s="1"/>
  <c r="S337" i="15"/>
  <c r="S338" i="15" s="1"/>
  <c r="R337" i="15"/>
  <c r="R338" i="15" s="1"/>
  <c r="Q337" i="15"/>
  <c r="Q338" i="15" s="1"/>
  <c r="P337" i="15"/>
  <c r="P338" i="15" s="1"/>
  <c r="H335" i="15"/>
  <c r="C335" i="15"/>
  <c r="B339" i="15"/>
  <c r="B336" i="15"/>
  <c r="D110" i="29"/>
  <c r="B110" i="29"/>
  <c r="V332" i="15"/>
  <c r="V333" i="15" s="1"/>
  <c r="T332" i="15"/>
  <c r="T333" i="15" s="1"/>
  <c r="S332" i="15"/>
  <c r="S333" i="15" s="1"/>
  <c r="R332" i="15"/>
  <c r="R333" i="15" s="1"/>
  <c r="Q332" i="15"/>
  <c r="Q333" i="15" s="1"/>
  <c r="P332" i="15"/>
  <c r="P333" i="15" s="1"/>
  <c r="H330" i="15"/>
  <c r="C330" i="15"/>
  <c r="B334" i="15"/>
  <c r="B331" i="15"/>
  <c r="D109" i="29"/>
  <c r="B109" i="29"/>
  <c r="W327" i="15"/>
  <c r="W328" i="15" s="1"/>
  <c r="V327" i="15"/>
  <c r="V328" i="15" s="1"/>
  <c r="T327" i="15"/>
  <c r="S327" i="15"/>
  <c r="S328" i="15" s="1"/>
  <c r="G325" i="15" s="1"/>
  <c r="R327" i="15"/>
  <c r="R328" i="15" s="1"/>
  <c r="Q327" i="15"/>
  <c r="Q328" i="15" s="1"/>
  <c r="P327" i="15"/>
  <c r="C325" i="15"/>
  <c r="B329" i="15"/>
  <c r="B326" i="15"/>
  <c r="B108" i="29"/>
  <c r="D107" i="29"/>
  <c r="B107" i="29"/>
  <c r="U322" i="15"/>
  <c r="U323" i="15" s="1"/>
  <c r="S322" i="15"/>
  <c r="S323" i="15" s="1"/>
  <c r="R322" i="15"/>
  <c r="R323" i="15" s="1"/>
  <c r="Q322" i="15"/>
  <c r="Q323" i="15" s="1"/>
  <c r="P322" i="15"/>
  <c r="P323" i="15" s="1"/>
  <c r="H320" i="15"/>
  <c r="C320" i="15"/>
  <c r="B324" i="15"/>
  <c r="B321" i="15"/>
  <c r="D106" i="29"/>
  <c r="B106" i="29"/>
  <c r="T317" i="15"/>
  <c r="T318" i="15" s="1"/>
  <c r="S317" i="15"/>
  <c r="S318" i="15" s="1"/>
  <c r="R317" i="15"/>
  <c r="R318" i="15" s="1"/>
  <c r="Q317" i="15"/>
  <c r="Q318" i="15" s="1"/>
  <c r="P317" i="15"/>
  <c r="P318" i="15" s="1"/>
  <c r="H315" i="15"/>
  <c r="C315" i="15"/>
  <c r="B319" i="15"/>
  <c r="B316" i="15"/>
  <c r="D105" i="29"/>
  <c r="B105" i="29"/>
  <c r="AB312" i="15"/>
  <c r="AB313" i="15" s="1"/>
  <c r="Z312" i="15"/>
  <c r="Y312" i="15"/>
  <c r="Y313" i="15" s="1"/>
  <c r="X312" i="15"/>
  <c r="X313" i="15" s="1"/>
  <c r="W312" i="15"/>
  <c r="W313" i="15" s="1"/>
  <c r="V312" i="15"/>
  <c r="V313" i="15" s="1"/>
  <c r="U312" i="15"/>
  <c r="U313" i="15" s="1"/>
  <c r="T312" i="15"/>
  <c r="T313" i="15" s="1"/>
  <c r="S312" i="15"/>
  <c r="R312" i="15"/>
  <c r="Q312" i="15"/>
  <c r="Q313" i="15" s="1"/>
  <c r="P312" i="15"/>
  <c r="C310" i="15"/>
  <c r="B314" i="15"/>
  <c r="B311" i="15"/>
  <c r="B104" i="29"/>
  <c r="D103" i="29"/>
  <c r="B103" i="29"/>
  <c r="U307" i="15"/>
  <c r="U308" i="15" s="1"/>
  <c r="S307" i="15"/>
  <c r="S308" i="15" s="1"/>
  <c r="R307" i="15"/>
  <c r="R308" i="15" s="1"/>
  <c r="Q307" i="15"/>
  <c r="P307" i="15"/>
  <c r="H305" i="15"/>
  <c r="C305" i="15"/>
  <c r="B309" i="15"/>
  <c r="B306" i="15"/>
  <c r="D102" i="29"/>
  <c r="B102" i="29"/>
  <c r="X302" i="15"/>
  <c r="X303" i="15" s="1"/>
  <c r="V302" i="15"/>
  <c r="V303" i="15" s="1"/>
  <c r="U302" i="15"/>
  <c r="U303" i="15" s="1"/>
  <c r="T302" i="15"/>
  <c r="T303" i="15" s="1"/>
  <c r="S302" i="15"/>
  <c r="S303" i="15" s="1"/>
  <c r="R302" i="15"/>
  <c r="R303" i="15" s="1"/>
  <c r="Q302" i="15"/>
  <c r="Q303" i="15" s="1"/>
  <c r="P302" i="15"/>
  <c r="P303" i="15" s="1"/>
  <c r="H300" i="15"/>
  <c r="C300" i="15"/>
  <c r="B304" i="15"/>
  <c r="B301" i="15"/>
  <c r="D101" i="29"/>
  <c r="B101" i="29"/>
  <c r="Y297" i="15"/>
  <c r="Y298" i="15" s="1"/>
  <c r="X297" i="15"/>
  <c r="X298" i="15" s="1"/>
  <c r="V297" i="15"/>
  <c r="V298" i="15" s="1"/>
  <c r="U297" i="15"/>
  <c r="U298" i="15" s="1"/>
  <c r="T297" i="15"/>
  <c r="T298" i="15" s="1"/>
  <c r="S297" i="15"/>
  <c r="S298" i="15" s="1"/>
  <c r="R297" i="15"/>
  <c r="R298" i="15" s="1"/>
  <c r="Q297" i="15"/>
  <c r="P297" i="15"/>
  <c r="P298" i="15" s="1"/>
  <c r="H295" i="15"/>
  <c r="C295" i="15"/>
  <c r="B299" i="15"/>
  <c r="B296" i="15"/>
  <c r="D100" i="29"/>
  <c r="B100" i="29"/>
  <c r="AB292" i="15"/>
  <c r="AB293" i="15" s="1"/>
  <c r="Z292" i="15"/>
  <c r="Z293" i="15" s="1"/>
  <c r="Y292" i="15"/>
  <c r="Y293" i="15" s="1"/>
  <c r="X292" i="15"/>
  <c r="X293" i="15" s="1"/>
  <c r="W292" i="15"/>
  <c r="W293" i="15" s="1"/>
  <c r="V292" i="15"/>
  <c r="V293" i="15" s="1"/>
  <c r="U292" i="15"/>
  <c r="U293" i="15" s="1"/>
  <c r="T292" i="15"/>
  <c r="T293" i="15" s="1"/>
  <c r="S292" i="15"/>
  <c r="R292" i="15"/>
  <c r="R293" i="15" s="1"/>
  <c r="Q292" i="15"/>
  <c r="Q293" i="15" s="1"/>
  <c r="P292" i="15"/>
  <c r="C290" i="15"/>
  <c r="B294" i="15"/>
  <c r="B291" i="15"/>
  <c r="B99" i="29"/>
  <c r="D98" i="29"/>
  <c r="B98" i="29"/>
  <c r="U287" i="15"/>
  <c r="U288" i="15" s="1"/>
  <c r="S287" i="15"/>
  <c r="S288" i="15" s="1"/>
  <c r="R287" i="15"/>
  <c r="R288" i="15" s="1"/>
  <c r="Q287" i="15"/>
  <c r="Q288" i="15" s="1"/>
  <c r="P287" i="15"/>
  <c r="P288" i="15" s="1"/>
  <c r="H285" i="15"/>
  <c r="C285" i="15"/>
  <c r="B289" i="15"/>
  <c r="B286" i="15"/>
  <c r="D97" i="29"/>
  <c r="B97" i="29"/>
  <c r="T282" i="15"/>
  <c r="T283" i="15" s="1"/>
  <c r="S282" i="15"/>
  <c r="S283" i="15" s="1"/>
  <c r="R282" i="15"/>
  <c r="R283" i="15" s="1"/>
  <c r="Q282" i="15"/>
  <c r="P282" i="15"/>
  <c r="P283" i="15" s="1"/>
  <c r="H280" i="15"/>
  <c r="C280" i="15"/>
  <c r="B284" i="15"/>
  <c r="B281" i="15"/>
  <c r="D96" i="29"/>
  <c r="B96" i="29"/>
  <c r="AB277" i="15"/>
  <c r="AB278" i="15" s="1"/>
  <c r="Z277" i="15"/>
  <c r="Z278" i="15" s="1"/>
  <c r="Y277" i="15"/>
  <c r="Y278" i="15" s="1"/>
  <c r="X277" i="15"/>
  <c r="X278" i="15" s="1"/>
  <c r="W277" i="15"/>
  <c r="W278" i="15" s="1"/>
  <c r="V277" i="15"/>
  <c r="V278" i="15" s="1"/>
  <c r="U277" i="15"/>
  <c r="U278" i="15" s="1"/>
  <c r="T277" i="15"/>
  <c r="T278" i="15" s="1"/>
  <c r="S277" i="15"/>
  <c r="S278" i="15" s="1"/>
  <c r="R277" i="15"/>
  <c r="R278" i="15" s="1"/>
  <c r="Q277" i="15"/>
  <c r="Q278" i="15" s="1"/>
  <c r="P277" i="15"/>
  <c r="P278" i="15" s="1"/>
  <c r="C275" i="15"/>
  <c r="B279" i="15"/>
  <c r="B276" i="15"/>
  <c r="B95" i="29"/>
  <c r="D94" i="29"/>
  <c r="B94" i="29"/>
  <c r="U272" i="15"/>
  <c r="U273" i="15" s="1"/>
  <c r="S272" i="15"/>
  <c r="S273" i="15" s="1"/>
  <c r="R272" i="15"/>
  <c r="R273" i="15" s="1"/>
  <c r="Q272" i="15"/>
  <c r="Q273" i="15" s="1"/>
  <c r="P272" i="15"/>
  <c r="P273" i="15" s="1"/>
  <c r="H270" i="15"/>
  <c r="C270" i="15"/>
  <c r="B274" i="15"/>
  <c r="B271" i="15"/>
  <c r="D93" i="29"/>
  <c r="B93" i="29"/>
  <c r="S267" i="15"/>
  <c r="S268" i="15" s="1"/>
  <c r="R267" i="15"/>
  <c r="R268" i="15" s="1"/>
  <c r="Q267" i="15"/>
  <c r="P267" i="15"/>
  <c r="H265" i="15"/>
  <c r="C265" i="15"/>
  <c r="B269" i="15"/>
  <c r="B266" i="15"/>
  <c r="D92" i="29"/>
  <c r="B92" i="29"/>
  <c r="Z262" i="15"/>
  <c r="Y262" i="15"/>
  <c r="X262" i="15"/>
  <c r="X263" i="15" s="1"/>
  <c r="W262" i="15"/>
  <c r="W263" i="15" s="1"/>
  <c r="V262" i="15"/>
  <c r="V263" i="15" s="1"/>
  <c r="U262" i="15"/>
  <c r="U263" i="15" s="1"/>
  <c r="T262" i="15"/>
  <c r="T263" i="15" s="1"/>
  <c r="S262" i="15"/>
  <c r="S263" i="15" s="1"/>
  <c r="R262" i="15"/>
  <c r="Q262" i="15"/>
  <c r="P262" i="15"/>
  <c r="C260" i="15"/>
  <c r="B264" i="15"/>
  <c r="B261" i="15"/>
  <c r="B91" i="29"/>
  <c r="D90" i="29"/>
  <c r="B90" i="29"/>
  <c r="U257" i="15"/>
  <c r="U258" i="15" s="1"/>
  <c r="S257" i="15"/>
  <c r="S258" i="15" s="1"/>
  <c r="R257" i="15"/>
  <c r="R258" i="15" s="1"/>
  <c r="Q257" i="15"/>
  <c r="P257" i="15"/>
  <c r="H255" i="15"/>
  <c r="C255" i="15"/>
  <c r="B259" i="15"/>
  <c r="B256" i="15"/>
  <c r="D89" i="29"/>
  <c r="B89" i="29"/>
  <c r="U252" i="15"/>
  <c r="U253" i="15" s="1"/>
  <c r="T252" i="15"/>
  <c r="T253" i="15" s="1"/>
  <c r="S252" i="15"/>
  <c r="S253" i="15" s="1"/>
  <c r="R252" i="15"/>
  <c r="R253" i="15" s="1"/>
  <c r="Q252" i="15"/>
  <c r="P252" i="15"/>
  <c r="H250" i="15"/>
  <c r="C250" i="15"/>
  <c r="B254" i="15"/>
  <c r="B251" i="15"/>
  <c r="D88" i="29"/>
  <c r="B88" i="29"/>
  <c r="Z247" i="15"/>
  <c r="Y247" i="15"/>
  <c r="X247" i="15"/>
  <c r="X248" i="15" s="1"/>
  <c r="W247" i="15"/>
  <c r="W248" i="15" s="1"/>
  <c r="V247" i="15"/>
  <c r="V248" i="15" s="1"/>
  <c r="U247" i="15"/>
  <c r="U248" i="15" s="1"/>
  <c r="T247" i="15"/>
  <c r="T248" i="15" s="1"/>
  <c r="S247" i="15"/>
  <c r="S248" i="15" s="1"/>
  <c r="R247" i="15"/>
  <c r="Q247" i="15"/>
  <c r="P247" i="15"/>
  <c r="C245" i="15"/>
  <c r="B249" i="15"/>
  <c r="B246" i="15"/>
  <c r="B87" i="29"/>
  <c r="D86" i="29"/>
  <c r="B86" i="29"/>
  <c r="AA242" i="15"/>
  <c r="Z242" i="15"/>
  <c r="Z243" i="15" s="1"/>
  <c r="Y242" i="15"/>
  <c r="Y243" i="15" s="1"/>
  <c r="X242" i="15"/>
  <c r="X243" i="15" s="1"/>
  <c r="W242" i="15"/>
  <c r="W243" i="15" s="1"/>
  <c r="V242" i="15"/>
  <c r="V243" i="15" s="1"/>
  <c r="U242" i="15"/>
  <c r="U243" i="15" s="1"/>
  <c r="T242" i="15"/>
  <c r="T243" i="15" s="1"/>
  <c r="S242" i="15"/>
  <c r="R242" i="15"/>
  <c r="R243" i="15" s="1"/>
  <c r="Q242" i="15"/>
  <c r="Q243" i="15" s="1"/>
  <c r="P242" i="15"/>
  <c r="P243" i="15" s="1"/>
  <c r="C240" i="15"/>
  <c r="B244" i="15"/>
  <c r="B241" i="15"/>
  <c r="B85" i="29"/>
  <c r="B84" i="29"/>
  <c r="D83" i="29"/>
  <c r="B83" i="29"/>
  <c r="W237" i="15"/>
  <c r="V237" i="15"/>
  <c r="V238" i="15" s="1"/>
  <c r="T237" i="15"/>
  <c r="T238" i="15" s="1"/>
  <c r="S237" i="15"/>
  <c r="R237" i="15"/>
  <c r="Q237" i="15"/>
  <c r="Q238" i="15" s="1"/>
  <c r="P237" i="15"/>
  <c r="P238" i="15" s="1"/>
  <c r="C235" i="15"/>
  <c r="B239" i="15"/>
  <c r="B236" i="15"/>
  <c r="B82" i="29"/>
  <c r="D81" i="29"/>
  <c r="B81" i="29"/>
  <c r="U232" i="15"/>
  <c r="U233" i="15" s="1"/>
  <c r="T232" i="15"/>
  <c r="T233" i="15" s="1"/>
  <c r="S232" i="15"/>
  <c r="S233" i="15" s="1"/>
  <c r="R232" i="15"/>
  <c r="R233" i="15" s="1"/>
  <c r="Q232" i="15"/>
  <c r="Q233" i="15" s="1"/>
  <c r="P232" i="15"/>
  <c r="P233" i="15" s="1"/>
  <c r="H230" i="15"/>
  <c r="C230" i="15"/>
  <c r="B234" i="15"/>
  <c r="B231" i="15"/>
  <c r="D80" i="29"/>
  <c r="B80" i="29"/>
  <c r="Z227" i="15"/>
  <c r="Z228" i="15" s="1"/>
  <c r="Y227" i="15"/>
  <c r="Y228" i="15" s="1"/>
  <c r="X227" i="15"/>
  <c r="X228" i="15" s="1"/>
  <c r="W227" i="15"/>
  <c r="W228" i="15" s="1"/>
  <c r="V227" i="15"/>
  <c r="V228" i="15" s="1"/>
  <c r="U227" i="15"/>
  <c r="U228" i="15" s="1"/>
  <c r="T227" i="15"/>
  <c r="T228" i="15" s="1"/>
  <c r="S227" i="15"/>
  <c r="S228" i="15" s="1"/>
  <c r="R227" i="15"/>
  <c r="R228" i="15" s="1"/>
  <c r="Q227" i="15"/>
  <c r="Q228" i="15" s="1"/>
  <c r="P227" i="15"/>
  <c r="P228" i="15" s="1"/>
  <c r="C225" i="15"/>
  <c r="B229" i="15"/>
  <c r="B226" i="15"/>
  <c r="B79" i="29"/>
  <c r="D78" i="29"/>
  <c r="B78" i="29"/>
  <c r="W222" i="15"/>
  <c r="V222" i="15"/>
  <c r="V223" i="15" s="1"/>
  <c r="U222" i="15"/>
  <c r="U223" i="15" s="1"/>
  <c r="S222" i="15"/>
  <c r="R222" i="15"/>
  <c r="Q222" i="15"/>
  <c r="P222" i="15"/>
  <c r="C220" i="15"/>
  <c r="B224" i="15"/>
  <c r="B221" i="15"/>
  <c r="B77" i="29"/>
  <c r="D76" i="29"/>
  <c r="B76" i="29"/>
  <c r="T217" i="15"/>
  <c r="T218" i="15" s="1"/>
  <c r="S217" i="15"/>
  <c r="S218" i="15" s="1"/>
  <c r="R217" i="15"/>
  <c r="R218" i="15" s="1"/>
  <c r="Q217" i="15"/>
  <c r="P217" i="15"/>
  <c r="H215" i="15"/>
  <c r="C215" i="15"/>
  <c r="B219" i="15"/>
  <c r="B216" i="15"/>
  <c r="D75" i="29"/>
  <c r="B75" i="29"/>
  <c r="V212" i="15"/>
  <c r="U212" i="15"/>
  <c r="U213" i="15" s="1"/>
  <c r="S212" i="15"/>
  <c r="S213" i="15" s="1"/>
  <c r="R212" i="15"/>
  <c r="Q212" i="15"/>
  <c r="P212" i="15"/>
  <c r="C210" i="15"/>
  <c r="B214" i="15"/>
  <c r="B211" i="15"/>
  <c r="B74" i="29"/>
  <c r="D73" i="29"/>
  <c r="B73" i="29"/>
  <c r="T207" i="15"/>
  <c r="T208" i="15" s="1"/>
  <c r="S207" i="15"/>
  <c r="S208" i="15" s="1"/>
  <c r="R207" i="15"/>
  <c r="R208" i="15" s="1"/>
  <c r="Q207" i="15"/>
  <c r="P207" i="15"/>
  <c r="H205" i="15"/>
  <c r="C205" i="15"/>
  <c r="B209" i="15"/>
  <c r="B206" i="15"/>
  <c r="D72" i="29"/>
  <c r="B72" i="29"/>
  <c r="V202" i="15"/>
  <c r="U202" i="15"/>
  <c r="U203" i="15" s="1"/>
  <c r="S202" i="15"/>
  <c r="S203" i="15" s="1"/>
  <c r="R202" i="15"/>
  <c r="Q202" i="15"/>
  <c r="P202" i="15"/>
  <c r="C200" i="15"/>
  <c r="B204" i="15"/>
  <c r="B201" i="15"/>
  <c r="B71" i="29"/>
  <c r="D70" i="29"/>
  <c r="B70" i="29"/>
  <c r="Y197" i="15"/>
  <c r="X197" i="15"/>
  <c r="X198" i="15" s="1"/>
  <c r="W197" i="15"/>
  <c r="W198" i="15" s="1"/>
  <c r="V197" i="15"/>
  <c r="V198" i="15" s="1"/>
  <c r="U197" i="15"/>
  <c r="U198" i="15" s="1"/>
  <c r="T197" i="15"/>
  <c r="T198" i="15" s="1"/>
  <c r="S197" i="15"/>
  <c r="R197" i="15"/>
  <c r="Q197" i="15"/>
  <c r="P197" i="15"/>
  <c r="C195" i="15"/>
  <c r="B199" i="15"/>
  <c r="B196" i="15"/>
  <c r="B69" i="29"/>
  <c r="D68" i="29"/>
  <c r="B68" i="29"/>
  <c r="T192" i="15"/>
  <c r="T193" i="15" s="1"/>
  <c r="S192" i="15"/>
  <c r="S193" i="15" s="1"/>
  <c r="R192" i="15"/>
  <c r="R193" i="15" s="1"/>
  <c r="Q192" i="15"/>
  <c r="P192" i="15"/>
  <c r="H190" i="15"/>
  <c r="C190" i="15"/>
  <c r="B194" i="15"/>
  <c r="B191" i="15"/>
  <c r="D67" i="29"/>
  <c r="B67" i="29"/>
  <c r="X187" i="15"/>
  <c r="X188" i="15" s="1"/>
  <c r="H185" i="15" s="1"/>
  <c r="W187" i="15"/>
  <c r="W188" i="15" s="1"/>
  <c r="V187" i="15"/>
  <c r="V188" i="15" s="1"/>
  <c r="U187" i="15"/>
  <c r="U188" i="15" s="1"/>
  <c r="T187" i="15"/>
  <c r="T188" i="15" s="1"/>
  <c r="S187" i="15"/>
  <c r="S188" i="15" s="1"/>
  <c r="R187" i="15"/>
  <c r="R188" i="15" s="1"/>
  <c r="Q187" i="15"/>
  <c r="Q188" i="15" s="1"/>
  <c r="P187" i="15"/>
  <c r="P188" i="15" s="1"/>
  <c r="C185" i="15"/>
  <c r="B189" i="15"/>
  <c r="B186" i="15"/>
  <c r="B66" i="29"/>
  <c r="D65" i="29"/>
  <c r="B65" i="29"/>
  <c r="T182" i="15"/>
  <c r="T183" i="15" s="1"/>
  <c r="S182" i="15"/>
  <c r="S183" i="15" s="1"/>
  <c r="R182" i="15"/>
  <c r="R183" i="15" s="1"/>
  <c r="Q182" i="15"/>
  <c r="Q183" i="15" s="1"/>
  <c r="P182" i="15"/>
  <c r="P183" i="15" s="1"/>
  <c r="H180" i="15"/>
  <c r="C180" i="15"/>
  <c r="B184" i="15"/>
  <c r="B181" i="15"/>
  <c r="D64" i="29"/>
  <c r="B64" i="29"/>
  <c r="V177" i="15"/>
  <c r="V178" i="15" s="1"/>
  <c r="H175" i="15" s="1"/>
  <c r="U177" i="15"/>
  <c r="U178" i="15" s="1"/>
  <c r="T177" i="15"/>
  <c r="T178" i="15" s="1"/>
  <c r="R177" i="15"/>
  <c r="R178" i="15" s="1"/>
  <c r="Q177" i="15"/>
  <c r="Q178" i="15" s="1"/>
  <c r="P177" i="15"/>
  <c r="P178" i="15" s="1"/>
  <c r="C175" i="15"/>
  <c r="B179" i="15"/>
  <c r="B176" i="15"/>
  <c r="B63" i="29"/>
  <c r="B62" i="29"/>
  <c r="D61" i="29"/>
  <c r="B61" i="29"/>
  <c r="T172" i="15"/>
  <c r="T173" i="15" s="1"/>
  <c r="H170" i="15" s="1"/>
  <c r="S172" i="15"/>
  <c r="S173" i="15" s="1"/>
  <c r="R172" i="15"/>
  <c r="R173" i="15" s="1"/>
  <c r="Q172" i="15"/>
  <c r="Q173" i="15" s="1"/>
  <c r="P172" i="15"/>
  <c r="P173" i="15" s="1"/>
  <c r="C170" i="15"/>
  <c r="B174" i="15"/>
  <c r="B171" i="15"/>
  <c r="B60" i="29"/>
  <c r="D59" i="29"/>
  <c r="B59" i="29"/>
  <c r="O167" i="15"/>
  <c r="O168" i="15" s="1"/>
  <c r="E165" i="15" s="1"/>
  <c r="F59" i="29" s="1"/>
  <c r="G59" i="29" s="1"/>
  <c r="H165" i="15"/>
  <c r="G165" i="15"/>
  <c r="F165" i="15"/>
  <c r="C165" i="15"/>
  <c r="B169" i="15"/>
  <c r="B166" i="15"/>
  <c r="D58" i="29"/>
  <c r="B58" i="29"/>
  <c r="P162" i="15"/>
  <c r="H160" i="15"/>
  <c r="G160" i="15"/>
  <c r="C160" i="15"/>
  <c r="B164" i="15"/>
  <c r="B161" i="15"/>
  <c r="B57" i="29"/>
  <c r="D56" i="29"/>
  <c r="B56" i="29"/>
  <c r="T157" i="15"/>
  <c r="S157" i="15"/>
  <c r="S158" i="15" s="1"/>
  <c r="R157" i="15"/>
  <c r="R158" i="15" s="1"/>
  <c r="Q157" i="15"/>
  <c r="P157" i="15"/>
  <c r="C155" i="15"/>
  <c r="B159" i="15"/>
  <c r="B156" i="15"/>
  <c r="D55" i="29"/>
  <c r="B55" i="29"/>
  <c r="S152" i="15"/>
  <c r="S153" i="15" s="1"/>
  <c r="H150" i="15" s="1"/>
  <c r="R152" i="15"/>
  <c r="R153" i="15" s="1"/>
  <c r="G150" i="15" s="1"/>
  <c r="Q152" i="15"/>
  <c r="P152" i="15"/>
  <c r="C150" i="15"/>
  <c r="B154" i="15"/>
  <c r="B151" i="15"/>
  <c r="B54" i="29"/>
  <c r="D53" i="29"/>
  <c r="B53" i="29"/>
  <c r="P147" i="15"/>
  <c r="P148" i="15" s="1"/>
  <c r="H145" i="15"/>
  <c r="G145" i="15"/>
  <c r="C145" i="15"/>
  <c r="B149" i="15"/>
  <c r="B146" i="15"/>
  <c r="D52" i="29"/>
  <c r="B52" i="29"/>
  <c r="P142" i="15"/>
  <c r="P143" i="15" s="1"/>
  <c r="H140" i="15"/>
  <c r="G140" i="15"/>
  <c r="C140" i="15"/>
  <c r="B144" i="15"/>
  <c r="B141" i="15"/>
  <c r="D51" i="29"/>
  <c r="B51" i="29"/>
  <c r="P137" i="15"/>
  <c r="P138" i="15" s="1"/>
  <c r="H135" i="15"/>
  <c r="G135" i="15"/>
  <c r="C135" i="15"/>
  <c r="B139" i="15"/>
  <c r="B136" i="15"/>
  <c r="D50" i="29"/>
  <c r="B50" i="29"/>
  <c r="P132" i="15"/>
  <c r="P133" i="15" s="1"/>
  <c r="O132" i="15"/>
  <c r="O133" i="15" s="1"/>
  <c r="H130" i="15"/>
  <c r="G130" i="15"/>
  <c r="C130" i="15"/>
  <c r="B134" i="15"/>
  <c r="B131" i="15"/>
  <c r="D49" i="29"/>
  <c r="B49" i="29"/>
  <c r="P127" i="15"/>
  <c r="H125" i="15"/>
  <c r="G125" i="15"/>
  <c r="C125" i="15"/>
  <c r="B129" i="15"/>
  <c r="B126" i="15"/>
  <c r="D48" i="29"/>
  <c r="B48" i="29"/>
  <c r="R122" i="15"/>
  <c r="R123" i="15" s="1"/>
  <c r="H120" i="15" s="1"/>
  <c r="Q122" i="15"/>
  <c r="P122" i="15"/>
  <c r="P123" i="15" s="1"/>
  <c r="O122" i="15"/>
  <c r="O123" i="15" s="1"/>
  <c r="G120" i="15"/>
  <c r="C120" i="15"/>
  <c r="B124" i="15"/>
  <c r="B121" i="15"/>
  <c r="B47" i="29"/>
  <c r="B46" i="29"/>
  <c r="B45" i="29"/>
  <c r="D44" i="29"/>
  <c r="B44" i="29"/>
  <c r="S117" i="15"/>
  <c r="S118" i="15" s="1"/>
  <c r="R117" i="15"/>
  <c r="R118" i="15" s="1"/>
  <c r="Q117" i="15"/>
  <c r="Q118" i="15" s="1"/>
  <c r="P117" i="15"/>
  <c r="P118" i="15" s="1"/>
  <c r="O117" i="15"/>
  <c r="O118" i="15" s="1"/>
  <c r="H115" i="15"/>
  <c r="F115" i="15"/>
  <c r="C115" i="15"/>
  <c r="B119" i="15"/>
  <c r="B116" i="15"/>
  <c r="D43" i="29"/>
  <c r="B43" i="29"/>
  <c r="O112" i="15"/>
  <c r="O113" i="15" s="1"/>
  <c r="E110" i="15" s="1"/>
  <c r="F43" i="29" s="1"/>
  <c r="G43" i="29" s="1"/>
  <c r="H110" i="15"/>
  <c r="G110" i="15"/>
  <c r="F110" i="15"/>
  <c r="C110" i="15"/>
  <c r="B114" i="15"/>
  <c r="B111" i="15"/>
  <c r="D42" i="29"/>
  <c r="B42" i="29"/>
  <c r="R107" i="15"/>
  <c r="R108" i="15" s="1"/>
  <c r="Q107" i="15"/>
  <c r="Q108" i="15" s="1"/>
  <c r="P107" i="15"/>
  <c r="P108" i="15" s="1"/>
  <c r="H105" i="15"/>
  <c r="F105" i="15"/>
  <c r="C105" i="15"/>
  <c r="B109" i="15"/>
  <c r="B106" i="15"/>
  <c r="D41" i="29"/>
  <c r="B41" i="29"/>
  <c r="S102" i="15"/>
  <c r="S103" i="15" s="1"/>
  <c r="R102" i="15"/>
  <c r="R103" i="15" s="1"/>
  <c r="Q102" i="15"/>
  <c r="Q103" i="15" s="1"/>
  <c r="O102" i="15"/>
  <c r="O103" i="15" s="1"/>
  <c r="H100" i="15"/>
  <c r="F100" i="15"/>
  <c r="C100" i="15"/>
  <c r="B104" i="15"/>
  <c r="B101" i="15"/>
  <c r="D40" i="29"/>
  <c r="B40" i="29"/>
  <c r="X97" i="15"/>
  <c r="X98" i="15" s="1"/>
  <c r="W97" i="15"/>
  <c r="W98" i="15" s="1"/>
  <c r="U97" i="15"/>
  <c r="U98" i="15" s="1"/>
  <c r="T97" i="15"/>
  <c r="T98" i="15" s="1"/>
  <c r="S97" i="15"/>
  <c r="S98" i="15" s="1"/>
  <c r="Q97" i="15"/>
  <c r="Q98" i="15" s="1"/>
  <c r="P97" i="15"/>
  <c r="P98" i="15" s="1"/>
  <c r="O97" i="15"/>
  <c r="O98" i="15" s="1"/>
  <c r="H95" i="15"/>
  <c r="F95" i="15"/>
  <c r="C95" i="15"/>
  <c r="B99" i="15"/>
  <c r="B96" i="15"/>
  <c r="D39" i="29"/>
  <c r="B39" i="29"/>
  <c r="H90" i="15"/>
  <c r="F90" i="15"/>
  <c r="C90" i="15"/>
  <c r="B94" i="15"/>
  <c r="B91" i="15"/>
  <c r="B38" i="29"/>
  <c r="D37" i="29"/>
  <c r="B37" i="29"/>
  <c r="T87" i="15"/>
  <c r="S87" i="15"/>
  <c r="S88" i="15" s="1"/>
  <c r="R87" i="15"/>
  <c r="R88" i="15" s="1"/>
  <c r="Q87" i="15"/>
  <c r="Q88" i="15" s="1"/>
  <c r="P87" i="15"/>
  <c r="C85" i="15"/>
  <c r="B89" i="15"/>
  <c r="B86" i="15"/>
  <c r="D36" i="29"/>
  <c r="B36" i="29"/>
  <c r="U82" i="15"/>
  <c r="U83" i="15" s="1"/>
  <c r="T82" i="15"/>
  <c r="T83" i="15" s="1"/>
  <c r="S82" i="15"/>
  <c r="S83" i="15" s="1"/>
  <c r="R82" i="15"/>
  <c r="R83" i="15" s="1"/>
  <c r="Q82" i="15"/>
  <c r="Q83" i="15" s="1"/>
  <c r="P82" i="15"/>
  <c r="P83" i="15" s="1"/>
  <c r="C80" i="15"/>
  <c r="B84" i="15"/>
  <c r="B81" i="15"/>
  <c r="B35" i="29"/>
  <c r="D34" i="29"/>
  <c r="B34" i="29"/>
  <c r="Q77" i="15"/>
  <c r="Q78" i="15" s="1"/>
  <c r="H75" i="15" s="1"/>
  <c r="P77" i="15"/>
  <c r="O77" i="15"/>
  <c r="G75" i="15"/>
  <c r="C75" i="15"/>
  <c r="B79" i="15"/>
  <c r="B76" i="15"/>
  <c r="B33" i="29"/>
  <c r="D32" i="29"/>
  <c r="B32" i="29"/>
  <c r="O72" i="15"/>
  <c r="O73" i="15" s="1"/>
  <c r="E70" i="15" s="1"/>
  <c r="F32" i="29" s="1"/>
  <c r="G32" i="29" s="1"/>
  <c r="H70" i="15"/>
  <c r="G70" i="15"/>
  <c r="F70" i="15"/>
  <c r="C70" i="15"/>
  <c r="B74" i="15"/>
  <c r="B71" i="15"/>
  <c r="D31" i="29"/>
  <c r="B31" i="29"/>
  <c r="Q67" i="15"/>
  <c r="Q68" i="15" s="1"/>
  <c r="H65" i="15" s="1"/>
  <c r="P67" i="15"/>
  <c r="P68" i="15" s="1"/>
  <c r="G65" i="15"/>
  <c r="C65" i="15"/>
  <c r="B69" i="15"/>
  <c r="B66" i="15"/>
  <c r="D30" i="29"/>
  <c r="B30" i="29"/>
  <c r="Q62" i="15"/>
  <c r="Q63" i="15" s="1"/>
  <c r="H60" i="15" s="1"/>
  <c r="P62" i="15"/>
  <c r="P63" i="15" s="1"/>
  <c r="G60" i="15"/>
  <c r="C60" i="15"/>
  <c r="B64" i="15"/>
  <c r="B61" i="15"/>
  <c r="B29" i="29"/>
  <c r="D28" i="29"/>
  <c r="B28" i="29"/>
  <c r="R57" i="15"/>
  <c r="R58" i="15" s="1"/>
  <c r="P57" i="15"/>
  <c r="H55" i="15"/>
  <c r="G55" i="15"/>
  <c r="C55" i="15"/>
  <c r="B59" i="15"/>
  <c r="B56" i="15"/>
  <c r="B27" i="29"/>
  <c r="D26" i="29"/>
  <c r="B26" i="29"/>
  <c r="O52" i="15"/>
  <c r="O53" i="15" s="1"/>
  <c r="E50" i="15" s="1"/>
  <c r="F26" i="29" s="1"/>
  <c r="G26" i="29" s="1"/>
  <c r="H50" i="15"/>
  <c r="G50" i="15"/>
  <c r="F50" i="15"/>
  <c r="C50" i="15"/>
  <c r="B54" i="15"/>
  <c r="B51" i="15"/>
  <c r="D25" i="29"/>
  <c r="B25" i="29"/>
  <c r="O47" i="15"/>
  <c r="O48" i="15" s="1"/>
  <c r="E45" i="15" s="1"/>
  <c r="F25" i="29" s="1"/>
  <c r="G25" i="29" s="1"/>
  <c r="G24" i="29" s="1"/>
  <c r="H45" i="15"/>
  <c r="F45" i="15"/>
  <c r="C45" i="15"/>
  <c r="B49" i="15"/>
  <c r="B46" i="15"/>
  <c r="B24" i="29"/>
  <c r="D23" i="29"/>
  <c r="B23" i="29"/>
  <c r="O42" i="15"/>
  <c r="O43" i="15" s="1"/>
  <c r="E40" i="15" s="1"/>
  <c r="F23" i="29" s="1"/>
  <c r="G23" i="29" s="1"/>
  <c r="G22" i="29" s="1"/>
  <c r="H40" i="15"/>
  <c r="F40" i="15"/>
  <c r="C40" i="15"/>
  <c r="B44" i="15"/>
  <c r="B41" i="15"/>
  <c r="B22" i="29"/>
  <c r="B21" i="29"/>
  <c r="D20" i="29"/>
  <c r="B20" i="29"/>
  <c r="AA37" i="15"/>
  <c r="Z37" i="15"/>
  <c r="Z38" i="15" s="1"/>
  <c r="Y37" i="15"/>
  <c r="Y38" i="15" s="1"/>
  <c r="X37" i="15"/>
  <c r="X38" i="15" s="1"/>
  <c r="W37" i="15"/>
  <c r="W38" i="15" s="1"/>
  <c r="V37" i="15"/>
  <c r="V38" i="15" s="1"/>
  <c r="U37" i="15"/>
  <c r="U38" i="15" s="1"/>
  <c r="T37" i="15"/>
  <c r="T38" i="15" s="1"/>
  <c r="S37" i="15"/>
  <c r="S38" i="15" s="1"/>
  <c r="R37" i="15"/>
  <c r="R38" i="15" s="1"/>
  <c r="Q37" i="15"/>
  <c r="P37" i="15"/>
  <c r="C35" i="15"/>
  <c r="B39" i="15"/>
  <c r="B36" i="15"/>
  <c r="D19" i="29"/>
  <c r="B19" i="29"/>
  <c r="P32" i="15"/>
  <c r="H30" i="15"/>
  <c r="G30" i="15"/>
  <c r="C30" i="15"/>
  <c r="B34" i="15"/>
  <c r="B31" i="15"/>
  <c r="D18" i="29"/>
  <c r="B18" i="29"/>
  <c r="S27" i="15"/>
  <c r="S28" i="15" s="1"/>
  <c r="R27" i="15"/>
  <c r="R28" i="15" s="1"/>
  <c r="Q27" i="15"/>
  <c r="Q28" i="15" s="1"/>
  <c r="P27" i="15"/>
  <c r="P28" i="15" s="1"/>
  <c r="H25" i="15"/>
  <c r="C25" i="15"/>
  <c r="B29" i="15"/>
  <c r="B26" i="15"/>
  <c r="D17" i="29"/>
  <c r="B17" i="29"/>
  <c r="O22" i="15"/>
  <c r="O23" i="15" s="1"/>
  <c r="E20" i="15" s="1"/>
  <c r="F17" i="29" s="1"/>
  <c r="G17" i="29" s="1"/>
  <c r="H20" i="15"/>
  <c r="G20" i="15"/>
  <c r="C20" i="15"/>
  <c r="B24" i="15"/>
  <c r="B21" i="15"/>
  <c r="D16" i="29"/>
  <c r="B16" i="29"/>
  <c r="Z17" i="15"/>
  <c r="Z18" i="15" s="1"/>
  <c r="Y17" i="15"/>
  <c r="Y18" i="15" s="1"/>
  <c r="X17" i="15"/>
  <c r="X18" i="15" s="1"/>
  <c r="W17" i="15"/>
  <c r="W18" i="15" s="1"/>
  <c r="V17" i="15"/>
  <c r="V18" i="15" s="1"/>
  <c r="U17" i="15"/>
  <c r="U18" i="15" s="1"/>
  <c r="T17" i="15"/>
  <c r="T18" i="15" s="1"/>
  <c r="S17" i="15"/>
  <c r="S18" i="15" s="1"/>
  <c r="R17" i="15"/>
  <c r="R18" i="15" s="1"/>
  <c r="Q17" i="15"/>
  <c r="Q18" i="15" s="1"/>
  <c r="P17" i="15"/>
  <c r="H15" i="15"/>
  <c r="C15" i="15"/>
  <c r="B19" i="15"/>
  <c r="B16" i="15"/>
  <c r="D15" i="29"/>
  <c r="B15" i="29"/>
  <c r="V12" i="15"/>
  <c r="V13" i="15" s="1"/>
  <c r="T12" i="15"/>
  <c r="T13" i="15" s="1"/>
  <c r="S12" i="15"/>
  <c r="S13" i="15" s="1"/>
  <c r="R12" i="15"/>
  <c r="R13" i="15" s="1"/>
  <c r="Q12" i="15"/>
  <c r="Q13" i="15" s="1"/>
  <c r="P12" i="15"/>
  <c r="H10" i="15"/>
  <c r="C10" i="15"/>
  <c r="B14" i="15"/>
  <c r="B11" i="15"/>
  <c r="D14" i="29"/>
  <c r="B14" i="29"/>
  <c r="V7" i="15"/>
  <c r="V8" i="15" s="1"/>
  <c r="T7" i="15"/>
  <c r="T8" i="15" s="1"/>
  <c r="S7" i="15"/>
  <c r="S8" i="15" s="1"/>
  <c r="R7" i="15"/>
  <c r="R8" i="15" s="1"/>
  <c r="Q7" i="15"/>
  <c r="Q8" i="15" s="1"/>
  <c r="P7" i="15"/>
  <c r="P8" i="15" s="1"/>
  <c r="O7" i="15"/>
  <c r="O8" i="15" s="1"/>
  <c r="H5" i="15"/>
  <c r="C5" i="15"/>
  <c r="B9" i="15"/>
  <c r="B6" i="15"/>
  <c r="B13" i="29"/>
  <c r="B12" i="29"/>
  <c r="B11" i="29"/>
  <c r="G21" i="29" l="1"/>
  <c r="Q1477" i="15"/>
  <c r="Q1447" i="15"/>
  <c r="Q1448" i="15" s="1"/>
  <c r="Q1462" i="15"/>
  <c r="Q1463" i="15" s="1"/>
  <c r="R1322" i="15"/>
  <c r="R1323" i="15" s="1"/>
  <c r="O1152" i="15"/>
  <c r="O1153" i="15" s="1"/>
  <c r="Q1487" i="15"/>
  <c r="Q1492" i="15"/>
  <c r="Q1493" i="15" s="1"/>
  <c r="P128" i="15"/>
  <c r="S198" i="15"/>
  <c r="S1167" i="15"/>
  <c r="S1168" i="15" s="1"/>
  <c r="S1162" i="15"/>
  <c r="S1163" i="15" s="1"/>
  <c r="O107" i="15"/>
  <c r="O108" i="15" s="1"/>
  <c r="O147" i="15"/>
  <c r="O148" i="15" s="1"/>
  <c r="T202" i="15"/>
  <c r="T203" i="15" s="1"/>
  <c r="P248" i="15"/>
  <c r="O442" i="15"/>
  <c r="O443" i="15" s="1"/>
  <c r="O767" i="15"/>
  <c r="O768" i="15" s="1"/>
  <c r="O1272" i="15"/>
  <c r="O1273" i="15" s="1"/>
  <c r="R1327" i="15"/>
  <c r="R1328" i="15" s="1"/>
  <c r="S812" i="15"/>
  <c r="S813" i="15" s="1"/>
  <c r="S787" i="15"/>
  <c r="S788" i="15" s="1"/>
  <c r="S792" i="15"/>
  <c r="S793" i="15" s="1"/>
  <c r="S807" i="15"/>
  <c r="S808" i="15" s="1"/>
  <c r="G805" i="15" s="1"/>
  <c r="S862" i="15"/>
  <c r="S863" i="15" s="1"/>
  <c r="X857" i="15"/>
  <c r="X858" i="15" s="1"/>
  <c r="Q1497" i="15"/>
  <c r="Q1498" i="15" s="1"/>
  <c r="Q1402" i="15"/>
  <c r="Q1403" i="15" s="1"/>
  <c r="Q1367" i="15"/>
  <c r="Q1368" i="15" s="1"/>
  <c r="Q1257" i="15"/>
  <c r="Q1258" i="15" s="1"/>
  <c r="Q1252" i="15"/>
  <c r="Q1253" i="15" s="1"/>
  <c r="Q967" i="15"/>
  <c r="Q968" i="15" s="1"/>
  <c r="Q1247" i="15"/>
  <c r="Q1248" i="15" s="1"/>
  <c r="Q947" i="15"/>
  <c r="Q948" i="15" s="1"/>
  <c r="Q952" i="15"/>
  <c r="Q953" i="15" s="1"/>
  <c r="Q308" i="15"/>
  <c r="P153" i="15"/>
  <c r="T212" i="15"/>
  <c r="T213" i="15" s="1"/>
  <c r="T222" i="15"/>
  <c r="T223" i="15" s="1"/>
  <c r="P263" i="15"/>
  <c r="O78" i="15"/>
  <c r="T88" i="15"/>
  <c r="H85" i="15" s="1"/>
  <c r="Q153" i="15"/>
  <c r="P158" i="15"/>
  <c r="P193" i="15"/>
  <c r="P208" i="15"/>
  <c r="P218" i="15"/>
  <c r="R238" i="15"/>
  <c r="S243" i="15"/>
  <c r="AA243" i="15"/>
  <c r="Q248" i="15"/>
  <c r="Y248" i="15"/>
  <c r="P253" i="15"/>
  <c r="Q263" i="15"/>
  <c r="Y263" i="15"/>
  <c r="P268" i="15"/>
  <c r="Q283" i="15"/>
  <c r="S293" i="15"/>
  <c r="Q298" i="15"/>
  <c r="O312" i="15"/>
  <c r="O313" i="15" s="1"/>
  <c r="P363" i="15"/>
  <c r="AA392" i="15"/>
  <c r="AA393" i="15" s="1"/>
  <c r="P453" i="15"/>
  <c r="P458" i="15"/>
  <c r="P463" i="15"/>
  <c r="O487" i="15"/>
  <c r="O488" i="15" s="1"/>
  <c r="P538" i="15"/>
  <c r="P548" i="15"/>
  <c r="P593" i="15"/>
  <c r="P608" i="15"/>
  <c r="P638" i="15"/>
  <c r="P938" i="15"/>
  <c r="P998" i="15"/>
  <c r="P1038" i="15"/>
  <c r="P1073" i="15"/>
  <c r="P1178" i="15"/>
  <c r="P1283" i="15"/>
  <c r="Q1288" i="15"/>
  <c r="O1312" i="15"/>
  <c r="O1313" i="15" s="1"/>
  <c r="Q1432" i="15"/>
  <c r="Q1433" i="15" s="1"/>
  <c r="AA38" i="15"/>
  <c r="H35" i="15" s="1"/>
  <c r="S223" i="15"/>
  <c r="Q373" i="15"/>
  <c r="S1472" i="15"/>
  <c r="S1473" i="15" s="1"/>
  <c r="R1342" i="15"/>
  <c r="R1343" i="15" s="1"/>
  <c r="S1477" i="15"/>
  <c r="S1478" i="15" s="1"/>
  <c r="S1457" i="15"/>
  <c r="S1458" i="15" s="1"/>
  <c r="T1362" i="15"/>
  <c r="T1363" i="15" s="1"/>
  <c r="S1452" i="15"/>
  <c r="S1453" i="15" s="1"/>
  <c r="S1467" i="15"/>
  <c r="S1468" i="15" s="1"/>
  <c r="R1312" i="15"/>
  <c r="R1313" i="15" s="1"/>
  <c r="R1337" i="15"/>
  <c r="R1338" i="15" s="1"/>
  <c r="S1487" i="15"/>
  <c r="S1488" i="15" s="1"/>
  <c r="R1317" i="15"/>
  <c r="R1318" i="15" s="1"/>
  <c r="U12" i="15"/>
  <c r="U13" i="15" s="1"/>
  <c r="P18" i="15"/>
  <c r="P78" i="15"/>
  <c r="Q158" i="15"/>
  <c r="Q193" i="15"/>
  <c r="V203" i="15"/>
  <c r="H200" i="15" s="1"/>
  <c r="Q208" i="15"/>
  <c r="V213" i="15"/>
  <c r="H210" i="15" s="1"/>
  <c r="Q218" i="15"/>
  <c r="S238" i="15"/>
  <c r="R248" i="15"/>
  <c r="Z248" i="15"/>
  <c r="Q253" i="15"/>
  <c r="R263" i="15"/>
  <c r="Z263" i="15"/>
  <c r="Q268" i="15"/>
  <c r="P313" i="15"/>
  <c r="P328" i="15"/>
  <c r="T343" i="15"/>
  <c r="H340" i="15" s="1"/>
  <c r="Q363" i="15"/>
  <c r="R378" i="15"/>
  <c r="P433" i="15"/>
  <c r="Q463" i="15"/>
  <c r="P488" i="15"/>
  <c r="P508" i="15"/>
  <c r="P528" i="15"/>
  <c r="Q538" i="15"/>
  <c r="Q548" i="15"/>
  <c r="Q593" i="15"/>
  <c r="Q608" i="15"/>
  <c r="P618" i="15"/>
  <c r="P623" i="15"/>
  <c r="Q638" i="15"/>
  <c r="P788" i="15"/>
  <c r="P1018" i="15"/>
  <c r="S1117" i="15"/>
  <c r="S1118" i="15" s="1"/>
  <c r="S1047" i="15"/>
  <c r="S1048" i="15" s="1"/>
  <c r="T1307" i="15"/>
  <c r="T1308" i="15" s="1"/>
  <c r="T1297" i="15"/>
  <c r="T1298" i="15" s="1"/>
  <c r="U7" i="15"/>
  <c r="U8" i="15" s="1"/>
  <c r="P38" i="15"/>
  <c r="O57" i="15"/>
  <c r="O58" i="15" s="1"/>
  <c r="P198" i="15"/>
  <c r="P203" i="15"/>
  <c r="P213" i="15"/>
  <c r="P223" i="15"/>
  <c r="U237" i="15"/>
  <c r="U238" i="15" s="1"/>
  <c r="R313" i="15"/>
  <c r="Z313" i="15"/>
  <c r="H310" i="15" s="1"/>
  <c r="O447" i="15"/>
  <c r="O448" i="15" s="1"/>
  <c r="X467" i="15"/>
  <c r="X468" i="15" s="1"/>
  <c r="R618" i="15"/>
  <c r="P693" i="15"/>
  <c r="P713" i="15"/>
  <c r="W223" i="15"/>
  <c r="H220" i="15" s="1"/>
  <c r="O1507" i="15"/>
  <c r="O1508" i="15" s="1"/>
  <c r="O1402" i="15"/>
  <c r="O1403" i="15" s="1"/>
  <c r="O1042" i="15"/>
  <c r="O1043" i="15" s="1"/>
  <c r="O962" i="15"/>
  <c r="O963" i="15" s="1"/>
  <c r="O797" i="15"/>
  <c r="O798" i="15" s="1"/>
  <c r="O1407" i="15"/>
  <c r="O1408" i="15" s="1"/>
  <c r="O1037" i="15"/>
  <c r="O1038" i="15" s="1"/>
  <c r="O1397" i="15"/>
  <c r="O1398" i="15" s="1"/>
  <c r="O12" i="15"/>
  <c r="O13" i="15" s="1"/>
  <c r="P13" i="15"/>
  <c r="F10" i="15" s="1"/>
  <c r="W12" i="15" s="1"/>
  <c r="W13" i="15" s="1"/>
  <c r="E10" i="15" s="1"/>
  <c r="F15" i="29" s="1"/>
  <c r="G15" i="29" s="1"/>
  <c r="Q38" i="15"/>
  <c r="P58" i="15"/>
  <c r="P88" i="15"/>
  <c r="Q123" i="15"/>
  <c r="T158" i="15"/>
  <c r="H155" i="15" s="1"/>
  <c r="S177" i="15"/>
  <c r="S178" i="15" s="1"/>
  <c r="Q198" i="15"/>
  <c r="Y198" i="15"/>
  <c r="H195" i="15" s="1"/>
  <c r="Q203" i="15"/>
  <c r="Q213" i="15"/>
  <c r="Q223" i="15"/>
  <c r="P258" i="15"/>
  <c r="O307" i="15"/>
  <c r="O308" i="15" s="1"/>
  <c r="S313" i="15"/>
  <c r="O372" i="15"/>
  <c r="O373" i="15" s="1"/>
  <c r="Q403" i="15"/>
  <c r="P438" i="15"/>
  <c r="P448" i="15"/>
  <c r="Q483" i="15"/>
  <c r="P518" i="15"/>
  <c r="Q533" i="15"/>
  <c r="P543" i="15"/>
  <c r="P558" i="15"/>
  <c r="Q603" i="15"/>
  <c r="Q693" i="15"/>
  <c r="P783" i="15"/>
  <c r="P893" i="15"/>
  <c r="P1108" i="15"/>
  <c r="P1168" i="15"/>
  <c r="O1172" i="15"/>
  <c r="O1173" i="15" s="1"/>
  <c r="T1237" i="15"/>
  <c r="T1238" i="15" s="1"/>
  <c r="P1248" i="15"/>
  <c r="Q1427" i="15"/>
  <c r="Q1428" i="15" s="1"/>
  <c r="P33" i="15"/>
  <c r="O62" i="15"/>
  <c r="O63" i="15" s="1"/>
  <c r="O127" i="15"/>
  <c r="O128" i="15" s="1"/>
  <c r="P163" i="15"/>
  <c r="R198" i="15"/>
  <c r="R203" i="15"/>
  <c r="R213" i="15"/>
  <c r="R223" i="15"/>
  <c r="W238" i="15"/>
  <c r="H235" i="15" s="1"/>
  <c r="Q258" i="15"/>
  <c r="P293" i="15"/>
  <c r="P308" i="15"/>
  <c r="T328" i="15"/>
  <c r="H325" i="15" s="1"/>
  <c r="R358" i="15"/>
  <c r="P373" i="15"/>
  <c r="F370" i="15" s="1"/>
  <c r="T372" i="15" s="1"/>
  <c r="T373" i="15" s="1"/>
  <c r="E370" i="15" s="1"/>
  <c r="F120" i="29" s="1"/>
  <c r="G120" i="29" s="1"/>
  <c r="P423" i="15"/>
  <c r="Q438" i="15"/>
  <c r="Q448" i="15"/>
  <c r="P473" i="15"/>
  <c r="P493" i="15"/>
  <c r="P503" i="15"/>
  <c r="Q518" i="15"/>
  <c r="Q543" i="15"/>
  <c r="Q558" i="15"/>
  <c r="P578" i="15"/>
  <c r="X588" i="15"/>
  <c r="P613" i="15"/>
  <c r="P633" i="15"/>
  <c r="P648" i="15"/>
  <c r="W688" i="15"/>
  <c r="H685" i="15" s="1"/>
  <c r="P718" i="15"/>
  <c r="P723" i="15"/>
  <c r="Q773" i="15"/>
  <c r="P813" i="15"/>
  <c r="Q858" i="15"/>
  <c r="P1013" i="15"/>
  <c r="O1162" i="15"/>
  <c r="O1163" i="15" s="1"/>
  <c r="Q1243" i="15"/>
  <c r="R937" i="15"/>
  <c r="R938" i="15" s="1"/>
  <c r="S952" i="15"/>
  <c r="S953" i="15" s="1"/>
  <c r="T902" i="15"/>
  <c r="T903" i="15" s="1"/>
  <c r="S957" i="15"/>
  <c r="S958" i="15" s="1"/>
  <c r="U1337" i="15"/>
  <c r="U1338" i="15" s="1"/>
  <c r="R1247" i="15"/>
  <c r="R1248" i="15" s="1"/>
  <c r="G1245" i="15" s="1"/>
  <c r="P1353" i="15"/>
  <c r="P1373" i="15"/>
  <c r="P1378" i="15"/>
  <c r="P1502" i="15"/>
  <c r="P1503" i="15" s="1"/>
  <c r="P1492" i="15"/>
  <c r="P1493" i="15" s="1"/>
  <c r="P1462" i="15"/>
  <c r="P1463" i="15" s="1"/>
  <c r="P1422" i="15"/>
  <c r="P1423" i="15" s="1"/>
  <c r="P1392" i="15"/>
  <c r="P1393" i="15" s="1"/>
  <c r="P1367" i="15"/>
  <c r="P1368" i="15" s="1"/>
  <c r="P1387" i="15"/>
  <c r="P1388" i="15" s="1"/>
  <c r="P1357" i="15"/>
  <c r="P1358" i="15" s="1"/>
  <c r="P1497" i="15"/>
  <c r="P1498" i="15" s="1"/>
  <c r="P1487" i="15"/>
  <c r="P1488" i="15" s="1"/>
  <c r="P1467" i="15"/>
  <c r="P1468" i="15" s="1"/>
  <c r="P1452" i="15"/>
  <c r="P1453" i="15" s="1"/>
  <c r="P1417" i="15"/>
  <c r="P1418" i="15" s="1"/>
  <c r="P1402" i="15"/>
  <c r="P1403" i="15" s="1"/>
  <c r="P1382" i="15"/>
  <c r="P1383" i="15" s="1"/>
  <c r="P1342" i="15"/>
  <c r="P1343" i="15" s="1"/>
  <c r="P1332" i="15"/>
  <c r="P1333" i="15" s="1"/>
  <c r="P1322" i="15"/>
  <c r="P1323" i="15" s="1"/>
  <c r="P1312" i="15"/>
  <c r="P1313" i="15" s="1"/>
  <c r="P1472" i="15"/>
  <c r="P1473" i="15" s="1"/>
  <c r="P773" i="15"/>
  <c r="Q793" i="15"/>
  <c r="P803" i="15"/>
  <c r="P858" i="15"/>
  <c r="Q893" i="15"/>
  <c r="P898" i="15"/>
  <c r="P918" i="15"/>
  <c r="P943" i="15"/>
  <c r="P978" i="15"/>
  <c r="Q998" i="15"/>
  <c r="Q1018" i="15"/>
  <c r="P1028" i="15"/>
  <c r="Q1053" i="15"/>
  <c r="Q1068" i="15"/>
  <c r="P1093" i="15"/>
  <c r="P1153" i="15"/>
  <c r="Q1168" i="15"/>
  <c r="Q1178" i="15"/>
  <c r="Q1203" i="15"/>
  <c r="P1218" i="15"/>
  <c r="U1222" i="15"/>
  <c r="U1223" i="15" s="1"/>
  <c r="P1228" i="15"/>
  <c r="P1242" i="15"/>
  <c r="P1243" i="15" s="1"/>
  <c r="Q1278" i="15"/>
  <c r="Q1283" i="15"/>
  <c r="P1287" i="15"/>
  <c r="P1288" i="15" s="1"/>
  <c r="Q1323" i="15"/>
  <c r="P1337" i="15"/>
  <c r="P1338" i="15" s="1"/>
  <c r="Q1373" i="15"/>
  <c r="P1397" i="15"/>
  <c r="P1398" i="15" s="1"/>
  <c r="P1432" i="15"/>
  <c r="P1433" i="15" s="1"/>
  <c r="Q788" i="15"/>
  <c r="Q813" i="15"/>
  <c r="Q863" i="15"/>
  <c r="P868" i="15"/>
  <c r="S887" i="15"/>
  <c r="S888" i="15" s="1"/>
  <c r="P913" i="15"/>
  <c r="Q938" i="15"/>
  <c r="P968" i="15"/>
  <c r="U1002" i="15"/>
  <c r="U1003" i="15" s="1"/>
  <c r="Q1013" i="15"/>
  <c r="Q1038" i="15"/>
  <c r="Q1048" i="15"/>
  <c r="Q1073" i="15"/>
  <c r="Q1108" i="15"/>
  <c r="Q1118" i="15"/>
  <c r="Q1133" i="15"/>
  <c r="P1137" i="15"/>
  <c r="P1138" i="15" s="1"/>
  <c r="P1157" i="15"/>
  <c r="P1158" i="15" s="1"/>
  <c r="P1172" i="15"/>
  <c r="P1173" i="15" s="1"/>
  <c r="P1237" i="15"/>
  <c r="P1238" i="15" s="1"/>
  <c r="P1252" i="15"/>
  <c r="P1253" i="15" s="1"/>
  <c r="P1272" i="15"/>
  <c r="P1273" i="15" s="1"/>
  <c r="P1292" i="15"/>
  <c r="P1293" i="15" s="1"/>
  <c r="P1302" i="15"/>
  <c r="P1303" i="15" s="1"/>
  <c r="Q1313" i="15"/>
  <c r="P1477" i="15"/>
  <c r="P1478" i="15" s="1"/>
  <c r="T1477" i="15"/>
  <c r="T1478" i="15" s="1"/>
  <c r="T1457" i="15"/>
  <c r="T1458" i="15" s="1"/>
  <c r="U1362" i="15"/>
  <c r="U1363" i="15" s="1"/>
  <c r="P833" i="15"/>
  <c r="P838" i="15"/>
  <c r="P873" i="15"/>
  <c r="Q913" i="15"/>
  <c r="O983" i="15"/>
  <c r="F980" i="15" s="1"/>
  <c r="P1023" i="15"/>
  <c r="P1058" i="15"/>
  <c r="P1063" i="15"/>
  <c r="P1098" i="15"/>
  <c r="P1122" i="15"/>
  <c r="P1123" i="15" s="1"/>
  <c r="Q1138" i="15"/>
  <c r="T1162" i="15"/>
  <c r="T1163" i="15" s="1"/>
  <c r="Q1173" i="15"/>
  <c r="P1207" i="15"/>
  <c r="P1208" i="15" s="1"/>
  <c r="P1222" i="15"/>
  <c r="P1223" i="15" s="1"/>
  <c r="Q1238" i="15"/>
  <c r="P1257" i="15"/>
  <c r="P1258" i="15" s="1"/>
  <c r="Q1273" i="15"/>
  <c r="Q1293" i="15"/>
  <c r="Q1303" i="15"/>
  <c r="P1327" i="15"/>
  <c r="P1328" i="15" s="1"/>
  <c r="Q1343" i="15"/>
  <c r="P1407" i="15"/>
  <c r="P1408" i="15" s="1"/>
  <c r="Q783" i="15"/>
  <c r="P798" i="15"/>
  <c r="P848" i="15"/>
  <c r="P908" i="15"/>
  <c r="P963" i="15"/>
  <c r="Q1023" i="15"/>
  <c r="Q1058" i="15"/>
  <c r="Q1063" i="15"/>
  <c r="Q1083" i="15"/>
  <c r="Q1098" i="15"/>
  <c r="Q1123" i="15"/>
  <c r="P1142" i="15"/>
  <c r="P1143" i="15" s="1"/>
  <c r="Q1208" i="15"/>
  <c r="Q1223" i="15"/>
  <c r="P1262" i="15"/>
  <c r="P1263" i="15" s="1"/>
  <c r="Q1328" i="15"/>
  <c r="P1412" i="15"/>
  <c r="P1413" i="15" s="1"/>
  <c r="Q1413" i="15"/>
  <c r="Q1478" i="15"/>
  <c r="O491" i="1"/>
  <c r="F491" i="1" s="1"/>
  <c r="R1507" i="15" s="1"/>
  <c r="R1508" i="15" s="1"/>
  <c r="O487" i="1"/>
  <c r="F487" i="1" s="1"/>
  <c r="V1502" i="15" s="1"/>
  <c r="V1503" i="15" s="1"/>
  <c r="O483" i="1"/>
  <c r="F483" i="1" s="1"/>
  <c r="R1502" i="15" s="1"/>
  <c r="R1503" i="15" s="1"/>
  <c r="O479" i="1"/>
  <c r="F479" i="1" s="1"/>
  <c r="T1492" i="15" s="1"/>
  <c r="T1493" i="15" s="1"/>
  <c r="O475" i="1"/>
  <c r="F475" i="1" s="1"/>
  <c r="W1467" i="15" s="1"/>
  <c r="W1468" i="15" s="1"/>
  <c r="O471" i="1"/>
  <c r="F471" i="1" s="1"/>
  <c r="O1442" i="15" s="1"/>
  <c r="O1443" i="15" s="1"/>
  <c r="E1440" i="15" s="1"/>
  <c r="F427" i="29" s="1"/>
  <c r="G427" i="29" s="1"/>
  <c r="G426" i="29" s="1"/>
  <c r="O467" i="1"/>
  <c r="F467" i="1" s="1"/>
  <c r="AD1432" i="15" s="1"/>
  <c r="AD1433" i="15" s="1"/>
  <c r="O463" i="1"/>
  <c r="F463" i="1" s="1"/>
  <c r="Z1432" i="15" s="1"/>
  <c r="Z1433" i="15" s="1"/>
  <c r="O459" i="1"/>
  <c r="F459" i="1" s="1"/>
  <c r="V1432" i="15" s="1"/>
  <c r="V1433" i="15" s="1"/>
  <c r="O455" i="1"/>
  <c r="F455" i="1" s="1"/>
  <c r="AO1427" i="15" s="1"/>
  <c r="AO1428" i="15" s="1"/>
  <c r="O451" i="1"/>
  <c r="F451" i="1" s="1"/>
  <c r="AJ1427" i="15" s="1"/>
  <c r="AJ1428" i="15" s="1"/>
  <c r="O447" i="1"/>
  <c r="F447" i="1" s="1"/>
  <c r="AF1427" i="15" s="1"/>
  <c r="AF1428" i="15" s="1"/>
  <c r="O443" i="1"/>
  <c r="F443" i="1" s="1"/>
  <c r="AB1427" i="15" s="1"/>
  <c r="AB1428" i="15" s="1"/>
  <c r="O439" i="1"/>
  <c r="F439" i="1" s="1"/>
  <c r="X1427" i="15" s="1"/>
  <c r="X1428" i="15" s="1"/>
  <c r="O435" i="1"/>
  <c r="F435" i="1" s="1"/>
  <c r="O431" i="1"/>
  <c r="F431" i="1" s="1"/>
  <c r="S1412" i="15" s="1"/>
  <c r="S1413" i="15" s="1"/>
  <c r="O427" i="1"/>
  <c r="F427" i="1" s="1"/>
  <c r="S1397" i="15" s="1"/>
  <c r="S1398" i="15" s="1"/>
  <c r="O423" i="1"/>
  <c r="F423" i="1" s="1"/>
  <c r="R1377" i="15" s="1"/>
  <c r="R1378" i="15" s="1"/>
  <c r="G1375" i="15" s="1"/>
  <c r="O419" i="1"/>
  <c r="F419" i="1" s="1"/>
  <c r="O415" i="1"/>
  <c r="F415" i="1" s="1"/>
  <c r="S1292" i="15" s="1"/>
  <c r="S1293" i="15" s="1"/>
  <c r="O411" i="1"/>
  <c r="F411" i="1" s="1"/>
  <c r="V1287" i="15" s="1"/>
  <c r="V1288" i="15" s="1"/>
  <c r="O407" i="1"/>
  <c r="F407" i="1" s="1"/>
  <c r="R1287" i="15" s="1"/>
  <c r="R1288" i="15" s="1"/>
  <c r="O403" i="1"/>
  <c r="F403" i="1" s="1"/>
  <c r="V1277" i="15" s="1"/>
  <c r="V1278" i="15" s="1"/>
  <c r="O399" i="1"/>
  <c r="F399" i="1" s="1"/>
  <c r="V1272" i="15" s="1"/>
  <c r="V1273" i="15" s="1"/>
  <c r="O395" i="1"/>
  <c r="F395" i="1" s="1"/>
  <c r="Y1267" i="15" s="1"/>
  <c r="Y1268" i="15" s="1"/>
  <c r="O391" i="1"/>
  <c r="F391" i="1" s="1"/>
  <c r="U1267" i="15" s="1"/>
  <c r="U1268" i="15" s="1"/>
  <c r="O387" i="1"/>
  <c r="F387" i="1" s="1"/>
  <c r="R1262" i="15" s="1"/>
  <c r="R1263" i="15" s="1"/>
  <c r="G1260" i="15" s="1"/>
  <c r="O383" i="1"/>
  <c r="F383" i="1" s="1"/>
  <c r="R1242" i="15" s="1"/>
  <c r="R1243" i="15" s="1"/>
  <c r="G1240" i="15" s="1"/>
  <c r="O379" i="1"/>
  <c r="F379" i="1" s="1"/>
  <c r="O375" i="1"/>
  <c r="F375" i="1" s="1"/>
  <c r="O371" i="1"/>
  <c r="F371" i="1" s="1"/>
  <c r="O367" i="1"/>
  <c r="F367" i="1" s="1"/>
  <c r="S1202" i="15" s="1"/>
  <c r="S1203" i="15" s="1"/>
  <c r="O363" i="1"/>
  <c r="F363" i="1" s="1"/>
  <c r="O1187" i="15" s="1"/>
  <c r="O1188" i="15" s="1"/>
  <c r="E1185" i="15" s="1"/>
  <c r="F354" i="29" s="1"/>
  <c r="G354" i="29" s="1"/>
  <c r="O359" i="1"/>
  <c r="F359" i="1" s="1"/>
  <c r="R1157" i="15" s="1"/>
  <c r="R1158" i="15" s="1"/>
  <c r="O355" i="1"/>
  <c r="F355" i="1" s="1"/>
  <c r="S1137" i="15" s="1"/>
  <c r="S1138" i="15" s="1"/>
  <c r="O351" i="1"/>
  <c r="F351" i="1" s="1"/>
  <c r="T1112" i="15" s="1"/>
  <c r="T1113" i="15" s="1"/>
  <c r="O347" i="1"/>
  <c r="F347" i="1" s="1"/>
  <c r="T1102" i="15" s="1"/>
  <c r="T1103" i="15" s="1"/>
  <c r="O343" i="1"/>
  <c r="F343" i="1" s="1"/>
  <c r="O339" i="1"/>
  <c r="F339" i="1" s="1"/>
  <c r="T1052" i="15" s="1"/>
  <c r="T1053" i="15" s="1"/>
  <c r="O335" i="1"/>
  <c r="F335" i="1" s="1"/>
  <c r="U1047" i="15" s="1"/>
  <c r="U1048" i="15" s="1"/>
  <c r="O331" i="1"/>
  <c r="F331" i="1" s="1"/>
  <c r="O327" i="1"/>
  <c r="F327" i="1" s="1"/>
  <c r="O323" i="1"/>
  <c r="F323" i="1" s="1"/>
  <c r="V1007" i="15" s="1"/>
  <c r="V1008" i="15" s="1"/>
  <c r="O319" i="1"/>
  <c r="F319" i="1" s="1"/>
  <c r="O315" i="1"/>
  <c r="F315" i="1" s="1"/>
  <c r="O992" i="15" s="1"/>
  <c r="O993" i="15" s="1"/>
  <c r="E990" i="15" s="1"/>
  <c r="F291" i="29" s="1"/>
  <c r="G291" i="29" s="1"/>
  <c r="O311" i="1"/>
  <c r="F311" i="1" s="1"/>
  <c r="P982" i="15" s="1"/>
  <c r="P983" i="15" s="1"/>
  <c r="E980" i="15" s="1"/>
  <c r="F289" i="29" s="1"/>
  <c r="G289" i="29" s="1"/>
  <c r="O307" i="1"/>
  <c r="F307" i="1" s="1"/>
  <c r="T967" i="15" s="1"/>
  <c r="T968" i="15" s="1"/>
  <c r="O303" i="1"/>
  <c r="F303" i="1" s="1"/>
  <c r="U962" i="15" s="1"/>
  <c r="U963" i="15" s="1"/>
  <c r="O299" i="1"/>
  <c r="F299" i="1" s="1"/>
  <c r="U957" i="15" s="1"/>
  <c r="U958" i="15" s="1"/>
  <c r="O295" i="1"/>
  <c r="F295" i="1" s="1"/>
  <c r="U952" i="15" s="1"/>
  <c r="U953" i="15" s="1"/>
  <c r="O291" i="1"/>
  <c r="F291" i="1" s="1"/>
  <c r="U947" i="15" s="1"/>
  <c r="U948" i="15" s="1"/>
  <c r="O287" i="1"/>
  <c r="F287" i="1" s="1"/>
  <c r="S937" i="15" s="1"/>
  <c r="S938" i="15" s="1"/>
  <c r="O283" i="1"/>
  <c r="F283" i="1" s="1"/>
  <c r="O279" i="1"/>
  <c r="F279" i="1" s="1"/>
  <c r="V912" i="15" s="1"/>
  <c r="V913" i="15" s="1"/>
  <c r="O275" i="1"/>
  <c r="F275" i="1" s="1"/>
  <c r="U907" i="15" s="1"/>
  <c r="U908" i="15" s="1"/>
  <c r="O271" i="1"/>
  <c r="F271" i="1" s="1"/>
  <c r="W897" i="15" s="1"/>
  <c r="W898" i="15" s="1"/>
  <c r="O267" i="1"/>
  <c r="F267" i="1" s="1"/>
  <c r="O263" i="1"/>
  <c r="F263" i="1" s="1"/>
  <c r="O259" i="1"/>
  <c r="F259" i="1" s="1"/>
  <c r="O255" i="1"/>
  <c r="F255" i="1" s="1"/>
  <c r="O251" i="1"/>
  <c r="F251" i="1" s="1"/>
  <c r="O247" i="1"/>
  <c r="F247" i="1" s="1"/>
  <c r="W867" i="15" s="1"/>
  <c r="W868" i="15" s="1"/>
  <c r="O243" i="1"/>
  <c r="F243" i="1" s="1"/>
  <c r="Y862" i="15" s="1"/>
  <c r="Y863" i="15" s="1"/>
  <c r="O239" i="1"/>
  <c r="F239" i="1" s="1"/>
  <c r="O235" i="1"/>
  <c r="F235" i="1" s="1"/>
  <c r="V857" i="15" s="1"/>
  <c r="V858" i="15" s="1"/>
  <c r="O231" i="1"/>
  <c r="F231" i="1" s="1"/>
  <c r="O227" i="1"/>
  <c r="F227" i="1" s="1"/>
  <c r="W847" i="15" s="1"/>
  <c r="W848" i="15" s="1"/>
  <c r="O223" i="1"/>
  <c r="F223" i="1" s="1"/>
  <c r="U842" i="15" s="1"/>
  <c r="U843" i="15" s="1"/>
  <c r="O219" i="1"/>
  <c r="F219" i="1" s="1"/>
  <c r="Q837" i="15" s="1"/>
  <c r="Q838" i="15" s="1"/>
  <c r="G835" i="15" s="1"/>
  <c r="O215" i="1"/>
  <c r="F215" i="1" s="1"/>
  <c r="V802" i="15" s="1"/>
  <c r="V803" i="15" s="1"/>
  <c r="O211" i="1"/>
  <c r="F211" i="1" s="1"/>
  <c r="W787" i="15" s="1"/>
  <c r="W788" i="15" s="1"/>
  <c r="O207" i="1"/>
  <c r="F207" i="1" s="1"/>
  <c r="O203" i="1"/>
  <c r="F203" i="1" s="1"/>
  <c r="O199" i="1"/>
  <c r="F199" i="1" s="1"/>
  <c r="O752" i="15" s="1"/>
  <c r="O753" i="15" s="1"/>
  <c r="E750" i="15" s="1"/>
  <c r="F225" i="29" s="1"/>
  <c r="G225" i="29" s="1"/>
  <c r="O195" i="1"/>
  <c r="F195" i="1" s="1"/>
  <c r="O727" i="15" s="1"/>
  <c r="O728" i="15" s="1"/>
  <c r="E725" i="15" s="1"/>
  <c r="F219" i="29" s="1"/>
  <c r="G219" i="29" s="1"/>
  <c r="O191" i="1"/>
  <c r="F191" i="1" s="1"/>
  <c r="O187" i="1"/>
  <c r="F187" i="1" s="1"/>
  <c r="T692" i="15" s="1"/>
  <c r="T693" i="15" s="1"/>
  <c r="O183" i="1"/>
  <c r="F183" i="1" s="1"/>
  <c r="O179" i="1"/>
  <c r="F179" i="1" s="1"/>
  <c r="O667" i="15" s="1"/>
  <c r="O668" i="15" s="1"/>
  <c r="E665" i="15" s="1"/>
  <c r="F199" i="29" s="1"/>
  <c r="G199" i="29" s="1"/>
  <c r="O175" i="1"/>
  <c r="F175" i="1" s="1"/>
  <c r="S647" i="15" s="1"/>
  <c r="S648" i="15" s="1"/>
  <c r="O171" i="1"/>
  <c r="F171" i="1" s="1"/>
  <c r="T632" i="15" s="1"/>
  <c r="T633" i="15" s="1"/>
  <c r="O167" i="1"/>
  <c r="F167" i="1" s="1"/>
  <c r="O163" i="1"/>
  <c r="F163" i="1" s="1"/>
  <c r="U612" i="15" s="1"/>
  <c r="U613" i="15" s="1"/>
  <c r="O159" i="1"/>
  <c r="F159" i="1" s="1"/>
  <c r="O155" i="1"/>
  <c r="F155" i="1" s="1"/>
  <c r="W547" i="15" s="1"/>
  <c r="W548" i="15" s="1"/>
  <c r="O490" i="1"/>
  <c r="F490" i="1" s="1"/>
  <c r="Y1502" i="15" s="1"/>
  <c r="Y1503" i="15" s="1"/>
  <c r="O486" i="1"/>
  <c r="F486" i="1" s="1"/>
  <c r="U1502" i="15" s="1"/>
  <c r="U1503" i="15" s="1"/>
  <c r="O482" i="1"/>
  <c r="F482" i="1" s="1"/>
  <c r="R1497" i="15" s="1"/>
  <c r="R1498" i="15" s="1"/>
  <c r="G1495" i="15" s="1"/>
  <c r="O478" i="1"/>
  <c r="F478" i="1" s="1"/>
  <c r="S1492" i="15" s="1"/>
  <c r="S1493" i="15" s="1"/>
  <c r="O474" i="1"/>
  <c r="F474" i="1" s="1"/>
  <c r="V1462" i="15" s="1"/>
  <c r="V1463" i="15" s="1"/>
  <c r="O470" i="1"/>
  <c r="F470" i="1" s="1"/>
  <c r="O1437" i="15" s="1"/>
  <c r="O1438" i="15" s="1"/>
  <c r="E1435" i="15" s="1"/>
  <c r="F425" i="29" s="1"/>
  <c r="G425" i="29" s="1"/>
  <c r="G424" i="29" s="1"/>
  <c r="O466" i="1"/>
  <c r="F466" i="1" s="1"/>
  <c r="AC1432" i="15" s="1"/>
  <c r="AC1433" i="15" s="1"/>
  <c r="O462" i="1"/>
  <c r="F462" i="1" s="1"/>
  <c r="Y1432" i="15" s="1"/>
  <c r="Y1433" i="15" s="1"/>
  <c r="O458" i="1"/>
  <c r="F458" i="1" s="1"/>
  <c r="U1432" i="15" s="1"/>
  <c r="U1433" i="15" s="1"/>
  <c r="O454" i="1"/>
  <c r="F454" i="1" s="1"/>
  <c r="AM1427" i="15" s="1"/>
  <c r="AM1428" i="15" s="1"/>
  <c r="O450" i="1"/>
  <c r="F450" i="1" s="1"/>
  <c r="AI1427" i="15" s="1"/>
  <c r="AI1428" i="15" s="1"/>
  <c r="O446" i="1"/>
  <c r="F446" i="1" s="1"/>
  <c r="AE1427" i="15" s="1"/>
  <c r="AE1428" i="15" s="1"/>
  <c r="O442" i="1"/>
  <c r="F442" i="1" s="1"/>
  <c r="AA1427" i="15" s="1"/>
  <c r="AA1428" i="15" s="1"/>
  <c r="O438" i="1"/>
  <c r="F438" i="1" s="1"/>
  <c r="W1427" i="15" s="1"/>
  <c r="W1428" i="15" s="1"/>
  <c r="O434" i="1"/>
  <c r="F434" i="1" s="1"/>
  <c r="S1427" i="15" s="1"/>
  <c r="S1428" i="15" s="1"/>
  <c r="O430" i="1"/>
  <c r="F430" i="1" s="1"/>
  <c r="S1407" i="15" s="1"/>
  <c r="S1408" i="15" s="1"/>
  <c r="O426" i="1"/>
  <c r="F426" i="1" s="1"/>
  <c r="R1392" i="15" s="1"/>
  <c r="R1393" i="15" s="1"/>
  <c r="G1390" i="15" s="1"/>
  <c r="O422" i="1"/>
  <c r="F422" i="1" s="1"/>
  <c r="R1372" i="15" s="1"/>
  <c r="R1373" i="15" s="1"/>
  <c r="G1370" i="15" s="1"/>
  <c r="O418" i="1"/>
  <c r="F418" i="1" s="1"/>
  <c r="O414" i="1"/>
  <c r="F414" i="1" s="1"/>
  <c r="Y1287" i="15" s="1"/>
  <c r="Y1288" i="15" s="1"/>
  <c r="O410" i="1"/>
  <c r="F410" i="1" s="1"/>
  <c r="U1287" i="15" s="1"/>
  <c r="U1288" i="15" s="1"/>
  <c r="O406" i="1"/>
  <c r="F406" i="1" s="1"/>
  <c r="Y1282" i="15" s="1"/>
  <c r="Y1283" i="15" s="1"/>
  <c r="O402" i="1"/>
  <c r="F402" i="1" s="1"/>
  <c r="U1277" i="15" s="1"/>
  <c r="U1278" i="15" s="1"/>
  <c r="O398" i="1"/>
  <c r="F398" i="1" s="1"/>
  <c r="AB1267" i="15" s="1"/>
  <c r="AB1268" i="15" s="1"/>
  <c r="O394" i="1"/>
  <c r="F394" i="1" s="1"/>
  <c r="O390" i="1"/>
  <c r="F390" i="1" s="1"/>
  <c r="O386" i="1"/>
  <c r="F386" i="1" s="1"/>
  <c r="R1257" i="15" s="1"/>
  <c r="R1258" i="15" s="1"/>
  <c r="G1255" i="15" s="1"/>
  <c r="O382" i="1"/>
  <c r="F382" i="1" s="1"/>
  <c r="O378" i="1"/>
  <c r="F378" i="1" s="1"/>
  <c r="V1232" i="15" s="1"/>
  <c r="V1233" i="15" s="1"/>
  <c r="O374" i="1"/>
  <c r="F374" i="1" s="1"/>
  <c r="O370" i="1"/>
  <c r="F370" i="1" s="1"/>
  <c r="T1212" i="15" s="1"/>
  <c r="T1213" i="15" s="1"/>
  <c r="O366" i="1"/>
  <c r="F366" i="1" s="1"/>
  <c r="O362" i="1"/>
  <c r="F362" i="1" s="1"/>
  <c r="O1182" i="15" s="1"/>
  <c r="O1183" i="15" s="1"/>
  <c r="E1180" i="15" s="1"/>
  <c r="F353" i="29" s="1"/>
  <c r="G353" i="29" s="1"/>
  <c r="O358" i="1"/>
  <c r="F358" i="1" s="1"/>
  <c r="R1152" i="15" s="1"/>
  <c r="R1153" i="15" s="1"/>
  <c r="G1150" i="15" s="1"/>
  <c r="O354" i="1"/>
  <c r="F354" i="1" s="1"/>
  <c r="R1132" i="15" s="1"/>
  <c r="R1133" i="15" s="1"/>
  <c r="G1130" i="15" s="1"/>
  <c r="O350" i="1"/>
  <c r="F350" i="1" s="1"/>
  <c r="U1107" i="15" s="1"/>
  <c r="U1108" i="15" s="1"/>
  <c r="O346" i="1"/>
  <c r="F346" i="1" s="1"/>
  <c r="O342" i="1"/>
  <c r="F342" i="1" s="1"/>
  <c r="X1057" i="15" s="1"/>
  <c r="X1058" i="15" s="1"/>
  <c r="O338" i="1"/>
  <c r="F338" i="1" s="1"/>
  <c r="O334" i="1"/>
  <c r="F334" i="1" s="1"/>
  <c r="T1047" i="15" s="1"/>
  <c r="T1048" i="15" s="1"/>
  <c r="O330" i="1"/>
  <c r="F330" i="1" s="1"/>
  <c r="O326" i="1"/>
  <c r="F326" i="1" s="1"/>
  <c r="O322" i="1"/>
  <c r="F322" i="1" s="1"/>
  <c r="O318" i="1"/>
  <c r="F318" i="1" s="1"/>
  <c r="O314" i="1"/>
  <c r="F314" i="1" s="1"/>
  <c r="Q987" i="15" s="1"/>
  <c r="Q988" i="15" s="1"/>
  <c r="O310" i="1"/>
  <c r="F310" i="1" s="1"/>
  <c r="T977" i="15" s="1"/>
  <c r="T978" i="15" s="1"/>
  <c r="O306" i="1"/>
  <c r="F306" i="1" s="1"/>
  <c r="S967" i="15" s="1"/>
  <c r="S968" i="15" s="1"/>
  <c r="O302" i="1"/>
  <c r="F302" i="1" s="1"/>
  <c r="T962" i="15" s="1"/>
  <c r="T963" i="15" s="1"/>
  <c r="O298" i="1"/>
  <c r="F298" i="1" s="1"/>
  <c r="T957" i="15" s="1"/>
  <c r="T958" i="15" s="1"/>
  <c r="O294" i="1"/>
  <c r="F294" i="1" s="1"/>
  <c r="T952" i="15" s="1"/>
  <c r="T953" i="15" s="1"/>
  <c r="O290" i="1"/>
  <c r="F290" i="1" s="1"/>
  <c r="W942" i="15" s="1"/>
  <c r="W943" i="15" s="1"/>
  <c r="O286" i="1"/>
  <c r="F286" i="1" s="1"/>
  <c r="O932" i="15" s="1"/>
  <c r="O933" i="15" s="1"/>
  <c r="E930" i="15" s="1"/>
  <c r="F275" i="29" s="1"/>
  <c r="G275" i="29" s="1"/>
  <c r="O282" i="1"/>
  <c r="F282" i="1" s="1"/>
  <c r="O278" i="1"/>
  <c r="F278" i="1" s="1"/>
  <c r="U912" i="15" s="1"/>
  <c r="U913" i="15" s="1"/>
  <c r="O274" i="1"/>
  <c r="F274" i="1" s="1"/>
  <c r="O270" i="1"/>
  <c r="F270" i="1" s="1"/>
  <c r="O266" i="1"/>
  <c r="F266" i="1" s="1"/>
  <c r="W892" i="15" s="1"/>
  <c r="W893" i="15" s="1"/>
  <c r="O262" i="1"/>
  <c r="F262" i="1" s="1"/>
  <c r="O258" i="1"/>
  <c r="F258" i="1" s="1"/>
  <c r="O254" i="1"/>
  <c r="F254" i="1" s="1"/>
  <c r="T882" i="15" s="1"/>
  <c r="T883" i="15" s="1"/>
  <c r="O250" i="1"/>
  <c r="F250" i="1" s="1"/>
  <c r="R872" i="15" s="1"/>
  <c r="R873" i="15" s="1"/>
  <c r="O246" i="1"/>
  <c r="F246" i="1" s="1"/>
  <c r="V867" i="15" s="1"/>
  <c r="V868" i="15" s="1"/>
  <c r="O242" i="1"/>
  <c r="F242" i="1" s="1"/>
  <c r="X862" i="15" s="1"/>
  <c r="X863" i="15" s="1"/>
  <c r="O238" i="1"/>
  <c r="F238" i="1" s="1"/>
  <c r="O234" i="1"/>
  <c r="F234" i="1" s="1"/>
  <c r="U857" i="15" s="1"/>
  <c r="U858" i="15" s="1"/>
  <c r="O230" i="1"/>
  <c r="F230" i="1" s="1"/>
  <c r="T852" i="15" s="1"/>
  <c r="T853" i="15" s="1"/>
  <c r="O226" i="1"/>
  <c r="F226" i="1" s="1"/>
  <c r="V847" i="15" s="1"/>
  <c r="V848" i="15" s="1"/>
  <c r="O222" i="1"/>
  <c r="F222" i="1" s="1"/>
  <c r="O218" i="1"/>
  <c r="F218" i="1" s="1"/>
  <c r="Q832" i="15" s="1"/>
  <c r="Q833" i="15" s="1"/>
  <c r="G830" i="15" s="1"/>
  <c r="O214" i="1"/>
  <c r="F214" i="1" s="1"/>
  <c r="U802" i="15" s="1"/>
  <c r="U803" i="15" s="1"/>
  <c r="O210" i="1"/>
  <c r="F210" i="1" s="1"/>
  <c r="U787" i="15" s="1"/>
  <c r="U788" i="15" s="1"/>
  <c r="O206" i="1"/>
  <c r="F206" i="1" s="1"/>
  <c r="O202" i="1"/>
  <c r="F202" i="1" s="1"/>
  <c r="R767" i="15" s="1"/>
  <c r="R768" i="15" s="1"/>
  <c r="G765" i="15" s="1"/>
  <c r="O198" i="1"/>
  <c r="F198" i="1" s="1"/>
  <c r="Q747" i="15" s="1"/>
  <c r="Q748" i="15" s="1"/>
  <c r="G745" i="15" s="1"/>
  <c r="O194" i="1"/>
  <c r="F194" i="1" s="1"/>
  <c r="Q722" i="15" s="1"/>
  <c r="Q723" i="15" s="1"/>
  <c r="G720" i="15" s="1"/>
  <c r="O190" i="1"/>
  <c r="F190" i="1" s="1"/>
  <c r="O697" i="15" s="1"/>
  <c r="O698" i="15" s="1"/>
  <c r="E695" i="15" s="1"/>
  <c r="F210" i="29" s="1"/>
  <c r="G210" i="29" s="1"/>
  <c r="O186" i="1"/>
  <c r="F186" i="1" s="1"/>
  <c r="V687" i="15" s="1"/>
  <c r="V688" i="15" s="1"/>
  <c r="O182" i="1"/>
  <c r="F182" i="1" s="1"/>
  <c r="O682" i="15" s="1"/>
  <c r="O683" i="15" s="1"/>
  <c r="E680" i="15" s="1"/>
  <c r="F205" i="29" s="1"/>
  <c r="G205" i="29" s="1"/>
  <c r="G204" i="29" s="1"/>
  <c r="O178" i="1"/>
  <c r="F178" i="1" s="1"/>
  <c r="O662" i="15" s="1"/>
  <c r="O663" i="15" s="1"/>
  <c r="E660" i="15" s="1"/>
  <c r="F196" i="29" s="1"/>
  <c r="G196" i="29" s="1"/>
  <c r="G195" i="29" s="1"/>
  <c r="O174" i="1"/>
  <c r="F174" i="1" s="1"/>
  <c r="S642" i="15" s="1"/>
  <c r="S643" i="15" s="1"/>
  <c r="O170" i="1"/>
  <c r="F170" i="1" s="1"/>
  <c r="O166" i="1"/>
  <c r="F166" i="1" s="1"/>
  <c r="R622" i="15" s="1"/>
  <c r="R623" i="15" s="1"/>
  <c r="G620" i="15" s="1"/>
  <c r="O162" i="1"/>
  <c r="F162" i="1" s="1"/>
  <c r="U597" i="15" s="1"/>
  <c r="U598" i="15" s="1"/>
  <c r="O158" i="1"/>
  <c r="F158" i="1" s="1"/>
  <c r="U567" i="15" s="1"/>
  <c r="U568" i="15" s="1"/>
  <c r="O154" i="1"/>
  <c r="F154" i="1" s="1"/>
  <c r="Q14" i="1"/>
  <c r="Q1353" i="15"/>
  <c r="Q1378" i="15"/>
  <c r="Q1473" i="15"/>
  <c r="Q1508" i="15"/>
  <c r="Q1383" i="15"/>
  <c r="Q1418" i="15"/>
  <c r="Q1453" i="15"/>
  <c r="Q1468" i="15"/>
  <c r="Q1488" i="15"/>
  <c r="O377" i="1"/>
  <c r="F377" i="1" s="1"/>
  <c r="U1232" i="15" s="1"/>
  <c r="U1233" i="15" s="1"/>
  <c r="O388" i="1"/>
  <c r="F388" i="1" s="1"/>
  <c r="R1267" i="15" s="1"/>
  <c r="R1268" i="15" s="1"/>
  <c r="O393" i="1"/>
  <c r="F393" i="1" s="1"/>
  <c r="W1267" i="15" s="1"/>
  <c r="W1268" i="15" s="1"/>
  <c r="O404" i="1"/>
  <c r="F404" i="1" s="1"/>
  <c r="W1277" i="15" s="1"/>
  <c r="W1278" i="15" s="1"/>
  <c r="O409" i="1"/>
  <c r="F409" i="1" s="1"/>
  <c r="T1287" i="15" s="1"/>
  <c r="T1288" i="15" s="1"/>
  <c r="O420" i="1"/>
  <c r="F420" i="1" s="1"/>
  <c r="O425" i="1"/>
  <c r="F425" i="1" s="1"/>
  <c r="R1387" i="15" s="1"/>
  <c r="R1388" i="15" s="1"/>
  <c r="G1385" i="15" s="1"/>
  <c r="O436" i="1"/>
  <c r="F436" i="1" s="1"/>
  <c r="U1427" i="15" s="1"/>
  <c r="U1428" i="15" s="1"/>
  <c r="O441" i="1"/>
  <c r="F441" i="1" s="1"/>
  <c r="Z1427" i="15" s="1"/>
  <c r="Z1428" i="15" s="1"/>
  <c r="O452" i="1"/>
  <c r="F452" i="1" s="1"/>
  <c r="AK1427" i="15" s="1"/>
  <c r="AK1428" i="15" s="1"/>
  <c r="O457" i="1"/>
  <c r="F457" i="1" s="1"/>
  <c r="T1432" i="15" s="1"/>
  <c r="T1433" i="15" s="1"/>
  <c r="O468" i="1"/>
  <c r="F468" i="1" s="1"/>
  <c r="AE1432" i="15" s="1"/>
  <c r="AE1433" i="15" s="1"/>
  <c r="O473" i="1"/>
  <c r="F473" i="1" s="1"/>
  <c r="O484" i="1"/>
  <c r="F484" i="1" s="1"/>
  <c r="S1502" i="15" s="1"/>
  <c r="S1503" i="15" s="1"/>
  <c r="O489" i="1"/>
  <c r="F489" i="1" s="1"/>
  <c r="X1502" i="15" s="1"/>
  <c r="X1503" i="15" s="1"/>
  <c r="Q1358" i="15"/>
  <c r="Q1388" i="15"/>
  <c r="P1507" i="15"/>
  <c r="P1508" i="15" s="1"/>
  <c r="Q1502" i="15"/>
  <c r="Q1503" i="15" s="1"/>
  <c r="O172" i="15"/>
  <c r="O173" i="15" s="1"/>
  <c r="O612" i="15"/>
  <c r="O613" i="15" s="1"/>
  <c r="O1457" i="15"/>
  <c r="O1458" i="15" s="1"/>
  <c r="O1482" i="15"/>
  <c r="O1483" i="15" s="1"/>
  <c r="F1480" i="15" s="1"/>
  <c r="W1482" i="15" s="1"/>
  <c r="W1483" i="15" s="1"/>
  <c r="O1032" i="15"/>
  <c r="O1033" i="15" s="1"/>
  <c r="O1047" i="15"/>
  <c r="O1048" i="15" s="1"/>
  <c r="O277" i="15"/>
  <c r="O278" i="15" s="1"/>
  <c r="O362" i="15"/>
  <c r="O363" i="15" s="1"/>
  <c r="O472" i="15"/>
  <c r="O473" i="15" s="1"/>
  <c r="O552" i="15"/>
  <c r="O553" i="15" s="1"/>
  <c r="F550" i="15" s="1"/>
  <c r="W552" i="15" s="1"/>
  <c r="W553" i="15" s="1"/>
  <c r="O617" i="15"/>
  <c r="O618" i="15" s="1"/>
  <c r="F615" i="15" s="1"/>
  <c r="X617" i="15" s="1"/>
  <c r="X618" i="15" s="1"/>
  <c r="E615" i="15" s="1"/>
  <c r="F183" i="29" s="1"/>
  <c r="G183" i="29" s="1"/>
  <c r="G182" i="29" s="1"/>
  <c r="O747" i="15"/>
  <c r="O748" i="15" s="1"/>
  <c r="F745" i="15" s="1"/>
  <c r="R747" i="15" s="1"/>
  <c r="R748" i="15" s="1"/>
  <c r="E745" i="15" s="1"/>
  <c r="F223" i="29" s="1"/>
  <c r="G223" i="29" s="1"/>
  <c r="O777" i="15"/>
  <c r="O778" i="15" s="1"/>
  <c r="O902" i="15"/>
  <c r="O903" i="15" s="1"/>
  <c r="O1007" i="15"/>
  <c r="O1008" i="15" s="1"/>
  <c r="O1147" i="15"/>
  <c r="O1148" i="15" s="1"/>
  <c r="O1177" i="15"/>
  <c r="O1178" i="15" s="1"/>
  <c r="O1277" i="15"/>
  <c r="O1278" i="15" s="1"/>
  <c r="O1322" i="15"/>
  <c r="O1323" i="15" s="1"/>
  <c r="F1320" i="15" s="1"/>
  <c r="V1322" i="15" s="1"/>
  <c r="V1323" i="15" s="1"/>
  <c r="O1392" i="15"/>
  <c r="O1393" i="15" s="1"/>
  <c r="F1390" i="15" s="1"/>
  <c r="S1392" i="15" s="1"/>
  <c r="S1393" i="15" s="1"/>
  <c r="E1390" i="15" s="1"/>
  <c r="F411" i="29" s="1"/>
  <c r="G411" i="29" s="1"/>
  <c r="O1467" i="15"/>
  <c r="O1468" i="15" s="1"/>
  <c r="F1465" i="15" s="1"/>
  <c r="X1467" i="15" s="1"/>
  <c r="X1468" i="15" s="1"/>
  <c r="O1487" i="15"/>
  <c r="O1488" i="15" s="1"/>
  <c r="F1485" i="15" s="1"/>
  <c r="X1487" i="15" s="1"/>
  <c r="X1488" i="15" s="1"/>
  <c r="O1502" i="15"/>
  <c r="O1503" i="15" s="1"/>
  <c r="O567" i="15"/>
  <c r="O568" i="15" s="1"/>
  <c r="O1287" i="15"/>
  <c r="O1288" i="15" s="1"/>
  <c r="O177" i="15"/>
  <c r="O178" i="15" s="1"/>
  <c r="O232" i="15"/>
  <c r="O233" i="15" s="1"/>
  <c r="O27" i="15"/>
  <c r="O28" i="15" s="1"/>
  <c r="F25" i="15" s="1"/>
  <c r="T27" i="15" s="1"/>
  <c r="T28" i="15" s="1"/>
  <c r="E25" i="15" s="1"/>
  <c r="F18" i="29" s="1"/>
  <c r="G18" i="29" s="1"/>
  <c r="O32" i="15"/>
  <c r="O33" i="15" s="1"/>
  <c r="O142" i="15"/>
  <c r="O143" i="15" s="1"/>
  <c r="O207" i="15"/>
  <c r="O208" i="15" s="1"/>
  <c r="O212" i="15"/>
  <c r="O213" i="15" s="1"/>
  <c r="O237" i="15"/>
  <c r="O238" i="15" s="1"/>
  <c r="O267" i="15"/>
  <c r="O268" i="15" s="1"/>
  <c r="O397" i="15"/>
  <c r="O398" i="15" s="1"/>
  <c r="F395" i="15" s="1"/>
  <c r="U397" i="15" s="1"/>
  <c r="U398" i="15" s="1"/>
  <c r="E395" i="15" s="1"/>
  <c r="F126" i="29" s="1"/>
  <c r="G126" i="29" s="1"/>
  <c r="O497" i="15"/>
  <c r="O498" i="15" s="1"/>
  <c r="F495" i="15" s="1"/>
  <c r="U497" i="15" s="1"/>
  <c r="U498" i="15" s="1"/>
  <c r="E495" i="15" s="1"/>
  <c r="F153" i="29" s="1"/>
  <c r="G153" i="29" s="1"/>
  <c r="O502" i="15"/>
  <c r="O503" i="15" s="1"/>
  <c r="O572" i="15"/>
  <c r="O573" i="15" s="1"/>
  <c r="O807" i="15"/>
  <c r="O808" i="15" s="1"/>
  <c r="O822" i="15"/>
  <c r="O823" i="15" s="1"/>
  <c r="O947" i="15"/>
  <c r="O948" i="15" s="1"/>
  <c r="O967" i="15"/>
  <c r="O968" i="15" s="1"/>
  <c r="O977" i="15"/>
  <c r="O978" i="15" s="1"/>
  <c r="O1017" i="15"/>
  <c r="O1018" i="15" s="1"/>
  <c r="F1015" i="15" s="1"/>
  <c r="U1017" i="15" s="1"/>
  <c r="U1018" i="15" s="1"/>
  <c r="O1142" i="15"/>
  <c r="O1143" i="15" s="1"/>
  <c r="F1140" i="15" s="1"/>
  <c r="T1142" i="15" s="1"/>
  <c r="T1143" i="15" s="1"/>
  <c r="E1140" i="15" s="1"/>
  <c r="F338" i="29" s="1"/>
  <c r="G338" i="29" s="1"/>
  <c r="O1327" i="15"/>
  <c r="O1328" i="15" s="1"/>
  <c r="F1325" i="15" s="1"/>
  <c r="V1327" i="15" s="1"/>
  <c r="V1328" i="15" s="1"/>
  <c r="O1462" i="15"/>
  <c r="O1463" i="15" s="1"/>
  <c r="F1460" i="15" s="1"/>
  <c r="W1462" i="15" s="1"/>
  <c r="W1463" i="15" s="1"/>
  <c r="O182" i="15"/>
  <c r="O183" i="15" s="1"/>
  <c r="O187" i="15"/>
  <c r="O188" i="15" s="1"/>
  <c r="O297" i="15"/>
  <c r="O298" i="15" s="1"/>
  <c r="O402" i="15"/>
  <c r="O403" i="15" s="1"/>
  <c r="O407" i="15"/>
  <c r="O408" i="15" s="1"/>
  <c r="F405" i="15" s="1"/>
  <c r="AA407" i="15" s="1"/>
  <c r="AA408" i="15" s="1"/>
  <c r="E405" i="15" s="1"/>
  <c r="F129" i="29" s="1"/>
  <c r="G129" i="29" s="1"/>
  <c r="O427" i="15"/>
  <c r="O428" i="15" s="1"/>
  <c r="O432" i="15"/>
  <c r="O433" i="15" s="1"/>
  <c r="O437" i="15"/>
  <c r="O438" i="15" s="1"/>
  <c r="O507" i="15"/>
  <c r="O508" i="15" s="1"/>
  <c r="O592" i="15"/>
  <c r="O593" i="15" s="1"/>
  <c r="O647" i="15"/>
  <c r="O648" i="15" s="1"/>
  <c r="F645" i="15" s="1"/>
  <c r="T647" i="15" s="1"/>
  <c r="T648" i="15" s="1"/>
  <c r="E645" i="15" s="1"/>
  <c r="F191" i="29" s="1"/>
  <c r="G191" i="29" s="1"/>
  <c r="O812" i="15"/>
  <c r="O813" i="15" s="1"/>
  <c r="F810" i="15" s="1"/>
  <c r="V812" i="15" s="1"/>
  <c r="V813" i="15" s="1"/>
  <c r="E810" i="15" s="1"/>
  <c r="F241" i="29" s="1"/>
  <c r="G241" i="29" s="1"/>
  <c r="O827" i="15"/>
  <c r="O828" i="15" s="1"/>
  <c r="F825" i="15" s="1"/>
  <c r="AA827" i="15" s="1"/>
  <c r="AA828" i="15" s="1"/>
  <c r="E825" i="15" s="1"/>
  <c r="F246" i="29" s="1"/>
  <c r="G246" i="29" s="1"/>
  <c r="O857" i="15"/>
  <c r="O858" i="15" s="1"/>
  <c r="O867" i="15"/>
  <c r="O868" i="15" s="1"/>
  <c r="O972" i="15"/>
  <c r="O973" i="15" s="1"/>
  <c r="O1012" i="15"/>
  <c r="O1013" i="15" s="1"/>
  <c r="O1022" i="15"/>
  <c r="O1023" i="15" s="1"/>
  <c r="O1052" i="15"/>
  <c r="O1053" i="15" s="1"/>
  <c r="O1102" i="15"/>
  <c r="O1103" i="15" s="1"/>
  <c r="O1137" i="15"/>
  <c r="O1138" i="15" s="1"/>
  <c r="F1135" i="15" s="1"/>
  <c r="T1137" i="15" s="1"/>
  <c r="T1138" i="15" s="1"/>
  <c r="E1135" i="15" s="1"/>
  <c r="F337" i="29" s="1"/>
  <c r="G337" i="29" s="1"/>
  <c r="O1202" i="15"/>
  <c r="O1203" i="15" s="1"/>
  <c r="F1200" i="15" s="1"/>
  <c r="U1202" i="15" s="1"/>
  <c r="U1203" i="15" s="1"/>
  <c r="O1212" i="15"/>
  <c r="O1213" i="15" s="1"/>
  <c r="F1210" i="15" s="1"/>
  <c r="U1212" i="15" s="1"/>
  <c r="U1213" i="15" s="1"/>
  <c r="O1217" i="15"/>
  <c r="O1218" i="15" s="1"/>
  <c r="O1222" i="15"/>
  <c r="O1223" i="15" s="1"/>
  <c r="F1220" i="15" s="1"/>
  <c r="W1222" i="15" s="1"/>
  <c r="W1223" i="15" s="1"/>
  <c r="O1267" i="15"/>
  <c r="O1268" i="15" s="1"/>
  <c r="O1332" i="15"/>
  <c r="O1333" i="15" s="1"/>
  <c r="O1387" i="15"/>
  <c r="O1388" i="15" s="1"/>
  <c r="O1432" i="15"/>
  <c r="O1433" i="15" s="1"/>
  <c r="F1430" i="15" s="1"/>
  <c r="AF1432" i="15" s="1"/>
  <c r="AF1433" i="15" s="1"/>
  <c r="O1497" i="15"/>
  <c r="O1498" i="15" s="1"/>
  <c r="O367" i="15"/>
  <c r="O368" i="15" s="1"/>
  <c r="O452" i="15"/>
  <c r="O453" i="15" s="1"/>
  <c r="O492" i="15"/>
  <c r="O493" i="15" s="1"/>
  <c r="O1317" i="15"/>
  <c r="O1318" i="15" s="1"/>
  <c r="F1315" i="15" s="1"/>
  <c r="V1317" i="15" s="1"/>
  <c r="V1318" i="15" s="1"/>
  <c r="O217" i="15"/>
  <c r="O218" i="15" s="1"/>
  <c r="O557" i="15"/>
  <c r="O558" i="15" s="1"/>
  <c r="F555" i="15" s="1"/>
  <c r="W557" i="15" s="1"/>
  <c r="W558" i="15" s="1"/>
  <c r="E555" i="15" s="1"/>
  <c r="F166" i="29" s="1"/>
  <c r="G166" i="29" s="1"/>
  <c r="G165" i="29" s="1"/>
  <c r="O627" i="15"/>
  <c r="O628" i="15" s="1"/>
  <c r="F625" i="15" s="1"/>
  <c r="U627" i="15" s="1"/>
  <c r="U628" i="15" s="1"/>
  <c r="O632" i="15"/>
  <c r="O633" i="15" s="1"/>
  <c r="O637" i="15"/>
  <c r="O638" i="15" s="1"/>
  <c r="O642" i="15"/>
  <c r="O643" i="15" s="1"/>
  <c r="O782" i="15"/>
  <c r="O783" i="15" s="1"/>
  <c r="O892" i="15"/>
  <c r="O893" i="15" s="1"/>
  <c r="O907" i="15"/>
  <c r="O908" i="15" s="1"/>
  <c r="O937" i="15"/>
  <c r="O938" i="15" s="1"/>
  <c r="O1057" i="15"/>
  <c r="O1058" i="15" s="1"/>
  <c r="F1055" i="15" s="1"/>
  <c r="Y1057" i="15" s="1"/>
  <c r="Y1058" i="15" s="1"/>
  <c r="O1092" i="15"/>
  <c r="O1093" i="15" s="1"/>
  <c r="F1090" i="15" s="1"/>
  <c r="U1092" i="15" s="1"/>
  <c r="U1093" i="15" s="1"/>
  <c r="O1097" i="15"/>
  <c r="O1098" i="15" s="1"/>
  <c r="F1095" i="15" s="1"/>
  <c r="T1097" i="15" s="1"/>
  <c r="T1098" i="15" s="1"/>
  <c r="E1095" i="15" s="1"/>
  <c r="F328" i="29" s="1"/>
  <c r="G328" i="29" s="1"/>
  <c r="O1107" i="15"/>
  <c r="O1108" i="15" s="1"/>
  <c r="F1105" i="15" s="1"/>
  <c r="V1107" i="15" s="1"/>
  <c r="V1108" i="15" s="1"/>
  <c r="O1127" i="15"/>
  <c r="O1128" i="15" s="1"/>
  <c r="F1125" i="15" s="1"/>
  <c r="U1127" i="15" s="1"/>
  <c r="U1128" i="15" s="1"/>
  <c r="O1167" i="15"/>
  <c r="O1168" i="15" s="1"/>
  <c r="O1197" i="15"/>
  <c r="O1198" i="15" s="1"/>
  <c r="O1207" i="15"/>
  <c r="O1208" i="15" s="1"/>
  <c r="O1262" i="15"/>
  <c r="O1263" i="15" s="1"/>
  <c r="F1260" i="15" s="1"/>
  <c r="S1262" i="15" s="1"/>
  <c r="S1263" i="15" s="1"/>
  <c r="E1260" i="15" s="1"/>
  <c r="O1337" i="15"/>
  <c r="O1338" i="15" s="1"/>
  <c r="O17" i="15"/>
  <c r="O18" i="15" s="1"/>
  <c r="O202" i="15"/>
  <c r="O203" i="15" s="1"/>
  <c r="O247" i="15"/>
  <c r="O248" i="15" s="1"/>
  <c r="O222" i="15"/>
  <c r="O223" i="15" s="1"/>
  <c r="F220" i="15" s="1"/>
  <c r="X222" i="15" s="1"/>
  <c r="X223" i="15" s="1"/>
  <c r="E220" i="15" s="1"/>
  <c r="F78" i="29" s="1"/>
  <c r="G78" i="29" s="1"/>
  <c r="G77" i="29" s="1"/>
  <c r="O67" i="15"/>
  <c r="O68" i="15" s="1"/>
  <c r="F65" i="15" s="1"/>
  <c r="R67" i="15" s="1"/>
  <c r="R68" i="15" s="1"/>
  <c r="E65" i="15" s="1"/>
  <c r="F31" i="29" s="1"/>
  <c r="G31" i="29" s="1"/>
  <c r="O137" i="15"/>
  <c r="O138" i="15" s="1"/>
  <c r="F135" i="15" s="1"/>
  <c r="Q137" i="15" s="1"/>
  <c r="Q138" i="15" s="1"/>
  <c r="E135" i="15" s="1"/>
  <c r="F51" i="29" s="1"/>
  <c r="G51" i="29" s="1"/>
  <c r="O157" i="15"/>
  <c r="O158" i="15" s="1"/>
  <c r="F155" i="15" s="1"/>
  <c r="U157" i="15" s="1"/>
  <c r="U158" i="15" s="1"/>
  <c r="E155" i="15" s="1"/>
  <c r="F56" i="29" s="1"/>
  <c r="G56" i="29" s="1"/>
  <c r="O317" i="15"/>
  <c r="O318" i="15" s="1"/>
  <c r="O322" i="15"/>
  <c r="O323" i="15" s="1"/>
  <c r="O327" i="15"/>
  <c r="O328" i="15" s="1"/>
  <c r="O512" i="15"/>
  <c r="O513" i="15" s="1"/>
  <c r="O577" i="15"/>
  <c r="O578" i="15" s="1"/>
  <c r="O687" i="15"/>
  <c r="O688" i="15" s="1"/>
  <c r="O952" i="15"/>
  <c r="O953" i="15" s="1"/>
  <c r="O1027" i="15"/>
  <c r="O1028" i="15" s="1"/>
  <c r="F1025" i="15" s="1"/>
  <c r="Q1027" i="15" s="1"/>
  <c r="Q1028" i="15" s="1"/>
  <c r="E1025" i="15" s="1"/>
  <c r="F309" i="29" s="1"/>
  <c r="G309" i="29" s="1"/>
  <c r="O1082" i="15"/>
  <c r="O1083" i="15" s="1"/>
  <c r="O1087" i="15"/>
  <c r="O1088" i="15" s="1"/>
  <c r="F1085" i="15" s="1"/>
  <c r="T1087" i="15" s="1"/>
  <c r="T1088" i="15" s="1"/>
  <c r="E1085" i="15" s="1"/>
  <c r="F326" i="29" s="1"/>
  <c r="G326" i="29" s="1"/>
  <c r="O1112" i="15"/>
  <c r="O1113" i="15" s="1"/>
  <c r="F1110" i="15" s="1"/>
  <c r="V1112" i="15" s="1"/>
  <c r="V1113" i="15" s="1"/>
  <c r="O1122" i="15"/>
  <c r="O1123" i="15" s="1"/>
  <c r="F1120" i="15" s="1"/>
  <c r="T1122" i="15" s="1"/>
  <c r="T1123" i="15" s="1"/>
  <c r="O1132" i="15"/>
  <c r="O1133" i="15" s="1"/>
  <c r="O1227" i="15"/>
  <c r="O1228" i="15" s="1"/>
  <c r="O1342" i="15"/>
  <c r="O1343" i="15" s="1"/>
  <c r="O1357" i="15"/>
  <c r="O1358" i="15" s="1"/>
  <c r="F1355" i="15" s="1"/>
  <c r="T1357" i="15" s="1"/>
  <c r="T1358" i="15" s="1"/>
  <c r="O1362" i="15"/>
  <c r="O1363" i="15" s="1"/>
  <c r="O1382" i="15"/>
  <c r="O1383" i="15" s="1"/>
  <c r="F1380" i="15" s="1"/>
  <c r="S1382" i="15" s="1"/>
  <c r="S1383" i="15" s="1"/>
  <c r="E1380" i="15" s="1"/>
  <c r="F409" i="29" s="1"/>
  <c r="G409" i="29" s="1"/>
  <c r="O1472" i="15"/>
  <c r="O1473" i="15" s="1"/>
  <c r="O802" i="15"/>
  <c r="O803" i="15" s="1"/>
  <c r="O1242" i="15"/>
  <c r="O1243" i="15" s="1"/>
  <c r="F1240" i="15" s="1"/>
  <c r="S1242" i="15" s="1"/>
  <c r="S1243" i="15" s="1"/>
  <c r="E1240" i="15" s="1"/>
  <c r="F371" i="29" s="1"/>
  <c r="G371" i="29" s="1"/>
  <c r="O272" i="15"/>
  <c r="O273" i="15" s="1"/>
  <c r="F270" i="15" s="1"/>
  <c r="T272" i="15" s="1"/>
  <c r="T273" i="15" s="1"/>
  <c r="E270" i="15" s="1"/>
  <c r="F94" i="29" s="1"/>
  <c r="G94" i="29" s="1"/>
  <c r="O242" i="15"/>
  <c r="O243" i="15" s="1"/>
  <c r="F240" i="15" s="1"/>
  <c r="AB242" i="15" s="1"/>
  <c r="AB243" i="15" s="1"/>
  <c r="E240" i="15" s="1"/>
  <c r="F86" i="29" s="1"/>
  <c r="G86" i="29" s="1"/>
  <c r="O462" i="15"/>
  <c r="O463" i="15" s="1"/>
  <c r="F460" i="15" s="1"/>
  <c r="S462" i="15" s="1"/>
  <c r="S463" i="15" s="1"/>
  <c r="E460" i="15" s="1"/>
  <c r="F143" i="29" s="1"/>
  <c r="G143" i="29" s="1"/>
  <c r="O467" i="15"/>
  <c r="O468" i="15" s="1"/>
  <c r="O532" i="15"/>
  <c r="O533" i="15" s="1"/>
  <c r="O597" i="15"/>
  <c r="O598" i="15" s="1"/>
  <c r="O622" i="15"/>
  <c r="O623" i="15" s="1"/>
  <c r="O817" i="15"/>
  <c r="O818" i="15" s="1"/>
  <c r="O837" i="15"/>
  <c r="O838" i="15" s="1"/>
  <c r="O842" i="15"/>
  <c r="O843" i="15" s="1"/>
  <c r="F840" i="15" s="1"/>
  <c r="X842" i="15" s="1"/>
  <c r="X843" i="15" s="1"/>
  <c r="O997" i="15"/>
  <c r="O998" i="15" s="1"/>
  <c r="F995" i="15" s="1"/>
  <c r="X997" i="15" s="1"/>
  <c r="X998" i="15" s="1"/>
  <c r="O1117" i="15"/>
  <c r="O1118" i="15" s="1"/>
  <c r="F1115" i="15" s="1"/>
  <c r="T1117" i="15" s="1"/>
  <c r="T1118" i="15" s="1"/>
  <c r="E1115" i="15" s="1"/>
  <c r="F332" i="29" s="1"/>
  <c r="G332" i="29" s="1"/>
  <c r="O1257" i="15"/>
  <c r="O1258" i="15" s="1"/>
  <c r="F1255" i="15" s="1"/>
  <c r="S1257" i="15" s="1"/>
  <c r="S1258" i="15" s="1"/>
  <c r="E1255" i="15" s="1"/>
  <c r="F374" i="29" s="1"/>
  <c r="G374" i="29" s="1"/>
  <c r="O1282" i="15"/>
  <c r="O1283" i="15" s="1"/>
  <c r="F1280" i="15" s="1"/>
  <c r="Z1282" i="15" s="1"/>
  <c r="Z1283" i="15" s="1"/>
  <c r="E1280" i="15" s="1"/>
  <c r="F381" i="29" s="1"/>
  <c r="G381" i="29" s="1"/>
  <c r="G380" i="29" s="1"/>
  <c r="O1352" i="15"/>
  <c r="O1353" i="15" s="1"/>
  <c r="F1350" i="15" s="1"/>
  <c r="T1352" i="15" s="1"/>
  <c r="T1353" i="15" s="1"/>
  <c r="O852" i="15"/>
  <c r="O853" i="15" s="1"/>
  <c r="O152" i="15"/>
  <c r="O153" i="15" s="1"/>
  <c r="O162" i="15"/>
  <c r="O163" i="15" s="1"/>
  <c r="O192" i="15"/>
  <c r="O193" i="15" s="1"/>
  <c r="F190" i="15" s="1"/>
  <c r="U192" i="15" s="1"/>
  <c r="U193" i="15" s="1"/>
  <c r="E190" i="15" s="1"/>
  <c r="F68" i="29" s="1"/>
  <c r="G68" i="29" s="1"/>
  <c r="O197" i="15"/>
  <c r="O198" i="15" s="1"/>
  <c r="O227" i="15"/>
  <c r="O228" i="15" s="1"/>
  <c r="O252" i="15"/>
  <c r="O253" i="15" s="1"/>
  <c r="O302" i="15"/>
  <c r="O303" i="15" s="1"/>
  <c r="O332" i="15"/>
  <c r="O333" i="15" s="1"/>
  <c r="F330" i="15" s="1"/>
  <c r="U332" i="15" s="1"/>
  <c r="U333" i="15" s="1"/>
  <c r="E330" i="15" s="1"/>
  <c r="F110" i="29" s="1"/>
  <c r="G110" i="29" s="1"/>
  <c r="O387" i="15"/>
  <c r="O388" i="15" s="1"/>
  <c r="F385" i="15" s="1"/>
  <c r="T387" i="15" s="1"/>
  <c r="T388" i="15" s="1"/>
  <c r="E385" i="15" s="1"/>
  <c r="F123" i="29" s="1"/>
  <c r="G123" i="29" s="1"/>
  <c r="O392" i="15"/>
  <c r="O393" i="15" s="1"/>
  <c r="F390" i="15" s="1"/>
  <c r="AB392" i="15" s="1"/>
  <c r="AB393" i="15" s="1"/>
  <c r="E390" i="15" s="1"/>
  <c r="F125" i="29" s="1"/>
  <c r="G125" i="29" s="1"/>
  <c r="G124" i="29" s="1"/>
  <c r="O477" i="15"/>
  <c r="O478" i="15" s="1"/>
  <c r="F475" i="15" s="1"/>
  <c r="V477" i="15" s="1"/>
  <c r="V478" i="15" s="1"/>
  <c r="E475" i="15" s="1"/>
  <c r="F148" i="29" s="1"/>
  <c r="G148" i="29" s="1"/>
  <c r="O527" i="15"/>
  <c r="O528" i="15" s="1"/>
  <c r="O562" i="15"/>
  <c r="O563" i="15" s="1"/>
  <c r="O587" i="15"/>
  <c r="O588" i="15" s="1"/>
  <c r="O692" i="15"/>
  <c r="O693" i="15" s="1"/>
  <c r="O722" i="15"/>
  <c r="O723" i="15" s="1"/>
  <c r="O787" i="15"/>
  <c r="O788" i="15" s="1"/>
  <c r="O912" i="15"/>
  <c r="O913" i="15" s="1"/>
  <c r="F910" i="15" s="1"/>
  <c r="X912" i="15" s="1"/>
  <c r="X913" i="15" s="1"/>
  <c r="O1232" i="15"/>
  <c r="O1233" i="15" s="1"/>
  <c r="F1230" i="15" s="1"/>
  <c r="W1232" i="15" s="1"/>
  <c r="W1233" i="15" s="1"/>
  <c r="O1292" i="15"/>
  <c r="O1293" i="15" s="1"/>
  <c r="F1290" i="15" s="1"/>
  <c r="V1292" i="15" s="1"/>
  <c r="V1293" i="15" s="1"/>
  <c r="E1290" i="15" s="1"/>
  <c r="F386" i="29" s="1"/>
  <c r="G386" i="29" s="1"/>
  <c r="O1347" i="15"/>
  <c r="O1348" i="15" s="1"/>
  <c r="F1345" i="15" s="1"/>
  <c r="T1347" i="15" s="1"/>
  <c r="T1348" i="15" s="1"/>
  <c r="O1377" i="15"/>
  <c r="O1378" i="15" s="1"/>
  <c r="O1427" i="15"/>
  <c r="O1428" i="15" s="1"/>
  <c r="F1425" i="15" s="1"/>
  <c r="AN1427" i="15" s="1"/>
  <c r="AN1428" i="15" s="1"/>
  <c r="O262" i="15"/>
  <c r="O263" i="15" s="1"/>
  <c r="O287" i="15"/>
  <c r="O288" i="15" s="1"/>
  <c r="O337" i="15"/>
  <c r="O338" i="15" s="1"/>
  <c r="F335" i="15" s="1"/>
  <c r="T337" i="15" s="1"/>
  <c r="T338" i="15" s="1"/>
  <c r="E335" i="15" s="1"/>
  <c r="F111" i="29" s="1"/>
  <c r="G111" i="29" s="1"/>
  <c r="O522" i="15"/>
  <c r="O523" i="15" s="1"/>
  <c r="F520" i="15" s="1"/>
  <c r="T522" i="15" s="1"/>
  <c r="T523" i="15" s="1"/>
  <c r="E520" i="15" s="1"/>
  <c r="F158" i="29" s="1"/>
  <c r="G158" i="29" s="1"/>
  <c r="O942" i="15"/>
  <c r="O943" i="15" s="1"/>
  <c r="O957" i="15"/>
  <c r="O958" i="15" s="1"/>
  <c r="F955" i="15" s="1"/>
  <c r="X957" i="15" s="1"/>
  <c r="X958" i="15" s="1"/>
  <c r="O1252" i="15"/>
  <c r="O1253" i="15" s="1"/>
  <c r="O1297" i="15"/>
  <c r="O1298" i="15" s="1"/>
  <c r="F1295" i="15" s="1"/>
  <c r="V1297" i="15" s="1"/>
  <c r="V1298" i="15" s="1"/>
  <c r="O1367" i="15"/>
  <c r="O1368" i="15" s="1"/>
  <c r="F1365" i="15" s="1"/>
  <c r="S1367" i="15" s="1"/>
  <c r="S1368" i="15" s="1"/>
  <c r="E1365" i="15" s="1"/>
  <c r="F404" i="29" s="1"/>
  <c r="G404" i="29" s="1"/>
  <c r="O1422" i="15"/>
  <c r="O1423" i="15" s="1"/>
  <c r="F1420" i="15" s="1"/>
  <c r="S1422" i="15" s="1"/>
  <c r="S1423" i="15" s="1"/>
  <c r="E1420" i="15" s="1"/>
  <c r="F418" i="29" s="1"/>
  <c r="G418" i="29" s="1"/>
  <c r="O1492" i="15"/>
  <c r="O1493" i="15" s="1"/>
  <c r="F1490" i="15" s="1"/>
  <c r="W1492" i="15" s="1"/>
  <c r="W1493" i="15" s="1"/>
  <c r="O257" i="15"/>
  <c r="O258" i="15" s="1"/>
  <c r="F255" i="15" s="1"/>
  <c r="T257" i="15" s="1"/>
  <c r="T258" i="15" s="1"/>
  <c r="E255" i="15" s="1"/>
  <c r="F90" i="29" s="1"/>
  <c r="G90" i="29" s="1"/>
  <c r="O282" i="15"/>
  <c r="O283" i="15" s="1"/>
  <c r="O292" i="15"/>
  <c r="O293" i="15" s="1"/>
  <c r="O342" i="15"/>
  <c r="O343" i="15" s="1"/>
  <c r="O517" i="15"/>
  <c r="O518" i="15" s="1"/>
  <c r="F515" i="15" s="1"/>
  <c r="T517" i="15" s="1"/>
  <c r="T518" i="15" s="1"/>
  <c r="E515" i="15" s="1"/>
  <c r="F157" i="29" s="1"/>
  <c r="G157" i="29" s="1"/>
  <c r="O537" i="15"/>
  <c r="O538" i="15" s="1"/>
  <c r="O582" i="15"/>
  <c r="O583" i="15" s="1"/>
  <c r="O602" i="15"/>
  <c r="O603" i="15" s="1"/>
  <c r="O37" i="15"/>
  <c r="O38" i="15" s="1"/>
  <c r="O82" i="15"/>
  <c r="O83" i="15" s="1"/>
  <c r="O87" i="15"/>
  <c r="O88" i="15" s="1"/>
  <c r="O412" i="15"/>
  <c r="O413" i="15" s="1"/>
  <c r="F410" i="15" s="1"/>
  <c r="U412" i="15" s="1"/>
  <c r="U413" i="15" s="1"/>
  <c r="E410" i="15" s="1"/>
  <c r="F130" i="29" s="1"/>
  <c r="G130" i="29" s="1"/>
  <c r="O417" i="15"/>
  <c r="O418" i="15" s="1"/>
  <c r="F415" i="15" s="1"/>
  <c r="T417" i="15" s="1"/>
  <c r="T418" i="15" s="1"/>
  <c r="E415" i="15" s="1"/>
  <c r="F131" i="29" s="1"/>
  <c r="G131" i="29" s="1"/>
  <c r="O422" i="15"/>
  <c r="O423" i="15" s="1"/>
  <c r="O457" i="15"/>
  <c r="O458" i="15" s="1"/>
  <c r="O482" i="15"/>
  <c r="O483" i="15" s="1"/>
  <c r="O542" i="15"/>
  <c r="O543" i="15" s="1"/>
  <c r="F540" i="15" s="1"/>
  <c r="V542" i="15" s="1"/>
  <c r="V543" i="15" s="1"/>
  <c r="E540" i="15" s="1"/>
  <c r="F162" i="29" s="1"/>
  <c r="G162" i="29" s="1"/>
  <c r="O832" i="15"/>
  <c r="O833" i="15" s="1"/>
  <c r="O847" i="15"/>
  <c r="O848" i="15" s="1"/>
  <c r="F845" i="15" s="1"/>
  <c r="X847" i="15" s="1"/>
  <c r="X848" i="15" s="1"/>
  <c r="O862" i="15"/>
  <c r="O863" i="15" s="1"/>
  <c r="O872" i="15"/>
  <c r="O873" i="15" s="1"/>
  <c r="O877" i="15"/>
  <c r="O878" i="15" s="1"/>
  <c r="F875" i="15" s="1"/>
  <c r="U877" i="15" s="1"/>
  <c r="U878" i="15" s="1"/>
  <c r="O882" i="15"/>
  <c r="O883" i="15" s="1"/>
  <c r="F880" i="15" s="1"/>
  <c r="U882" i="15" s="1"/>
  <c r="U883" i="15" s="1"/>
  <c r="O1002" i="15"/>
  <c r="O1003" i="15" s="1"/>
  <c r="F1000" i="15" s="1"/>
  <c r="X1002" i="15" s="1"/>
  <c r="X1003" i="15" s="1"/>
  <c r="O1062" i="15"/>
  <c r="O1063" i="15" s="1"/>
  <c r="F1060" i="15" s="1"/>
  <c r="V1062" i="15" s="1"/>
  <c r="V1063" i="15" s="1"/>
  <c r="O1072" i="15"/>
  <c r="O1073" i="15" s="1"/>
  <c r="O1237" i="15"/>
  <c r="O1238" i="15" s="1"/>
  <c r="O1302" i="15"/>
  <c r="O1303" i="15" s="1"/>
  <c r="F1300" i="15" s="1"/>
  <c r="V1302" i="15" s="1"/>
  <c r="V1303" i="15" s="1"/>
  <c r="O1372" i="15"/>
  <c r="O1373" i="15" s="1"/>
  <c r="O1417" i="15"/>
  <c r="O1418" i="15" s="1"/>
  <c r="O1447" i="15"/>
  <c r="O1448" i="15" s="1"/>
  <c r="F1445" i="15" s="1"/>
  <c r="W1447" i="15" s="1"/>
  <c r="W1448" i="15" s="1"/>
  <c r="O1477" i="15"/>
  <c r="O1478" i="15" s="1"/>
  <c r="F1475" i="15" s="1"/>
  <c r="W1477" i="15" s="1"/>
  <c r="W1478" i="15" s="1"/>
  <c r="O347" i="15"/>
  <c r="O348" i="15" s="1"/>
  <c r="F345" i="15" s="1"/>
  <c r="U347" i="15" s="1"/>
  <c r="U348" i="15" s="1"/>
  <c r="E345" i="15" s="1"/>
  <c r="F114" i="29" s="1"/>
  <c r="G114" i="29" s="1"/>
  <c r="O377" i="15"/>
  <c r="O378" i="15" s="1"/>
  <c r="F375" i="15" s="1"/>
  <c r="U377" i="15" s="1"/>
  <c r="U378" i="15" s="1"/>
  <c r="E375" i="15" s="1"/>
  <c r="F121" i="29" s="1"/>
  <c r="G121" i="29" s="1"/>
  <c r="O382" i="15"/>
  <c r="O383" i="15" s="1"/>
  <c r="F380" i="15" s="1"/>
  <c r="R382" i="15" s="1"/>
  <c r="R383" i="15" s="1"/>
  <c r="E380" i="15" s="1"/>
  <c r="F122" i="29" s="1"/>
  <c r="G122" i="29" s="1"/>
  <c r="O547" i="15"/>
  <c r="O548" i="15" s="1"/>
  <c r="F545" i="15" s="1"/>
  <c r="X547" i="15" s="1"/>
  <c r="X548" i="15" s="1"/>
  <c r="O607" i="15"/>
  <c r="O608" i="15" s="1"/>
  <c r="F605" i="15" s="1"/>
  <c r="V607" i="15" s="1"/>
  <c r="V608" i="15" s="1"/>
  <c r="E605" i="15" s="1"/>
  <c r="F180" i="29" s="1"/>
  <c r="G180" i="29" s="1"/>
  <c r="O717" i="15"/>
  <c r="O718" i="15" s="1"/>
  <c r="O792" i="15"/>
  <c r="O793" i="15" s="1"/>
  <c r="O897" i="15"/>
  <c r="O898" i="15" s="1"/>
  <c r="O917" i="15"/>
  <c r="O918" i="15" s="1"/>
  <c r="F915" i="15" s="1"/>
  <c r="X917" i="15" s="1"/>
  <c r="X918" i="15" s="1"/>
  <c r="O1067" i="15"/>
  <c r="O1068" i="15" s="1"/>
  <c r="F1065" i="15" s="1"/>
  <c r="T1067" i="15" s="1"/>
  <c r="T1068" i="15" s="1"/>
  <c r="O1077" i="15"/>
  <c r="O1078" i="15" s="1"/>
  <c r="O1157" i="15"/>
  <c r="O1158" i="15" s="1"/>
  <c r="O1247" i="15"/>
  <c r="O1248" i="15" s="1"/>
  <c r="O1307" i="15"/>
  <c r="O1308" i="15" s="1"/>
  <c r="F1305" i="15" s="1"/>
  <c r="V1307" i="15" s="1"/>
  <c r="V1308" i="15" s="1"/>
  <c r="O1412" i="15"/>
  <c r="O1413" i="15" s="1"/>
  <c r="O1452" i="15"/>
  <c r="O1453" i="15" s="1"/>
  <c r="F1450" i="15" s="1"/>
  <c r="W1452" i="15" s="1"/>
  <c r="W1453" i="15" s="1"/>
  <c r="T1447" i="15"/>
  <c r="T1448" i="15" s="1"/>
  <c r="G1505" i="15"/>
  <c r="F1505" i="15"/>
  <c r="T1507" i="15" s="1"/>
  <c r="T1508" i="15" s="1"/>
  <c r="E1505" i="15" s="1"/>
  <c r="F473" i="29" s="1"/>
  <c r="G473" i="29" s="1"/>
  <c r="G472" i="29" s="1"/>
  <c r="F1495" i="15"/>
  <c r="S1497" i="15" s="1"/>
  <c r="S1498" i="15" s="1"/>
  <c r="E1495" i="15" s="1"/>
  <c r="F468" i="29" s="1"/>
  <c r="G468" i="29" s="1"/>
  <c r="F1455" i="15"/>
  <c r="W1457" i="15" s="1"/>
  <c r="W1458" i="15" s="1"/>
  <c r="G1435" i="15"/>
  <c r="F1415" i="15"/>
  <c r="T1417" i="15" s="1"/>
  <c r="T1418" i="15" s="1"/>
  <c r="F1405" i="15"/>
  <c r="T1407" i="15" s="1"/>
  <c r="T1408" i="15" s="1"/>
  <c r="F1395" i="15"/>
  <c r="T1397" i="15" s="1"/>
  <c r="T1398" i="15" s="1"/>
  <c r="F1385" i="15"/>
  <c r="S1387" i="15" s="1"/>
  <c r="S1388" i="15" s="1"/>
  <c r="E1385" i="15" s="1"/>
  <c r="F410" i="29" s="1"/>
  <c r="G410" i="29" s="1"/>
  <c r="F1370" i="15"/>
  <c r="S1372" i="15" s="1"/>
  <c r="S1373" i="15" s="1"/>
  <c r="E1370" i="15" s="1"/>
  <c r="F407" i="29" s="1"/>
  <c r="G407" i="29" s="1"/>
  <c r="F1360" i="15"/>
  <c r="W1362" i="15" s="1"/>
  <c r="W1363" i="15" s="1"/>
  <c r="F1330" i="15"/>
  <c r="V1332" i="15" s="1"/>
  <c r="V1333" i="15" s="1"/>
  <c r="F1310" i="15"/>
  <c r="V1312" i="15" s="1"/>
  <c r="V1313" i="15" s="1"/>
  <c r="G1290" i="15"/>
  <c r="F1285" i="15"/>
  <c r="Z1287" i="15" s="1"/>
  <c r="Z1288" i="15" s="1"/>
  <c r="G1280" i="15"/>
  <c r="G1275" i="15"/>
  <c r="F1275" i="15"/>
  <c r="Y1277" i="15" s="1"/>
  <c r="Y1278" i="15" s="1"/>
  <c r="E1275" i="15" s="1"/>
  <c r="F379" i="29" s="1"/>
  <c r="G379" i="29" s="1"/>
  <c r="F1270" i="15"/>
  <c r="W1272" i="15" s="1"/>
  <c r="W1273" i="15" s="1"/>
  <c r="F1265" i="15"/>
  <c r="AC1267" i="15" s="1"/>
  <c r="AC1268" i="15" s="1"/>
  <c r="F1245" i="15"/>
  <c r="S1247" i="15" s="1"/>
  <c r="S1248" i="15" s="1"/>
  <c r="E1245" i="15" s="1"/>
  <c r="F435" i="29" s="1"/>
  <c r="G435" i="29" s="1"/>
  <c r="F1225" i="15"/>
  <c r="W1227" i="15" s="1"/>
  <c r="W1228" i="15" s="1"/>
  <c r="F1215" i="15"/>
  <c r="T1217" i="15" s="1"/>
  <c r="T1218" i="15" s="1"/>
  <c r="F1205" i="15"/>
  <c r="T1207" i="15" s="1"/>
  <c r="T1208" i="15" s="1"/>
  <c r="F1195" i="15"/>
  <c r="T1197" i="15" s="1"/>
  <c r="T1198" i="15" s="1"/>
  <c r="G1190" i="15"/>
  <c r="G1185" i="15"/>
  <c r="F1175" i="15"/>
  <c r="T1177" i="15" s="1"/>
  <c r="T1178" i="15" s="1"/>
  <c r="F1170" i="15"/>
  <c r="V1172" i="15" s="1"/>
  <c r="V1173" i="15" s="1"/>
  <c r="G1165" i="15"/>
  <c r="F1165" i="15"/>
  <c r="Z1167" i="15" s="1"/>
  <c r="Z1168" i="15" s="1"/>
  <c r="E1165" i="15" s="1"/>
  <c r="F346" i="29" s="1"/>
  <c r="G346" i="29" s="1"/>
  <c r="G1160" i="15"/>
  <c r="F1160" i="15"/>
  <c r="Z1162" i="15" s="1"/>
  <c r="Z1163" i="15" s="1"/>
  <c r="E1160" i="15" s="1"/>
  <c r="F345" i="29" s="1"/>
  <c r="G345" i="29" s="1"/>
  <c r="F1155" i="15"/>
  <c r="T1157" i="15" s="1"/>
  <c r="T1158" i="15" s="1"/>
  <c r="F1150" i="15"/>
  <c r="S1152" i="15" s="1"/>
  <c r="S1153" i="15" s="1"/>
  <c r="E1150" i="15" s="1"/>
  <c r="F340" i="29" s="1"/>
  <c r="G340" i="29" s="1"/>
  <c r="F1145" i="15"/>
  <c r="S1147" i="15" s="1"/>
  <c r="S1148" i="15" s="1"/>
  <c r="E1145" i="15" s="1"/>
  <c r="F339" i="29" s="1"/>
  <c r="G339" i="29" s="1"/>
  <c r="G1140" i="15"/>
  <c r="G1135" i="15"/>
  <c r="F1130" i="15"/>
  <c r="S1132" i="15" s="1"/>
  <c r="S1133" i="15" s="1"/>
  <c r="E1130" i="15" s="1"/>
  <c r="F336" i="29" s="1"/>
  <c r="G336" i="29" s="1"/>
  <c r="G1115" i="15"/>
  <c r="G1095" i="15"/>
  <c r="G1085" i="15"/>
  <c r="F1100" i="15"/>
  <c r="V1102" i="15" s="1"/>
  <c r="V1103" i="15" s="1"/>
  <c r="G1080" i="15"/>
  <c r="F1075" i="15"/>
  <c r="Q1077" i="15" s="1"/>
  <c r="Q1078" i="15" s="1"/>
  <c r="E1075" i="15" s="1"/>
  <c r="F324" i="29" s="1"/>
  <c r="G324" i="29" s="1"/>
  <c r="F1050" i="15"/>
  <c r="V1052" i="15" s="1"/>
  <c r="V1053" i="15" s="1"/>
  <c r="G1045" i="15"/>
  <c r="F1045" i="15"/>
  <c r="X1047" i="15" s="1"/>
  <c r="X1048" i="15" s="1"/>
  <c r="E1045" i="15" s="1"/>
  <c r="F316" i="29" s="1"/>
  <c r="G316" i="29" s="1"/>
  <c r="G1040" i="15"/>
  <c r="F1040" i="15"/>
  <c r="T1042" i="15" s="1"/>
  <c r="T1043" i="15" s="1"/>
  <c r="E1040" i="15" s="1"/>
  <c r="F313" i="29" s="1"/>
  <c r="G313" i="29" s="1"/>
  <c r="G312" i="29" s="1"/>
  <c r="F1035" i="15"/>
  <c r="T1037" i="15" s="1"/>
  <c r="T1038" i="15" s="1"/>
  <c r="G1030" i="15"/>
  <c r="F1030" i="15"/>
  <c r="G1020" i="15"/>
  <c r="F1020" i="15"/>
  <c r="U1022" i="15" s="1"/>
  <c r="U1023" i="15" s="1"/>
  <c r="E1020" i="15" s="1"/>
  <c r="F307" i="29" s="1"/>
  <c r="G307" i="29" s="1"/>
  <c r="G306" i="29" s="1"/>
  <c r="F1010" i="15"/>
  <c r="W1012" i="15" s="1"/>
  <c r="W1013" i="15" s="1"/>
  <c r="F1005" i="15"/>
  <c r="W1007" i="15" s="1"/>
  <c r="W1008" i="15" s="1"/>
  <c r="G990" i="15"/>
  <c r="G985" i="15"/>
  <c r="E985" i="15"/>
  <c r="F290" i="29" s="1"/>
  <c r="G290" i="29" s="1"/>
  <c r="F985" i="15"/>
  <c r="G975" i="15"/>
  <c r="F975" i="15"/>
  <c r="U977" i="15" s="1"/>
  <c r="U978" i="15" s="1"/>
  <c r="E975" i="15" s="1"/>
  <c r="F970" i="15"/>
  <c r="T972" i="15" s="1"/>
  <c r="T973" i="15" s="1"/>
  <c r="F965" i="15"/>
  <c r="V967" i="15" s="1"/>
  <c r="V968" i="15" s="1"/>
  <c r="F960" i="15"/>
  <c r="X962" i="15" s="1"/>
  <c r="X963" i="15" s="1"/>
  <c r="F950" i="15"/>
  <c r="X952" i="15" s="1"/>
  <c r="X953" i="15" s="1"/>
  <c r="F280" i="29"/>
  <c r="G280" i="29" s="1"/>
  <c r="F945" i="15"/>
  <c r="X947" i="15" s="1"/>
  <c r="X948" i="15" s="1"/>
  <c r="F277" i="29"/>
  <c r="G277" i="29" s="1"/>
  <c r="F940" i="15"/>
  <c r="X942" i="15" s="1"/>
  <c r="X943" i="15" s="1"/>
  <c r="G930" i="15"/>
  <c r="F905" i="15"/>
  <c r="X907" i="15" s="1"/>
  <c r="X908" i="15" s="1"/>
  <c r="F900" i="15"/>
  <c r="X902" i="15" s="1"/>
  <c r="X903" i="15" s="1"/>
  <c r="F895" i="15"/>
  <c r="X897" i="15" s="1"/>
  <c r="X898" i="15" s="1"/>
  <c r="F890" i="15"/>
  <c r="Z892" i="15" s="1"/>
  <c r="Z893" i="15" s="1"/>
  <c r="F885" i="15"/>
  <c r="Z887" i="15" s="1"/>
  <c r="Z888" i="15" s="1"/>
  <c r="F870" i="15"/>
  <c r="U872" i="15" s="1"/>
  <c r="U873" i="15" s="1"/>
  <c r="F865" i="15"/>
  <c r="Z867" i="15" s="1"/>
  <c r="Z868" i="15" s="1"/>
  <c r="F860" i="15"/>
  <c r="AA862" i="15" s="1"/>
  <c r="AA863" i="15" s="1"/>
  <c r="F850" i="15"/>
  <c r="X852" i="15" s="1"/>
  <c r="X853" i="15" s="1"/>
  <c r="F835" i="15"/>
  <c r="R837" i="15" s="1"/>
  <c r="R838" i="15" s="1"/>
  <c r="E835" i="15" s="1"/>
  <c r="F248" i="29" s="1"/>
  <c r="G248" i="29" s="1"/>
  <c r="F830" i="15"/>
  <c r="R832" i="15" s="1"/>
  <c r="R833" i="15" s="1"/>
  <c r="E830" i="15" s="1"/>
  <c r="F247" i="29" s="1"/>
  <c r="G247" i="29" s="1"/>
  <c r="G820" i="15"/>
  <c r="G825" i="15"/>
  <c r="G810" i="15"/>
  <c r="F820" i="15"/>
  <c r="U822" i="15" s="1"/>
  <c r="U823" i="15" s="1"/>
  <c r="E820" i="15" s="1"/>
  <c r="F244" i="29" s="1"/>
  <c r="G244" i="29" s="1"/>
  <c r="F815" i="15"/>
  <c r="Q817" i="15" s="1"/>
  <c r="Q818" i="15" s="1"/>
  <c r="E815" i="15" s="1"/>
  <c r="F243" i="29" s="1"/>
  <c r="G243" i="29" s="1"/>
  <c r="F805" i="15"/>
  <c r="V807" i="15" s="1"/>
  <c r="V808" i="15" s="1"/>
  <c r="F800" i="15"/>
  <c r="W802" i="15" s="1"/>
  <c r="W803" i="15" s="1"/>
  <c r="E800" i="15" s="1"/>
  <c r="F239" i="29" s="1"/>
  <c r="G239" i="29" s="1"/>
  <c r="G795" i="15"/>
  <c r="F795" i="15"/>
  <c r="V797" i="15" s="1"/>
  <c r="V798" i="15" s="1"/>
  <c r="E795" i="15" s="1"/>
  <c r="F238" i="29" s="1"/>
  <c r="G238" i="29" s="1"/>
  <c r="G790" i="15"/>
  <c r="F790" i="15"/>
  <c r="V792" i="15" s="1"/>
  <c r="V793" i="15" s="1"/>
  <c r="E790" i="15" s="1"/>
  <c r="F237" i="29" s="1"/>
  <c r="G237" i="29" s="1"/>
  <c r="G785" i="15"/>
  <c r="F785" i="15"/>
  <c r="V787" i="15" s="1"/>
  <c r="V788" i="15" s="1"/>
  <c r="E785" i="15" s="1"/>
  <c r="F235" i="29" s="1"/>
  <c r="G235" i="29" s="1"/>
  <c r="G234" i="29" s="1"/>
  <c r="F780" i="15"/>
  <c r="W782" i="15" s="1"/>
  <c r="W783" i="15" s="1"/>
  <c r="F775" i="15"/>
  <c r="W777" i="15" s="1"/>
  <c r="W778" i="15" s="1"/>
  <c r="F770" i="15"/>
  <c r="W772" i="15" s="1"/>
  <c r="W773" i="15" s="1"/>
  <c r="F765" i="15"/>
  <c r="S767" i="15" s="1"/>
  <c r="S768" i="15" s="1"/>
  <c r="G760" i="15"/>
  <c r="G755" i="15"/>
  <c r="G750" i="15"/>
  <c r="G740" i="15"/>
  <c r="G735" i="15"/>
  <c r="G730" i="15"/>
  <c r="G725" i="15"/>
  <c r="F720" i="15"/>
  <c r="R722" i="15" s="1"/>
  <c r="R723" i="15" s="1"/>
  <c r="E720" i="15" s="1"/>
  <c r="F217" i="29" s="1"/>
  <c r="G217" i="29" s="1"/>
  <c r="F710" i="15"/>
  <c r="R712" i="15" s="1"/>
  <c r="R713" i="15" s="1"/>
  <c r="G705" i="15"/>
  <c r="G695" i="15"/>
  <c r="G690" i="15"/>
  <c r="F690" i="15"/>
  <c r="X692" i="15" s="1"/>
  <c r="X693" i="15" s="1"/>
  <c r="E690" i="15" s="1"/>
  <c r="F208" i="29" s="1"/>
  <c r="G208" i="29" s="1"/>
  <c r="F685" i="15"/>
  <c r="X687" i="15" s="1"/>
  <c r="X688" i="15" s="1"/>
  <c r="G680" i="15"/>
  <c r="G675" i="15"/>
  <c r="G670" i="15"/>
  <c r="G645" i="15"/>
  <c r="G665" i="15"/>
  <c r="G660" i="15"/>
  <c r="G655" i="15"/>
  <c r="G650" i="15"/>
  <c r="G640" i="15"/>
  <c r="F640" i="15"/>
  <c r="T642" i="15" s="1"/>
  <c r="T643" i="15" s="1"/>
  <c r="E640" i="15" s="1"/>
  <c r="F190" i="29" s="1"/>
  <c r="G190" i="29" s="1"/>
  <c r="F630" i="15"/>
  <c r="U632" i="15" s="1"/>
  <c r="U633" i="15" s="1"/>
  <c r="F620" i="15"/>
  <c r="S622" i="15" s="1"/>
  <c r="S623" i="15" s="1"/>
  <c r="E620" i="15" s="1"/>
  <c r="F186" i="29" s="1"/>
  <c r="G186" i="29" s="1"/>
  <c r="G615" i="15"/>
  <c r="G605" i="15"/>
  <c r="G610" i="15"/>
  <c r="F610" i="15"/>
  <c r="T612" i="15" s="1"/>
  <c r="T613" i="15" s="1"/>
  <c r="E610" i="15" s="1"/>
  <c r="F181" i="29" s="1"/>
  <c r="G181" i="29" s="1"/>
  <c r="G600" i="15"/>
  <c r="G590" i="15"/>
  <c r="G515" i="15"/>
  <c r="G580" i="15"/>
  <c r="H585" i="15"/>
  <c r="F595" i="15"/>
  <c r="V597" i="15" s="1"/>
  <c r="V598" i="15" s="1"/>
  <c r="F590" i="15"/>
  <c r="W592" i="15" s="1"/>
  <c r="W593" i="15" s="1"/>
  <c r="E590" i="15" s="1"/>
  <c r="F176" i="29" s="1"/>
  <c r="G176" i="29" s="1"/>
  <c r="G585" i="15"/>
  <c r="F585" i="15"/>
  <c r="Z587" i="15" s="1"/>
  <c r="Z588" i="15" s="1"/>
  <c r="E585" i="15" s="1"/>
  <c r="F173" i="29" s="1"/>
  <c r="G173" i="29" s="1"/>
  <c r="F580" i="15"/>
  <c r="U582" i="15" s="1"/>
  <c r="U583" i="15" s="1"/>
  <c r="E580" i="15" s="1"/>
  <c r="F172" i="29" s="1"/>
  <c r="G172" i="29" s="1"/>
  <c r="F575" i="15"/>
  <c r="X577" i="15" s="1"/>
  <c r="X578" i="15" s="1"/>
  <c r="G570" i="15"/>
  <c r="F570" i="15"/>
  <c r="X572" i="15" s="1"/>
  <c r="X573" i="15" s="1"/>
  <c r="E570" i="15" s="1"/>
  <c r="F170" i="29" s="1"/>
  <c r="G170" i="29" s="1"/>
  <c r="F565" i="15"/>
  <c r="W567" i="15" s="1"/>
  <c r="W568" i="15" s="1"/>
  <c r="G560" i="15"/>
  <c r="F560" i="15"/>
  <c r="Y562" i="15" s="1"/>
  <c r="Y563" i="15" s="1"/>
  <c r="E560" i="15" s="1"/>
  <c r="F168" i="29" s="1"/>
  <c r="G168" i="29" s="1"/>
  <c r="G555" i="15"/>
  <c r="G535" i="15"/>
  <c r="G520" i="15"/>
  <c r="G525" i="15"/>
  <c r="G540" i="15"/>
  <c r="F535" i="15"/>
  <c r="V537" i="15" s="1"/>
  <c r="V538" i="15" s="1"/>
  <c r="E535" i="15" s="1"/>
  <c r="F161" i="29" s="1"/>
  <c r="G161" i="29" s="1"/>
  <c r="G530" i="15"/>
  <c r="F530" i="15"/>
  <c r="V532" i="15" s="1"/>
  <c r="V533" i="15" s="1"/>
  <c r="E530" i="15" s="1"/>
  <c r="F160" i="29" s="1"/>
  <c r="G160" i="29" s="1"/>
  <c r="F525" i="15"/>
  <c r="T527" i="15" s="1"/>
  <c r="T528" i="15" s="1"/>
  <c r="E525" i="15" s="1"/>
  <c r="F159" i="29" s="1"/>
  <c r="G159" i="29" s="1"/>
  <c r="G510" i="15"/>
  <c r="F510" i="15"/>
  <c r="W512" i="15" s="1"/>
  <c r="W513" i="15" s="1"/>
  <c r="E510" i="15" s="1"/>
  <c r="F156" i="29" s="1"/>
  <c r="G156" i="29" s="1"/>
  <c r="G505" i="15"/>
  <c r="F505" i="15"/>
  <c r="U507" i="15" s="1"/>
  <c r="U508" i="15" s="1"/>
  <c r="E505" i="15" s="1"/>
  <c r="F155" i="29" s="1"/>
  <c r="G155" i="29" s="1"/>
  <c r="G500" i="15"/>
  <c r="F500" i="15"/>
  <c r="U502" i="15" s="1"/>
  <c r="U503" i="15" s="1"/>
  <c r="E500" i="15" s="1"/>
  <c r="F154" i="29" s="1"/>
  <c r="G154" i="29" s="1"/>
  <c r="G495" i="15"/>
  <c r="G485" i="15"/>
  <c r="G490" i="15"/>
  <c r="F490" i="15"/>
  <c r="U492" i="15" s="1"/>
  <c r="U493" i="15" s="1"/>
  <c r="E490" i="15" s="1"/>
  <c r="F152" i="29" s="1"/>
  <c r="G152" i="29" s="1"/>
  <c r="G400" i="15"/>
  <c r="G430" i="15"/>
  <c r="G480" i="15"/>
  <c r="F485" i="15"/>
  <c r="U487" i="15" s="1"/>
  <c r="U488" i="15" s="1"/>
  <c r="E485" i="15" s="1"/>
  <c r="F151" i="29" s="1"/>
  <c r="G151" i="29" s="1"/>
  <c r="F480" i="15"/>
  <c r="V482" i="15" s="1"/>
  <c r="V483" i="15" s="1"/>
  <c r="E480" i="15" s="1"/>
  <c r="F149" i="29" s="1"/>
  <c r="G149" i="29" s="1"/>
  <c r="G475" i="15"/>
  <c r="G470" i="15"/>
  <c r="F470" i="15"/>
  <c r="AA472" i="15" s="1"/>
  <c r="AA473" i="15" s="1"/>
  <c r="E470" i="15" s="1"/>
  <c r="F147" i="29" s="1"/>
  <c r="G147" i="29" s="1"/>
  <c r="G465" i="15"/>
  <c r="F465" i="15"/>
  <c r="AB467" i="15" s="1"/>
  <c r="AB468" i="15" s="1"/>
  <c r="E465" i="15" s="1"/>
  <c r="F146" i="29" s="1"/>
  <c r="G146" i="29" s="1"/>
  <c r="H435" i="15"/>
  <c r="H420" i="15"/>
  <c r="H405" i="15"/>
  <c r="G395" i="15"/>
  <c r="G440" i="15"/>
  <c r="G425" i="15"/>
  <c r="G445" i="15"/>
  <c r="G410" i="15"/>
  <c r="H390" i="15"/>
  <c r="F450" i="15"/>
  <c r="R452" i="15" s="1"/>
  <c r="R453" i="15" s="1"/>
  <c r="E450" i="15" s="1"/>
  <c r="F141" i="29" s="1"/>
  <c r="G141" i="29" s="1"/>
  <c r="F445" i="15"/>
  <c r="T447" i="15" s="1"/>
  <c r="T448" i="15" s="1"/>
  <c r="E445" i="15" s="1"/>
  <c r="F139" i="29" s="1"/>
  <c r="G139" i="29" s="1"/>
  <c r="F440" i="15"/>
  <c r="U442" i="15" s="1"/>
  <c r="U443" i="15" s="1"/>
  <c r="E440" i="15" s="1"/>
  <c r="F138" i="29" s="1"/>
  <c r="G138" i="29" s="1"/>
  <c r="G435" i="15"/>
  <c r="F435" i="15"/>
  <c r="AC437" i="15" s="1"/>
  <c r="AC438" i="15" s="1"/>
  <c r="E435" i="15" s="1"/>
  <c r="F137" i="29" s="1"/>
  <c r="G137" i="29" s="1"/>
  <c r="G136" i="29" s="1"/>
  <c r="F430" i="15"/>
  <c r="T432" i="15" s="1"/>
  <c r="T433" i="15" s="1"/>
  <c r="E430" i="15" s="1"/>
  <c r="F135" i="29" s="1"/>
  <c r="G135" i="29" s="1"/>
  <c r="F425" i="15"/>
  <c r="U427" i="15" s="1"/>
  <c r="U428" i="15" s="1"/>
  <c r="E425" i="15" s="1"/>
  <c r="F134" i="29" s="1"/>
  <c r="G134" i="29" s="1"/>
  <c r="G420" i="15"/>
  <c r="F420" i="15"/>
  <c r="AA422" i="15" s="1"/>
  <c r="AA423" i="15" s="1"/>
  <c r="E420" i="15" s="1"/>
  <c r="F133" i="29" s="1"/>
  <c r="G133" i="29" s="1"/>
  <c r="G415" i="15"/>
  <c r="G405" i="15"/>
  <c r="F400" i="15"/>
  <c r="T402" i="15" s="1"/>
  <c r="T403" i="15" s="1"/>
  <c r="E400" i="15" s="1"/>
  <c r="F127" i="29" s="1"/>
  <c r="G127" i="29" s="1"/>
  <c r="G385" i="15"/>
  <c r="G390" i="15"/>
  <c r="G375" i="15"/>
  <c r="G370" i="15"/>
  <c r="G365" i="15"/>
  <c r="F365" i="15"/>
  <c r="T367" i="15" s="1"/>
  <c r="T368" i="15" s="1"/>
  <c r="E365" i="15" s="1"/>
  <c r="F119" i="29" s="1"/>
  <c r="G119" i="29" s="1"/>
  <c r="G360" i="15"/>
  <c r="F360" i="15"/>
  <c r="T362" i="15" s="1"/>
  <c r="T363" i="15" s="1"/>
  <c r="E360" i="15" s="1"/>
  <c r="F118" i="29" s="1"/>
  <c r="G118" i="29" s="1"/>
  <c r="G345" i="15"/>
  <c r="F355" i="15"/>
  <c r="U357" i="15" s="1"/>
  <c r="U358" i="15" s="1"/>
  <c r="E355" i="15" s="1"/>
  <c r="F117" i="29" s="1"/>
  <c r="G117" i="29" s="1"/>
  <c r="G350" i="15"/>
  <c r="F350" i="15"/>
  <c r="T352" i="15" s="1"/>
  <c r="T353" i="15" s="1"/>
  <c r="E350" i="15" s="1"/>
  <c r="F115" i="29" s="1"/>
  <c r="G115" i="29" s="1"/>
  <c r="G330" i="15"/>
  <c r="F340" i="15"/>
  <c r="U342" i="15" s="1"/>
  <c r="U343" i="15" s="1"/>
  <c r="E340" i="15" s="1"/>
  <c r="F113" i="29" s="1"/>
  <c r="G113" i="29" s="1"/>
  <c r="G335" i="15"/>
  <c r="G305" i="15"/>
  <c r="G320" i="15"/>
  <c r="G315" i="15"/>
  <c r="F325" i="15"/>
  <c r="U327" i="15" s="1"/>
  <c r="U328" i="15" s="1"/>
  <c r="E325" i="15" s="1"/>
  <c r="F109" i="29" s="1"/>
  <c r="G109" i="29" s="1"/>
  <c r="G108" i="29" s="1"/>
  <c r="F320" i="15"/>
  <c r="T322" i="15" s="1"/>
  <c r="T323" i="15" s="1"/>
  <c r="E320" i="15" s="1"/>
  <c r="F107" i="29" s="1"/>
  <c r="G107" i="29" s="1"/>
  <c r="F315" i="15"/>
  <c r="U317" i="15" s="1"/>
  <c r="U318" i="15" s="1"/>
  <c r="E315" i="15" s="1"/>
  <c r="F106" i="29" s="1"/>
  <c r="G106" i="29" s="1"/>
  <c r="G310" i="15"/>
  <c r="F305" i="15"/>
  <c r="T307" i="15" s="1"/>
  <c r="T308" i="15" s="1"/>
  <c r="E305" i="15" s="1"/>
  <c r="F103" i="29" s="1"/>
  <c r="G103" i="29" s="1"/>
  <c r="G300" i="15"/>
  <c r="F300" i="15"/>
  <c r="W302" i="15" s="1"/>
  <c r="W303" i="15" s="1"/>
  <c r="E300" i="15" s="1"/>
  <c r="F102" i="29" s="1"/>
  <c r="G102" i="29" s="1"/>
  <c r="H275" i="15"/>
  <c r="G285" i="15"/>
  <c r="H290" i="15"/>
  <c r="G295" i="15"/>
  <c r="F295" i="15"/>
  <c r="W297" i="15" s="1"/>
  <c r="W298" i="15" s="1"/>
  <c r="E295" i="15" s="1"/>
  <c r="F101" i="29" s="1"/>
  <c r="G101" i="29" s="1"/>
  <c r="G290" i="15"/>
  <c r="F290" i="15"/>
  <c r="AA292" i="15" s="1"/>
  <c r="AA293" i="15" s="1"/>
  <c r="E290" i="15" s="1"/>
  <c r="F100" i="29" s="1"/>
  <c r="G100" i="29" s="1"/>
  <c r="G99" i="29" s="1"/>
  <c r="F285" i="15"/>
  <c r="T287" i="15" s="1"/>
  <c r="T288" i="15" s="1"/>
  <c r="E285" i="15" s="1"/>
  <c r="F98" i="29" s="1"/>
  <c r="G98" i="29" s="1"/>
  <c r="G280" i="15"/>
  <c r="F280" i="15"/>
  <c r="U282" i="15" s="1"/>
  <c r="U283" i="15" s="1"/>
  <c r="E280" i="15" s="1"/>
  <c r="F97" i="29" s="1"/>
  <c r="G97" i="29" s="1"/>
  <c r="G265" i="15"/>
  <c r="H260" i="15"/>
  <c r="H240" i="15"/>
  <c r="G275" i="15"/>
  <c r="F275" i="15"/>
  <c r="AA277" i="15" s="1"/>
  <c r="AA278" i="15" s="1"/>
  <c r="E275" i="15" s="1"/>
  <c r="F96" i="29" s="1"/>
  <c r="G96" i="29" s="1"/>
  <c r="G95" i="29" s="1"/>
  <c r="G270" i="15"/>
  <c r="G260" i="15"/>
  <c r="G255" i="15"/>
  <c r="G230" i="15"/>
  <c r="H245" i="15"/>
  <c r="H225" i="15"/>
  <c r="G250" i="15"/>
  <c r="F250" i="15"/>
  <c r="V252" i="15" s="1"/>
  <c r="V253" i="15" s="1"/>
  <c r="E250" i="15" s="1"/>
  <c r="F89" i="29" s="1"/>
  <c r="G89" i="29" s="1"/>
  <c r="G245" i="15"/>
  <c r="G240" i="15"/>
  <c r="G235" i="15"/>
  <c r="F230" i="15"/>
  <c r="V232" i="15" s="1"/>
  <c r="V233" i="15" s="1"/>
  <c r="E230" i="15" s="1"/>
  <c r="F81" i="29" s="1"/>
  <c r="G81" i="29" s="1"/>
  <c r="G225" i="15"/>
  <c r="F225" i="15"/>
  <c r="AA227" i="15" s="1"/>
  <c r="AA228" i="15" s="1"/>
  <c r="E225" i="15" s="1"/>
  <c r="F80" i="29" s="1"/>
  <c r="G80" i="29" s="1"/>
  <c r="G79" i="29" s="1"/>
  <c r="G220" i="15"/>
  <c r="G215" i="15"/>
  <c r="G210" i="15"/>
  <c r="G200" i="15"/>
  <c r="G205" i="15"/>
  <c r="F205" i="15"/>
  <c r="U207" i="15" s="1"/>
  <c r="U208" i="15" s="1"/>
  <c r="E205" i="15" s="1"/>
  <c r="F73" i="29" s="1"/>
  <c r="G73" i="29" s="1"/>
  <c r="F200" i="15"/>
  <c r="W202" i="15" s="1"/>
  <c r="W203" i="15" s="1"/>
  <c r="E200" i="15" s="1"/>
  <c r="F72" i="29" s="1"/>
  <c r="G72" i="29" s="1"/>
  <c r="G195" i="15"/>
  <c r="F195" i="15"/>
  <c r="Z197" i="15" s="1"/>
  <c r="Z198" i="15" s="1"/>
  <c r="E195" i="15" s="1"/>
  <c r="F70" i="29" s="1"/>
  <c r="G70" i="29" s="1"/>
  <c r="G69" i="29" s="1"/>
  <c r="G190" i="15"/>
  <c r="G180" i="15"/>
  <c r="G185" i="15"/>
  <c r="F185" i="15"/>
  <c r="Y187" i="15" s="1"/>
  <c r="Y188" i="15" s="1"/>
  <c r="E185" i="15" s="1"/>
  <c r="F67" i="29" s="1"/>
  <c r="G67" i="29" s="1"/>
  <c r="G66" i="29" s="1"/>
  <c r="F180" i="15"/>
  <c r="U182" i="15" s="1"/>
  <c r="U183" i="15" s="1"/>
  <c r="E180" i="15" s="1"/>
  <c r="F65" i="29" s="1"/>
  <c r="G65" i="29" s="1"/>
  <c r="G155" i="15"/>
  <c r="G170" i="15"/>
  <c r="G175" i="15"/>
  <c r="F175" i="15"/>
  <c r="W177" i="15" s="1"/>
  <c r="W178" i="15" s="1"/>
  <c r="E175" i="15" s="1"/>
  <c r="F64" i="29" s="1"/>
  <c r="G64" i="29" s="1"/>
  <c r="F125" i="15"/>
  <c r="Q127" i="15" s="1"/>
  <c r="Q128" i="15" s="1"/>
  <c r="E125" i="15" s="1"/>
  <c r="F49" i="29" s="1"/>
  <c r="G49" i="29" s="1"/>
  <c r="F160" i="15"/>
  <c r="Q162" i="15" s="1"/>
  <c r="Q163" i="15" s="1"/>
  <c r="E160" i="15" s="1"/>
  <c r="F58" i="29" s="1"/>
  <c r="G58" i="29" s="1"/>
  <c r="G57" i="29" s="1"/>
  <c r="F170" i="15"/>
  <c r="U172" i="15" s="1"/>
  <c r="U173" i="15" s="1"/>
  <c r="E170" i="15" s="1"/>
  <c r="F61" i="29" s="1"/>
  <c r="G61" i="29" s="1"/>
  <c r="G60" i="29" s="1"/>
  <c r="F150" i="15"/>
  <c r="T152" i="15" s="1"/>
  <c r="T153" i="15" s="1"/>
  <c r="E150" i="15" s="1"/>
  <c r="F55" i="29" s="1"/>
  <c r="G55" i="29" s="1"/>
  <c r="G54" i="29" s="1"/>
  <c r="F145" i="15"/>
  <c r="Q147" i="15" s="1"/>
  <c r="Q148" i="15" s="1"/>
  <c r="E145" i="15" s="1"/>
  <c r="F53" i="29" s="1"/>
  <c r="G53" i="29" s="1"/>
  <c r="F140" i="15"/>
  <c r="Q142" i="15" s="1"/>
  <c r="Q143" i="15" s="1"/>
  <c r="E140" i="15" s="1"/>
  <c r="F52" i="29" s="1"/>
  <c r="G52" i="29" s="1"/>
  <c r="F130" i="15"/>
  <c r="Q132" i="15" s="1"/>
  <c r="Q133" i="15" s="1"/>
  <c r="E130" i="15" s="1"/>
  <c r="F50" i="29" s="1"/>
  <c r="G50" i="29" s="1"/>
  <c r="F120" i="15"/>
  <c r="S122" i="15" s="1"/>
  <c r="S123" i="15" s="1"/>
  <c r="E120" i="15" s="1"/>
  <c r="F48" i="29" s="1"/>
  <c r="G48" i="29" s="1"/>
  <c r="E115" i="15"/>
  <c r="F44" i="29" s="1"/>
  <c r="G44" i="29" s="1"/>
  <c r="G115" i="15"/>
  <c r="E105" i="15"/>
  <c r="F42" i="29" s="1"/>
  <c r="G42" i="29" s="1"/>
  <c r="G105" i="15"/>
  <c r="G100" i="15"/>
  <c r="E100" i="15"/>
  <c r="F41" i="29" s="1"/>
  <c r="G41" i="29" s="1"/>
  <c r="E95" i="15"/>
  <c r="F40" i="29" s="1"/>
  <c r="G40" i="29" s="1"/>
  <c r="G38" i="29" s="1"/>
  <c r="G95" i="15"/>
  <c r="G90" i="15"/>
  <c r="G85" i="15"/>
  <c r="H80" i="15"/>
  <c r="F85" i="15"/>
  <c r="U87" i="15" s="1"/>
  <c r="U88" i="15" s="1"/>
  <c r="E85" i="15" s="1"/>
  <c r="F37" i="29" s="1"/>
  <c r="G37" i="29" s="1"/>
  <c r="G80" i="15"/>
  <c r="F80" i="15"/>
  <c r="V82" i="15" s="1"/>
  <c r="V83" i="15" s="1"/>
  <c r="E80" i="15" s="1"/>
  <c r="F36" i="29" s="1"/>
  <c r="G36" i="29" s="1"/>
  <c r="F75" i="15"/>
  <c r="R77" i="15" s="1"/>
  <c r="R78" i="15" s="1"/>
  <c r="E75" i="15" s="1"/>
  <c r="F34" i="29" s="1"/>
  <c r="G34" i="29" s="1"/>
  <c r="G33" i="29" s="1"/>
  <c r="F60" i="15"/>
  <c r="R62" i="15" s="1"/>
  <c r="R63" i="15" s="1"/>
  <c r="E60" i="15" s="1"/>
  <c r="F30" i="29" s="1"/>
  <c r="G30" i="29" s="1"/>
  <c r="G29" i="29" s="1"/>
  <c r="F55" i="15"/>
  <c r="Q57" i="15" s="1"/>
  <c r="Q58" i="15" s="1"/>
  <c r="E55" i="15" s="1"/>
  <c r="F28" i="29" s="1"/>
  <c r="G28" i="29" s="1"/>
  <c r="G27" i="29" s="1"/>
  <c r="G45" i="15"/>
  <c r="G40" i="15"/>
  <c r="G35" i="15"/>
  <c r="G25" i="15"/>
  <c r="F35" i="15"/>
  <c r="AB37" i="15" s="1"/>
  <c r="AB38" i="15" s="1"/>
  <c r="E35" i="15" s="1"/>
  <c r="F20" i="29" s="1"/>
  <c r="G20" i="29" s="1"/>
  <c r="F30" i="15"/>
  <c r="Q32" i="15" s="1"/>
  <c r="Q33" i="15" s="1"/>
  <c r="E30" i="15" s="1"/>
  <c r="F19" i="29" s="1"/>
  <c r="G19" i="29" s="1"/>
  <c r="F20" i="15"/>
  <c r="G15" i="15"/>
  <c r="G10" i="15"/>
  <c r="G5" i="15"/>
  <c r="F5" i="15"/>
  <c r="W7" i="15" s="1"/>
  <c r="W8" i="15" s="1"/>
  <c r="E5" i="15" s="1"/>
  <c r="F14" i="29" s="1"/>
  <c r="G14" i="29" s="1"/>
  <c r="G116" i="29" l="1"/>
  <c r="G35" i="29"/>
  <c r="G132" i="29"/>
  <c r="G245" i="29"/>
  <c r="G198" i="29"/>
  <c r="G85" i="29"/>
  <c r="G218" i="29"/>
  <c r="G145" i="29"/>
  <c r="G343" i="29"/>
  <c r="G344" i="29"/>
  <c r="G112" i="29"/>
  <c r="G47" i="29"/>
  <c r="G46" i="29"/>
  <c r="G71" i="29"/>
  <c r="G140" i="29"/>
  <c r="G175" i="29"/>
  <c r="G63" i="29"/>
  <c r="G242" i="29"/>
  <c r="G128" i="29"/>
  <c r="G13" i="29"/>
  <c r="G11" i="29"/>
  <c r="G12" i="29"/>
  <c r="G335" i="29"/>
  <c r="G466" i="29"/>
  <c r="G467" i="29"/>
  <c r="G352" i="29"/>
  <c r="F15" i="15"/>
  <c r="AA17" i="15" s="1"/>
  <c r="AA18" i="15" s="1"/>
  <c r="E15" i="15" s="1"/>
  <c r="F16" i="29" s="1"/>
  <c r="G16" i="29" s="1"/>
  <c r="F935" i="15"/>
  <c r="V937" i="15" s="1"/>
  <c r="V938" i="15" s="1"/>
  <c r="E935" i="15" s="1"/>
  <c r="F276" i="29" s="1"/>
  <c r="G276" i="29" s="1"/>
  <c r="G273" i="29" s="1"/>
  <c r="G800" i="15"/>
  <c r="G1285" i="15"/>
  <c r="F1235" i="15"/>
  <c r="W1237" i="15" s="1"/>
  <c r="W1238" i="15" s="1"/>
  <c r="F1250" i="15"/>
  <c r="S1252" i="15" s="1"/>
  <c r="S1253" i="15" s="1"/>
  <c r="E1250" i="15" s="1"/>
  <c r="F1335" i="15"/>
  <c r="V1337" i="15" s="1"/>
  <c r="V1338" i="15" s="1"/>
  <c r="F855" i="15"/>
  <c r="AA857" i="15" s="1"/>
  <c r="AA858" i="15" s="1"/>
  <c r="F1470" i="15"/>
  <c r="X1472" i="15" s="1"/>
  <c r="X1473" i="15" s="1"/>
  <c r="F715" i="15"/>
  <c r="R717" i="15" s="1"/>
  <c r="R718" i="15" s="1"/>
  <c r="E715" i="15" s="1"/>
  <c r="F216" i="29" s="1"/>
  <c r="G216" i="29" s="1"/>
  <c r="F210" i="15"/>
  <c r="W212" i="15" s="1"/>
  <c r="W213" i="15" s="1"/>
  <c r="E210" i="15" s="1"/>
  <c r="F75" i="29" s="1"/>
  <c r="G75" i="29" s="1"/>
  <c r="G74" i="29" s="1"/>
  <c r="F1400" i="15"/>
  <c r="U1402" i="15" s="1"/>
  <c r="U1403" i="15" s="1"/>
  <c r="F635" i="15"/>
  <c r="U637" i="15" s="1"/>
  <c r="U638" i="15" s="1"/>
  <c r="F455" i="15"/>
  <c r="R457" i="15" s="1"/>
  <c r="R458" i="15" s="1"/>
  <c r="E455" i="15" s="1"/>
  <c r="F142" i="29" s="1"/>
  <c r="G142" i="29" s="1"/>
  <c r="F260" i="15"/>
  <c r="AA262" i="15" s="1"/>
  <c r="AA263" i="15" s="1"/>
  <c r="E260" i="15" s="1"/>
  <c r="F92" i="29" s="1"/>
  <c r="G92" i="29" s="1"/>
  <c r="F245" i="15"/>
  <c r="AA247" i="15" s="1"/>
  <c r="AA248" i="15" s="1"/>
  <c r="E245" i="15" s="1"/>
  <c r="F88" i="29" s="1"/>
  <c r="G88" i="29" s="1"/>
  <c r="G87" i="29" s="1"/>
  <c r="G1500" i="15"/>
  <c r="F1070" i="15"/>
  <c r="T1072" i="15" s="1"/>
  <c r="T1073" i="15" s="1"/>
  <c r="F1340" i="15"/>
  <c r="V1342" i="15" s="1"/>
  <c r="V1343" i="15" s="1"/>
  <c r="G935" i="15"/>
  <c r="F600" i="15"/>
  <c r="V602" i="15" s="1"/>
  <c r="V603" i="15" s="1"/>
  <c r="E600" i="15" s="1"/>
  <c r="F179" i="29" s="1"/>
  <c r="G179" i="29" s="1"/>
  <c r="F310" i="15"/>
  <c r="AA312" i="15" s="1"/>
  <c r="AA313" i="15" s="1"/>
  <c r="E310" i="15" s="1"/>
  <c r="F105" i="29" s="1"/>
  <c r="G105" i="29" s="1"/>
  <c r="G104" i="29" s="1"/>
  <c r="U777" i="15"/>
  <c r="U778" i="15" s="1"/>
  <c r="U782" i="15"/>
  <c r="U783" i="15" s="1"/>
  <c r="U772" i="15"/>
  <c r="U773" i="15" s="1"/>
  <c r="R967" i="15"/>
  <c r="R968" i="15" s="1"/>
  <c r="G965" i="15" s="1"/>
  <c r="R912" i="15"/>
  <c r="R913" i="15" s="1"/>
  <c r="R947" i="15"/>
  <c r="R948" i="15" s="1"/>
  <c r="R942" i="15"/>
  <c r="R943" i="15" s="1"/>
  <c r="R917" i="15"/>
  <c r="R918" i="15" s="1"/>
  <c r="R897" i="15"/>
  <c r="R898" i="15" s="1"/>
  <c r="R972" i="15"/>
  <c r="R973" i="15" s="1"/>
  <c r="G970" i="15" s="1"/>
  <c r="R902" i="15"/>
  <c r="R903" i="15" s="1"/>
  <c r="R1427" i="15"/>
  <c r="R1428" i="15" s="1"/>
  <c r="R962" i="15"/>
  <c r="R963" i="15" s="1"/>
  <c r="G960" i="15" s="1"/>
  <c r="R957" i="15"/>
  <c r="R958" i="15" s="1"/>
  <c r="G955" i="15" s="1"/>
  <c r="R907" i="15"/>
  <c r="R908" i="15" s="1"/>
  <c r="T862" i="15"/>
  <c r="T863" i="15" s="1"/>
  <c r="S867" i="15"/>
  <c r="S868" i="15" s="1"/>
  <c r="Y857" i="15"/>
  <c r="Y858" i="15" s="1"/>
  <c r="R952" i="15"/>
  <c r="R953" i="15" s="1"/>
  <c r="G950" i="15" s="1"/>
  <c r="S942" i="15"/>
  <c r="S943" i="15" s="1"/>
  <c r="S917" i="15"/>
  <c r="S918" i="15" s="1"/>
  <c r="U902" i="15"/>
  <c r="U903" i="15" s="1"/>
  <c r="S907" i="15"/>
  <c r="S908" i="15" s="1"/>
  <c r="S912" i="15"/>
  <c r="S913" i="15" s="1"/>
  <c r="V897" i="15"/>
  <c r="V898" i="15" s="1"/>
  <c r="R1417" i="15"/>
  <c r="R1418" i="15" s="1"/>
  <c r="G1415" i="15" s="1"/>
  <c r="R1402" i="15"/>
  <c r="R1403" i="15" s="1"/>
  <c r="G1400" i="15" s="1"/>
  <c r="R1352" i="15"/>
  <c r="R1353" i="15" s="1"/>
  <c r="R1412" i="15"/>
  <c r="R1413" i="15" s="1"/>
  <c r="G1410" i="15" s="1"/>
  <c r="S1217" i="15"/>
  <c r="S1218" i="15" s="1"/>
  <c r="G1215" i="15" s="1"/>
  <c r="R1397" i="15"/>
  <c r="R1398" i="15" s="1"/>
  <c r="G1395" i="15" s="1"/>
  <c r="R1357" i="15"/>
  <c r="R1358" i="15" s="1"/>
  <c r="R1347" i="15"/>
  <c r="R1348" i="15" s="1"/>
  <c r="G1345" i="15" s="1"/>
  <c r="S1212" i="15"/>
  <c r="S1213" i="15" s="1"/>
  <c r="G1210" i="15" s="1"/>
  <c r="S1197" i="15"/>
  <c r="S1198" i="15" s="1"/>
  <c r="G1195" i="15" s="1"/>
  <c r="R1202" i="15"/>
  <c r="R1203" i="15" s="1"/>
  <c r="G1200" i="15" s="1"/>
  <c r="R1407" i="15"/>
  <c r="R1408" i="15" s="1"/>
  <c r="G1405" i="15" s="1"/>
  <c r="R1207" i="15"/>
  <c r="R1208" i="15" s="1"/>
  <c r="G1205" i="15" s="1"/>
  <c r="R882" i="15"/>
  <c r="R883" i="15" s="1"/>
  <c r="R877" i="15"/>
  <c r="R878" i="15" s="1"/>
  <c r="S872" i="15"/>
  <c r="S873" i="15" s="1"/>
  <c r="V942" i="15"/>
  <c r="V943" i="15" s="1"/>
  <c r="W917" i="15"/>
  <c r="W918" i="15" s="1"/>
  <c r="S1362" i="15"/>
  <c r="S1363" i="15" s="1"/>
  <c r="S1237" i="15"/>
  <c r="S1238" i="15" s="1"/>
  <c r="E805" i="15"/>
  <c r="F240" i="29" s="1"/>
  <c r="G240" i="29" s="1"/>
  <c r="G236" i="29" s="1"/>
  <c r="E970" i="15"/>
  <c r="F287" i="29" s="1"/>
  <c r="G287" i="29" s="1"/>
  <c r="E1285" i="15"/>
  <c r="F383" i="29" s="1"/>
  <c r="G383" i="29" s="1"/>
  <c r="G382" i="29" s="1"/>
  <c r="F1410" i="15"/>
  <c r="T1412" i="15" s="1"/>
  <c r="T1413" i="15" s="1"/>
  <c r="E1410" i="15" s="1"/>
  <c r="F416" i="29" s="1"/>
  <c r="G416" i="29" s="1"/>
  <c r="F215" i="15"/>
  <c r="U217" i="15" s="1"/>
  <c r="U218" i="15" s="1"/>
  <c r="E215" i="15" s="1"/>
  <c r="F76" i="29" s="1"/>
  <c r="G76" i="29" s="1"/>
  <c r="F265" i="15"/>
  <c r="T267" i="15" s="1"/>
  <c r="T268" i="15" s="1"/>
  <c r="E265" i="15" s="1"/>
  <c r="F93" i="29" s="1"/>
  <c r="G93" i="29" s="1"/>
  <c r="R1487" i="15"/>
  <c r="R1488" i="15" s="1"/>
  <c r="R1467" i="15"/>
  <c r="R1468" i="15" s="1"/>
  <c r="R1452" i="15"/>
  <c r="R1453" i="15" s="1"/>
  <c r="R1472" i="15"/>
  <c r="R1473" i="15" s="1"/>
  <c r="R1477" i="15"/>
  <c r="R1478" i="15" s="1"/>
  <c r="R1457" i="15"/>
  <c r="R1458" i="15" s="1"/>
  <c r="R1237" i="15"/>
  <c r="R1238" i="15" s="1"/>
  <c r="T942" i="15"/>
  <c r="T943" i="15" s="1"/>
  <c r="T917" i="15"/>
  <c r="T918" i="15" s="1"/>
  <c r="R1447" i="15"/>
  <c r="R1448" i="15" s="1"/>
  <c r="R1362" i="15"/>
  <c r="R1363" i="15" s="1"/>
  <c r="R1227" i="15"/>
  <c r="R1228" i="15" s="1"/>
  <c r="R1462" i="15"/>
  <c r="R1463" i="15" s="1"/>
  <c r="T907" i="15"/>
  <c r="T908" i="15" s="1"/>
  <c r="R1492" i="15"/>
  <c r="R1493" i="15" s="1"/>
  <c r="G1490" i="15" s="1"/>
  <c r="R1482" i="15"/>
  <c r="R1483" i="15" s="1"/>
  <c r="T912" i="15"/>
  <c r="T913" i="15" s="1"/>
  <c r="R1232" i="15"/>
  <c r="R1233" i="15" s="1"/>
  <c r="R1222" i="15"/>
  <c r="R1223" i="15" s="1"/>
  <c r="S1067" i="15"/>
  <c r="S1068" i="15" s="1"/>
  <c r="G1065" i="15" s="1"/>
  <c r="S1052" i="15"/>
  <c r="S1053" i="15" s="1"/>
  <c r="G1050" i="15" s="1"/>
  <c r="S1122" i="15"/>
  <c r="S1123" i="15" s="1"/>
  <c r="G1120" i="15" s="1"/>
  <c r="T597" i="15"/>
  <c r="T598" i="15" s="1"/>
  <c r="G595" i="15" s="1"/>
  <c r="V567" i="15"/>
  <c r="V568" i="15" s="1"/>
  <c r="G565" i="15" s="1"/>
  <c r="Q712" i="15"/>
  <c r="Q713" i="15" s="1"/>
  <c r="G710" i="15" s="1"/>
  <c r="O702" i="15"/>
  <c r="O703" i="15" s="1"/>
  <c r="R1172" i="15"/>
  <c r="R1173" i="15" s="1"/>
  <c r="R887" i="15"/>
  <c r="R888" i="15" s="1"/>
  <c r="E885" i="15" s="1"/>
  <c r="F264" i="29" s="1"/>
  <c r="G264" i="29" s="1"/>
  <c r="R1062" i="15"/>
  <c r="R1063" i="15" s="1"/>
  <c r="R1057" i="15"/>
  <c r="R1058" i="15" s="1"/>
  <c r="R892" i="15"/>
  <c r="R893" i="15" s="1"/>
  <c r="W997" i="15"/>
  <c r="W998" i="15" s="1"/>
  <c r="U1007" i="15"/>
  <c r="U1008" i="15" s="1"/>
  <c r="E1215" i="15"/>
  <c r="F364" i="29" s="1"/>
  <c r="G364" i="29" s="1"/>
  <c r="S637" i="15"/>
  <c r="S638" i="15" s="1"/>
  <c r="S632" i="15"/>
  <c r="S633" i="15" s="1"/>
  <c r="Q1157" i="15"/>
  <c r="Q1158" i="15" s="1"/>
  <c r="G1155" i="15" s="1"/>
  <c r="S687" i="15"/>
  <c r="S688" i="15" s="1"/>
  <c r="G685" i="15" s="1"/>
  <c r="G980" i="15"/>
  <c r="E1195" i="15"/>
  <c r="F359" i="29" s="1"/>
  <c r="G359" i="29" s="1"/>
  <c r="E685" i="15"/>
  <c r="F207" i="29" s="1"/>
  <c r="G207" i="29" s="1"/>
  <c r="G206" i="29" s="1"/>
  <c r="E950" i="15"/>
  <c r="E565" i="15"/>
  <c r="F169" i="29" s="1"/>
  <c r="G169" i="29" s="1"/>
  <c r="G167" i="29" s="1"/>
  <c r="E765" i="15"/>
  <c r="F228" i="29" s="1"/>
  <c r="G228" i="29" s="1"/>
  <c r="G224" i="29" s="1"/>
  <c r="E1405" i="15"/>
  <c r="F415" i="29" s="1"/>
  <c r="G415" i="29" s="1"/>
  <c r="F235" i="15"/>
  <c r="X237" i="15" s="1"/>
  <c r="X238" i="15" s="1"/>
  <c r="E235" i="15" s="1"/>
  <c r="F83" i="29" s="1"/>
  <c r="G83" i="29" s="1"/>
  <c r="G82" i="29" s="1"/>
  <c r="U1482" i="15"/>
  <c r="U1483" i="15" s="1"/>
  <c r="U1447" i="15"/>
  <c r="U1448" i="15" s="1"/>
  <c r="V1227" i="15"/>
  <c r="V1228" i="15" s="1"/>
  <c r="V1222" i="15"/>
  <c r="V1223" i="15" s="1"/>
  <c r="S897" i="15"/>
  <c r="S898" i="15" s="1"/>
  <c r="E895" i="15" s="1"/>
  <c r="F267" i="29" s="1"/>
  <c r="G267" i="29" s="1"/>
  <c r="V887" i="15"/>
  <c r="V888" i="15" s="1"/>
  <c r="U1307" i="15"/>
  <c r="U1308" i="15" s="1"/>
  <c r="G1305" i="15" s="1"/>
  <c r="U1322" i="15"/>
  <c r="U1323" i="15" s="1"/>
  <c r="U1327" i="15"/>
  <c r="U1328" i="15" s="1"/>
  <c r="V1467" i="15"/>
  <c r="V1468" i="15" s="1"/>
  <c r="U1342" i="15"/>
  <c r="U1343" i="15" s="1"/>
  <c r="E965" i="15"/>
  <c r="F286" i="29" s="1"/>
  <c r="G286" i="29" s="1"/>
  <c r="E1395" i="15"/>
  <c r="F412" i="29" s="1"/>
  <c r="G412" i="29" s="1"/>
  <c r="E1120" i="15"/>
  <c r="F333" i="29" s="1"/>
  <c r="G333" i="29" s="1"/>
  <c r="S1352" i="15"/>
  <c r="S1353" i="15" s="1"/>
  <c r="E1350" i="15" s="1"/>
  <c r="F399" i="29" s="1"/>
  <c r="G399" i="29" s="1"/>
  <c r="S1357" i="15"/>
  <c r="S1358" i="15" s="1"/>
  <c r="V552" i="15"/>
  <c r="V553" i="15" s="1"/>
  <c r="G550" i="15" s="1"/>
  <c r="V577" i="15"/>
  <c r="V578" i="15" s="1"/>
  <c r="G575" i="15" s="1"/>
  <c r="V547" i="15"/>
  <c r="V548" i="15" s="1"/>
  <c r="G545" i="15" s="1"/>
  <c r="V917" i="15"/>
  <c r="V918" i="15" s="1"/>
  <c r="U942" i="15"/>
  <c r="U943" i="15" s="1"/>
  <c r="S1107" i="15"/>
  <c r="S1108" i="15" s="1"/>
  <c r="G1105" i="15" s="1"/>
  <c r="S1112" i="15"/>
  <c r="S1113" i="15" s="1"/>
  <c r="G1110" i="15" s="1"/>
  <c r="S1102" i="15"/>
  <c r="S1103" i="15" s="1"/>
  <c r="G1100" i="15" s="1"/>
  <c r="R637" i="15"/>
  <c r="R638" i="15" s="1"/>
  <c r="G635" i="15" s="1"/>
  <c r="R627" i="15"/>
  <c r="R628" i="15" s="1"/>
  <c r="G625" i="15" s="1"/>
  <c r="R632" i="15"/>
  <c r="R633" i="15" s="1"/>
  <c r="S857" i="15"/>
  <c r="S858" i="15" s="1"/>
  <c r="U852" i="15"/>
  <c r="U853" i="15" s="1"/>
  <c r="G850" i="15" s="1"/>
  <c r="T892" i="15"/>
  <c r="T893" i="15" s="1"/>
  <c r="R1002" i="15"/>
  <c r="R1003" i="15" s="1"/>
  <c r="T1017" i="15"/>
  <c r="T1018" i="15" s="1"/>
  <c r="T1057" i="15"/>
  <c r="T1058" i="15" s="1"/>
  <c r="T1172" i="15"/>
  <c r="T1173" i="15" s="1"/>
  <c r="E1170" i="15" s="1"/>
  <c r="F349" i="29" s="1"/>
  <c r="G349" i="29" s="1"/>
  <c r="X1267" i="15"/>
  <c r="X1268" i="15" s="1"/>
  <c r="T1272" i="15"/>
  <c r="T1273" i="15" s="1"/>
  <c r="E940" i="15"/>
  <c r="F279" i="29" s="1"/>
  <c r="G279" i="29" s="1"/>
  <c r="G278" i="29" s="1"/>
  <c r="E1205" i="15"/>
  <c r="F362" i="29" s="1"/>
  <c r="G362" i="29" s="1"/>
  <c r="G1440" i="15"/>
  <c r="E545" i="15"/>
  <c r="F163" i="29" s="1"/>
  <c r="G163" i="29" s="1"/>
  <c r="F1375" i="15"/>
  <c r="S1377" i="15" s="1"/>
  <c r="S1378" i="15" s="1"/>
  <c r="E1375" i="15" s="1"/>
  <c r="F408" i="29" s="1"/>
  <c r="G408" i="29" s="1"/>
  <c r="G406" i="29" s="1"/>
  <c r="F1500" i="15"/>
  <c r="Z1502" i="15" s="1"/>
  <c r="Z1503" i="15" s="1"/>
  <c r="E1500" i="15" s="1"/>
  <c r="F471" i="29" s="1"/>
  <c r="G471" i="29" s="1"/>
  <c r="V1482" i="15"/>
  <c r="V1483" i="15" s="1"/>
  <c r="V1447" i="15"/>
  <c r="V1448" i="15" s="1"/>
  <c r="V1487" i="15"/>
  <c r="V1488" i="15" s="1"/>
  <c r="V1457" i="15"/>
  <c r="V1458" i="15" s="1"/>
  <c r="V1452" i="15"/>
  <c r="V1453" i="15" s="1"/>
  <c r="V1472" i="15"/>
  <c r="V1473" i="15" s="1"/>
  <c r="V1477" i="15"/>
  <c r="V1478" i="15" s="1"/>
  <c r="T842" i="15"/>
  <c r="T843" i="15" s="1"/>
  <c r="G840" i="15" s="1"/>
  <c r="S847" i="15"/>
  <c r="S848" i="15" s="1"/>
  <c r="G845" i="15" s="1"/>
  <c r="T1007" i="15"/>
  <c r="T1008" i="15" s="1"/>
  <c r="G1005" i="15" s="1"/>
  <c r="V997" i="15"/>
  <c r="V998" i="15" s="1"/>
  <c r="U1457" i="15"/>
  <c r="U1458" i="15" s="1"/>
  <c r="V1362" i="15"/>
  <c r="V1363" i="15" s="1"/>
  <c r="T1337" i="15"/>
  <c r="T1338" i="15" s="1"/>
  <c r="G1335" i="15" s="1"/>
  <c r="T1327" i="15"/>
  <c r="T1328" i="15" s="1"/>
  <c r="G1325" i="15" s="1"/>
  <c r="T1317" i="15"/>
  <c r="T1318" i="15" s="1"/>
  <c r="G1315" i="15" s="1"/>
  <c r="U1462" i="15"/>
  <c r="U1463" i="15" s="1"/>
  <c r="E1460" i="15" s="1"/>
  <c r="F432" i="29" s="1"/>
  <c r="G432" i="29" s="1"/>
  <c r="U1477" i="15"/>
  <c r="U1478" i="15" s="1"/>
  <c r="T1322" i="15"/>
  <c r="T1323" i="15" s="1"/>
  <c r="G1320" i="15" s="1"/>
  <c r="U1487" i="15"/>
  <c r="U1488" i="15" s="1"/>
  <c r="U1472" i="15"/>
  <c r="U1473" i="15" s="1"/>
  <c r="T1332" i="15"/>
  <c r="T1333" i="15" s="1"/>
  <c r="V1237" i="15"/>
  <c r="V1238" i="15" s="1"/>
  <c r="U1467" i="15"/>
  <c r="U1468" i="15" s="1"/>
  <c r="T1312" i="15"/>
  <c r="T1313" i="15" s="1"/>
  <c r="T1342" i="15"/>
  <c r="T1343" i="15" s="1"/>
  <c r="G1340" i="15" s="1"/>
  <c r="U1452" i="15"/>
  <c r="U1453" i="15" s="1"/>
  <c r="R772" i="15"/>
  <c r="R773" i="15" s="1"/>
  <c r="E770" i="15" s="1"/>
  <c r="F231" i="29" s="1"/>
  <c r="G231" i="29" s="1"/>
  <c r="R777" i="15"/>
  <c r="R778" i="15" s="1"/>
  <c r="R782" i="15"/>
  <c r="R783" i="15" s="1"/>
  <c r="G780" i="15" s="1"/>
  <c r="X892" i="15"/>
  <c r="X893" i="15" s="1"/>
  <c r="S902" i="15"/>
  <c r="S903" i="15" s="1"/>
  <c r="E900" i="15" s="1"/>
  <c r="F268" i="29" s="1"/>
  <c r="G268" i="29" s="1"/>
  <c r="S1037" i="15"/>
  <c r="S1038" i="15" s="1"/>
  <c r="G1035" i="15" s="1"/>
  <c r="S1092" i="15"/>
  <c r="S1093" i="15" s="1"/>
  <c r="G1090" i="15" s="1"/>
  <c r="E575" i="15"/>
  <c r="F171" i="29" s="1"/>
  <c r="G171" i="29" s="1"/>
  <c r="R1332" i="15"/>
  <c r="R1333" i="15" s="1"/>
  <c r="S1232" i="15"/>
  <c r="S1233" i="15" s="1"/>
  <c r="E960" i="15"/>
  <c r="F285" i="29" s="1"/>
  <c r="G285" i="29" s="1"/>
  <c r="G1180" i="15"/>
  <c r="E1415" i="15"/>
  <c r="F417" i="29" s="1"/>
  <c r="G417" i="29" s="1"/>
  <c r="E1345" i="15"/>
  <c r="F398" i="29" s="1"/>
  <c r="G398" i="29" s="1"/>
  <c r="E1210" i="15"/>
  <c r="F363" i="29" s="1"/>
  <c r="G363" i="29" s="1"/>
  <c r="U887" i="15"/>
  <c r="U888" i="15" s="1"/>
  <c r="S997" i="15"/>
  <c r="S998" i="15" s="1"/>
  <c r="W1002" i="15"/>
  <c r="W1003" i="15" s="1"/>
  <c r="U1012" i="15"/>
  <c r="U1013" i="15" s="1"/>
  <c r="G1010" i="15" s="1"/>
  <c r="U1297" i="15"/>
  <c r="U1298" i="15" s="1"/>
  <c r="G1295" i="15" s="1"/>
  <c r="U1312" i="15"/>
  <c r="U1313" i="15" s="1"/>
  <c r="U1332" i="15"/>
  <c r="U1333" i="15" s="1"/>
  <c r="U1302" i="15"/>
  <c r="U1303" i="15" s="1"/>
  <c r="G1300" i="15" s="1"/>
  <c r="U1317" i="15"/>
  <c r="U1318" i="15" s="1"/>
  <c r="V777" i="15"/>
  <c r="V778" i="15" s="1"/>
  <c r="E775" i="15" s="1"/>
  <c r="F232" i="29" s="1"/>
  <c r="G232" i="29" s="1"/>
  <c r="V772" i="15"/>
  <c r="V773" i="15" s="1"/>
  <c r="Q872" i="15"/>
  <c r="Q873" i="15" s="1"/>
  <c r="G870" i="15" s="1"/>
  <c r="Q882" i="15"/>
  <c r="Q883" i="15" s="1"/>
  <c r="G880" i="15" s="1"/>
  <c r="Z857" i="15"/>
  <c r="Z858" i="15" s="1"/>
  <c r="U862" i="15"/>
  <c r="U863" i="15" s="1"/>
  <c r="E860" i="15" s="1"/>
  <c r="F256" i="29" s="1"/>
  <c r="G256" i="29" s="1"/>
  <c r="T867" i="15"/>
  <c r="T868" i="15" s="1"/>
  <c r="E865" i="15" s="1"/>
  <c r="F257" i="29" s="1"/>
  <c r="G257" i="29" s="1"/>
  <c r="Q877" i="15"/>
  <c r="Q878" i="15" s="1"/>
  <c r="G875" i="15" s="1"/>
  <c r="G1445" i="15"/>
  <c r="T1082" i="15"/>
  <c r="T1083" i="15" s="1"/>
  <c r="H1080" i="15" s="1"/>
  <c r="S1032" i="15"/>
  <c r="S1033" i="15" s="1"/>
  <c r="S1127" i="15"/>
  <c r="S1128" i="15" s="1"/>
  <c r="G1125" i="15" s="1"/>
  <c r="T1062" i="15"/>
  <c r="T1063" i="15" s="1"/>
  <c r="E1060" i="15" s="1"/>
  <c r="F320" i="29" s="1"/>
  <c r="G320" i="29" s="1"/>
  <c r="E850" i="15"/>
  <c r="F254" i="29" s="1"/>
  <c r="G254" i="29" s="1"/>
  <c r="E870" i="15"/>
  <c r="F259" i="29" s="1"/>
  <c r="G259" i="29" s="1"/>
  <c r="E1005" i="15"/>
  <c r="F297" i="29" s="1"/>
  <c r="G297" i="29" s="1"/>
  <c r="E1200" i="15"/>
  <c r="F360" i="29" s="1"/>
  <c r="G360" i="29" s="1"/>
  <c r="E1465" i="15"/>
  <c r="F439" i="29" s="1"/>
  <c r="G439" i="29" s="1"/>
  <c r="S947" i="15"/>
  <c r="S948" i="15" s="1"/>
  <c r="E945" i="15" s="1"/>
  <c r="Y887" i="15"/>
  <c r="Y888" i="15" s="1"/>
  <c r="S1072" i="15"/>
  <c r="S1073" i="15" s="1"/>
  <c r="G1070" i="15" s="1"/>
  <c r="S1177" i="15"/>
  <c r="S1178" i="15" s="1"/>
  <c r="G1175" i="15" s="1"/>
  <c r="S1017" i="15"/>
  <c r="S1018" i="15" s="1"/>
  <c r="G1015" i="15" s="1"/>
  <c r="T1267" i="15"/>
  <c r="T1268" i="15" s="1"/>
  <c r="E1265" i="15" s="1"/>
  <c r="F377" i="29" s="1"/>
  <c r="G377" i="29" s="1"/>
  <c r="S1272" i="15"/>
  <c r="S1273" i="15" s="1"/>
  <c r="G1270" i="15" s="1"/>
  <c r="S1227" i="15"/>
  <c r="S1228" i="15" s="1"/>
  <c r="E1225" i="15" s="1"/>
  <c r="S1222" i="15"/>
  <c r="S1223" i="15" s="1"/>
  <c r="E1220" i="15" s="1"/>
  <c r="F366" i="29" s="1"/>
  <c r="G366" i="29" s="1"/>
  <c r="T1427" i="15"/>
  <c r="T1428" i="15" s="1"/>
  <c r="E1425" i="15" s="1"/>
  <c r="F421" i="29" s="1"/>
  <c r="G421" i="29" s="1"/>
  <c r="R1432" i="15"/>
  <c r="R1433" i="15" s="1"/>
  <c r="G1430" i="15" s="1"/>
  <c r="E1445" i="15"/>
  <c r="F429" i="29" s="1"/>
  <c r="G429" i="29" s="1"/>
  <c r="F1080" i="15"/>
  <c r="F373" i="29"/>
  <c r="G373" i="29" s="1"/>
  <c r="F465" i="29"/>
  <c r="G465" i="29" s="1"/>
  <c r="G464" i="29" s="1"/>
  <c r="F459" i="29"/>
  <c r="G459" i="29" s="1"/>
  <c r="F462" i="29"/>
  <c r="G462" i="29" s="1"/>
  <c r="F375" i="29"/>
  <c r="G375" i="29" s="1"/>
  <c r="F463" i="29"/>
  <c r="G463" i="29" s="1"/>
  <c r="F460" i="29"/>
  <c r="G460" i="29" s="1"/>
  <c r="F372" i="29"/>
  <c r="G372" i="29" s="1"/>
  <c r="G370" i="29" s="1"/>
  <c r="F405" i="29"/>
  <c r="G405" i="29" s="1"/>
  <c r="G403" i="29" s="1"/>
  <c r="F288" i="29"/>
  <c r="G288" i="29" s="1"/>
  <c r="F302" i="29"/>
  <c r="G302" i="29" s="1"/>
  <c r="F283" i="29"/>
  <c r="G283" i="29" s="1"/>
  <c r="F301" i="29"/>
  <c r="G301" i="29" s="1"/>
  <c r="G215" i="29" l="1"/>
  <c r="G214" i="29"/>
  <c r="G461" i="29"/>
  <c r="G397" i="29"/>
  <c r="G458" i="29"/>
  <c r="G457" i="29"/>
  <c r="G45" i="29"/>
  <c r="G469" i="29"/>
  <c r="G470" i="29"/>
  <c r="G358" i="29"/>
  <c r="G263" i="29"/>
  <c r="G348" i="29"/>
  <c r="G347" i="29"/>
  <c r="G91" i="29"/>
  <c r="G438" i="29"/>
  <c r="G361" i="29"/>
  <c r="G62" i="29"/>
  <c r="G420" i="29"/>
  <c r="G296" i="29"/>
  <c r="G84" i="29"/>
  <c r="F282" i="29"/>
  <c r="G282" i="29" s="1"/>
  <c r="F300" i="29"/>
  <c r="G300" i="29" s="1"/>
  <c r="G299" i="29" s="1"/>
  <c r="E955" i="15"/>
  <c r="F284" i="29" s="1"/>
  <c r="G284" i="29" s="1"/>
  <c r="E1455" i="15"/>
  <c r="F431" i="29" s="1"/>
  <c r="G431" i="29" s="1"/>
  <c r="G890" i="15"/>
  <c r="G1235" i="15"/>
  <c r="E1335" i="15"/>
  <c r="F395" i="29" s="1"/>
  <c r="G395" i="29" s="1"/>
  <c r="E1105" i="15"/>
  <c r="F330" i="29" s="1"/>
  <c r="G330" i="29" s="1"/>
  <c r="G1000" i="15"/>
  <c r="E1230" i="15"/>
  <c r="E1430" i="15"/>
  <c r="F423" i="29" s="1"/>
  <c r="G423" i="29" s="1"/>
  <c r="G422" i="29" s="1"/>
  <c r="E1330" i="15"/>
  <c r="F394" i="29" s="1"/>
  <c r="G394" i="29" s="1"/>
  <c r="E1480" i="15"/>
  <c r="F445" i="29" s="1"/>
  <c r="G445" i="29" s="1"/>
  <c r="G444" i="29" s="1"/>
  <c r="E1470" i="15"/>
  <c r="F441" i="29" s="1"/>
  <c r="G441" i="29" s="1"/>
  <c r="G440" i="29" s="1"/>
  <c r="E1355" i="15"/>
  <c r="F400" i="29" s="1"/>
  <c r="G400" i="29" s="1"/>
  <c r="E855" i="15"/>
  <c r="F255" i="29" s="1"/>
  <c r="G255" i="29" s="1"/>
  <c r="E1450" i="15"/>
  <c r="F430" i="29" s="1"/>
  <c r="G430" i="29" s="1"/>
  <c r="G428" i="29" s="1"/>
  <c r="G940" i="15"/>
  <c r="E1100" i="15"/>
  <c r="F329" i="29" s="1"/>
  <c r="G329" i="29" s="1"/>
  <c r="E1300" i="15"/>
  <c r="F388" i="29" s="1"/>
  <c r="G388" i="29" s="1"/>
  <c r="E630" i="15"/>
  <c r="F188" i="29" s="1"/>
  <c r="G188" i="29" s="1"/>
  <c r="E1360" i="15"/>
  <c r="G905" i="15"/>
  <c r="E1485" i="15"/>
  <c r="F446" i="29" s="1"/>
  <c r="G446" i="29" s="1"/>
  <c r="E1305" i="15"/>
  <c r="F389" i="29" s="1"/>
  <c r="G389" i="29" s="1"/>
  <c r="F456" i="29"/>
  <c r="G456" i="29" s="1"/>
  <c r="F367" i="29"/>
  <c r="G367" i="29" s="1"/>
  <c r="G357" i="29" s="1"/>
  <c r="F433" i="29"/>
  <c r="G433" i="29" s="1"/>
  <c r="F402" i="29"/>
  <c r="G402" i="29" s="1"/>
  <c r="G401" i="29" s="1"/>
  <c r="F455" i="29"/>
  <c r="G455" i="29" s="1"/>
  <c r="F434" i="29"/>
  <c r="G434" i="29" s="1"/>
  <c r="F449" i="29"/>
  <c r="G449" i="29" s="1"/>
  <c r="F452" i="29"/>
  <c r="G452" i="29" s="1"/>
  <c r="F368" i="29"/>
  <c r="G368" i="29" s="1"/>
  <c r="F453" i="29"/>
  <c r="G453" i="29" s="1"/>
  <c r="E1000" i="15"/>
  <c r="F295" i="29" s="1"/>
  <c r="G295" i="29" s="1"/>
  <c r="H1030" i="15"/>
  <c r="E1030" i="15"/>
  <c r="F310" i="29" s="1"/>
  <c r="G310" i="29" s="1"/>
  <c r="G1055" i="15"/>
  <c r="G1455" i="15"/>
  <c r="G945" i="15"/>
  <c r="G1265" i="15"/>
  <c r="E1320" i="15"/>
  <c r="F392" i="29" s="1"/>
  <c r="G392" i="29" s="1"/>
  <c r="G1310" i="15"/>
  <c r="E1270" i="15"/>
  <c r="F378" i="29" s="1"/>
  <c r="G378" i="29" s="1"/>
  <c r="G376" i="29" s="1"/>
  <c r="E1125" i="15"/>
  <c r="F334" i="29" s="1"/>
  <c r="G334" i="29" s="1"/>
  <c r="E880" i="15"/>
  <c r="F261" i="29" s="1"/>
  <c r="G261" i="29" s="1"/>
  <c r="E625" i="15"/>
  <c r="F187" i="29" s="1"/>
  <c r="G187" i="29" s="1"/>
  <c r="G1060" i="15"/>
  <c r="G1460" i="15"/>
  <c r="G1475" i="15"/>
  <c r="G910" i="15"/>
  <c r="E1050" i="15"/>
  <c r="F317" i="29" s="1"/>
  <c r="G317" i="29" s="1"/>
  <c r="E910" i="15"/>
  <c r="F270" i="29" s="1"/>
  <c r="G270" i="29" s="1"/>
  <c r="E1055" i="15"/>
  <c r="F318" i="29" s="1"/>
  <c r="G318" i="29" s="1"/>
  <c r="G995" i="15"/>
  <c r="E890" i="15"/>
  <c r="F265" i="29" s="1"/>
  <c r="G265" i="29" s="1"/>
  <c r="G855" i="15"/>
  <c r="E1175" i="15"/>
  <c r="F351" i="29" s="1"/>
  <c r="G351" i="29" s="1"/>
  <c r="G350" i="29" s="1"/>
  <c r="E1310" i="15"/>
  <c r="F390" i="29" s="1"/>
  <c r="G390" i="29" s="1"/>
  <c r="G885" i="15"/>
  <c r="G1225" i="15"/>
  <c r="G1470" i="15"/>
  <c r="G1350" i="15"/>
  <c r="G1425" i="15"/>
  <c r="E780" i="15"/>
  <c r="F233" i="29" s="1"/>
  <c r="G233" i="29" s="1"/>
  <c r="G229" i="29" s="1"/>
  <c r="E1400" i="15"/>
  <c r="F414" i="29" s="1"/>
  <c r="G414" i="29" s="1"/>
  <c r="G413" i="29" s="1"/>
  <c r="E595" i="15"/>
  <c r="F178" i="29" s="1"/>
  <c r="G178" i="29" s="1"/>
  <c r="G630" i="15"/>
  <c r="E1035" i="15"/>
  <c r="F311" i="29" s="1"/>
  <c r="G311" i="29" s="1"/>
  <c r="G1170" i="15"/>
  <c r="G1220" i="15"/>
  <c r="G1360" i="15"/>
  <c r="G1450" i="15"/>
  <c r="G900" i="15"/>
  <c r="E1340" i="15"/>
  <c r="F396" i="29" s="1"/>
  <c r="G396" i="29" s="1"/>
  <c r="E635" i="15"/>
  <c r="F189" i="29" s="1"/>
  <c r="G189" i="29" s="1"/>
  <c r="E905" i="15"/>
  <c r="F269" i="29" s="1"/>
  <c r="G269" i="29" s="1"/>
  <c r="E700" i="15"/>
  <c r="F211" i="29" s="1"/>
  <c r="G211" i="29" s="1"/>
  <c r="G209" i="29" s="1"/>
  <c r="G700" i="15"/>
  <c r="G1230" i="15"/>
  <c r="G1465" i="15"/>
  <c r="E1295" i="15"/>
  <c r="F387" i="29" s="1"/>
  <c r="G387" i="29" s="1"/>
  <c r="E1235" i="15"/>
  <c r="F369" i="29" s="1"/>
  <c r="G369" i="29" s="1"/>
  <c r="E1090" i="15"/>
  <c r="F327" i="29" s="1"/>
  <c r="G327" i="29" s="1"/>
  <c r="E1325" i="15"/>
  <c r="F393" i="29" s="1"/>
  <c r="G393" i="29" s="1"/>
  <c r="G1330" i="15"/>
  <c r="G775" i="15"/>
  <c r="E1110" i="15"/>
  <c r="F331" i="29" s="1"/>
  <c r="G331" i="29" s="1"/>
  <c r="E1155" i="15"/>
  <c r="F342" i="29" s="1"/>
  <c r="G342" i="29" s="1"/>
  <c r="G341" i="29" s="1"/>
  <c r="E1315" i="15"/>
  <c r="F391" i="29" s="1"/>
  <c r="G391" i="29" s="1"/>
  <c r="G1485" i="15"/>
  <c r="E710" i="15"/>
  <c r="F213" i="29" s="1"/>
  <c r="G213" i="29" s="1"/>
  <c r="G865" i="15"/>
  <c r="G895" i="15"/>
  <c r="E845" i="15"/>
  <c r="F253" i="29" s="1"/>
  <c r="G253" i="29" s="1"/>
  <c r="E1015" i="15"/>
  <c r="F305" i="29" s="1"/>
  <c r="G305" i="29" s="1"/>
  <c r="E840" i="15"/>
  <c r="F252" i="29" s="1"/>
  <c r="G252" i="29" s="1"/>
  <c r="E1070" i="15"/>
  <c r="F322" i="29" s="1"/>
  <c r="G322" i="29" s="1"/>
  <c r="E1080" i="15"/>
  <c r="F325" i="29" s="1"/>
  <c r="G325" i="29" s="1"/>
  <c r="G770" i="15"/>
  <c r="E875" i="15"/>
  <c r="F260" i="29" s="1"/>
  <c r="G260" i="29" s="1"/>
  <c r="G258" i="29" s="1"/>
  <c r="G1480" i="15"/>
  <c r="E550" i="15"/>
  <c r="F164" i="29" s="1"/>
  <c r="G164" i="29" s="1"/>
  <c r="G144" i="29" s="1"/>
  <c r="E1010" i="15"/>
  <c r="F298" i="29" s="1"/>
  <c r="G298" i="29" s="1"/>
  <c r="G1355" i="15"/>
  <c r="G860" i="15"/>
  <c r="G915" i="15"/>
  <c r="E1490" i="15"/>
  <c r="F450" i="29" s="1"/>
  <c r="G450" i="29" s="1"/>
  <c r="E915" i="15"/>
  <c r="F271" i="29" s="1"/>
  <c r="G271" i="29" s="1"/>
  <c r="G262" i="29" s="1"/>
  <c r="E995" i="15"/>
  <c r="F294" i="29" s="1"/>
  <c r="G294" i="29" s="1"/>
  <c r="E1475" i="15"/>
  <c r="F443" i="29" s="1"/>
  <c r="G443" i="29" s="1"/>
  <c r="G442" i="29" s="1"/>
  <c r="E1065" i="15"/>
  <c r="F321" i="29" s="1"/>
  <c r="G321" i="29" s="1"/>
  <c r="G319" i="29" s="1"/>
  <c r="Q91" i="1"/>
  <c r="Q81" i="1"/>
  <c r="Q131" i="1"/>
  <c r="Q126" i="1"/>
  <c r="Q121" i="1"/>
  <c r="Q35" i="1"/>
  <c r="Q30" i="1"/>
  <c r="Q25" i="1"/>
  <c r="Q75" i="1"/>
  <c r="Q70" i="1"/>
  <c r="Q65" i="1"/>
  <c r="Q115" i="1"/>
  <c r="Q110" i="1"/>
  <c r="Q105" i="1"/>
  <c r="Q19" i="1"/>
  <c r="Q150" i="1"/>
  <c r="Q145" i="1"/>
  <c r="Q59" i="1"/>
  <c r="Q54" i="1"/>
  <c r="Q49" i="1"/>
  <c r="Q99" i="1"/>
  <c r="Q94" i="1"/>
  <c r="Q89" i="1"/>
  <c r="Q139" i="1"/>
  <c r="Q134" i="1"/>
  <c r="Q129" i="1"/>
  <c r="Q43" i="1"/>
  <c r="Q38" i="1"/>
  <c r="Q165" i="1"/>
  <c r="Q83" i="1"/>
  <c r="Q78" i="1"/>
  <c r="Q73" i="1"/>
  <c r="Q159" i="1"/>
  <c r="Q123" i="1"/>
  <c r="Q118" i="1"/>
  <c r="Q113" i="1"/>
  <c r="Q27" i="1"/>
  <c r="Q22" i="1"/>
  <c r="Q153" i="1"/>
  <c r="Q67" i="1"/>
  <c r="Q62" i="1"/>
  <c r="Q57" i="1"/>
  <c r="Q107" i="1"/>
  <c r="Q102" i="1"/>
  <c r="Q97" i="1"/>
  <c r="Q147" i="1"/>
  <c r="Q142" i="1"/>
  <c r="Q137" i="1"/>
  <c r="Q46" i="1"/>
  <c r="Q41" i="1"/>
  <c r="Q21" i="1"/>
  <c r="Q181" i="1"/>
  <c r="Q253" i="1"/>
  <c r="Q325" i="1"/>
  <c r="Q397" i="1"/>
  <c r="Q469" i="1"/>
  <c r="Q52" i="1"/>
  <c r="Q206" i="1"/>
  <c r="Q278" i="1"/>
  <c r="Q350" i="1"/>
  <c r="Q422" i="1"/>
  <c r="Q88" i="1"/>
  <c r="Q154" i="1"/>
  <c r="Q237" i="1"/>
  <c r="Q309" i="1"/>
  <c r="Q381" i="1"/>
  <c r="Q453" i="1"/>
  <c r="Q119" i="1"/>
  <c r="Q184" i="1"/>
  <c r="Q256" i="1"/>
  <c r="Q328" i="1"/>
  <c r="Q400" i="1"/>
  <c r="Q472" i="1"/>
  <c r="Q135" i="1"/>
  <c r="Q185" i="1"/>
  <c r="Q257" i="1"/>
  <c r="Q329" i="1"/>
  <c r="Q401" i="1"/>
  <c r="Q473" i="1"/>
  <c r="Q151" i="1"/>
  <c r="Q186" i="1"/>
  <c r="Q258" i="1"/>
  <c r="Q330" i="1"/>
  <c r="Q402" i="1"/>
  <c r="Q474" i="1"/>
  <c r="Q26" i="1"/>
  <c r="Q187" i="1"/>
  <c r="Q259" i="1"/>
  <c r="Q331" i="1"/>
  <c r="Q403" i="1"/>
  <c r="Q475" i="1"/>
  <c r="Q128" i="1"/>
  <c r="Q212" i="1"/>
  <c r="Q284" i="1"/>
  <c r="Q356" i="1"/>
  <c r="Q428" i="1"/>
  <c r="Q93" i="1"/>
  <c r="Q171" i="1"/>
  <c r="Q243" i="1"/>
  <c r="Q315" i="1"/>
  <c r="Q387" i="1"/>
  <c r="Q459" i="1"/>
  <c r="Q124" i="1"/>
  <c r="Q190" i="1"/>
  <c r="Q262" i="1"/>
  <c r="Q334" i="1"/>
  <c r="Q406" i="1"/>
  <c r="Q478" i="1"/>
  <c r="Q140" i="1"/>
  <c r="Q191" i="1"/>
  <c r="Q263" i="1"/>
  <c r="Q335" i="1"/>
  <c r="Q407" i="1"/>
  <c r="Q479" i="1"/>
  <c r="Q162" i="1"/>
  <c r="Q192" i="1"/>
  <c r="Q264" i="1"/>
  <c r="Q336" i="1"/>
  <c r="Q408" i="1"/>
  <c r="Q480" i="1"/>
  <c r="Q31" i="1"/>
  <c r="Q193" i="1"/>
  <c r="Q265" i="1"/>
  <c r="Q337" i="1"/>
  <c r="Q409" i="1"/>
  <c r="Q481" i="1"/>
  <c r="Q133" i="1"/>
  <c r="Q218" i="1"/>
  <c r="Q290" i="1"/>
  <c r="Q362" i="1"/>
  <c r="Q434" i="1"/>
  <c r="Q98" i="1"/>
  <c r="Q177" i="1"/>
  <c r="Q249" i="1"/>
  <c r="Q321" i="1"/>
  <c r="Q393" i="1"/>
  <c r="Q465" i="1"/>
  <c r="Q160" i="1"/>
  <c r="Q196" i="1"/>
  <c r="Q268" i="1"/>
  <c r="Q340" i="1"/>
  <c r="Q412" i="1"/>
  <c r="Q484" i="1"/>
  <c r="Q161" i="1"/>
  <c r="Q197" i="1"/>
  <c r="Q269" i="1"/>
  <c r="Q341" i="1"/>
  <c r="Q413" i="1"/>
  <c r="Q485" i="1"/>
  <c r="Q20" i="1"/>
  <c r="Q198" i="1"/>
  <c r="Q270" i="1"/>
  <c r="Q342" i="1"/>
  <c r="Q414" i="1"/>
  <c r="Q486" i="1"/>
  <c r="Q36" i="1"/>
  <c r="Q199" i="1"/>
  <c r="Q271" i="1"/>
  <c r="Q343" i="1"/>
  <c r="Q415" i="1"/>
  <c r="Q487" i="1"/>
  <c r="Q138" i="1"/>
  <c r="Q224" i="1"/>
  <c r="Q296" i="1"/>
  <c r="Q368" i="1"/>
  <c r="Q440" i="1"/>
  <c r="Q103" i="1"/>
  <c r="Q183" i="1"/>
  <c r="Q255" i="1"/>
  <c r="Q327" i="1"/>
  <c r="Q399" i="1"/>
  <c r="Q471" i="1"/>
  <c r="Q64" i="1"/>
  <c r="Q202" i="1"/>
  <c r="Q274" i="1"/>
  <c r="Q346" i="1"/>
  <c r="Q418" i="1"/>
  <c r="Q490" i="1"/>
  <c r="Q80" i="1"/>
  <c r="Q203" i="1"/>
  <c r="Q275" i="1"/>
  <c r="Q347" i="1"/>
  <c r="Q419" i="1"/>
  <c r="Q491" i="1"/>
  <c r="Q96" i="1"/>
  <c r="Q204" i="1"/>
  <c r="Q276" i="1"/>
  <c r="Q348" i="1"/>
  <c r="Q420" i="1"/>
  <c r="Q492" i="1"/>
  <c r="Q112" i="1"/>
  <c r="Q205" i="1"/>
  <c r="Q277" i="1"/>
  <c r="Q349" i="1"/>
  <c r="Q421" i="1"/>
  <c r="Q72" i="1"/>
  <c r="Q143" i="1"/>
  <c r="Q230" i="1"/>
  <c r="Q302" i="1"/>
  <c r="Q374" i="1"/>
  <c r="Q446" i="1"/>
  <c r="Q108" i="1"/>
  <c r="Q189" i="1"/>
  <c r="Q261" i="1"/>
  <c r="Q333" i="1"/>
  <c r="Q405" i="1"/>
  <c r="Q477" i="1"/>
  <c r="Q69" i="1"/>
  <c r="Q208" i="1"/>
  <c r="Q280" i="1"/>
  <c r="Q352" i="1"/>
  <c r="Q424" i="1"/>
  <c r="Q24" i="1"/>
  <c r="Q85" i="1"/>
  <c r="Q209" i="1"/>
  <c r="Q281" i="1"/>
  <c r="Q353" i="1"/>
  <c r="Q425" i="1"/>
  <c r="Q40" i="1"/>
  <c r="Q101" i="1"/>
  <c r="Q210" i="1"/>
  <c r="Q282" i="1"/>
  <c r="Q354" i="1"/>
  <c r="Q426" i="1"/>
  <c r="Q56" i="1"/>
  <c r="Q117" i="1"/>
  <c r="Q211" i="1"/>
  <c r="Q283" i="1"/>
  <c r="Q355" i="1"/>
  <c r="Q427" i="1"/>
  <c r="Q77" i="1"/>
  <c r="Q148" i="1"/>
  <c r="Q236" i="1"/>
  <c r="Q308" i="1"/>
  <c r="Q380" i="1"/>
  <c r="Q452" i="1"/>
  <c r="Q48" i="1"/>
  <c r="Q195" i="1"/>
  <c r="Q267" i="1"/>
  <c r="Q339" i="1"/>
  <c r="Q411" i="1"/>
  <c r="Q483" i="1"/>
  <c r="Q74" i="1"/>
  <c r="Q214" i="1"/>
  <c r="Q286" i="1"/>
  <c r="Q358" i="1"/>
  <c r="Q430" i="1"/>
  <c r="Q29" i="1"/>
  <c r="Q90" i="1"/>
  <c r="Q215" i="1"/>
  <c r="Q287" i="1"/>
  <c r="Q359" i="1"/>
  <c r="Q431" i="1"/>
  <c r="Q45" i="1"/>
  <c r="Q106" i="1"/>
  <c r="Q216" i="1"/>
  <c r="Q288" i="1"/>
  <c r="Q360" i="1"/>
  <c r="Q432" i="1"/>
  <c r="Q61" i="1"/>
  <c r="Q122" i="1"/>
  <c r="Q217" i="1"/>
  <c r="Q289" i="1"/>
  <c r="Q361" i="1"/>
  <c r="Q433" i="1"/>
  <c r="Q82" i="1"/>
  <c r="Q170" i="1"/>
  <c r="Q242" i="1"/>
  <c r="Q314" i="1"/>
  <c r="Q386" i="1"/>
  <c r="Q458" i="1"/>
  <c r="Q53" i="1"/>
  <c r="Q201" i="1"/>
  <c r="Q273" i="1"/>
  <c r="Q345" i="1"/>
  <c r="Q417" i="1"/>
  <c r="Q489" i="1"/>
  <c r="Q79" i="1"/>
  <c r="Q220" i="1"/>
  <c r="Q292" i="1"/>
  <c r="Q364" i="1"/>
  <c r="Q436" i="1"/>
  <c r="Q34" i="1"/>
  <c r="Q95" i="1"/>
  <c r="Q221" i="1"/>
  <c r="Q293" i="1"/>
  <c r="Q365" i="1"/>
  <c r="Q437" i="1"/>
  <c r="Q50" i="1"/>
  <c r="Q111" i="1"/>
  <c r="Q222" i="1"/>
  <c r="Q294" i="1"/>
  <c r="Q366" i="1"/>
  <c r="Q438" i="1"/>
  <c r="Q66" i="1"/>
  <c r="Q127" i="1"/>
  <c r="Q223" i="1"/>
  <c r="Q295" i="1"/>
  <c r="Q367" i="1"/>
  <c r="Q439" i="1"/>
  <c r="Q92" i="1"/>
  <c r="Q176" i="1"/>
  <c r="Q248" i="1"/>
  <c r="Q320" i="1"/>
  <c r="Q392" i="1"/>
  <c r="Q464" i="1"/>
  <c r="Q58" i="1"/>
  <c r="Q207" i="1"/>
  <c r="Q279" i="1"/>
  <c r="Q351" i="1"/>
  <c r="Q423" i="1"/>
  <c r="Q23" i="1"/>
  <c r="Q84" i="1"/>
  <c r="Q226" i="1"/>
  <c r="Q298" i="1"/>
  <c r="Q370" i="1"/>
  <c r="Q442" i="1"/>
  <c r="Q39" i="1"/>
  <c r="Q100" i="1"/>
  <c r="Q227" i="1"/>
  <c r="Q299" i="1"/>
  <c r="Q371" i="1"/>
  <c r="Q443" i="1"/>
  <c r="Q55" i="1"/>
  <c r="Q116" i="1"/>
  <c r="Q228" i="1"/>
  <c r="Q300" i="1"/>
  <c r="Q372" i="1"/>
  <c r="Q444" i="1"/>
  <c r="Q71" i="1"/>
  <c r="Q132" i="1"/>
  <c r="Q229" i="1"/>
  <c r="Q301" i="1"/>
  <c r="Q373" i="1"/>
  <c r="Q445" i="1"/>
  <c r="Q164" i="1"/>
  <c r="Q182" i="1"/>
  <c r="Q254" i="1"/>
  <c r="Q326" i="1"/>
  <c r="Q398" i="1"/>
  <c r="Q470" i="1"/>
  <c r="Q63" i="1"/>
  <c r="Q213" i="1"/>
  <c r="Q285" i="1"/>
  <c r="Q357" i="1"/>
  <c r="Q429" i="1"/>
  <c r="Q28" i="1"/>
  <c r="Q155" i="1"/>
  <c r="Q232" i="1"/>
  <c r="Q304" i="1"/>
  <c r="Q376" i="1"/>
  <c r="Q448" i="1"/>
  <c r="Q44" i="1"/>
  <c r="Q156" i="1"/>
  <c r="Q233" i="1"/>
  <c r="Q305" i="1"/>
  <c r="Q377" i="1"/>
  <c r="Q449" i="1"/>
  <c r="Q60" i="1"/>
  <c r="Q157" i="1"/>
  <c r="Q234" i="1"/>
  <c r="Q306" i="1"/>
  <c r="Q378" i="1"/>
  <c r="Q450" i="1"/>
  <c r="Q76" i="1"/>
  <c r="Q158" i="1"/>
  <c r="Q235" i="1"/>
  <c r="Q307" i="1"/>
  <c r="Q379" i="1"/>
  <c r="Q451" i="1"/>
  <c r="Q37" i="1"/>
  <c r="Q188" i="1"/>
  <c r="Q260" i="1"/>
  <c r="Q332" i="1"/>
  <c r="Q404" i="1"/>
  <c r="Q476" i="1"/>
  <c r="Q68" i="1"/>
  <c r="Q219" i="1"/>
  <c r="Q291" i="1"/>
  <c r="Q363" i="1"/>
  <c r="Q435" i="1"/>
  <c r="Q104" i="1"/>
  <c r="Q166" i="1"/>
  <c r="Q238" i="1"/>
  <c r="Q310" i="1"/>
  <c r="Q382" i="1"/>
  <c r="Q454" i="1"/>
  <c r="Q120" i="1"/>
  <c r="Q167" i="1"/>
  <c r="Q239" i="1"/>
  <c r="Q311" i="1"/>
  <c r="Q383" i="1"/>
  <c r="Q455" i="1"/>
  <c r="Q136" i="1"/>
  <c r="Q168" i="1"/>
  <c r="Q240" i="1"/>
  <c r="Q312" i="1"/>
  <c r="Q384" i="1"/>
  <c r="Q456" i="1"/>
  <c r="Q152" i="1"/>
  <c r="Q169" i="1"/>
  <c r="Q241" i="1"/>
  <c r="Q313" i="1"/>
  <c r="Q385" i="1"/>
  <c r="Q457" i="1"/>
  <c r="Q42" i="1"/>
  <c r="Q194" i="1"/>
  <c r="Q266" i="1"/>
  <c r="Q338" i="1"/>
  <c r="Q410" i="1"/>
  <c r="Q482" i="1"/>
  <c r="Q144" i="1"/>
  <c r="Q225" i="1"/>
  <c r="Q297" i="1"/>
  <c r="Q369" i="1"/>
  <c r="Q441" i="1"/>
  <c r="Q109" i="1"/>
  <c r="Q172" i="1"/>
  <c r="Q244" i="1"/>
  <c r="Q316" i="1"/>
  <c r="Q388" i="1"/>
  <c r="Q460" i="1"/>
  <c r="Q125" i="1"/>
  <c r="Q173" i="1"/>
  <c r="Q245" i="1"/>
  <c r="Q317" i="1"/>
  <c r="Q389" i="1"/>
  <c r="Q461" i="1"/>
  <c r="Q141" i="1"/>
  <c r="Q174" i="1"/>
  <c r="Q246" i="1"/>
  <c r="Q318" i="1"/>
  <c r="Q390" i="1"/>
  <c r="Q462" i="1"/>
  <c r="Q163" i="1"/>
  <c r="Q175" i="1"/>
  <c r="Q247" i="1"/>
  <c r="Q319" i="1"/>
  <c r="Q391" i="1"/>
  <c r="Q463" i="1"/>
  <c r="Q47" i="1"/>
  <c r="Q200" i="1"/>
  <c r="Q272" i="1"/>
  <c r="Q344" i="1"/>
  <c r="Q416" i="1"/>
  <c r="Q488" i="1"/>
  <c r="Q149" i="1"/>
  <c r="Q231" i="1"/>
  <c r="Q303" i="1"/>
  <c r="Q375" i="1"/>
  <c r="Q447" i="1"/>
  <c r="Q114" i="1"/>
  <c r="Q178" i="1"/>
  <c r="Q250" i="1"/>
  <c r="Q322" i="1"/>
  <c r="Q394" i="1"/>
  <c r="Q466" i="1"/>
  <c r="Q130" i="1"/>
  <c r="Q179" i="1"/>
  <c r="Q251" i="1"/>
  <c r="Q323" i="1"/>
  <c r="Q395" i="1"/>
  <c r="Q467" i="1"/>
  <c r="Q146" i="1"/>
  <c r="Q180" i="1"/>
  <c r="Q252" i="1"/>
  <c r="Q324" i="1"/>
  <c r="Q396" i="1"/>
  <c r="Q468" i="1"/>
  <c r="G384" i="29" l="1"/>
  <c r="G385" i="29"/>
  <c r="G266" i="29"/>
  <c r="G474" i="29"/>
  <c r="G451" i="29"/>
  <c r="G419" i="29"/>
  <c r="G454" i="29"/>
  <c r="G356" i="29"/>
  <c r="G365" i="29"/>
  <c r="G177" i="29"/>
  <c r="G174" i="29"/>
  <c r="G314" i="29"/>
  <c r="G315" i="29"/>
  <c r="G197" i="29"/>
  <c r="G323" i="29"/>
  <c r="G436" i="29"/>
  <c r="G230" i="29"/>
  <c r="G447" i="29"/>
  <c r="G448" i="29"/>
  <c r="G292" i="29"/>
  <c r="G293" i="29"/>
  <c r="G437" i="29"/>
  <c r="G308" i="29"/>
  <c r="G304" i="29"/>
  <c r="G303" i="29"/>
  <c r="G281" i="29"/>
  <c r="G250" i="29"/>
  <c r="G251" i="29"/>
  <c r="G249" i="29"/>
  <c r="G185" i="29"/>
  <c r="G184" i="29"/>
  <c r="G150" i="29"/>
  <c r="C6" i="29"/>
  <c r="C5" i="29"/>
  <c r="C4" i="29"/>
  <c r="C3" i="29"/>
  <c r="B1" i="29"/>
  <c r="D11" i="24" l="1"/>
  <c r="G476" i="29"/>
  <c r="G475" i="29"/>
  <c r="G477" i="29" s="1"/>
  <c r="C3" i="15"/>
  <c r="G478" i="29" l="1"/>
  <c r="G479" i="29" s="1"/>
  <c r="C1" i="15"/>
  <c r="G480" i="29" l="1"/>
  <c r="G481"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Luffi</author>
    <author>Walter Wilfredo Rios Espinoza</author>
    <author>WRE</author>
    <author>Toshiba-User</author>
  </authors>
  <commentList>
    <comment ref="A8" authorId="0" shapeId="0" xr:uid="{00000000-0006-0000-0100-000001000000}">
      <text>
        <r>
          <rPr>
            <sz val="9"/>
            <color indexed="81"/>
            <rFont val="Tahoma"/>
            <family val="2"/>
          </rPr>
          <t>SERVICIOS Y SP</t>
        </r>
      </text>
    </comment>
    <comment ref="B8" authorId="0" shapeId="0" xr:uid="{00000000-0006-0000-0100-000002000000}">
      <text>
        <r>
          <rPr>
            <b/>
            <sz val="9"/>
            <color indexed="81"/>
            <rFont val="Tahoma"/>
            <family val="2"/>
          </rPr>
          <t>MA de %MA</t>
        </r>
        <r>
          <rPr>
            <sz val="9"/>
            <color indexed="81"/>
            <rFont val="Tahoma"/>
            <family val="2"/>
          </rPr>
          <t xml:space="preserve">
</t>
        </r>
      </text>
    </comment>
    <comment ref="A9" authorId="0" shapeId="0" xr:uid="{00000000-0006-0000-0100-000003000000}">
      <text>
        <r>
          <rPr>
            <b/>
            <sz val="9"/>
            <color indexed="81"/>
            <rFont val="Tahoma"/>
            <family val="2"/>
          </rPr>
          <t>EQ2</t>
        </r>
        <r>
          <rPr>
            <sz val="9"/>
            <color indexed="81"/>
            <rFont val="Tahoma"/>
            <family val="2"/>
          </rPr>
          <t xml:space="preserve">
</t>
        </r>
      </text>
    </comment>
    <comment ref="B9" authorId="0" shapeId="0" xr:uid="{00000000-0006-0000-0100-000004000000}">
      <text>
        <r>
          <rPr>
            <b/>
            <sz val="9"/>
            <color indexed="81"/>
            <rFont val="Tahoma"/>
            <family val="2"/>
          </rPr>
          <t>MA de %MO</t>
        </r>
        <r>
          <rPr>
            <sz val="9"/>
            <color indexed="81"/>
            <rFont val="Tahoma"/>
            <family val="2"/>
          </rPr>
          <t xml:space="preserve">
</t>
        </r>
      </text>
    </comment>
    <comment ref="C9" authorId="0" shapeId="0" xr:uid="{00000000-0006-0000-0100-000005000000}">
      <text>
        <r>
          <rPr>
            <b/>
            <sz val="9"/>
            <color indexed="81"/>
            <rFont val="Tahoma"/>
            <family val="2"/>
          </rPr>
          <t>EQ de %EQ</t>
        </r>
      </text>
    </comment>
    <comment ref="A10" authorId="0" shapeId="0" xr:uid="{00000000-0006-0000-0100-000006000000}">
      <text>
        <r>
          <rPr>
            <b/>
            <sz val="9"/>
            <color indexed="81"/>
            <rFont val="Tahoma"/>
            <family val="2"/>
          </rPr>
          <t>EQ1</t>
        </r>
        <r>
          <rPr>
            <sz val="9"/>
            <color indexed="81"/>
            <rFont val="Tahoma"/>
            <family val="2"/>
          </rPr>
          <t xml:space="preserve">
</t>
        </r>
      </text>
    </comment>
    <comment ref="B10" authorId="0" shapeId="0" xr:uid="{00000000-0006-0000-0100-000007000000}">
      <text>
        <r>
          <rPr>
            <b/>
            <sz val="9"/>
            <color indexed="81"/>
            <rFont val="Tahoma"/>
            <family val="2"/>
          </rPr>
          <t>MO de %EQ</t>
        </r>
        <r>
          <rPr>
            <sz val="9"/>
            <color indexed="81"/>
            <rFont val="Tahoma"/>
            <family val="2"/>
          </rPr>
          <t xml:space="preserve">
</t>
        </r>
      </text>
    </comment>
    <comment ref="C10" authorId="0" shapeId="0" xr:uid="{00000000-0006-0000-0100-000008000000}">
      <text>
        <r>
          <rPr>
            <b/>
            <sz val="9"/>
            <color indexed="81"/>
            <rFont val="Tahoma"/>
            <family val="2"/>
          </rPr>
          <t>EQ %MA</t>
        </r>
      </text>
    </comment>
    <comment ref="A11" authorId="0" shapeId="0" xr:uid="{00000000-0006-0000-0100-000009000000}">
      <text>
        <r>
          <rPr>
            <b/>
            <sz val="9"/>
            <color indexed="81"/>
            <rFont val="Tahoma"/>
            <family val="2"/>
          </rPr>
          <t>MA</t>
        </r>
        <r>
          <rPr>
            <sz val="9"/>
            <color indexed="81"/>
            <rFont val="Tahoma"/>
            <family val="2"/>
          </rPr>
          <t xml:space="preserve">
</t>
        </r>
      </text>
    </comment>
    <comment ref="B11" authorId="0" shapeId="0" xr:uid="{00000000-0006-0000-0100-00000A000000}">
      <text>
        <r>
          <rPr>
            <b/>
            <sz val="9"/>
            <color indexed="81"/>
            <rFont val="Tahoma"/>
            <family val="2"/>
          </rPr>
          <t>MO de %MA</t>
        </r>
        <r>
          <rPr>
            <sz val="9"/>
            <color indexed="81"/>
            <rFont val="Tahoma"/>
            <family val="2"/>
          </rPr>
          <t xml:space="preserve">
</t>
        </r>
      </text>
    </comment>
    <comment ref="C11" authorId="0" shapeId="0" xr:uid="{00000000-0006-0000-0100-00000B000000}">
      <text>
        <r>
          <rPr>
            <b/>
            <sz val="9"/>
            <color indexed="81"/>
            <rFont val="Tahoma"/>
            <family val="2"/>
          </rPr>
          <t>EQ de %MO</t>
        </r>
      </text>
    </comment>
    <comment ref="A12" authorId="0" shapeId="0" xr:uid="{00000000-0006-0000-0100-00000C000000}">
      <text>
        <r>
          <rPr>
            <b/>
            <sz val="9"/>
            <color indexed="81"/>
            <rFont val="Tahoma"/>
            <family val="2"/>
          </rPr>
          <t>MO</t>
        </r>
        <r>
          <rPr>
            <sz val="9"/>
            <color indexed="81"/>
            <rFont val="Tahoma"/>
            <family val="2"/>
          </rPr>
          <t xml:space="preserve">
</t>
        </r>
      </text>
    </comment>
    <comment ref="B12" authorId="0" shapeId="0" xr:uid="{00000000-0006-0000-0100-00000D000000}">
      <text>
        <r>
          <rPr>
            <b/>
            <sz val="9"/>
            <color indexed="81"/>
            <rFont val="Tahoma"/>
            <family val="2"/>
          </rPr>
          <t>MO de %MO</t>
        </r>
        <r>
          <rPr>
            <sz val="9"/>
            <color indexed="81"/>
            <rFont val="Tahoma"/>
            <family val="2"/>
          </rPr>
          <t xml:space="preserve">
</t>
        </r>
      </text>
    </comment>
    <comment ref="C12" authorId="0" shapeId="0" xr:uid="{00000000-0006-0000-0100-00000E000000}">
      <text>
        <r>
          <rPr>
            <b/>
            <sz val="9"/>
            <color indexed="81"/>
            <rFont val="Tahoma"/>
            <family val="2"/>
          </rPr>
          <t>MA de %EQ</t>
        </r>
        <r>
          <rPr>
            <sz val="9"/>
            <color indexed="81"/>
            <rFont val="Tahoma"/>
            <family val="2"/>
          </rPr>
          <t xml:space="preserve">
</t>
        </r>
      </text>
    </comment>
    <comment ref="G15" authorId="1" shapeId="0" xr:uid="{00000000-0006-0000-0100-00000F000000}">
      <text>
        <r>
          <rPr>
            <sz val="8"/>
            <color indexed="81"/>
            <rFont val="Tahoma"/>
            <family val="2"/>
          </rPr>
          <t>Peso unitario en Kg de la unidad de medida
Esta columna se usa para hallar el flete.
De aquellos insumos que no requieren flete, no se pone el peso, para que el programa no considere en el cálculo del flete</t>
        </r>
      </text>
    </comment>
    <comment ref="H15" authorId="1" shapeId="0" xr:uid="{00000000-0006-0000-0100-000010000000}">
      <text>
        <r>
          <rPr>
            <b/>
            <sz val="8"/>
            <color indexed="81"/>
            <rFont val="Tahoma"/>
            <family val="2"/>
          </rPr>
          <t>Esta columna es utilizada sólo para tuberías.
El programa requiere la longitud del tubo para determinar el número de tubos, para el cálculo del  volumen de carga con fines de determinar el flete</t>
        </r>
      </text>
    </comment>
    <comment ref="I15" authorId="2" shapeId="0" xr:uid="{00000000-0006-0000-0100-000011000000}">
      <text>
        <r>
          <rPr>
            <b/>
            <sz val="8"/>
            <color indexed="81"/>
            <rFont val="Tahoma"/>
            <family val="2"/>
          </rPr>
          <t>Esta columna se utiliza sólo para tuberías</t>
        </r>
      </text>
    </comment>
    <comment ref="J15" authorId="2" shapeId="0" xr:uid="{00000000-0006-0000-0100-000012000000}">
      <text>
        <r>
          <rPr>
            <b/>
            <sz val="8"/>
            <color indexed="81"/>
            <rFont val="Tahoma"/>
            <family val="2"/>
          </rPr>
          <t>Esta columna se utiliza sólo para tuberías</t>
        </r>
      </text>
    </comment>
    <comment ref="N15" authorId="3" shapeId="0" xr:uid="{00000000-0006-0000-0100-000013000000}">
      <text>
        <r>
          <rPr>
            <b/>
            <sz val="9"/>
            <color indexed="81"/>
            <rFont val="Tahoma"/>
            <family val="2"/>
          </rPr>
          <t>Los precios de los insumos se ingresa y edita en esta columna</t>
        </r>
      </text>
    </comment>
  </commentList>
</comments>
</file>

<file path=xl/sharedStrings.xml><?xml version="1.0" encoding="utf-8"?>
<sst xmlns="http://schemas.openxmlformats.org/spreadsheetml/2006/main" count="2994" uniqueCount="1562">
  <si>
    <t>Cod.</t>
  </si>
  <si>
    <t>Tipo</t>
  </si>
  <si>
    <t>Insumo</t>
  </si>
  <si>
    <t>Und</t>
  </si>
  <si>
    <t>Peso unitario (kg)</t>
  </si>
  <si>
    <t>Específica de Gastos</t>
  </si>
  <si>
    <t>MA</t>
  </si>
  <si>
    <t>UND</t>
  </si>
  <si>
    <t>MO</t>
  </si>
  <si>
    <t>MATERIALES</t>
  </si>
  <si>
    <t>P.U.</t>
  </si>
  <si>
    <t>P A R T I D A S</t>
  </si>
  <si>
    <t>METRADO</t>
  </si>
  <si>
    <t>PARCIAL</t>
  </si>
  <si>
    <t>INSUMOS</t>
  </si>
  <si>
    <t>IU</t>
  </si>
  <si>
    <t>Factor</t>
  </si>
  <si>
    <t>AGREGADOS</t>
  </si>
  <si>
    <t>TUBERIAS</t>
  </si>
  <si>
    <t>ORIGEN - DESTINO</t>
  </si>
  <si>
    <t>FLETE CON VEHICULO</t>
  </si>
  <si>
    <t>FLETE CON ACEMILA Y PEON</t>
  </si>
  <si>
    <t>DATOS NECESARIOS PARA EL CALCULO DE FLETES</t>
  </si>
  <si>
    <t>Prec. U.</t>
  </si>
  <si>
    <t/>
  </si>
  <si>
    <t>Denominación</t>
  </si>
  <si>
    <t>Cod</t>
  </si>
  <si>
    <t>EQ</t>
  </si>
  <si>
    <t>%MO</t>
  </si>
  <si>
    <t>HERRAMIENTAS MANUALES</t>
  </si>
  <si>
    <t>OPERARIO</t>
  </si>
  <si>
    <t>PEON</t>
  </si>
  <si>
    <t>OFICIAL</t>
  </si>
  <si>
    <t>KG</t>
  </si>
  <si>
    <t>M3</t>
  </si>
  <si>
    <t>CEMENTO PORTLAND TIPO I (42.5KG)</t>
  </si>
  <si>
    <t>SOLO TUBERIA</t>
  </si>
  <si>
    <t>Long. (m)</t>
  </si>
  <si>
    <t>Ø ext.    (mm)</t>
  </si>
  <si>
    <t>espesor (mm)</t>
  </si>
  <si>
    <t>p.u.Cemento</t>
  </si>
  <si>
    <t>L</t>
  </si>
  <si>
    <t>A</t>
  </si>
  <si>
    <t>H</t>
  </si>
  <si>
    <t>OPERADOR DE EQUIPO LIVIANO</t>
  </si>
  <si>
    <t xml:space="preserve">PRESUPUESTO GENERAL DEL PROYECTO   </t>
  </si>
  <si>
    <t>CAPATAZ</t>
  </si>
  <si>
    <t>ARENA FINA</t>
  </si>
  <si>
    <t>CONTRATA</t>
  </si>
  <si>
    <t>ADMINISTRACION DIRECTA</t>
  </si>
  <si>
    <t>GASTOS GENERALES</t>
  </si>
  <si>
    <t>UTILIDAD</t>
  </si>
  <si>
    <t>IMPUESTO (IGV)</t>
  </si>
  <si>
    <t>SI</t>
  </si>
  <si>
    <t>NO</t>
  </si>
  <si>
    <t>Igualar el monto total de relación de insumos al CD</t>
  </si>
  <si>
    <t>TODOS</t>
  </si>
  <si>
    <t>Al generar E.T. en  Word procesar FORMA DE PAGO</t>
  </si>
  <si>
    <t>HUARAZ- HUARI</t>
  </si>
  <si>
    <t>HUARI - OBRA(YUPAN)</t>
  </si>
  <si>
    <t>Dólares</t>
  </si>
  <si>
    <t>Procesar el presupuesto utilizando la moneda en</t>
  </si>
  <si>
    <t>Adm. Directa</t>
  </si>
  <si>
    <t>Contrata</t>
  </si>
  <si>
    <t>MONEDAS</t>
  </si>
  <si>
    <t>Soles</t>
  </si>
  <si>
    <t>Cifra de redondeo decimal del parcial</t>
  </si>
  <si>
    <t xml:space="preserve"> </t>
  </si>
  <si>
    <t>Al generar E.T. en  Word usar IDEM en partidas repetidas</t>
  </si>
  <si>
    <t>CODIGO</t>
  </si>
  <si>
    <t>Título</t>
  </si>
  <si>
    <t>Sub título de orden 1</t>
  </si>
  <si>
    <t>Sub título de orden 2</t>
  </si>
  <si>
    <t>Sub título de orden 3</t>
  </si>
  <si>
    <t>Sub título de orden 4</t>
  </si>
  <si>
    <t>Sub título de orden 5</t>
  </si>
  <si>
    <t>Sub título de orden 6</t>
  </si>
  <si>
    <t>Sub título de orden 7</t>
  </si>
  <si>
    <t>Sub título de orden 8</t>
  </si>
  <si>
    <t>Sub título de orden 9</t>
  </si>
  <si>
    <t>MONEDA</t>
  </si>
  <si>
    <t>Factor costo mano de obra</t>
  </si>
  <si>
    <t>Jornada laboral</t>
  </si>
  <si>
    <t>Factor para rendimiento</t>
  </si>
  <si>
    <t>EQ %MO</t>
  </si>
  <si>
    <t>Al generar E. T. en  Word procesar UNIDAD</t>
  </si>
  <si>
    <t>Parcial de los insumos en los APUs</t>
  </si>
  <si>
    <t>Cantidad de MO y EQ en los APUs</t>
  </si>
  <si>
    <t>Precio de los insumos</t>
  </si>
  <si>
    <t>ET</t>
  </si>
  <si>
    <t>Total de los metrados en cada partida</t>
  </si>
  <si>
    <t>ARENA GRUESA</t>
  </si>
  <si>
    <t>PIEDRA CHANCADA DE 1/2"</t>
  </si>
  <si>
    <t>SERVICIO</t>
  </si>
  <si>
    <t>ITEM</t>
  </si>
  <si>
    <t>RTOf</t>
  </si>
  <si>
    <t>PU</t>
  </si>
  <si>
    <t>nINS</t>
  </si>
  <si>
    <t>RTOi</t>
  </si>
  <si>
    <t>P.EST.</t>
  </si>
  <si>
    <t>SP</t>
  </si>
  <si>
    <t>Proyecto:</t>
  </si>
  <si>
    <t>Cliente:</t>
  </si>
  <si>
    <t>Fecha:</t>
  </si>
  <si>
    <t>Lugar :</t>
  </si>
  <si>
    <t>OTRAS OPCIONES</t>
  </si>
  <si>
    <t>S/</t>
  </si>
  <si>
    <t>$</t>
  </si>
  <si>
    <t>CALENDARIO</t>
  </si>
  <si>
    <t>Lunes</t>
  </si>
  <si>
    <t>Laborable</t>
  </si>
  <si>
    <t>Martes</t>
  </si>
  <si>
    <t>Miercoles</t>
  </si>
  <si>
    <t>Jueves</t>
  </si>
  <si>
    <t>Viernes</t>
  </si>
  <si>
    <t>Sábado</t>
  </si>
  <si>
    <t>Domingo</t>
  </si>
  <si>
    <t>No laborable</t>
  </si>
  <si>
    <t>Feriados</t>
  </si>
  <si>
    <t>Comienzo</t>
  </si>
  <si>
    <t>Fin</t>
  </si>
  <si>
    <t>Descripcion</t>
  </si>
  <si>
    <t>MO1</t>
  </si>
  <si>
    <t>EQ1</t>
  </si>
  <si>
    <t>TITULOS</t>
  </si>
  <si>
    <t>PIE DEL PRESUPUESTO</t>
  </si>
  <si>
    <t>VALOR FIJO</t>
  </si>
  <si>
    <t>% COSTO DIRECTO</t>
  </si>
  <si>
    <t>VALOR REFERENCIAL</t>
  </si>
  <si>
    <t>PROYECTO</t>
  </si>
  <si>
    <t>UBICACIÓN</t>
  </si>
  <si>
    <t>CLIENTE</t>
  </si>
  <si>
    <t>FECHA</t>
  </si>
  <si>
    <t>LOGO</t>
  </si>
  <si>
    <t>SUPERVISIÓN</t>
  </si>
  <si>
    <t>EXPEDIENTE TÉCNICO</t>
  </si>
  <si>
    <t>MODALIDAD DE E.</t>
  </si>
  <si>
    <t>LIQUIDACIÓN</t>
  </si>
  <si>
    <t>VALOR</t>
  </si>
  <si>
    <t>TIPO</t>
  </si>
  <si>
    <t>SUBTOTAL</t>
  </si>
  <si>
    <t>MO1 y EQ1</t>
  </si>
  <si>
    <t>Calend. Adq. insumos de MO1 en DH y EQ1 en DM</t>
  </si>
  <si>
    <t>SUBTOTAL 1</t>
  </si>
  <si>
    <t>% SUBTOTAL 1</t>
  </si>
  <si>
    <t>SUBTOTAL 2</t>
  </si>
  <si>
    <t>% SUBTOTAL 2</t>
  </si>
  <si>
    <t>% FILA ANTERIOR</t>
  </si>
  <si>
    <t>OPERADOR DE EQUIPO PESADO</t>
  </si>
  <si>
    <t>GESTION DEL PROYECTO</t>
  </si>
  <si>
    <t>CONTROL CONCURRENTE</t>
  </si>
  <si>
    <t>RW7o</t>
  </si>
  <si>
    <t>Codigo de APU de SP</t>
  </si>
  <si>
    <t>Codigo insumo referido</t>
  </si>
  <si>
    <t>PIE DE PRESUPUESTO</t>
  </si>
  <si>
    <t>Parcial</t>
  </si>
  <si>
    <t>Cantidad</t>
  </si>
  <si>
    <t>T</t>
  </si>
  <si>
    <t>01</t>
  </si>
  <si>
    <t>OBRAS PROVISIONALES, TRABAJOS PRELIMINARES, SEGURIDAD Y SALUD</t>
  </si>
  <si>
    <t>ST1</t>
  </si>
  <si>
    <t>01.01</t>
  </si>
  <si>
    <t>OBRAS PROVISIONALES Y TRABAJOS PRELIMINARES</t>
  </si>
  <si>
    <t>ST2</t>
  </si>
  <si>
    <t>01.01.01</t>
  </si>
  <si>
    <t>CONSTRUCCIONES PROVISIONALES</t>
  </si>
  <si>
    <t>01.01.01.01</t>
  </si>
  <si>
    <t>OFICINA</t>
  </si>
  <si>
    <t>GLB</t>
  </si>
  <si>
    <t>hh</t>
  </si>
  <si>
    <t>INSTALACIONES ELECTRICAS (ESTIMADO)</t>
  </si>
  <si>
    <t>est</t>
  </si>
  <si>
    <t>BOL</t>
  </si>
  <si>
    <t>CERRADURA DOS GOLPES FORTE -PARCHE MODELO 220</t>
  </si>
  <si>
    <t>PZA</t>
  </si>
  <si>
    <t>HORMIGON</t>
  </si>
  <si>
    <t>CASETA PREFABRICADA DE 3.0 X 3.0 M</t>
  </si>
  <si>
    <t>01.01.01.02</t>
  </si>
  <si>
    <t>ALMACEN Y GUARDIANIA</t>
  </si>
  <si>
    <t>CASETA PREFABRICADA DE 3.0 X 4.5 M</t>
  </si>
  <si>
    <t>01.01.01.03</t>
  </si>
  <si>
    <t>SS. HH. PARA LA OBRA</t>
  </si>
  <si>
    <t>CLAVOS DE ALAMBRE PARA MADERA C/C DE 3"</t>
  </si>
  <si>
    <t>APARATOS SANITARIOS Y ACCESORIOS</t>
  </si>
  <si>
    <t>MADERA MOHENA EN BRUTO</t>
  </si>
  <si>
    <t>p2</t>
  </si>
  <si>
    <t>TRIPLAY DE 4'x8'x 4 mm</t>
  </si>
  <si>
    <t>pln</t>
  </si>
  <si>
    <t>CALAMINA # 31 DE  1.83m x 0.83m x 2.7mm</t>
  </si>
  <si>
    <t>TUBERIA Y ACCESORIOS PVC</t>
  </si>
  <si>
    <t>01.01.01.04</t>
  </si>
  <si>
    <t>TRANSPORTE VERTICAL DE MATERIALES</t>
  </si>
  <si>
    <t>01.01.01.05</t>
  </si>
  <si>
    <t>PROTECCION DE LINDEROS DE PANELES DE TRIPLAY  DE 1.20 X 2.40 M X 4 MM</t>
  </si>
  <si>
    <t>M</t>
  </si>
  <si>
    <t>OPERARIO ENCOFRADO</t>
  </si>
  <si>
    <t>MADERA TORNILLO DE 1 1/2" X 3" X 9'</t>
  </si>
  <si>
    <t>01.01.01.06</t>
  </si>
  <si>
    <t>LIMPIEZA PERMANENTE DE LA OBRA</t>
  </si>
  <si>
    <t>01.01.01.07</t>
  </si>
  <si>
    <t>CERCO METALICO PLANCHA  ACANALADA</t>
  </si>
  <si>
    <t>WAYPE</t>
  </si>
  <si>
    <t>MASILLA GRIS VENCEACRIL 1/4 GLN</t>
  </si>
  <si>
    <t>SOLDADURA CELLOCORD P 3/16"</t>
  </si>
  <si>
    <t>ANGULO 1"x1"x3/16" x6m. AREQUIPA</t>
  </si>
  <si>
    <t>THINER</t>
  </si>
  <si>
    <t>gln</t>
  </si>
  <si>
    <t>PINTURA ESMALTE</t>
  </si>
  <si>
    <t>PINTURA ZINCROMATO</t>
  </si>
  <si>
    <t>PLANCHA DE FIERRO 3/16 X 1.20 X 2.4</t>
  </si>
  <si>
    <t>M2</t>
  </si>
  <si>
    <t>TUBO ELECTROSOLDADO CUADRADO DE 2" X 2.0 MM X 6 M</t>
  </si>
  <si>
    <t>MAQUINA SOLDADORA</t>
  </si>
  <si>
    <t>hm</t>
  </si>
  <si>
    <t>01.01.02</t>
  </si>
  <si>
    <t>INSTALACIONES  PROVISIONALES</t>
  </si>
  <si>
    <t>ST3</t>
  </si>
  <si>
    <t>01.01.02.01</t>
  </si>
  <si>
    <t>AGUA PARA LA CONSTRUCCION</t>
  </si>
  <si>
    <t>01.01.02.01.01</t>
  </si>
  <si>
    <t>CONSUMO DE AGUA POTABLE DURANTE LA OBRA</t>
  </si>
  <si>
    <t>MES</t>
  </si>
  <si>
    <t>AGUA</t>
  </si>
  <si>
    <t>01.01.02.02</t>
  </si>
  <si>
    <t>ENERGIA ELECTRICA PARA LA OBRA</t>
  </si>
  <si>
    <t>01.01.02.02.01</t>
  </si>
  <si>
    <t>INSTALACIONES PROVISIONALES DE ENERGIA ELECTRICA</t>
  </si>
  <si>
    <t>01.01.02.02.02</t>
  </si>
  <si>
    <t>CONSUMO DE ENERGIA ELECTRICA DURANTE LA OBRA</t>
  </si>
  <si>
    <t>ENERGIA ELECTRICA 30 KW</t>
  </si>
  <si>
    <t>01.01.03</t>
  </si>
  <si>
    <t>TRABAJOS PRELIMINARES</t>
  </si>
  <si>
    <t>01.01.03.01</t>
  </si>
  <si>
    <t>LIMPIEZA  TERRENO</t>
  </si>
  <si>
    <t>ELIMINACION DE EXCEDENTES</t>
  </si>
  <si>
    <t>01.01.04</t>
  </si>
  <si>
    <t>DEMOLICIONES</t>
  </si>
  <si>
    <t>01.01.04.01</t>
  </si>
  <si>
    <t>DEMOLICION DE CIMIENTO DE CONCRETO CICLOPEO</t>
  </si>
  <si>
    <t>MARTILLO DEMOLEDOR ELECTRICO DE 15 KG</t>
  </si>
  <si>
    <t>01.01.04.02</t>
  </si>
  <si>
    <t>DEMOLICION DE SOBRECIMIENTOS</t>
  </si>
  <si>
    <t>01.01.04.03</t>
  </si>
  <si>
    <t>ELIMINACION DE MATERIAL EXCEDENTE PROV. DE DEMOLICIONES</t>
  </si>
  <si>
    <t>01.01.05</t>
  </si>
  <si>
    <t>MOVILIZACION DE CAMPAMENTO, MAQUINARIAS Y HERRAMIENTAS</t>
  </si>
  <si>
    <t>01.01.05.01</t>
  </si>
  <si>
    <t>MOVILIZACION Y DESMOVILIZACION DE MAQUINARIA  Y HERRAMIENTAS</t>
  </si>
  <si>
    <t>CAMION VOLQUETE 4x2 140-210 HP 6 M3.</t>
  </si>
  <si>
    <t>01.01.06</t>
  </si>
  <si>
    <t>TRAZOS, NIVELES Y REPLANTEO</t>
  </si>
  <si>
    <t>01.01.06.01</t>
  </si>
  <si>
    <t>TRAZO, NIVELES Y REPLANTEO PRELIMINAR CON VALLAS AISLADAS</t>
  </si>
  <si>
    <t>TOPOGRAFO</t>
  </si>
  <si>
    <t>CAL HIDRATADA DE 30 Kg</t>
  </si>
  <si>
    <t>MADERA TORNILLO CEPILLADA</t>
  </si>
  <si>
    <t>WINCHA DE 50m</t>
  </si>
  <si>
    <t>NIVEL DE INGENIERO</t>
  </si>
  <si>
    <t>01.01.06.02</t>
  </si>
  <si>
    <t>TRAZO Y REPLANTEO DURANTE EL PROCESO DE LA OBRA</t>
  </si>
  <si>
    <t>OCRE ROJO</t>
  </si>
  <si>
    <t>WINCHA</t>
  </si>
  <si>
    <t>NIVEL</t>
  </si>
  <si>
    <t>01.02</t>
  </si>
  <si>
    <t>SEGURIDAD Y SALUD</t>
  </si>
  <si>
    <t>01.02.01</t>
  </si>
  <si>
    <t>ELABORACION, IMPLEMENTACION Y ADMINISTRACION DEL PLAN DE SEGURIDAD Y SALUD EN EL TRABAJO</t>
  </si>
  <si>
    <t>ELABORACION DEL PLAN DE SEGURIDAD Y SALUD EN EL TRABAJO PARA LA OBRA</t>
  </si>
  <si>
    <t>01.02.02</t>
  </si>
  <si>
    <t>EQUIPOS DE PROTECCION INDIVIDUAL</t>
  </si>
  <si>
    <t>PROTECTOR DE OIDOS</t>
  </si>
  <si>
    <t>RESPIRADOR CONTRA POLVO</t>
  </si>
  <si>
    <t>CASCOS DE SEGURIDAD</t>
  </si>
  <si>
    <t>CHALECOS</t>
  </si>
  <si>
    <t>GUANTES DE CUERO</t>
  </si>
  <si>
    <t>PAR</t>
  </si>
  <si>
    <t>ZAPATOS DE SEGURIDAD</t>
  </si>
  <si>
    <t>GUANTES DE JEBE</t>
  </si>
  <si>
    <t>PANTALON Y CAMISA DE TRABAJO</t>
  </si>
  <si>
    <t>LENTES DE PROTECCION</t>
  </si>
  <si>
    <t>EQ2</t>
  </si>
  <si>
    <t>ARNES DE SEGURIDAD CON LINEA DE VIDA</t>
  </si>
  <si>
    <t>01.02.03</t>
  </si>
  <si>
    <t>EQUIPOS DE PROTECCION COLECTIVA</t>
  </si>
  <si>
    <t>SOGA DE NYLON DE 1/2"</t>
  </si>
  <si>
    <t>CINTA PLASTICA DE SEGURIDAD X 100 ML</t>
  </si>
  <si>
    <t>RLL</t>
  </si>
  <si>
    <t>MALLA DE SEGURIDAD DE PLASTICO COLOR NARANJA X 30 ML</t>
  </si>
  <si>
    <t>POSTES DE MADERA DE 2" CON BASE DE CONCRETO</t>
  </si>
  <si>
    <t>MALLA RASHELL DE 50% X 3 M DE ANCHO</t>
  </si>
  <si>
    <t>BARANDAS DE SEGURIDAD PROVISIONALES</t>
  </si>
  <si>
    <t>01.02.04</t>
  </si>
  <si>
    <t>SEÑALIZACION TEMPORAL DE SEGURIDAD</t>
  </si>
  <si>
    <t>LETREROS DE SEÑALIZACION Y SEGURIDAD</t>
  </si>
  <si>
    <t>CONOS REFLECTIVOS MEDIANOS</t>
  </si>
  <si>
    <t>REFLECTORES</t>
  </si>
  <si>
    <t>CABALLETES DE MADERA PARA TRAFICO</t>
  </si>
  <si>
    <t>01.02.05</t>
  </si>
  <si>
    <t>CAPACITACION EN SEGURIDAD Y SALUD</t>
  </si>
  <si>
    <t>01.02.06</t>
  </si>
  <si>
    <t>RECURSOS PARA RESPUESTAS ANTE EMERGENCIA</t>
  </si>
  <si>
    <t>FRAZADA</t>
  </si>
  <si>
    <t>BOTIQUIN DE PRIMEROS AUXILIOS</t>
  </si>
  <si>
    <t>CAMILLA RIGIDA</t>
  </si>
  <si>
    <t>EXTINGUIDOR DE 6 KG PQS ABC</t>
  </si>
  <si>
    <t>SERVICIO DE AMBULANCIA</t>
  </si>
  <si>
    <t>02</t>
  </si>
  <si>
    <t>ESTRUCTURAS</t>
  </si>
  <si>
    <t>02.01</t>
  </si>
  <si>
    <t>MOVIMIENTO DE TIERRAS</t>
  </si>
  <si>
    <t>02.01.01</t>
  </si>
  <si>
    <t>EXCAVACIONES</t>
  </si>
  <si>
    <t>02.01.01.01</t>
  </si>
  <si>
    <t>EXCAVACION MASIVA A MAQUINA EN TERRENO NORMAL"C"/RETRO .5Y3</t>
  </si>
  <si>
    <t>CARGADOR RETROEXCAVADOR 62 HP 1 YD3</t>
  </si>
  <si>
    <t>02.01.01.02</t>
  </si>
  <si>
    <t>EXCAVACION DE PARA CALZADURAS</t>
  </si>
  <si>
    <t>02.01.01.03</t>
  </si>
  <si>
    <t>EXCAVACION PARA CIMIENTOS HASTA 1.40 MT TERRENO NORMAL</t>
  </si>
  <si>
    <t>02.01.01.04</t>
  </si>
  <si>
    <t>EXCAVACION PARA ZAPATAS DE 1.00 MT A 1.40 MT DE PROFUNDIDAD</t>
  </si>
  <si>
    <t>02.01.01.05</t>
  </si>
  <si>
    <t>EXCAVACION PARA CISTERNA HASTA 2 MTS DE PROFUNDIDAD</t>
  </si>
  <si>
    <t>02.01.01.06</t>
  </si>
  <si>
    <t>EXCAVACION PARA VIGAS DE CIMENTACION</t>
  </si>
  <si>
    <t>02.01.02</t>
  </si>
  <si>
    <t>RELLENOS</t>
  </si>
  <si>
    <t>02.01.02.01</t>
  </si>
  <si>
    <t>RELLENO COMPACTADO PARA ESTRUCTURAS CON MATERIAL PROPIO</t>
  </si>
  <si>
    <t>COMPACTADOR VIBR. TIPO PLANCHA 5.8 HP</t>
  </si>
  <si>
    <t>02.01.02.02</t>
  </si>
  <si>
    <t>NIVELACION INTERIOR APISONADO C/EQUIPO</t>
  </si>
  <si>
    <t>REGLA DE MADERA</t>
  </si>
  <si>
    <t>02.01.03</t>
  </si>
  <si>
    <t>ACARREOS Y ELIMINACIONES</t>
  </si>
  <si>
    <t>02.01.03.01</t>
  </si>
  <si>
    <t>ACARREO DE MATERIAL EXCEDENTE DE EXCAVACION DE CISTERNA, ZANJAS, ZAPATAS</t>
  </si>
  <si>
    <t>02.01.03.02</t>
  </si>
  <si>
    <t>ELIMINACION DE MATERIAL EXEDENTE DE EXCAVACIONES</t>
  </si>
  <si>
    <t>ELIMINACION DE MATERIAL EXCEDENTE, MANUAL</t>
  </si>
  <si>
    <t>02.01.04</t>
  </si>
  <si>
    <t>BASES PARA PISOS</t>
  </si>
  <si>
    <t>02.01.04.01</t>
  </si>
  <si>
    <t>BASE DE MATERIAL AFIRMADO DE 4" , CON COMPACTADORA MANUAL</t>
  </si>
  <si>
    <t>MATERIAL AFIRMADO</t>
  </si>
  <si>
    <t>PLANCHA COMPACTADORA</t>
  </si>
  <si>
    <t>02.02</t>
  </si>
  <si>
    <t>OBRAS DE CONCRETO SIMPLE</t>
  </si>
  <si>
    <t>02.02.01</t>
  </si>
  <si>
    <t>CALZADURAS</t>
  </si>
  <si>
    <t>02.02.01.01</t>
  </si>
  <si>
    <t>CONCRETO F'C=100 KG/CM2 + 30% DE P.G. PARA CALZADURAS</t>
  </si>
  <si>
    <t>PIEDRA GRANDE DE 8"</t>
  </si>
  <si>
    <t>MEZCLADORA CONCRETO TAMBOR 18HP 11P3</t>
  </si>
  <si>
    <t>02.02.01.02</t>
  </si>
  <si>
    <t>ENCOFRADO PARA CALZADURAS HASTA 2.00 M</t>
  </si>
  <si>
    <t>CLAVOS PARA MADERA C/C 3"</t>
  </si>
  <si>
    <t>ALAMBRE NEGRO N°8</t>
  </si>
  <si>
    <t>MADERA TORNILLO</t>
  </si>
  <si>
    <t>02.02.02</t>
  </si>
  <si>
    <t>FALSO CIMIENTOS</t>
  </si>
  <si>
    <t>02.02.02.01</t>
  </si>
  <si>
    <t>CONCRETO F'C=100 KG/CM2 PARA FALSO CIMIENTO</t>
  </si>
  <si>
    <t>02.02.02.02</t>
  </si>
  <si>
    <t>ENCOFRADO Y DEDESENCOFRADO DE FALSO CIMIENTO</t>
  </si>
  <si>
    <t>ALAMBRE NEGRO RECOCIDO # 8</t>
  </si>
  <si>
    <t>MADERA TORNILLO INC.CORTE P/ENCOFRADO</t>
  </si>
  <si>
    <t>02.02.03</t>
  </si>
  <si>
    <t>CIMIENTOS CORRIDOS</t>
  </si>
  <si>
    <t>02.02.03.01</t>
  </si>
  <si>
    <t>CONCRETO FC=100 KG/CM2 + 30% P.G. PARA CIMIENTOS CORRIDOS</t>
  </si>
  <si>
    <t>PIEDRA ZARANDEADA DE 1"</t>
  </si>
  <si>
    <t>CEMENTO PORTLAND TIPO I (EN FCA.)S-PUB</t>
  </si>
  <si>
    <t>02.02.04</t>
  </si>
  <si>
    <t>SOBRECIMIENTOS</t>
  </si>
  <si>
    <t>02.02.04.01</t>
  </si>
  <si>
    <t>CONCRETO CEMENTO-HORMIGON 1:8  PARA SOBRECIMIENTOS</t>
  </si>
  <si>
    <t>02.02.04.02</t>
  </si>
  <si>
    <t>ENCOFRADO Y DESENCOF. SOBRECIMIENTO DE 0.30 A 0.60 MT</t>
  </si>
  <si>
    <t>02.02.05</t>
  </si>
  <si>
    <t>GRADAS DE ESCALERAS</t>
  </si>
  <si>
    <t>02.02.05.01</t>
  </si>
  <si>
    <t>CONCRETO CEMENTO-HORMIGON 1:8 PARA GRADAS (APOYADAS SOBRE EL TERRENO)</t>
  </si>
  <si>
    <t>02.02.05.02</t>
  </si>
  <si>
    <t>ENCOFRADO Y DESENCOFRADO PARA GRADAS (APOYADAS SOBRE TERRENO)</t>
  </si>
  <si>
    <t>02.02.06</t>
  </si>
  <si>
    <t>SOLADOS</t>
  </si>
  <si>
    <t>02.02.06.01</t>
  </si>
  <si>
    <t>SOLADO PARA ZAPATAS DE 2" MEZCLA 1:12 CEMENTO-HORMIGON</t>
  </si>
  <si>
    <t>CEMENTO PORTLAND TIPO I (42.5KG) ATLAS</t>
  </si>
  <si>
    <t>MEZCLADORA CONCRETO TROMPO 8 HP 9 P3</t>
  </si>
  <si>
    <t>02.02.07</t>
  </si>
  <si>
    <t>LOSAS MACIZAS DE PISO</t>
  </si>
  <si>
    <t>02.02.07.01</t>
  </si>
  <si>
    <t>CONCRETO EN LOSA DE PISO F'C= 210 KG/CM2, H=0.10 M</t>
  </si>
  <si>
    <t>ACEITE PARA MOTOR SAE-30</t>
  </si>
  <si>
    <t>GASOLINA 84 OCTANOS</t>
  </si>
  <si>
    <t>VIBRADOR DE CONCRETO 4 HP 2.40"</t>
  </si>
  <si>
    <t>02.02.07.02</t>
  </si>
  <si>
    <t>ENCOFRADO Y DESENCOFRADO LOSA DE PISO</t>
  </si>
  <si>
    <t>02.02.08</t>
  </si>
  <si>
    <t>FALSOS PISOS</t>
  </si>
  <si>
    <t>02.02.08.01</t>
  </si>
  <si>
    <t>FALSO PISO CONCRETO F'C=100 KG/CM2, E=0.10 M</t>
  </si>
  <si>
    <t>02.03</t>
  </si>
  <si>
    <t>OBRAS DE CONCRETO ARMADO</t>
  </si>
  <si>
    <t>02.03.01</t>
  </si>
  <si>
    <t>CIMIENTOS CORRIDOS REFORZADOS</t>
  </si>
  <si>
    <t>02.03.01.01</t>
  </si>
  <si>
    <t>CONCRETO EN CIMIENTOS CORRIDOS  F'C= 210 KG/CM2</t>
  </si>
  <si>
    <t>02.03.02</t>
  </si>
  <si>
    <t>VIGAS DE CIMENTACION</t>
  </si>
  <si>
    <t>02.03.02.01</t>
  </si>
  <si>
    <t>CONCRETO F'C=210 KG/CM2 PARA VIGAS DE CIMENTACION</t>
  </si>
  <si>
    <t>02.03.02.02</t>
  </si>
  <si>
    <t>ENCOFRADO Y DESENCOFRADO NORMAL PARA VIGAS DE CIMENTACION</t>
  </si>
  <si>
    <t>02.03.02.03</t>
  </si>
  <si>
    <t>ACERO ESTRUCTURAL TRABAJADO PARA VIGAS DE CIMENTACION</t>
  </si>
  <si>
    <t>ALAMBRE NEGRO RECOCIDO # 16</t>
  </si>
  <si>
    <t>FIERRO CONSTRUCCION EN FBCA-COSTA PROMED</t>
  </si>
  <si>
    <t>CIZALLA P/FIERRO CONST. HASTA 1"</t>
  </si>
  <si>
    <t>02.03.03</t>
  </si>
  <si>
    <t>ZAPATAS</t>
  </si>
  <si>
    <t>02.03.03.01</t>
  </si>
  <si>
    <t>CONCRETO F'C= 210 KG/CM2 PARA ZAPATAS</t>
  </si>
  <si>
    <t>02.03.03.02</t>
  </si>
  <si>
    <t>ENCOFRADO Y DESENCOFRADO NORMAL PARA ZAPATAS</t>
  </si>
  <si>
    <t>02.03.03.03</t>
  </si>
  <si>
    <t>ACERO ESTRUCTURAL TRABAJADO PARA ZAPATAS</t>
  </si>
  <si>
    <t>02.03.04</t>
  </si>
  <si>
    <t>COLUMNAS AISLADAS</t>
  </si>
  <si>
    <t>02.03.04.01</t>
  </si>
  <si>
    <t>CONCRETO F'C=210 KG/CM2 PARA COLUMNAS</t>
  </si>
  <si>
    <t>PIEDRA CHANCADA DE 1/2"   359</t>
  </si>
  <si>
    <t>VIBRADOR DE 3/4" - 2" CONCRETO</t>
  </si>
  <si>
    <t>ANDAMIO METAL TABLAS-ALQUILER</t>
  </si>
  <si>
    <t>02.03.04.02</t>
  </si>
  <si>
    <t>ENCOFRADO Y DESENCOFRADO NORMAL DE COLUMNAS AISLADAS</t>
  </si>
  <si>
    <t>02.03.04.03</t>
  </si>
  <si>
    <t>ACERO ESTRUCTURAL TRABAJADO PARA COLUMNAS AISLADAS</t>
  </si>
  <si>
    <t>ACERO DE REFUERZO FY=4200 GRADO 60</t>
  </si>
  <si>
    <t>02.03.05</t>
  </si>
  <si>
    <t>PLACAS</t>
  </si>
  <si>
    <t>02.03.05.01</t>
  </si>
  <si>
    <t>CONCRETO F'C=210 KG/CM2 PARA MUROS Y PLACAS</t>
  </si>
  <si>
    <t>02.03.05.02</t>
  </si>
  <si>
    <t>ENCOFRADO Y DESENCOFRADO MUROS, 1 CARA, SISTEMA EFCO</t>
  </si>
  <si>
    <t>VAINAS PLASTICA PARA ENCOFRADO SISTEMA EFCO</t>
  </si>
  <si>
    <t>DESMOLDANTE Z-CRON</t>
  </si>
  <si>
    <t>MADERA 2"X12"X12'</t>
  </si>
  <si>
    <t>TENSOR METALICO 10"X 1" X 1/8", SISTEMA EFCO</t>
  </si>
  <si>
    <t>ENCOFRADO METALICO PARA MUROS SISTEMA EFCO</t>
  </si>
  <si>
    <t>APUNTALAMIENTO ADICIONAL DE MUROS 1 CARA SISTEMA EFCO</t>
  </si>
  <si>
    <t>02.03.05.03</t>
  </si>
  <si>
    <t>ENCOFRADO Y DESENCOFRADO MUROS, 2 CARAS, SISTEMA EFCO</t>
  </si>
  <si>
    <t>02.03.05.04</t>
  </si>
  <si>
    <t>ACERO ESTRUCTURAL TRABAJADO PARA MUROS</t>
  </si>
  <si>
    <t>02.03.06</t>
  </si>
  <si>
    <t>COLUMNAS DE CONFINAMIENTO</t>
  </si>
  <si>
    <t>02.03.06.01</t>
  </si>
  <si>
    <t>CONCRETO F'C=210 KG/CM2. PARA COLUMNAS DE CONFINAMIENTO</t>
  </si>
  <si>
    <t>02.03.06.02</t>
  </si>
  <si>
    <t>ENCOFRADO Y DESENCOFRADO NORMAL DE COLUMNAS DE CONFINAMIENTO</t>
  </si>
  <si>
    <t>02.03.06.03</t>
  </si>
  <si>
    <t>ACERO ESTRUCTURAL TRABAJADO PARA COLUMNAS DE CONFINAMIENTO</t>
  </si>
  <si>
    <t>02.03.07</t>
  </si>
  <si>
    <t>VIGAS</t>
  </si>
  <si>
    <t>02.03.07.01</t>
  </si>
  <si>
    <t>CONCRETO PREMEZCLADO EN VIGAS F'C=210 KG/CM2</t>
  </si>
  <si>
    <t>CONCRETO PRE-MEZCLADO 210 KG/CM2 PARA VIGAS</t>
  </si>
  <si>
    <t>VIBRADOR DE CONCRETO 4 HP 1.50"</t>
  </si>
  <si>
    <t>REGLA DE ALUMINIO DE 1 1/4" X 4" X 6 M</t>
  </si>
  <si>
    <t>BOMBA CONCRETO</t>
  </si>
  <si>
    <t>02.03.07.02</t>
  </si>
  <si>
    <t>ENCOFRADO Y DESENCOFRADO PARA VIGAS RECTAS Y DINTELES</t>
  </si>
  <si>
    <t>CLAVOS Fo No C/C 3/4"</t>
  </si>
  <si>
    <t>MADERA NACIONAL P/ENCOFRADO-CARP</t>
  </si>
  <si>
    <t>02.03.07.03</t>
  </si>
  <si>
    <t>ACERO ESTRUCTURAL TRABAJADO PARA VIGAS Y DINTELES</t>
  </si>
  <si>
    <t>02.03.08</t>
  </si>
  <si>
    <t>LOSAS MACIZAS</t>
  </si>
  <si>
    <t>02.03.08.01</t>
  </si>
  <si>
    <t>CONCRETO PREMEZCLADO EN LOSAS MACIZAS F'C=210 KG/CM2</t>
  </si>
  <si>
    <t>CONCRETO PRE-MEZCLADO 210 KG/CM2 PARA LOSAS MACIZAS</t>
  </si>
  <si>
    <t>02.03.08.02</t>
  </si>
  <si>
    <t>ENCOFRADO Y DESENCOFRADO PARA LOSAS MACIZAS</t>
  </si>
  <si>
    <t>02.03.08.03</t>
  </si>
  <si>
    <t>ACERO ESTRUCTURAL TRABAJADO PARA LOSAS MACIZAS</t>
  </si>
  <si>
    <t>02.03.09</t>
  </si>
  <si>
    <t>LOSAS ALIGERADAS</t>
  </si>
  <si>
    <t>02.03.09.01</t>
  </si>
  <si>
    <t>CONCRETO PREMEZCLADO EN LOSAS ALIGERADAS F'C=210 KG/CM2</t>
  </si>
  <si>
    <t>CONCRETO PRE-MEZCLADO 210 KG/CM2 PARA LOSAS ALIGERADAS</t>
  </si>
  <si>
    <t>02.03.09.02</t>
  </si>
  <si>
    <t>VIGUETA PRETENSADA 101 CONCREMAX</t>
  </si>
  <si>
    <t>VIGUETA PRETENSADA 101 - CONCREMAX</t>
  </si>
  <si>
    <t>02.03.09.03</t>
  </si>
  <si>
    <t>VIGUETA PRETENSADA 102 CONCREMAX</t>
  </si>
  <si>
    <t>VIGUETA PRETENSADA 102 - CONCREMAX</t>
  </si>
  <si>
    <t>02.03.09.04</t>
  </si>
  <si>
    <t>VIGUETA PRETENSADA 103 CONCREMAX</t>
  </si>
  <si>
    <t>VIGUETA PRETENSADA 103 - CONCREMAX</t>
  </si>
  <si>
    <t>02.03.09.05</t>
  </si>
  <si>
    <t>APUNTALAMIENTO Y SOLERAS DE LOSA ALIGERADA</t>
  </si>
  <si>
    <t>02.03.09.06</t>
  </si>
  <si>
    <t>BOVEDILLA DE ARCILLA 15 CM @ 50 CM</t>
  </si>
  <si>
    <t>BOVEDILLA DE ARCILLA CONCREMAX 15 CM @ 50 CM</t>
  </si>
  <si>
    <t>02.03.09.07</t>
  </si>
  <si>
    <t>ACERO ESTRUCTURAL TRABAJADO PARA LOSAS ALIGERADAS</t>
  </si>
  <si>
    <t>02.03.10</t>
  </si>
  <si>
    <t>ESCALERAS</t>
  </si>
  <si>
    <t>02.03.10.01</t>
  </si>
  <si>
    <t>CONCRETO F'C=210 KG/CM2. PARA ESCALERAS</t>
  </si>
  <si>
    <t>PIEDRA CHANCADA DE 3/4"</t>
  </si>
  <si>
    <t>WINCHE DE DOS BALDES (350KG)M.E. 3.6HP</t>
  </si>
  <si>
    <t>02.03.10.02</t>
  </si>
  <si>
    <t>ENCOFRADO Y DESENCOFRADO PARA ESCALERAS</t>
  </si>
  <si>
    <t>02.03.10.03</t>
  </si>
  <si>
    <t>ACERO ESTRUCTURAL TRABAJADO PARA ESCALERAS</t>
  </si>
  <si>
    <t>02.03.11</t>
  </si>
  <si>
    <t>CISTERNA</t>
  </si>
  <si>
    <t>02.03.11.01</t>
  </si>
  <si>
    <t>CONCRETO EN CISTERNA SUBTERRANEA F'C=210 KG/CM2</t>
  </si>
  <si>
    <t>02.03.11.02</t>
  </si>
  <si>
    <t>ENCOFRADO Y DESENCOFRADO NORMAL EN CISTERNA SUBTERRANEA</t>
  </si>
  <si>
    <t>02.03.11.03</t>
  </si>
  <si>
    <t>ACERO ESTRUCTURAL TRABAJADO PARA CISTERNA SUBTERRANEA</t>
  </si>
  <si>
    <t>02.03.12</t>
  </si>
  <si>
    <t>CAMARA DE REUNION Y BOMBEO DE DESAGUE</t>
  </si>
  <si>
    <t>02.03.12.01</t>
  </si>
  <si>
    <t>CONCRETO EN CAMARA DE REUNION Y BOMBEO DE DESAGUE</t>
  </si>
  <si>
    <t>02.03.12.02</t>
  </si>
  <si>
    <t>ENCOFRADO Y DESENCOFRADO NORMAL DE CAMARA DE REUNION Y BOMBEO DE DESAGUE</t>
  </si>
  <si>
    <t>02.03.12.03</t>
  </si>
  <si>
    <t>ACERO ESTRUCTURAL TRABAJADO EN CAMARA DE REUNION Y BOMBEO DE DESAGUE</t>
  </si>
  <si>
    <t>02.03.13</t>
  </si>
  <si>
    <t>TANQUE ELEVADO</t>
  </si>
  <si>
    <t>02.03.13.01</t>
  </si>
  <si>
    <t>CONCRETO F'C=210 KG/CM2 PARA TANQUE ELEVADO</t>
  </si>
  <si>
    <t>02.03.13.02</t>
  </si>
  <si>
    <t>ENCOFRADO Y DESENCOFRADO NORMAL EN TANQUE ELEVADO</t>
  </si>
  <si>
    <t>02.03.13.03</t>
  </si>
  <si>
    <t>ACERO ESTRUCTURAL TRABAJADO PARA TANQUE ELEVADO</t>
  </si>
  <si>
    <t>02.04</t>
  </si>
  <si>
    <t>VARIOS</t>
  </si>
  <si>
    <t>02.04.01</t>
  </si>
  <si>
    <t>JUNTA DE CONSTRUCCION CON TEKNOPORT DE 2"</t>
  </si>
  <si>
    <t>TEKNOPOR DE 2" x 4' x 8'</t>
  </si>
  <si>
    <t>02.04.02</t>
  </si>
  <si>
    <t>JUNTA DE CONSTRUCCION CON ELASTOMETRICO</t>
  </si>
  <si>
    <t>SIKAFLEX 11 FC-BLANCO X 600 ml</t>
  </si>
  <si>
    <t>MANGA</t>
  </si>
  <si>
    <t>02.04.03</t>
  </si>
  <si>
    <t>PEGAMENTO UNION CONCRETO NUEVO-VIEJO (SIKADUR 32 GEL)</t>
  </si>
  <si>
    <t>ADHESIVO SIKADUR 32 GEL</t>
  </si>
  <si>
    <t>03</t>
  </si>
  <si>
    <t>ARQUITECTURA</t>
  </si>
  <si>
    <t>03.01</t>
  </si>
  <si>
    <t>MUROS Y TABIQUES DE ALBAÑILERIA</t>
  </si>
  <si>
    <t>03.01.01</t>
  </si>
  <si>
    <t>MURO TABIQUE PLACA P-10 SILICO CALCAREO - 2 CARAVISTAS</t>
  </si>
  <si>
    <t>PLACA P-10 LA CASA 10X24X50 CM</t>
  </si>
  <si>
    <t>CONCRETO LIQUIDO MUROS DIVISORIOS LACASA</t>
  </si>
  <si>
    <t>MORTERO GRUESO PARA MUROS DIVISORIOS EMBOLSADO LACASA BLS. 40 KG</t>
  </si>
  <si>
    <t>MORTERO FINO PARA SOLAQUEO DE MUROS EMBOLSADO LACASA BLS. 40 KG</t>
  </si>
  <si>
    <t>PEGAMENTO EPOXICO SIKADUR 32 x 5 KG</t>
  </si>
  <si>
    <t>OJO CHINO LA CASA</t>
  </si>
  <si>
    <t>03.01.02</t>
  </si>
  <si>
    <t>MURO TABIQUE PLACA P-14 SILICO CALCAREO-2 CARAVISTAS</t>
  </si>
  <si>
    <t>PLACA P-14 LA CASA 10X25X50 CM</t>
  </si>
  <si>
    <t>03.01.03</t>
  </si>
  <si>
    <t>MUROS DE LADRILLO KK  H10 DE 10X14X24 CM, AMARRE SOGA, MORTERO CEMENTO-ARENA 1:4, JUNTA 1.5 CM</t>
  </si>
  <si>
    <t>LADRILLO ARCILLA KK FORTALEZA H10 DE 10 X 14 X 24 CM</t>
  </si>
  <si>
    <t>03.01.04</t>
  </si>
  <si>
    <t>PARAPETOS DE LADRILLO PANDERETA DE 10X14X23 CM, AMARRE SOGA, MORTERO CEMENTO-ARENA 1:5, JUNTA 1.5 CM</t>
  </si>
  <si>
    <t>LADRILLO PANDERETA DE  ARCILLA  DE 10 X 14 X 23 CM</t>
  </si>
  <si>
    <t>03.02</t>
  </si>
  <si>
    <t>REVOQUES Y REVESTIMIENTOS</t>
  </si>
  <si>
    <t>03.02.01</t>
  </si>
  <si>
    <t>TARRAJEO EN INTERIORES ACABADO CON CEMENTO-ARENA</t>
  </si>
  <si>
    <t>03.02.02</t>
  </si>
  <si>
    <t>TARRAJEO EN EXTERIORES CON CEMENTO-ARENA</t>
  </si>
  <si>
    <t>03.02.03</t>
  </si>
  <si>
    <t>TARRAJEO FROTACHADO FINO EN MUROS INTERIORES, MEZCLA 1:5</t>
  </si>
  <si>
    <t>AGUA + TRANSPORTE</t>
  </si>
  <si>
    <t>03.02.04</t>
  </si>
  <si>
    <t>TARRAJEO DE SUPERFICIE DE COLUMNAS CON CEMENTO-ARENA</t>
  </si>
  <si>
    <t>03.02.05</t>
  </si>
  <si>
    <t>TARRAJEO DE VIGAS PERALTADAS CON CEMENTO-ARENA</t>
  </si>
  <si>
    <t>03.02.06</t>
  </si>
  <si>
    <t>TARRAJEO CON IMPERMEABILIZANTE MUROS Y LOSA</t>
  </si>
  <si>
    <t>ADITIVO IMPERMEABILIZANTE CHEMA 1</t>
  </si>
  <si>
    <t>03.02.07</t>
  </si>
  <si>
    <t>VESTIDURA DE DERRAMES EN PUERTAS, VENTANAS Y VANOS.</t>
  </si>
  <si>
    <t>03.02.08</t>
  </si>
  <si>
    <t>BRUÑAS ENTRE CIELO RASO Y MURO</t>
  </si>
  <si>
    <t>03.02.09</t>
  </si>
  <si>
    <t>BRUÑAS EN MUROS EXTERIORES</t>
  </si>
  <si>
    <t>03.02.10</t>
  </si>
  <si>
    <t>VESTIDURA DE SUPERFICIE FONDO DE ESCALERA C/MOR.1:4 X 1.5 CM</t>
  </si>
  <si>
    <t>03.02.11</t>
  </si>
  <si>
    <t>PREPARACION DE GRADAS Y ESCALERAS DE CONCRETO</t>
  </si>
  <si>
    <t>03.02.12</t>
  </si>
  <si>
    <t>PREPARACION DE DESCANSOS DE GRADAS Y ESCALERAS DE CONCRETO</t>
  </si>
  <si>
    <t>03.02.13</t>
  </si>
  <si>
    <t>REVESTIMIENTO DE GRADAS Y ESCALERAS CON CERAMICO 30X30 CM, CANTONERA ALUMINIO</t>
  </si>
  <si>
    <t>CERAMICO DE 30 X 30 CM CELIMA</t>
  </si>
  <si>
    <t>PORCELANA CELIMA COLOR CLARO</t>
  </si>
  <si>
    <t>PEGAMENTO CERAMICO PARA EXTERIORES CELIMA X 25 KG</t>
  </si>
  <si>
    <t>CANTONERA DE ALUMINIO</t>
  </si>
  <si>
    <t>03.02.14</t>
  </si>
  <si>
    <t>REVESTIMIENTO DE DESCANSO DE ESCALERAS CON CERAMICO 30X30 CM</t>
  </si>
  <si>
    <t>03.03</t>
  </si>
  <si>
    <t>CIELORRASOS</t>
  </si>
  <si>
    <t>03.03.01</t>
  </si>
  <si>
    <t>CIELORRASOS CON MEZCLA DE CEMENTO-ARENA</t>
  </si>
  <si>
    <t>03.04</t>
  </si>
  <si>
    <t>PISOS Y PAVIMENTOS</t>
  </si>
  <si>
    <t>03.04.01</t>
  </si>
  <si>
    <t>CONTRAPISO DE 48 MM.</t>
  </si>
  <si>
    <t>03.04.02</t>
  </si>
  <si>
    <t>PISO DE PORCELANATO 60X60 CM. COLOR CLARO</t>
  </si>
  <si>
    <t>TOPE CRUCETA DE 3 MM</t>
  </si>
  <si>
    <t>CTO</t>
  </si>
  <si>
    <t>PORCELANA</t>
  </si>
  <si>
    <t>PORCELANATO DE 60 X 60 CM, COLOR CLARO</t>
  </si>
  <si>
    <t>PEGAMENTO BLANCO PARA PORCELANATO CELIMA X 25 KG</t>
  </si>
  <si>
    <t>03.04.03</t>
  </si>
  <si>
    <t>PISO DE CERAMICO DE 40X40 CM.</t>
  </si>
  <si>
    <t>CERAMICO DE 40 X 40 CM CELIMA</t>
  </si>
  <si>
    <t>PEGAMENTO CERAMICO PARA INTERIORES CELIMA X 25 KG</t>
  </si>
  <si>
    <t>03.04.04</t>
  </si>
  <si>
    <t>PISO CERAMICO 30 X 30 EN EXTERIORES</t>
  </si>
  <si>
    <t>03.04.05</t>
  </si>
  <si>
    <t>ACABADO PULIDO DE PISO C/MORTERO 1:2 X 1.5 cm DE ESPESOR</t>
  </si>
  <si>
    <t>03.04.06</t>
  </si>
  <si>
    <t>VEREDA DE CONCRETO SIMPLE F'C=175 KG/CM2 E=10CM. ACABADO PASTA 1:2</t>
  </si>
  <si>
    <t>03.05</t>
  </si>
  <si>
    <t>ZOCALOS Y CONTRAZOCALOS</t>
  </si>
  <si>
    <t>03.05.01</t>
  </si>
  <si>
    <t>ZOCALOS</t>
  </si>
  <si>
    <t>03.05.01.01</t>
  </si>
  <si>
    <t>ZOCALO DE CERAMICO DE 30X30 CM CELIMA</t>
  </si>
  <si>
    <t>03.05.02</t>
  </si>
  <si>
    <t>CONTRAZOCALOS</t>
  </si>
  <si>
    <t>03.05.02.01</t>
  </si>
  <si>
    <t>CONTRAZOCALO RECTO DE PORCELANATO  DE 0.10 M</t>
  </si>
  <si>
    <t>PORCELANATO DE 40 X 40 CM, COLOR BEIGE</t>
  </si>
  <si>
    <t>03.05.02.02</t>
  </si>
  <si>
    <t>CONTRAZOCALO CERAMICO 40X40 CM H=0.10 M CELIMA</t>
  </si>
  <si>
    <t>03.05.02.03</t>
  </si>
  <si>
    <t>CONTRAZOCALO CERAMICO 30X30 CM H=0.10 M EN ESCALERA CELIMA</t>
  </si>
  <si>
    <t>03.05.02.04</t>
  </si>
  <si>
    <t>CONTRAZOCALO DE CEMENTO PULIDO DE H=10 CM INTERIOR, MEZCLA 1:5 AL RAS DEL TARRAJEO DE MURO, INCLUYE BRUNA</t>
  </si>
  <si>
    <t>FLETE TRANSPORTE LOCAL</t>
  </si>
  <si>
    <t>03.06</t>
  </si>
  <si>
    <t>COBERTURAS</t>
  </si>
  <si>
    <t>03.06.01</t>
  </si>
  <si>
    <t>COBERTURA DE TECHO CON LADRILLO PASTELERO</t>
  </si>
  <si>
    <t>MADERA ANDAMIAJE</t>
  </si>
  <si>
    <t>LADRILLO PASTELERO 25X25 CM</t>
  </si>
  <si>
    <t>03.07</t>
  </si>
  <si>
    <t>CARPINTERIA DE MADERA</t>
  </si>
  <si>
    <t>03.07.01</t>
  </si>
  <si>
    <t>PUERTAS</t>
  </si>
  <si>
    <t>03.07.01.01</t>
  </si>
  <si>
    <t>PUERTA DE INGRESO PEATONAL MADERA CEDRO DE 1.00 X 2.70 M, SEGUN DISEÑO ESPECIAL</t>
  </si>
  <si>
    <t>PUERTA DE MADERA CEDRO DE 1.00 X 2.70, SEGUN DISEÑO ESPECIAL</t>
  </si>
  <si>
    <t>03.07.01.02</t>
  </si>
  <si>
    <t>PUERTA  MADERA TIPO TABLERO DE PINO DE 1.00 X 2.10 M</t>
  </si>
  <si>
    <t>TIRAFON DE 1/4" x 2"</t>
  </si>
  <si>
    <t>PUERTA TIPO TABLERO DE PINO DE 1.00 X 2.10 M   X 2.10 M</t>
  </si>
  <si>
    <t>MARCO DE PINO 50 MM X 100 MM PARA PUERTAS</t>
  </si>
  <si>
    <t>03.07.01.03</t>
  </si>
  <si>
    <t>PUERTA PRESTIGE TEXTURADA DE 0.80 X 2.10 M</t>
  </si>
  <si>
    <t>MARCO DE PINO 35 MM X 95 MM PARA PUERTAS</t>
  </si>
  <si>
    <t>PUERTA CONTRAP. PRESTIGE MOLDURADA DE 0.80X2.10 M</t>
  </si>
  <si>
    <t>03.07.01.04</t>
  </si>
  <si>
    <t>PUERTA PRESTIGE TEXTURADA DE 0.70 X 2.10 M</t>
  </si>
  <si>
    <t>PUERTA CONTRAP. PRESTIGE MOLDURADA DE 0.70X2.10 M</t>
  </si>
  <si>
    <t>03.07.01.05</t>
  </si>
  <si>
    <t>PUERTA CONTRAPLACADA DE TRIPLAY 45 MM DE 0.90X2.10M</t>
  </si>
  <si>
    <t>TIRAFON 1/4" X 2"</t>
  </si>
  <si>
    <t>PUERTA CONTRAPLACADA DE TRIPLAY DE 0.90X2.10M, INC MARCO</t>
  </si>
  <si>
    <t>03.07.01.06</t>
  </si>
  <si>
    <t>PUERTA CONTRAPLACADA DE TRIPLAY 45 MM DE 1.10X2.10M, DOS HOJAS</t>
  </si>
  <si>
    <t>PUERTA CONTRAPLACADA DE TRIPLAY DE 1.10X2.10M, DOS HOJAS, INC MARCO</t>
  </si>
  <si>
    <t>03.07.02</t>
  </si>
  <si>
    <t>MUEBLES DE COCINA Y SIMILARES</t>
  </si>
  <si>
    <t>03.07.02.01</t>
  </si>
  <si>
    <t>MUEBLE BAJO DE COCINA DE MELAMINE (SUBC.)</t>
  </si>
  <si>
    <t>MUEBLE BAJO DE MELAMINE</t>
  </si>
  <si>
    <t>03.07.02.02</t>
  </si>
  <si>
    <t>MUEBLE ALTO DE COCINA DE MELAMINE (SUBC.)</t>
  </si>
  <si>
    <t>MUEBLE ALTO DE COCINA DE MELAMINE</t>
  </si>
  <si>
    <t>03.07.03</t>
  </si>
  <si>
    <t>CLOSETS</t>
  </si>
  <si>
    <t>03.07.03.01</t>
  </si>
  <si>
    <t>CLOSET DE MELAMINE 18 MM, COLOR BLANCO, S/DISEÑO</t>
  </si>
  <si>
    <t>CLOSET DE MELAMINE</t>
  </si>
  <si>
    <t>03.08</t>
  </si>
  <si>
    <t>CARPINTERIA METALICA Y HERRERIA</t>
  </si>
  <si>
    <t>03.08.01</t>
  </si>
  <si>
    <t>VENTANAS  DE FIERRO</t>
  </si>
  <si>
    <t>03.08.01.01</t>
  </si>
  <si>
    <t>VENTANA DE FIERRO DE 0.60 X 0.60 M, APERSIANADA</t>
  </si>
  <si>
    <t>VENTANA DE FIERRO DE 60X 0.60 M, APERSIANADA</t>
  </si>
  <si>
    <t>03.08.02</t>
  </si>
  <si>
    <t>PUERTAS DE FIERRO</t>
  </si>
  <si>
    <t>03.08.02.01</t>
  </si>
  <si>
    <t>PUERTA METAL  DE 0.80X2.10 M, C/MARCO 1 1/4"X1 1/4"X1/8"</t>
  </si>
  <si>
    <t>PUERTA METAL.INCL. MARCO-PINT 0.8 X 2.1M</t>
  </si>
  <si>
    <t>03.08.03</t>
  </si>
  <si>
    <t>BARANDAS METALICAS</t>
  </si>
  <si>
    <t>03.08.03.01</t>
  </si>
  <si>
    <t>BARANDA METALICA ESCALERA, TUBERIA F.N. DE 2"</t>
  </si>
  <si>
    <t>BARANDA DE TUBERIA DE FIERRO NEGRO 2", PINTADO Y COLOCADO</t>
  </si>
  <si>
    <t>03.08.04</t>
  </si>
  <si>
    <t>PASAMANOS AISLADOS</t>
  </si>
  <si>
    <t>03.08.04.01</t>
  </si>
  <si>
    <t>PASAMANOS DE TUBO METALICO DE   1 1/2"</t>
  </si>
  <si>
    <t>PASAMANOS DE TUBERIA DE FIERRO NEGRO 1 1/2", PINTADO Y COLOCADO</t>
  </si>
  <si>
    <t>03.08.05</t>
  </si>
  <si>
    <t>ESCALERAS METALICAS</t>
  </si>
  <si>
    <t>03.08.05.01</t>
  </si>
  <si>
    <t>ESCALERA DE GATO PARA ACCESO A CTO MAQUINAS ASCENSOR</t>
  </si>
  <si>
    <t>SOLDADURA</t>
  </si>
  <si>
    <t>LIJA DE F°</t>
  </si>
  <si>
    <t>PINTURA ANTICORROSIVA ZINCROMATO</t>
  </si>
  <si>
    <t>TUB. FIERRO NEGRO DE 1" x 6.4m</t>
  </si>
  <si>
    <t>03.08.05.02</t>
  </si>
  <si>
    <t>DESCANSO METALICO Y BARANDA INGRESO CTO DE MAQUINAS</t>
  </si>
  <si>
    <t>PINTURA OLEO MATE</t>
  </si>
  <si>
    <t>PLANCHA ACERO 1.3mm x 1.22m x 2.40m</t>
  </si>
  <si>
    <t>TUB. FIERRO NEGRO DE 1 1/2" x 6.4m</t>
  </si>
  <si>
    <t>03.08.06</t>
  </si>
  <si>
    <t>ELEMENTOS METALICOS ESPECIALES</t>
  </si>
  <si>
    <t>03.08.06.01</t>
  </si>
  <si>
    <t>TAPA METALICA SANITARIA PARA CISTERNA / TANQUE ELEVADO 60X60 CM</t>
  </si>
  <si>
    <t>TAPA METALICA SANITARIA DE 60X60 CM, MARCO ANGULO 1", PLANCHA ESTRIADA DE 1/16"</t>
  </si>
  <si>
    <t>03.08.06.02</t>
  </si>
  <si>
    <t>REJILLA SUMIDERO DE 20X20 CM - PLATINA 1" X 1/8" @ 1/2" Y MARCO "L" DE 1"</t>
  </si>
  <si>
    <t>REJILLA C/PERFIL 1" X 1/8" + L1"</t>
  </si>
  <si>
    <t>03.08.06.03</t>
  </si>
  <si>
    <t>TAPA METALICA DESMONTABLE 0.90X0.90M, CTO MAQUINAS ASCENSOR</t>
  </si>
  <si>
    <t>TAPA METALICA DESMONTABLE, DE 90X90 CM, MARCO ANGULO 1", PLANCHA ESTRIADA DE 1/16"</t>
  </si>
  <si>
    <t>03.08.06.04</t>
  </si>
  <si>
    <t>REJILLA SUMIDERO DE 3.45X1.20 M - PLATINA 1" X 1/8" @ 1/2" Y MARCO "L" DE 1"</t>
  </si>
  <si>
    <t>03.09</t>
  </si>
  <si>
    <t>CERRAJERIA</t>
  </si>
  <si>
    <t>03.09.01</t>
  </si>
  <si>
    <t>BISAGRAS</t>
  </si>
  <si>
    <t>03.09.01.01</t>
  </si>
  <si>
    <t>BISAGRA CAPUCHINA ALUMINIZADA DE 3 1/2" X 3 1/2"</t>
  </si>
  <si>
    <t>BISAGRA ALUMINIZ.CAPUCHINA 3 1/2"x3 1/2"</t>
  </si>
  <si>
    <t>03.09.01.02</t>
  </si>
  <si>
    <t>BISAGRA CAPUCHINA ALUMINIZADA DE 3" X 3"</t>
  </si>
  <si>
    <t>BISAGRA ALUMINIZADA 3"x3"</t>
  </si>
  <si>
    <t>03.09.02</t>
  </si>
  <si>
    <t>CERRADURAS</t>
  </si>
  <si>
    <t>03.09.02.01</t>
  </si>
  <si>
    <t>CERRADURA PARA PTA. PRINCIPAL YALE  C/MANIJA DOS GOLPES</t>
  </si>
  <si>
    <t>CERRADURA PRINCIPAL INC MANIJA NACIONAL</t>
  </si>
  <si>
    <t>03.09.02.02</t>
  </si>
  <si>
    <t>CERRADURA TIPO PERILLA PUERTA INTERIOR</t>
  </si>
  <si>
    <t>CERRADURA INTERIOR DE PERILLA MARCA ULIX</t>
  </si>
  <si>
    <t>03.09.02.03</t>
  </si>
  <si>
    <t>CERRADURA PUERTA DE BAÑO C/SEGURO INTERIOR</t>
  </si>
  <si>
    <t>CERRADURA ALPHA PUERTA BAÑO LIVIANA</t>
  </si>
  <si>
    <t>03.09.02.04</t>
  </si>
  <si>
    <t>CERRADURA TIPO PARCHE FORTE 220</t>
  </si>
  <si>
    <t>03.09.02.05</t>
  </si>
  <si>
    <t>CERRADURA ELECTRICA TIPO PARCHE YALE</t>
  </si>
  <si>
    <t>CERRADURA ELECTRICA DE SOBREPONER YALE, INCLUYE TRANFORMADOR</t>
  </si>
  <si>
    <t>03.10</t>
  </si>
  <si>
    <t>VIDRIOS, CRISTALES Y SIMILARES</t>
  </si>
  <si>
    <t>03.10.01</t>
  </si>
  <si>
    <t>VENTANA CORREDIZA DE ALUMINIO PFK INCOLORO DE 4 MM</t>
  </si>
  <si>
    <t>VENTANA CORREDIZA ALUMINIO PFK CRISTAL INCOLORO DE DE 4 MM</t>
  </si>
  <si>
    <t>03.10.02</t>
  </si>
  <si>
    <t>PUERTA DE ALUMINIO PFK CRISTAL INCOLORO</t>
  </si>
  <si>
    <t>PUERTA DE  ALUMINIO PFK CRISTAL INCOLORO DE 6 MM</t>
  </si>
  <si>
    <t>03.10.03</t>
  </si>
  <si>
    <t>MAMPARA DE ALUMINIO PFK CRISTAL INCOLORO</t>
  </si>
  <si>
    <t>MAMPARA CORREDIZA ALUMINIO PFK CRISTAL INCOLORO DE 6 MM</t>
  </si>
  <si>
    <t>03.10.04</t>
  </si>
  <si>
    <t>BARANDA DE VIDRIO TEMPLADO DE 10 MM,  INC. ACCS.</t>
  </si>
  <si>
    <t>BARANDA DE CRISTAL TEMPLADO COLOR BRONCE 10 MM.</t>
  </si>
  <si>
    <t>03.11</t>
  </si>
  <si>
    <t>PINTURA</t>
  </si>
  <si>
    <t>03.11.01</t>
  </si>
  <si>
    <t>PINTURA DE CIELOS RASOS, VIGAS, COLUMNAS Y PAREDES</t>
  </si>
  <si>
    <t>03.11.01.01</t>
  </si>
  <si>
    <t>PINTURA DURALATEX EMPASTADO EN MUROS INTERIORES</t>
  </si>
  <si>
    <t>YESO CERAMICO</t>
  </si>
  <si>
    <t>SELLADOR PARA PARED</t>
  </si>
  <si>
    <t>IMPRIMANTE</t>
  </si>
  <si>
    <t>LIJA DE TELA ESMERIL ASA GR. 60</t>
  </si>
  <si>
    <t>plg</t>
  </si>
  <si>
    <t>PINTURA DURALATEX CPP</t>
  </si>
  <si>
    <t>03.11.01.02</t>
  </si>
  <si>
    <t>PINTURA DURALATEX EMPASTADO EN MUROS EXTERIORES</t>
  </si>
  <si>
    <t>03.11.01.03</t>
  </si>
  <si>
    <t>PINTURA LATEX PATO EMPASTADO EN CIELO RASO</t>
  </si>
  <si>
    <t>PINTURA LATEX PATO CPP</t>
  </si>
  <si>
    <t>03.11.02</t>
  </si>
  <si>
    <t>PINTURA DE PUERTAS</t>
  </si>
  <si>
    <t>03.11.02.01</t>
  </si>
  <si>
    <t>PINTURA DE PUERTAS DE MADERA CON DUCO</t>
  </si>
  <si>
    <t>BASE  DUCO</t>
  </si>
  <si>
    <t>LACA A LA PIROXILINA</t>
  </si>
  <si>
    <t>BROCHA DE 4"</t>
  </si>
  <si>
    <t>03.11.03</t>
  </si>
  <si>
    <t>PINTURA DE CARPINTERIA METALICA</t>
  </si>
  <si>
    <t>03.11.03.01</t>
  </si>
  <si>
    <t>PINTURA DE VENTANAS METALICAS CON ESMALTE</t>
  </si>
  <si>
    <t>PINTURA ESMALTE SINTETICO</t>
  </si>
  <si>
    <t>PINTURA BASE ZINCROMATO TEKNO</t>
  </si>
  <si>
    <t>03.11.03.02</t>
  </si>
  <si>
    <t>PINTURA DE PUERTAS METALICAS CON ESMALTE</t>
  </si>
  <si>
    <t>03.11.03.03</t>
  </si>
  <si>
    <t>PINTURA EN BARANDAS METALICAS CON ESMALTE</t>
  </si>
  <si>
    <t>MASILLA GRIS PARA METAL</t>
  </si>
  <si>
    <t>LIJA DE FIERRO # 80</t>
  </si>
  <si>
    <t>03.11.03.04</t>
  </si>
  <si>
    <t>PINTURA DE PASAMANOS METALICOS CON ESMALTE</t>
  </si>
  <si>
    <t>03.11.03.05</t>
  </si>
  <si>
    <t>PINTURA DE ESCALERAS METALICAS CON ESMALTE</t>
  </si>
  <si>
    <t>03.12</t>
  </si>
  <si>
    <t>VARIOS, LIMPIEZA Y JARDINERIA</t>
  </si>
  <si>
    <t>03.12.01</t>
  </si>
  <si>
    <t>LIMPIEZA AL FINAL DE LA OBRA</t>
  </si>
  <si>
    <t>03.12.02</t>
  </si>
  <si>
    <t>JUNTAS ASFALTICAS</t>
  </si>
  <si>
    <t>ASFALTO RC-250</t>
  </si>
  <si>
    <t>KEROSENE DOMESTICO</t>
  </si>
  <si>
    <t>03.13</t>
  </si>
  <si>
    <t>OTROS</t>
  </si>
  <si>
    <t>03.13.01</t>
  </si>
  <si>
    <t>SARDINEL DE CONCRETO PARA DUCHASDE 0.10 X 0.30 X 1.20 M</t>
  </si>
  <si>
    <t>03.13.02</t>
  </si>
  <si>
    <t>TABLERO DE GRANITO CRISTALIO L=1.30 M EN BAÑO PRINCIPAL</t>
  </si>
  <si>
    <t>TABLERO DE GRANITO CRISTALIO L=1.30, SEGUN DISEÑO</t>
  </si>
  <si>
    <t>03.13.03</t>
  </si>
  <si>
    <t>TABLERO DE GRANITO CRISTALIO EN COCINAS</t>
  </si>
  <si>
    <t>TABLERO DE GRANITO CRISTALIO</t>
  </si>
  <si>
    <t>04</t>
  </si>
  <si>
    <t>INSTALACIONES SANITARIAS</t>
  </si>
  <si>
    <t>04.01</t>
  </si>
  <si>
    <t>APARATOS Y ACCESORIOS SANITARIOS</t>
  </si>
  <si>
    <t>04.01.01</t>
  </si>
  <si>
    <t>SUMINISTRO E INSTALACION DE APARATOS SANITARIOS</t>
  </si>
  <si>
    <t>04.01.01.01</t>
  </si>
  <si>
    <t>INODORO ONE PIECE BUZIOS, COLOR BLANCO, INC. TAPA Y ACCESORIOS</t>
  </si>
  <si>
    <t>PERNO DE ANCLAJE PARA INODORO</t>
  </si>
  <si>
    <t>INODORO ONE PIECE BUZIOS, COLOR BLANCO, INC. ACC.</t>
  </si>
  <si>
    <t>TUBO ABAS.CU.FLEX.TERM/M-H 1/2"x5/8"30cm</t>
  </si>
  <si>
    <t>ASIENTODE MELAMINE ONE PIECE COLOR BLANCO</t>
  </si>
  <si>
    <t>TARUGO DE PLASTICO DE 3/8"</t>
  </si>
  <si>
    <t>CUELLO DE CERA PARA INODORO</t>
  </si>
  <si>
    <t>04.01.01.02</t>
  </si>
  <si>
    <t>INODORO RAPID JET, COLOR BLANCO, INC. TAPA Y ACCESORIOS</t>
  </si>
  <si>
    <t>INODORO RAPID JET  COLOR  BLANCO, CON ACCESORIOS</t>
  </si>
  <si>
    <t>ASIENTO W.C. PLASTICO</t>
  </si>
  <si>
    <t>04.01.01.03</t>
  </si>
  <si>
    <t>LAVATORIO OVALIN TREBOL MODELO SONNET, COLOR BLANCO, CON MEZCLADORA Y ACCESORIOS</t>
  </si>
  <si>
    <t>DESAGUE P/LAVAT.CROM. 1 1/4"</t>
  </si>
  <si>
    <t>TRAMPA "P" CROMADA P/LAVAT.JAMECO 1 1/4"</t>
  </si>
  <si>
    <t>TUBO PROLONG.P/DES/BCE/CROM 1 1/4"X5"C/TUERCA</t>
  </si>
  <si>
    <t>MEZCLADORA DE 4" PARA LAVATORIO MODELO CANCUN ITALGRIF</t>
  </si>
  <si>
    <t>TUBO ABAS.CU.FLEX.TERM/M-H 1/2"x1/2"30cm</t>
  </si>
  <si>
    <t>LAVATORIO OVALIN TREBOL, MODELO SONNET, COLOR BLANCO</t>
  </si>
  <si>
    <t>04.01.01.04</t>
  </si>
  <si>
    <t>LAVATORIO TREBOL MODELO MANCORA, COLOR BLANCO, CON PEDESTAL Y MEZCLADORA</t>
  </si>
  <si>
    <t>PEDESTAL PARA LAVATORIO MODELO MANCORA COLOR BLANCO</t>
  </si>
  <si>
    <t>LAVATORIO TREBOL MODELO MANCORA COLOR BLANCO</t>
  </si>
  <si>
    <t>DESAGUE P/LAVT.1 1/4"x4"CROM.C/TAP.CADEN</t>
  </si>
  <si>
    <t>UÑAS PARA LAVATORIO</t>
  </si>
  <si>
    <t>CINTA TEFLON</t>
  </si>
  <si>
    <t>SILICONA</t>
  </si>
  <si>
    <t>TUB</t>
  </si>
  <si>
    <t>04.01.01.05</t>
  </si>
  <si>
    <t>LAVADERO DE ROPA, TREBOL AMAZONAS COLOR BLANCO, CON MEZCLADORA</t>
  </si>
  <si>
    <t>VOLANDAS PLANAS DE 1/4" DE F.G.</t>
  </si>
  <si>
    <t>DESAGUE P/LAVAD. BLANCO 1 1/4" P.V.C.</t>
  </si>
  <si>
    <t>MEZCLADORA DE PARED ITALGRIF, CUELLO DE GANSO PARA LAVADERO</t>
  </si>
  <si>
    <t>LAVADERO DE ROPA TREBOL, MODELO AMAZONAS</t>
  </si>
  <si>
    <t>TRAMPA "P" C/REG. 2" DESAGUE</t>
  </si>
  <si>
    <t>04.01.01.06</t>
  </si>
  <si>
    <t>LAVADERO DE COCINA DE ACERO INOXIDABLE 1 POZA 36X40 CM, S/ESCURRIDERO</t>
  </si>
  <si>
    <t>LAV.DE ACERO INOX.DE UNA POZA 36 X 40 CM</t>
  </si>
  <si>
    <t>GRIFO DE LAVADERO TIPO CUELLO DE GANSO VAINSA</t>
  </si>
  <si>
    <t>TRAMPA "P" CROMADA P/LAVAD.METUSA 1 1/2"</t>
  </si>
  <si>
    <t>SIKAFLEX 11 FC-GRIS X 310 ml</t>
  </si>
  <si>
    <t>CINTA MASKINGTAPE</t>
  </si>
  <si>
    <t>04.01.02</t>
  </si>
  <si>
    <t>ACCESORIOS</t>
  </si>
  <si>
    <t>04.01.02.01</t>
  </si>
  <si>
    <t>PAPELERA DE LOSA DE ADOSAR Y BARRA PLASTICA, COLOR BONE</t>
  </si>
  <si>
    <t>PAPELERA DE LOZA DE ADOSAR, COLOR BONE,  INCL. EJE</t>
  </si>
  <si>
    <t>CINTA ADHESIVA DOBLE FAZ DE 1" X 5 M</t>
  </si>
  <si>
    <t>CINTA ADHESIVA DE EMBALAJE PEGAFAN DE 2"</t>
  </si>
  <si>
    <t>04.01.02.02</t>
  </si>
  <si>
    <t>JABONERA DE ADOSAR DE LOSA, COLOR BONE</t>
  </si>
  <si>
    <t>JABONERA DE LOSA, DE ADOSAR,  COLOR BONE</t>
  </si>
  <si>
    <t>04.01.02.03</t>
  </si>
  <si>
    <t>PERCHERO SIMPLE DE LOZA, COLOR BONE</t>
  </si>
  <si>
    <t>GANCHO DE LOSA, DE ADOSAR, COLOR BONE</t>
  </si>
  <si>
    <t>04.02</t>
  </si>
  <si>
    <t>SISTEMA DE AGUA FRIA</t>
  </si>
  <si>
    <t>04.02.01</t>
  </si>
  <si>
    <t>SALIDAS DE AGUA FRIA</t>
  </si>
  <si>
    <t>04.02.01.01</t>
  </si>
  <si>
    <t>SALIDA DE AGUA FRIA CON TUBERIA DE PVC-SAP 1/2"</t>
  </si>
  <si>
    <t>Pto</t>
  </si>
  <si>
    <t>PEGAMENTO P/PVC NICOLL ETERPLAST 1/16GLN</t>
  </si>
  <si>
    <t>HOJA DE SIERRA</t>
  </si>
  <si>
    <t>CODO F° GALV. DE 1/2" X 90°</t>
  </si>
  <si>
    <t>TAPON  F° GALVANIZADO 1/2" MACHO</t>
  </si>
  <si>
    <t>TUB. PVC SAP PRESION C-10 R. 1/2"x5m</t>
  </si>
  <si>
    <t>CODO DE 90°C/R PVC SAP P/AGUA DE 1/2"</t>
  </si>
  <si>
    <t>TEE PVC SAP DE 1/2" C/R PARA AGUA</t>
  </si>
  <si>
    <t>ADAPTADOR PVC SAP 1/2"</t>
  </si>
  <si>
    <t>04.02.01.02</t>
  </si>
  <si>
    <t>SALIDA DE AGUA FRIA CON TUBERIA DE PVC-SAP 3/4"</t>
  </si>
  <si>
    <t>CODO F° GALV. DE 3/4" X 90°</t>
  </si>
  <si>
    <t>TAPON  F° GALVANIZADO 3/4" MACHO</t>
  </si>
  <si>
    <t>TUB. PVC SAP PRESION C-10 R. 3/4"x5m</t>
  </si>
  <si>
    <t>CODO DE 90°C/R PVC SAP P/AGUA DE 3/4"</t>
  </si>
  <si>
    <t>TEE PVC SAP DE 3/4" C/R PARA AGUA</t>
  </si>
  <si>
    <t>ADAPTADOR PVC SAP 3/4"</t>
  </si>
  <si>
    <t>04.02.02</t>
  </si>
  <si>
    <t>REDES  DE DISTRIBUCION</t>
  </si>
  <si>
    <t>04.02.02.01</t>
  </si>
  <si>
    <t>RED DE DISTRIBUCION TUBERIA DE 1/2"PVC-SAP</t>
  </si>
  <si>
    <t>PEGAMENTO PARA PVC AGUA FORDUIT</t>
  </si>
  <si>
    <t>SELLADOR DE UNIONES ADEX X 1/16 GALON</t>
  </si>
  <si>
    <t>FCO</t>
  </si>
  <si>
    <t>CODO PVC SAP (AGUA) CON ROSCA 1/2"X90°</t>
  </si>
  <si>
    <t>04.02.02.02</t>
  </si>
  <si>
    <t>RED DE DISTRIBUCION TUBERIA DE 3/4" PVC-SAP</t>
  </si>
  <si>
    <t>TUB. PVC SAP PRESION C-10 C/R. 3/4" x 5m</t>
  </si>
  <si>
    <t>CODO PVC SAP (AGUA) CON ROSCA 3/4"X 90°</t>
  </si>
  <si>
    <t>04.02.02.03</t>
  </si>
  <si>
    <t>RED DE DISTRIBUCION TUBERIA DE  1" PVC-SAP</t>
  </si>
  <si>
    <t>PEGAMENTO PARA PVC</t>
  </si>
  <si>
    <t>TUB. PVC SAP PRESION C-10 R. 1" x 5m</t>
  </si>
  <si>
    <t>TEE PVC SAP DE 1" C/R PARA AGUA</t>
  </si>
  <si>
    <t>CODO PVC SAP (AGUA) CON ROSCA 1" X 90°</t>
  </si>
  <si>
    <t>04.02.02.04</t>
  </si>
  <si>
    <t>RED DE DISTRIBUCION TUBERIA DE 1 1/2"PVC-SAP</t>
  </si>
  <si>
    <t>TUB. PVC SAP PRESION C-10 C/R 1 11/2" X 5 M</t>
  </si>
  <si>
    <t>TEE PVC SAP DE 1 1/2" C/R PARA AGUA</t>
  </si>
  <si>
    <t>CODO PVC SAP (AGUA) CON ROSCA 1 1/2" X 90°</t>
  </si>
  <si>
    <t>04.02.02.05</t>
  </si>
  <si>
    <t>RED DE DISTRIBUCION TUBERIA DE  2" PVC-SAP</t>
  </si>
  <si>
    <t>TUB. PVC SAP PRESION C-10 R. 2" x 5m</t>
  </si>
  <si>
    <t>TEE PVC SAP DE  2" C/R PARA AGUA</t>
  </si>
  <si>
    <t>CODO PVC SAP (AGUA) CON ROSCA 2" X 90°</t>
  </si>
  <si>
    <t>04.02.02.06</t>
  </si>
  <si>
    <t>PRUEBA HIDRAULICA Y  DESINFECCION DE TUBERIA</t>
  </si>
  <si>
    <t>PRUEBA HIDRAULICA</t>
  </si>
  <si>
    <t>04.02.03</t>
  </si>
  <si>
    <t>REDES DE ALIMENTACION</t>
  </si>
  <si>
    <t>04.02.03.01</t>
  </si>
  <si>
    <t>EXC. MANUAL DE ZANJA PARA TUBERIA DE AGUA H=0.70 M, EN MATERIAL SUELTO</t>
  </si>
  <si>
    <t>EXCAVACION MANUAL DE ZANJA PARA TUBERIA DE AGUA H=0.70 M, EN MATERIAL SUELTO</t>
  </si>
  <si>
    <t>04.02.03.02</t>
  </si>
  <si>
    <t>RELLENO COMP. ZANJA T.-NORMAL P/TUBERIA  AGUA POTABLE</t>
  </si>
  <si>
    <t>RELLENO COMPACTADO ZANJA T. NORMAL P/TUBERIA AGUA POTABLE</t>
  </si>
  <si>
    <t>04.02.03.03</t>
  </si>
  <si>
    <t>RED DE ALIMENTACION DE AGUA TUBERIA 3/4"</t>
  </si>
  <si>
    <t>TUBERIA PVC 3/4" S/R</t>
  </si>
  <si>
    <t>CODO DE 90º SP PVC SAP P/AGUA DE 3/4"</t>
  </si>
  <si>
    <t>TEE PVC SAP EMBONE 3/4"</t>
  </si>
  <si>
    <t>04.02.03.04</t>
  </si>
  <si>
    <t>04.02.04</t>
  </si>
  <si>
    <t>REDES DE IMPULSION</t>
  </si>
  <si>
    <t>04.02.04.01</t>
  </si>
  <si>
    <t>RED DE IMPULSION TUBERIA DE  2" PVC-SAP</t>
  </si>
  <si>
    <t>TUB. PVC SAP PRESION C-10 EC 2" x 5m</t>
  </si>
  <si>
    <t>04.02.04.02</t>
  </si>
  <si>
    <t>04.02.05</t>
  </si>
  <si>
    <t>VALVULAS Y OTROS</t>
  </si>
  <si>
    <t>04.02.05.01</t>
  </si>
  <si>
    <t>VALVULAS DE COMPUERTA DE BRONCE DE 1/2"</t>
  </si>
  <si>
    <t>UNION UNIVERSAL DE Fo. GALV. DE 1/2"</t>
  </si>
  <si>
    <t>NIPLE DE Fo Go DE  1/2" x 1 1/2"</t>
  </si>
  <si>
    <t>VALVULA COMPUERTA DE BRONCE DE 1/2"</t>
  </si>
  <si>
    <t>04.02.05.02</t>
  </si>
  <si>
    <t>VALVULAS DE COMPUERTA DE BRONCE DE 3/4"</t>
  </si>
  <si>
    <t>UNION UNIVERSAL DE Fo. GALV. DE 3/4"</t>
  </si>
  <si>
    <t>NIPLE DE Fo Go DE  3/4" x 1 1/2"</t>
  </si>
  <si>
    <t>ADAPTADOR PVC DE 3/4"</t>
  </si>
  <si>
    <t>VALVULA COMPUERTA DE BRONCE DE 3/4"</t>
  </si>
  <si>
    <t>04.02.05.03</t>
  </si>
  <si>
    <t>VALVULAS DE COMPUERTA DE BRONCE DE 1"</t>
  </si>
  <si>
    <t>ADAPTADOR PVC SAP 1"</t>
  </si>
  <si>
    <t>UNION UNIVERSAL DE Fo. GALV. DE 1"</t>
  </si>
  <si>
    <t>NIPLE DE Fo Go DE 1"</t>
  </si>
  <si>
    <t>VALVULA COMPUERTA DE BRONCE DE 1"</t>
  </si>
  <si>
    <t>04.02.05.04</t>
  </si>
  <si>
    <t>VALVULAS DE COMPUERTA DE BRONCE DE 1 1/2"</t>
  </si>
  <si>
    <t>ADAPTADOR PVC SAP 1 1/2"</t>
  </si>
  <si>
    <t>UNION UNIVERSAL DE Fo. GALV. DE 1 1/2"</t>
  </si>
  <si>
    <t>NIPLE DE F° GALV. DE 1 1/2" X 2"</t>
  </si>
  <si>
    <t>VALVULA COMPUERTA DE BRONCE DE 1 1/2"</t>
  </si>
  <si>
    <t>04.02.05.05</t>
  </si>
  <si>
    <t>VALVULAS DE COMPUERTA DE BRONCE DE 2"</t>
  </si>
  <si>
    <t>UNION UNIVERSAL DE Fo. GALV. DE 2"</t>
  </si>
  <si>
    <t>NIPLE DE F° GALV. DE 2" X 2"</t>
  </si>
  <si>
    <t>VALVULA COMPUERTA DE BRONCE DE 2"</t>
  </si>
  <si>
    <t>04.02.05.06</t>
  </si>
  <si>
    <t>VALVULA FLOTADORA DE 3/4"</t>
  </si>
  <si>
    <t>VALVULA FLOTADORA 3/4"</t>
  </si>
  <si>
    <t>04.02.05.07</t>
  </si>
  <si>
    <t>CAJA DE VALVULAS CON TAPA DE PVC</t>
  </si>
  <si>
    <t>TAPA CAJA DE VALVULAS DE PVC DE 30X30 CM</t>
  </si>
  <si>
    <t>04.02.05.08</t>
  </si>
  <si>
    <t>MEDIDOR DE AGUA DE 1/2"</t>
  </si>
  <si>
    <t>ACCESORIOS PVC SAP  PARA MEDIDORES DE AGUA DE 1/2"</t>
  </si>
  <si>
    <t>KIT</t>
  </si>
  <si>
    <t>04.02.05.09</t>
  </si>
  <si>
    <t>MEDIDOR DE AGUA DE 3/4"</t>
  </si>
  <si>
    <t>ACCESORIOS PVC SAP  PARA MEDIDORES DE AGUA DE 3/4"</t>
  </si>
  <si>
    <t>04.02.05.10</t>
  </si>
  <si>
    <t>TAPAS DE MELAMINE PARA MEDIDORES DE AGUA DE 0.50 X 0.90 M</t>
  </si>
  <si>
    <t>TAPA DE MELAMINE DE 0.50 X 0.90 M, INC. MARCO Y BISAGRAS</t>
  </si>
  <si>
    <t>04.03</t>
  </si>
  <si>
    <t>SISTEMA DE AGUA CALIENTE</t>
  </si>
  <si>
    <t>04.03.01</t>
  </si>
  <si>
    <t>SALIDAS DE AGUA CALIENTE</t>
  </si>
  <si>
    <t>04.03.01.01</t>
  </si>
  <si>
    <t>SALIDA DE AGUA CALIENTE CON TUBERIA CPVC DE 1/2"</t>
  </si>
  <si>
    <t>PEGAMENTO P/TUBO CPVC x 250 ML.</t>
  </si>
  <si>
    <t>TUBO CPVC AGUA CALIENTE 1/2" x 5M</t>
  </si>
  <si>
    <t>CODO DE 90° CPVC P/AGUA CALIENTE DE 1/2"</t>
  </si>
  <si>
    <t>TEE CPVC P/AGUA CALIENTE DE 1/2"</t>
  </si>
  <si>
    <t>04.03.01.02</t>
  </si>
  <si>
    <t>SALIDA DE AGUA CALIENTE CON TUBERIA CPVC DE 3/4"</t>
  </si>
  <si>
    <t>TUBO CPVC AGUA CALIENTE 3/4" X 5 M</t>
  </si>
  <si>
    <t>CODO DE 90° CPVC P/AGUA CALIENTE DE 3/4"</t>
  </si>
  <si>
    <t>TEE CPVC P/AGUA CALIENTE DE 3/4"</t>
  </si>
  <si>
    <t>04.03.02</t>
  </si>
  <si>
    <t>REDES DE DISTRIBUCION DE AGUA CALIENTE</t>
  </si>
  <si>
    <t>04.03.02.01</t>
  </si>
  <si>
    <t>RED DE DISTRIBUCION DE AGUA CALIENTE TUB. CPVC D=1/2"</t>
  </si>
  <si>
    <t>UNION DOBLE CAMPANA CPVC P/AGUA CAL 1/2"</t>
  </si>
  <si>
    <t>04.03.02.02</t>
  </si>
  <si>
    <t>RED DE DISTRIBUCION DE AGUA CALIENTE TUB. CPVC D=3/4"</t>
  </si>
  <si>
    <t>UNION DOBLE CAMPANA CPVC P/AGUA CAL 3/4"</t>
  </si>
  <si>
    <t>04.03.03</t>
  </si>
  <si>
    <t>04.03.03.01</t>
  </si>
  <si>
    <t>04.03.03.02</t>
  </si>
  <si>
    <t>04.03.03.03</t>
  </si>
  <si>
    <t>04.04</t>
  </si>
  <si>
    <t>SISTEMA DE DRENAJE PLUVIAL</t>
  </si>
  <si>
    <t>04.04.01</t>
  </si>
  <si>
    <t>PUNTOS DE RECOLECCION</t>
  </si>
  <si>
    <t>04.04.01.01</t>
  </si>
  <si>
    <t>SALIDAS DE PVC SAL PARA DESAGUE PLUVIAL DE 2"</t>
  </si>
  <si>
    <t>PEGAMENTO PARA TUBERIA PVC 1/4 GLN</t>
  </si>
  <si>
    <t>TUB. PVC SAL P/DESAGUE DE 2"</t>
  </si>
  <si>
    <t>CODO DE 90 PVC SAL DE 2"</t>
  </si>
  <si>
    <t>04.04.02</t>
  </si>
  <si>
    <t>RED DE RECOLECCION</t>
  </si>
  <si>
    <t>04.04.02.01</t>
  </si>
  <si>
    <t>RED DE RECOLECCION PVC SAL PARA DESAGUE PLUVIAL DE 2"</t>
  </si>
  <si>
    <t>TUBERIA PVC SAL 2"</t>
  </si>
  <si>
    <t>YEE PVC SAL DE 2" X 2"</t>
  </si>
  <si>
    <t>04.04.03</t>
  </si>
  <si>
    <t>REDES COLECTORAS</t>
  </si>
  <si>
    <t>04.04.03.01</t>
  </si>
  <si>
    <t>EXC. MANUAL DE ZANJA PARA TUBERIA DE DESAGUE PLUVIAL  H=0.70 M, EN MATERIAL SUELTO</t>
  </si>
  <si>
    <t>04.04.03.02</t>
  </si>
  <si>
    <t>RELLENO COMP. ZANJA T.-NORMAL P/TUBERIA  DE DESAGUE PLUVIAL</t>
  </si>
  <si>
    <t>COMPACTADOR VIBR. TIPO PLANCHA 4 HP</t>
  </si>
  <si>
    <t>04.04.03.03</t>
  </si>
  <si>
    <t>RED COLECTORA DE DESAGUE PVC-SAL DE 3"</t>
  </si>
  <si>
    <t>TUB. PVC SAL P/DESAGUE DE 3" x 3 m</t>
  </si>
  <si>
    <t>04.04.04</t>
  </si>
  <si>
    <t>MONTANTES DE RECOLECCION</t>
  </si>
  <si>
    <t>04.04.04.01</t>
  </si>
  <si>
    <t>RED PARA MONTANTE DE DESAGUE PLUVIAL PVC SAL DE 2"</t>
  </si>
  <si>
    <t>TUB. PVC SAL P/DESAGUE DE 2" x 3 m</t>
  </si>
  <si>
    <t>04.05</t>
  </si>
  <si>
    <t>SISTEMA DE DESAGUE Y VENTILACION</t>
  </si>
  <si>
    <t>04.05.01</t>
  </si>
  <si>
    <t>SALIDAS  DE DESAGUE</t>
  </si>
  <si>
    <t>04.05.01.01</t>
  </si>
  <si>
    <t>SALIDAS DE PVC SAL PARA DESAGUE DE 4"</t>
  </si>
  <si>
    <t>TUB. PVC SAL P/DESAGUE DE 4"</t>
  </si>
  <si>
    <t>RAMAL YEE DOBLE PVC SAL DE 4"</t>
  </si>
  <si>
    <t>TEE SANITARIA SIMPLE PVC SAL DE 4"</t>
  </si>
  <si>
    <t>CODO VENTILACION PVC SAL 4" X 2"</t>
  </si>
  <si>
    <t>YEE PVC SAL DE 4" X 2"</t>
  </si>
  <si>
    <t>04.05.01.02</t>
  </si>
  <si>
    <t>SALIDAS DE PVC SAL PARA DESAGUE DE 3"</t>
  </si>
  <si>
    <t>TUB. PVC SAL P/DESAGUE DE 3"</t>
  </si>
  <si>
    <t>CODO DE 90 PVC SAL DE 3"</t>
  </si>
  <si>
    <t>TEE SANITARIA SIMPLE PVC SAL 3" X 3"</t>
  </si>
  <si>
    <t>04.05.01.03</t>
  </si>
  <si>
    <t>SALIDAS DE PVC SAL PARA DESAGUE DE 2"</t>
  </si>
  <si>
    <t>CODO DE 45º PVC SAL DE 2"</t>
  </si>
  <si>
    <t>RAMAL YEE SIMPLE PVC SAL DE 2"</t>
  </si>
  <si>
    <t>04.05.02</t>
  </si>
  <si>
    <t>REDES  DE DERIVACION</t>
  </si>
  <si>
    <t>04.05.02.01</t>
  </si>
  <si>
    <t>RED DE DERIVACION PVC SAL PARA DESAGUE DE 4"</t>
  </si>
  <si>
    <t>TAPON HEMBRA PVC SAL P/DESAGUE DE 4"</t>
  </si>
  <si>
    <t>TUBERIA PVC SAL 4"</t>
  </si>
  <si>
    <t>04.05.02.02</t>
  </si>
  <si>
    <t>RED DE DERIVACION PVC SAL PARA DESAGUE DE 3"</t>
  </si>
  <si>
    <t>04.05.02.03</t>
  </si>
  <si>
    <t>RED DE DERIVACION PVC SAL PARA DESAGUE DE 2"</t>
  </si>
  <si>
    <t>04.05.03</t>
  </si>
  <si>
    <t>04.05.03.01</t>
  </si>
  <si>
    <t>EXC. MANUAL DE ZANJA PARA TUBERIA DE DESAGUE H=1.00 M</t>
  </si>
  <si>
    <t>04.05.03.02</t>
  </si>
  <si>
    <t>RELLENO COMP. ZANJA T.-NORMAL P/TUBERIA  DE DESAGUE</t>
  </si>
  <si>
    <t>04.05.03.03</t>
  </si>
  <si>
    <t>RED COLECTORA DE DESAGUE PVC-SAL DE 4"</t>
  </si>
  <si>
    <t>TUB. PVC SAL P/DESAGUE DE 4" x 3 m</t>
  </si>
  <si>
    <t>04.05.03.04</t>
  </si>
  <si>
    <t>04.05.03.05</t>
  </si>
  <si>
    <t>RED COLECTORA DE DESAGUE PVC-SAL DE 2"</t>
  </si>
  <si>
    <t>04.05.03.06</t>
  </si>
  <si>
    <t>RED COLECTORA  COLGANTE DE DESAGUE PVC-SAP DE 4"</t>
  </si>
  <si>
    <t>PERNO DE EXPANSION 1/2" x 4"</t>
  </si>
  <si>
    <t>COLGADORES  DE 4" PARA TUBO</t>
  </si>
  <si>
    <t>TUB. PVC SAP P/DESAGUE DE 4" x 3 m</t>
  </si>
  <si>
    <t>04.05.03.07</t>
  </si>
  <si>
    <t>RED COLECTORA COLGANTE DE DESAGUE PVC-SAP DE 3"</t>
  </si>
  <si>
    <t>COLGADORES  DE 3" PARA TUBO</t>
  </si>
  <si>
    <t>TUB. PVC SAP P/DESAGUE DE 3" x 3 m</t>
  </si>
  <si>
    <t>04.05.03.08</t>
  </si>
  <si>
    <t>RED COLECTORA COLGANTE DE DESAGUE PVC-SAP DE 2"</t>
  </si>
  <si>
    <t>COLGADORES  DE 2" PARA TUBO</t>
  </si>
  <si>
    <t>TUB. PVC SAP P/DESAGUE DE 2" x 3 m</t>
  </si>
  <si>
    <t>04.05.03.09</t>
  </si>
  <si>
    <t>RED PARA MONTANTE DE DESAGUE PVC SAL DE 4"</t>
  </si>
  <si>
    <t>04.05.03.10</t>
  </si>
  <si>
    <t>RED PARA MONTANTE DE DESAGUE PVC SAL DE 3"</t>
  </si>
  <si>
    <t>04.05.03.11</t>
  </si>
  <si>
    <t>PRUEBA HIDRAULICA DE TUBERIA DE DESAGUE</t>
  </si>
  <si>
    <t>TAPON HEMBRA PVC SAL P/DESAGUE DE 2"</t>
  </si>
  <si>
    <t>04.05.04</t>
  </si>
  <si>
    <t>04.05.04.01</t>
  </si>
  <si>
    <t>REGISTRO ROSCADO DE BRONCE CROMADO DE 4"</t>
  </si>
  <si>
    <t>04.05.04.02</t>
  </si>
  <si>
    <t>REGISTRO ROSCADO DE BRONCE CROMADO DE 3"</t>
  </si>
  <si>
    <t>04.05.04.03</t>
  </si>
  <si>
    <t>REGISTRO ROSCADO DE BRONCE CROMADO DE 2"</t>
  </si>
  <si>
    <t>04.05.04.04</t>
  </si>
  <si>
    <t>SUMIDERO DE BRONCE CROMADO DE 3"</t>
  </si>
  <si>
    <t>SUMIDERO CROMADO DE 3"</t>
  </si>
  <si>
    <t>04.05.04.05</t>
  </si>
  <si>
    <t>SUMIDERO DE BRONCE CROMADO DE 2"</t>
  </si>
  <si>
    <t>SUMIDERO CROMADO DE 2"</t>
  </si>
  <si>
    <t>04.05.05</t>
  </si>
  <si>
    <t>04.05.05.01</t>
  </si>
  <si>
    <t>ROMPEAGUAS 0.30 X 0.30 PARA TUBO DE 3" X 10"</t>
  </si>
  <si>
    <t>PLANCHA GALVANIZADA DE 1/16"</t>
  </si>
  <si>
    <t>NIPLE DE F° GALV. DE 3" X 10"</t>
  </si>
  <si>
    <t>04.05.06</t>
  </si>
  <si>
    <t>CAMARAS DE INSPECCION</t>
  </si>
  <si>
    <t>04.05.06.01</t>
  </si>
  <si>
    <t>CAJAS DE REGISTRO</t>
  </si>
  <si>
    <t>04.05.06.01.01</t>
  </si>
  <si>
    <t>CAJA DE REGISTRO DE CONCRETO DE 12"X24" C/TAPA DE CONCRETO</t>
  </si>
  <si>
    <t>ACERO CONSTRUCCION CORRUGADO</t>
  </si>
  <si>
    <t>04.05.06.01.02</t>
  </si>
  <si>
    <t>CAJA DE REGISTRO DE CONCRETO DE 18"X24"  C/TAPA DE CONCRETO</t>
  </si>
  <si>
    <t>04.06</t>
  </si>
  <si>
    <t>SISTEMA DE VENTILACION</t>
  </si>
  <si>
    <t>04.06.01</t>
  </si>
  <si>
    <t>SALIDAS  DE VENTILACION</t>
  </si>
  <si>
    <t>04.06.01.01</t>
  </si>
  <si>
    <t>SALIDAS DE PVC SAL PARA VENTILACION DE 2"</t>
  </si>
  <si>
    <t>04.06.02</t>
  </si>
  <si>
    <t>MONTANTES DE VENTILACION</t>
  </si>
  <si>
    <t>04.06.02.01</t>
  </si>
  <si>
    <t>RED P/COLUMNA DE VENTILACION PVC SAL DE 2"</t>
  </si>
  <si>
    <t>04.06.03</t>
  </si>
  <si>
    <t>04.06.03.01</t>
  </si>
  <si>
    <t>SOMBRERO PARA VENTILACION DE P.V.C. DE 4"</t>
  </si>
  <si>
    <t>SOMBRERO DE VENTILACION PVC SAL 4"</t>
  </si>
  <si>
    <t>04.06.03.02</t>
  </si>
  <si>
    <t>SOMBRERO PARA VENTILACION DE P.V.C. DE 3"</t>
  </si>
  <si>
    <t>SOMBRERO DE VENTILACION PVC SAL DE 3"</t>
  </si>
  <si>
    <t>04.06.03.03</t>
  </si>
  <si>
    <t>SOMBRERO PARA VENTILACION DE P.V.C. DE 2"</t>
  </si>
  <si>
    <t>SOMBRERO DE VENTILACION PVC SAL DE 2"</t>
  </si>
  <si>
    <t>05</t>
  </si>
  <si>
    <t>INSTALACIONES ELECTRICAS</t>
  </si>
  <si>
    <t>05.01</t>
  </si>
  <si>
    <t>CONEXIÓN A LA RED EXTERNA DE MEDIDORES</t>
  </si>
  <si>
    <t>05.01.01</t>
  </si>
  <si>
    <t>ACOMETIDAS DE MEDIDOR A TABLEROS</t>
  </si>
  <si>
    <t>05.01.01.01</t>
  </si>
  <si>
    <t>ALIMENTADOR  2x6MM2 THW+1X6MM2 THW/T</t>
  </si>
  <si>
    <t>CABLE ELECTRICO THW DE 6 mm2</t>
  </si>
  <si>
    <t>CINTA AISLANTE</t>
  </si>
  <si>
    <t>05.01.01.02</t>
  </si>
  <si>
    <t>ALIMENTADOR 3-1 x 25 MM2 THW + 1 x 16 MM2 THW/T</t>
  </si>
  <si>
    <t>CABLE ELECTRICO THW DE 16 mm2</t>
  </si>
  <si>
    <t>CABLE ELECTRICO THW DE 25 mm2</t>
  </si>
  <si>
    <t>05.01.02</t>
  </si>
  <si>
    <t>ALIMENTADORES Y/O SUBALIMENTADORES</t>
  </si>
  <si>
    <t>05.01.02.01</t>
  </si>
  <si>
    <t>CIRCUITO ELECTRICO 2 - 1 x 4 MM2 THW + 1 x 4 MM2 THW/T (TSG-1)</t>
  </si>
  <si>
    <t>CABLE ELECTRICO THW DE 4 mm2</t>
  </si>
  <si>
    <t>05.01.02.02</t>
  </si>
  <si>
    <t>CIRCUITO ELECTRICO 2 - 1 x 10 MM2 THW + 1 x 6 MM2 THW/T (T-ASC)</t>
  </si>
  <si>
    <t>CABLE  ELECTRICO THW DE 10 mm2</t>
  </si>
  <si>
    <t>05.01.02.03</t>
  </si>
  <si>
    <t>CIRCUITO ELECTRICO 3 - 1 x 6 MM2 THW + 1 x 6 MM2 THW/T (T-Bo)</t>
  </si>
  <si>
    <t>05.01.03</t>
  </si>
  <si>
    <t>CANALIZACION, CONDUCTOS O TUBERIAS</t>
  </si>
  <si>
    <t>05.01.03.01</t>
  </si>
  <si>
    <t>TUBERIA  PVC-SEL (ELECTRICAS) D=3/4" (20 MM)</t>
  </si>
  <si>
    <t>TUB. PVC SEL P/INST. ELECT. DE 1" x 3m</t>
  </si>
  <si>
    <t>CURVA LIVIANO PVC SEL P/INST. ELECT  1"</t>
  </si>
  <si>
    <t>UNION SP PVC SEL P/INST. ELECT. DE 1"</t>
  </si>
  <si>
    <t>CONEXION A CAJA PVC SEL P/INST ELECT 1"</t>
  </si>
  <si>
    <t>05.01.03.02</t>
  </si>
  <si>
    <t>TUBERIA  PVC-SEL (ELECTRICAS) D=1" (25 MM)</t>
  </si>
  <si>
    <t>05.01.03.03</t>
  </si>
  <si>
    <t>TUBERIA  PVC-SEL (ELECTRICAS) D=1 1/2" (40 MM)</t>
  </si>
  <si>
    <t>CURVA LIVIANO PVC SEL P/INST ELECT 1 1/2</t>
  </si>
  <si>
    <t>TUB. PVC SEL P/INST. ELECT.  1 1/2" x 3m</t>
  </si>
  <si>
    <t>UNION SP PVC SEL P/INST. ELECT DE 1 1/2"</t>
  </si>
  <si>
    <t>CONEXION A CAJA PVC SEL P/INS ELEC 1 1/2</t>
  </si>
  <si>
    <t>05.01.03.04</t>
  </si>
  <si>
    <t>TUBERIA  PVC-SEL (ELECTRICAS) D=2" (50 MM)</t>
  </si>
  <si>
    <t>TUB. PVC SEL P/INST. ELECT. DE 3/4" x 3m</t>
  </si>
  <si>
    <t>CURVA LIVIANO PVC SEL P/INST. ELECT 3/4"</t>
  </si>
  <si>
    <t>UNION SP PVC SEL P/INST. ELECT. DE 3/4"</t>
  </si>
  <si>
    <t>CONEXION A CAJA PVC SEL P/INS ELECT 3/4"</t>
  </si>
  <si>
    <t>05.01.04</t>
  </si>
  <si>
    <t>CAJAS DE PASE</t>
  </si>
  <si>
    <t>05.01.04.01</t>
  </si>
  <si>
    <t>CAJA DE PASE FºGº LIVIANO 150X150X75 MM</t>
  </si>
  <si>
    <t>CAJA CUADRADA GALV. LIVIANA 6"x6"x3"</t>
  </si>
  <si>
    <t>05.01.04.02</t>
  </si>
  <si>
    <t>CAJA DE PASE F°G° LIVIANO 200X200X100 MM</t>
  </si>
  <si>
    <t>CAJA CUADRADA GALV. LIVIANA DE 8"x8"x4"</t>
  </si>
  <si>
    <t>05.01.04.03</t>
  </si>
  <si>
    <t>CAJA DE PASE F°G° LIVIANO 300X300X150 MM</t>
  </si>
  <si>
    <t>CAJA CUADRADA GALVAN. LIVIANA 12"x12"x6"</t>
  </si>
  <si>
    <t>05.01.04.04</t>
  </si>
  <si>
    <t>CAJA DE PASE F°G° LIVIANO 450X450X150 MM</t>
  </si>
  <si>
    <t>CAJA CUADRADA GALVAN. LIVIANA 18"X18"X6"</t>
  </si>
  <si>
    <t>05.01.04.05</t>
  </si>
  <si>
    <t>CAJA DE PASE F°G° LIVIANO 650X650X150 MM</t>
  </si>
  <si>
    <t>CAJA CUADRADA GALVAN. LIVIANA 26"x26"x6"</t>
  </si>
  <si>
    <t>05.01.05</t>
  </si>
  <si>
    <t>TABLEROS</t>
  </si>
  <si>
    <t>05.01.05.01</t>
  </si>
  <si>
    <t>TABLERO DE SERVICIOS GENERALES TSG</t>
  </si>
  <si>
    <t>TABLERO TRIFASICO DE 48 POLOS</t>
  </si>
  <si>
    <t>INTERRUPTOR TERMOMAGNETICO DE 2x15Ax240V</t>
  </si>
  <si>
    <t>INTERRUPTOR TERMOMAGNETICO DE 2x20Ax240V</t>
  </si>
  <si>
    <t>INTERRUPTOR TERMOMAGNETICO DE 2x30Ax240V</t>
  </si>
  <si>
    <t>INTERRUPTOR TERMOMAGNETICO DE 2x60Ax240V</t>
  </si>
  <si>
    <t>INTERRUPTOR TERMOMAGNETICO DE 3x20Ax240V</t>
  </si>
  <si>
    <t>INTERRUPTOR TERMOMAGNETICO DE 3x30Ax240V</t>
  </si>
  <si>
    <t>INTERRUPTOR TERMOMAGNETIC DE 3x200Ax240V</t>
  </si>
  <si>
    <t>CONTACTOR TERMICO RELAY 12-18A</t>
  </si>
  <si>
    <t>INT. DIFERENCIAL STD BTDIN, 2P, 230/400 V, 25  AMP</t>
  </si>
  <si>
    <t>INTERRUPTOR HORARIO ANALOGICO BTICINO F66GR/3, 230 V, 16 AMP</t>
  </si>
  <si>
    <t>05.01.05.02</t>
  </si>
  <si>
    <t>TABLERO DE ASCENSOR T-ASC</t>
  </si>
  <si>
    <t>TABLERO TRIFASICO DE 12 POLOS</t>
  </si>
  <si>
    <t>05.01.05.03</t>
  </si>
  <si>
    <t>TABLERO DE DEPARTAMENTOS TD</t>
  </si>
  <si>
    <t>TABLERO ELECTRICO DE RESINA, DE EMPOTRAR DIN, DE 12 POLOS</t>
  </si>
  <si>
    <t>INT. TERMOMAGNETICO STD BTDIN, 2P, 230/400 V, 16 AMP</t>
  </si>
  <si>
    <t>INT. TERMOMAGNETICO STD BTDIN, 2P, 230/400 V, 20A AMP</t>
  </si>
  <si>
    <t>INT. TERMOMAGNETICO STD BTDIN, 2P, 230/400 V, 25  AMP</t>
  </si>
  <si>
    <t>INT. TERMOMAGNETICO STD BTDIN, 2P, 230/400 V, 32  AMP</t>
  </si>
  <si>
    <t>PEINE PARA TABLERO ELECTRICO 12 POLOS</t>
  </si>
  <si>
    <t>05.01.06</t>
  </si>
  <si>
    <t>BANCO DE MEDIDORES</t>
  </si>
  <si>
    <t>05.01.06.01</t>
  </si>
  <si>
    <t>BANCO DE 11 MEDIDORES + CAJA F-1</t>
  </si>
  <si>
    <t>LADRILLO ARCILLA KK HERCULES H-9 DE 09 X 14 X 24 CM</t>
  </si>
  <si>
    <t>05.01.07</t>
  </si>
  <si>
    <t>SISTEMA DE PUESTA A TIERRA</t>
  </si>
  <si>
    <t>05.01.07.01</t>
  </si>
  <si>
    <t>POZO DE TIERRA, CON JABALINA DE 1" X 2.40 M</t>
  </si>
  <si>
    <t>SOLUCION SANIT GEL  (5 KG)</t>
  </si>
  <si>
    <t>CONDUCTOR DE CU DESNUDO DE 35 MM2</t>
  </si>
  <si>
    <t>CONECTOR DE COBRE DE 25 MM</t>
  </si>
  <si>
    <t>CAJA DE CONCRETO PARA POZO DE TIERRACON TAPA</t>
  </si>
  <si>
    <t>VARILLA DE COBRE  COPERWELD 3/4" X 2.40M</t>
  </si>
  <si>
    <t>TIERRA SELECCIONADA</t>
  </si>
  <si>
    <t>TUBERIA PVC SAP 3/4"(18.7mm) ELEC.</t>
  </si>
  <si>
    <t>CURVA PVC SAP LUZ 3/4"</t>
  </si>
  <si>
    <t>05.02</t>
  </si>
  <si>
    <t>SALIDAS PARA ALUMBRADO, TOMACORRIENTES, FUERZA Y SEÑALES DEBILES</t>
  </si>
  <si>
    <t>05.02.01</t>
  </si>
  <si>
    <t>SALIDAS</t>
  </si>
  <si>
    <t>05.02.01.01</t>
  </si>
  <si>
    <t>SALIDA  PARA  ALUMBRADO</t>
  </si>
  <si>
    <t>CAJA OCTOGONAL GALV. 4" X 2 1/8 "</t>
  </si>
  <si>
    <t>CURVA PESADO PVC SAP P/INST. ELECT. 3/4"</t>
  </si>
  <si>
    <t>CONEXION A CAJA PVC SAP INST ELECT 3/4"</t>
  </si>
  <si>
    <t>05.02.01.02</t>
  </si>
  <si>
    <t>SALIDA PARA  TOMACORRIENTES</t>
  </si>
  <si>
    <t>CAJA RECTANGULAR  GALVANIZADA  LIVIANA   4"x2 1/8"</t>
  </si>
  <si>
    <t>05.02.01.03</t>
  </si>
  <si>
    <t>SALIDA PARA  INTERRUPTORES</t>
  </si>
  <si>
    <t>05.02.01.04</t>
  </si>
  <si>
    <t>SALIDA PARA  THERMA</t>
  </si>
  <si>
    <t>CAJA CUADRADA GALV. LIVIANA  4"x4"x2"</t>
  </si>
  <si>
    <t>05.02.01.05</t>
  </si>
  <si>
    <t>SALIDA PARA  LAVADORA</t>
  </si>
  <si>
    <t>05.02.01.06</t>
  </si>
  <si>
    <t>SALIDA PARA  CAMPANA EXTRACTORA</t>
  </si>
  <si>
    <t>05.02.01.07</t>
  </si>
  <si>
    <t>SALIDA PARA  CERCO ELECTRICO</t>
  </si>
  <si>
    <t>05.02.01.08</t>
  </si>
  <si>
    <t>SALIDA PARA  PUERTA LEVADIZA</t>
  </si>
  <si>
    <t>05.02.01.09</t>
  </si>
  <si>
    <t>SALIDA PARA  TIMBRE</t>
  </si>
  <si>
    <t>05.02.01.10</t>
  </si>
  <si>
    <t>SALIDA PARA  ASCENSOR</t>
  </si>
  <si>
    <t>05.02.01.11</t>
  </si>
  <si>
    <t>SALIDA PARA  BOMBAS DE AGUA</t>
  </si>
  <si>
    <t>05.02.02</t>
  </si>
  <si>
    <t>CONDUCTORES Y CABLES DE ENERGIA EN TUBERIAS</t>
  </si>
  <si>
    <t>05.02.02.01</t>
  </si>
  <si>
    <t>CIRCUITO ELECTRICO 2 - 1 x 4 MM2 THW + 1 x 4 MM2 THW/T</t>
  </si>
  <si>
    <t>05.02.02.02</t>
  </si>
  <si>
    <t>CIRCUITO ELECTRICO 2 - 1 x 2.5 MM2 THW</t>
  </si>
  <si>
    <t>CABLE ELECTRICO THW DE 2.5 mm2</t>
  </si>
  <si>
    <t>05.02.02.03</t>
  </si>
  <si>
    <t>CIRCUITO ELECTRICO 4 - 1 x 2.5 MM2 THW</t>
  </si>
  <si>
    <t>05.02.03</t>
  </si>
  <si>
    <t>05.02.03.01</t>
  </si>
  <si>
    <t>05.02.04</t>
  </si>
  <si>
    <t>05.02.04.01</t>
  </si>
  <si>
    <t>CAJA DE PASE OCTOGONAL DE 100 X 100 X 50 MM</t>
  </si>
  <si>
    <t>CAJA OCTOGONAL GALV. LIVIANA 4"x4"x2 1/2</t>
  </si>
  <si>
    <t>05.02.04.02</t>
  </si>
  <si>
    <t>05.02.05</t>
  </si>
  <si>
    <t>INTERRUPTORES Y TOMACORRIENTES</t>
  </si>
  <si>
    <t>05.02.05.01</t>
  </si>
  <si>
    <t>INTERRUPTOR SIMPLE EUROLUZ</t>
  </si>
  <si>
    <t>INTERRUPTOR  SIMPLE EUROLUZ ROMA</t>
  </si>
  <si>
    <t>05.02.05.02</t>
  </si>
  <si>
    <t>INTERRUPTOR DOBLE EUROLUZ ROMA</t>
  </si>
  <si>
    <t>INTERRUPTOR  DOBLE  EUROLUZ  ROMA</t>
  </si>
  <si>
    <t>05.02.05.03</t>
  </si>
  <si>
    <t>INTERRUPTOR TRIPLE  EUROLUZ ROMA</t>
  </si>
  <si>
    <t>INTERRUPTOR  TRIPLE  EUROLUZ  ROMA</t>
  </si>
  <si>
    <t>05.02.05.04</t>
  </si>
  <si>
    <t>INTERRUPTOR CONMUTADOR SIMPLE  EUROLUZ ROMA</t>
  </si>
  <si>
    <t>INTERRUPTOR  CONMUTADOR SIMPLE  EUROLUZ  ROMA</t>
  </si>
  <si>
    <t>05.02.05.05</t>
  </si>
  <si>
    <t>INTERRUPTOR CONMUTADOR DOBLE  EUROLUZ ROMA</t>
  </si>
  <si>
    <t>INTERRUPTOR  CONMUTADOR DOBLE  EUROLUZ  ROMA</t>
  </si>
  <si>
    <t>05.02.05.06</t>
  </si>
  <si>
    <t>TOMACORRIENTE  DOBLE C/LINEA  A TIERRA  EUROLUZ ROMA</t>
  </si>
  <si>
    <t>TOMACORRIENTE DOBLE C/LINEA TIERRA  EUROLUZ  ROMA</t>
  </si>
  <si>
    <t>05.03</t>
  </si>
  <si>
    <t>ARTEFACTOS</t>
  </si>
  <si>
    <t>05.03.01</t>
  </si>
  <si>
    <t>ARTEFACTO WALL SOCKET BAKELITA EUROLUZ C/LAMP 100 WATTS</t>
  </si>
  <si>
    <t>FOCOS 100 W</t>
  </si>
  <si>
    <t>WALL SOCKET  EUROLUZ</t>
  </si>
  <si>
    <t>05.03.02</t>
  </si>
  <si>
    <t>ARTEFACTO HERMETICO C/2 LAMP. FLUORESCENTES DE 36 WATTS</t>
  </si>
  <si>
    <t>ARTEFACTO HERMETICO 2X 36</t>
  </si>
  <si>
    <t>05.03.03</t>
  </si>
  <si>
    <t>SPOT LIGHT DICROICO</t>
  </si>
  <si>
    <t>05.03.04</t>
  </si>
  <si>
    <t>BRAQUET ESFERICO DE POLICARBONATO</t>
  </si>
  <si>
    <t>05.03.05</t>
  </si>
  <si>
    <t>LAMPARA PARA ALUMBRADO DE EMERGENCIA</t>
  </si>
  <si>
    <t>05.04</t>
  </si>
  <si>
    <t>EQUIPOS ELECTRICOS, MECANICOS Y ESPECIALES</t>
  </si>
  <si>
    <t>05.04.01</t>
  </si>
  <si>
    <t>BOMBAS PARA AGUA</t>
  </si>
  <si>
    <t>05.04.01.01</t>
  </si>
  <si>
    <t>SISTEMA 02 ELECTROBOMBAS 4 HP (INC. TABLERO Y CONTROL D/NIVEL)</t>
  </si>
  <si>
    <t>EQP</t>
  </si>
  <si>
    <t>TABLERO ALTERNADOR 02 ELECTROBOMBAS 4 HP TRIFASICO</t>
  </si>
  <si>
    <t>CONTROL DE NIVEL AUTOMATICO P/ CISTERNA Y TQE. ELEV. (RADAR)</t>
  </si>
  <si>
    <t>CODO DE Fo. GALVANIZADO DE 2 1/2" x 900</t>
  </si>
  <si>
    <t>CODO DE Fo. GALVANIZADO DE 3" x 900</t>
  </si>
  <si>
    <t>TEE DE Fo. GALVANIZADO DE 2 1/2"</t>
  </si>
  <si>
    <t>TEE DE Fo. GALVANIZADO DE 3"</t>
  </si>
  <si>
    <t>TAPON MACHO DE Fo. GALV. DE 2 1/2"</t>
  </si>
  <si>
    <t>TAPON MACHO DE Fo. GALV. DE 3"</t>
  </si>
  <si>
    <t>UNION UNIVERSAL DE Fo. GALV. DE 2 1/2"</t>
  </si>
  <si>
    <t>UNION UNIVERSAL DE Fo. GALV. DE 3"</t>
  </si>
  <si>
    <t>NIPLE DE Fo Go DE  2 1/2" x 2"</t>
  </si>
  <si>
    <t>NIPLE DE F° GALV. DE 3" X 3"</t>
  </si>
  <si>
    <t>NIPLE DE F° GALV. DE 3" X 2"</t>
  </si>
  <si>
    <t>TUB. PVC SAP PRESION C-10 EC 3" x 5m</t>
  </si>
  <si>
    <t>CODO DE 900 R PVC SAP P/AGUA DE 3"</t>
  </si>
  <si>
    <t>ADAPTADOR PVC SAP 3"</t>
  </si>
  <si>
    <t>ADAPTADOR PVC SAP 2  1/2"</t>
  </si>
  <si>
    <t>VALVULA COMPUERTA DE BRONCE DE 2 1/2"</t>
  </si>
  <si>
    <t>VALVULA COMPUERTA DE BRONCE DE 3"</t>
  </si>
  <si>
    <t>VALVULA CHECK DE BRONCE DE 2 1/2"</t>
  </si>
  <si>
    <t>VALVULA DE PIE C/CANASTILLA DE 3"</t>
  </si>
  <si>
    <t>ELECTROBOMBA  4HP GRAN CAUDAL  3Ø-220 V</t>
  </si>
  <si>
    <t>05.04.02</t>
  </si>
  <si>
    <t>OTRAS BOMBAS</t>
  </si>
  <si>
    <t>05.04.02.01</t>
  </si>
  <si>
    <t>SISTEMA DE BOMBEO DE DESAGUE, ELECTROBOMBA SUMERGIBLE DE 1.2 HP</t>
  </si>
  <si>
    <t>TABLERO PARA ELECTROBOMBA DE DESAGUE</t>
  </si>
  <si>
    <t>TEE DE Fo. GALVANIZADO DE 1 1/4"</t>
  </si>
  <si>
    <t>TAPON MACHO DE Fo. GALV. DE 1 1/4"</t>
  </si>
  <si>
    <t>UNION UNIVERSAL DE Fo. GALV. DE 1 1/4"</t>
  </si>
  <si>
    <t>CODO F° GALV. ISO-I DE 1 1/4" X 90°</t>
  </si>
  <si>
    <t>NIPLE DE F° GALV. DE 1 1/4" X 3 1/2"</t>
  </si>
  <si>
    <t>NIPLE DE F° GALV. DE 1 1/4" X 1 1/2"</t>
  </si>
  <si>
    <t>NIPLE DE F° GALV. DE 1 1/4" X 2"</t>
  </si>
  <si>
    <t>TUB. PVC SAP PRESION C-10 R. 1 1/4"x5m</t>
  </si>
  <si>
    <t>ADAPTADOR PVC SAP 1 1/4"</t>
  </si>
  <si>
    <t>VALVULA COMPUERTA DE BRONCE DE 1 1/4"</t>
  </si>
  <si>
    <t>VALVULA CHECK DE BRONCE DE 1 1/4"</t>
  </si>
  <si>
    <t>VALVULA DE PIE C/CANASTILLA DE 1 1/4"</t>
  </si>
  <si>
    <t>ELECTROBOMBA 0.85 HP P/DESAGUE 1 1/2"</t>
  </si>
  <si>
    <t>05.04.03</t>
  </si>
  <si>
    <t>SISTEMA DE APERTURA DE PUERTAS</t>
  </si>
  <si>
    <t>05.04.03.01</t>
  </si>
  <si>
    <t>SISTEMA SECCIONAL PARA PUERTAS DE ESTACIONAMIENTOS</t>
  </si>
  <si>
    <t>05.04.04</t>
  </si>
  <si>
    <t>SISTEMA DE SEGURIDAD</t>
  </si>
  <si>
    <t>05.04.04.01</t>
  </si>
  <si>
    <t>CERCO ELECTRICO DE SEGURIDAD EN PERIMETRO DE LA EDIFICACION</t>
  </si>
  <si>
    <t>CABLE ACERADO DE 2.5 MM CON ALTO CARBONO X 5 LINEAS CERCO EL</t>
  </si>
  <si>
    <t>GEN. ALTO VOLTAJE,CENTRAL ALARMA,CARG. BAT.,SIRENA,BAT.,LET.</t>
  </si>
  <si>
    <t>05.04.05</t>
  </si>
  <si>
    <t>SISTEMA DE DETECCION DE ALARMA CONTRAINCENDIO</t>
  </si>
  <si>
    <t>05.04.05.01</t>
  </si>
  <si>
    <t>SALIDA PARA CENTRAL DE ALARMA CONTRA INCENDIO</t>
  </si>
  <si>
    <t>CAJA RECTANG GALV  4"X2 1/8"</t>
  </si>
  <si>
    <t>05.04.05.02</t>
  </si>
  <si>
    <t>SALIDA PARA DETECTOR DE HUMO</t>
  </si>
  <si>
    <t>05.04.05.03</t>
  </si>
  <si>
    <t>SALIDA PARA PULSADOR DE ALARMA CONTRA INCENDIO</t>
  </si>
  <si>
    <t>05.04.05.04</t>
  </si>
  <si>
    <t>SALIDA PARA SEÑAL SONORA Y LUZ ESTROBOSCOPICA</t>
  </si>
  <si>
    <t>CAJA CUADRADA GALV. LIVIANA 4"X4"X2" CON TAPA GANG</t>
  </si>
  <si>
    <t>05.04.05.05</t>
  </si>
  <si>
    <t>05.04.05.06</t>
  </si>
  <si>
    <t>05.04.05.07</t>
  </si>
  <si>
    <t>06</t>
  </si>
  <si>
    <t>INSTALACIONES DE COMUNICACIONES</t>
  </si>
  <si>
    <t>06.01</t>
  </si>
  <si>
    <t>SALIDAS PARA COMUNICACIONES</t>
  </si>
  <si>
    <t>06.01.01</t>
  </si>
  <si>
    <t>INSTALACIONES DE TV CABLE</t>
  </si>
  <si>
    <t>06.01.01.01</t>
  </si>
  <si>
    <t>SALIDA PARA TV CABLE</t>
  </si>
  <si>
    <t>PLACA  TV COAXIAL  EUROLUZ  ROMA</t>
  </si>
  <si>
    <t>06.01.02</t>
  </si>
  <si>
    <t>INSTALACIONES DE TELEFONO FIJO</t>
  </si>
  <si>
    <t>06.01.02.01</t>
  </si>
  <si>
    <t>SALIDA PARA TELEFONO</t>
  </si>
  <si>
    <t>PLACA TELEFONICA  EUROLUZ  ROMA</t>
  </si>
  <si>
    <t>06.01.03</t>
  </si>
  <si>
    <t>INSTALACIONES DE INTERNET</t>
  </si>
  <si>
    <t>06.01.03.01</t>
  </si>
  <si>
    <t>SALIDA PARA VOZ Y DATA</t>
  </si>
  <si>
    <t>06.01.04</t>
  </si>
  <si>
    <t>INSTALACIONES DE INTERCOMUNICADORES</t>
  </si>
  <si>
    <t>06.01.04.01</t>
  </si>
  <si>
    <t>SALIDA PARA CENTRAL INTERCOMUNICADOR</t>
  </si>
  <si>
    <t>06.01.04.02</t>
  </si>
  <si>
    <t>SALIDA PARA INTERCOMUNICADOR</t>
  </si>
  <si>
    <t>TAPA CIEGA  RECTANGULAR EUROLUZ  ROMA</t>
  </si>
  <si>
    <t>06.02</t>
  </si>
  <si>
    <t>CANALETAS, CONDUCTOS Y/O TUBERIAS</t>
  </si>
  <si>
    <t>06.02.01</t>
  </si>
  <si>
    <t>TUBERIAS PARA TV CABLE</t>
  </si>
  <si>
    <t>06.02.01.01</t>
  </si>
  <si>
    <t>06.02.01.02</t>
  </si>
  <si>
    <t>TUB. PVC SEL P/INST. ELECT. DE 2" x 3m</t>
  </si>
  <si>
    <t>CURVA LIVIANO PVC SEL P/INST. ELECT. 2"</t>
  </si>
  <si>
    <t>UNION SP PVC SEL P/INST. ELECT. DE 2"</t>
  </si>
  <si>
    <t>CONEXION A CAJA PVC SEL P/INST ELECT 2"</t>
  </si>
  <si>
    <t>06.02.02</t>
  </si>
  <si>
    <t>TUBERIAS PARA TELEFONO-INTERNET</t>
  </si>
  <si>
    <t>06.02.02.01</t>
  </si>
  <si>
    <t>06.02.02.02</t>
  </si>
  <si>
    <t>06.02.03</t>
  </si>
  <si>
    <t>TUBERIAS PARA INTERCOMUNICADOR</t>
  </si>
  <si>
    <t>06.02.03.01</t>
  </si>
  <si>
    <t>06.02.03.02</t>
  </si>
  <si>
    <t>06.03</t>
  </si>
  <si>
    <t>06.03.01</t>
  </si>
  <si>
    <t>CAJAS PARA TV CABLE</t>
  </si>
  <si>
    <t>06.03.01.01</t>
  </si>
  <si>
    <t>06.03.01.02</t>
  </si>
  <si>
    <t>06.03.02</t>
  </si>
  <si>
    <t>CAJAS PARA TELEFONO-INTERNET</t>
  </si>
  <si>
    <t>06.03.02.01</t>
  </si>
  <si>
    <t>06.03.02.02</t>
  </si>
  <si>
    <t>06.03.03</t>
  </si>
  <si>
    <t>CAJAS PARA INTERCOMUNICADOR</t>
  </si>
  <si>
    <t>06.03.03.01</t>
  </si>
  <si>
    <t>06.04</t>
  </si>
  <si>
    <t>ARTEFACTOS DE COMUNICACIONES</t>
  </si>
  <si>
    <t>06.04.01</t>
  </si>
  <si>
    <t>INTERCOMUNICADORES</t>
  </si>
  <si>
    <t>06.04.01.01</t>
  </si>
  <si>
    <t>PORTERO ELECTRICO DE 10 SALIDAS</t>
  </si>
  <si>
    <t>INTERCOMUNICADOR T/TELEFONO DE 10 PUNTOS</t>
  </si>
  <si>
    <t>07</t>
  </si>
  <si>
    <t>INSTALACIONES DE GAS</t>
  </si>
  <si>
    <t>07.01</t>
  </si>
  <si>
    <t>07.01.01</t>
  </si>
  <si>
    <t>SALIDA DE GAS TUB. DE COBRE "L" DE 1/2"</t>
  </si>
  <si>
    <t>SOLDADURA DE PLATA AL 5 %</t>
  </si>
  <si>
    <t>var</t>
  </si>
  <si>
    <t>TUBO DE COBRE NACIONAL TIPO L 1/2"x6.00m</t>
  </si>
  <si>
    <t>CODO DE COBRE TUBO-ROSCA MACHO 1/2"x1/2"</t>
  </si>
  <si>
    <t>CURVA DE COBRE TUBO-ROSCA HEMB.1/2"x1/2"</t>
  </si>
  <si>
    <t>ADAPTADOR DE COBRE DE 1/2"</t>
  </si>
  <si>
    <t>PITON DE BRONCE DE 1/2" PARA SALIDA DE GAS</t>
  </si>
  <si>
    <t>CODO SOLDABLE DE COBRE DE 1/2" X 90°</t>
  </si>
  <si>
    <t>VALVULA DE GLOBO DE BRONCE DE 1/2" PARA GAS</t>
  </si>
  <si>
    <t>07.02</t>
  </si>
  <si>
    <t>07.02.01</t>
  </si>
  <si>
    <t>TUBERIA PARA GAS DE COBRE 1/2"</t>
  </si>
  <si>
    <t>TUBO DE COBRE 1/2"x6m</t>
  </si>
  <si>
    <t>CODO DE COBRE 900 SOLDABLE 1/2"</t>
  </si>
  <si>
    <t>TOTAL</t>
  </si>
  <si>
    <t>EL PRESUPUESTO FUE PROCESADO PARA LA EJECUCIÓN POR CONTRATA</t>
  </si>
  <si>
    <t>TEXTO EN PANEL DE APUS</t>
  </si>
  <si>
    <t>Arial</t>
  </si>
  <si>
    <t>NÚMERO DE DECIMALES PARA REDONDEO</t>
  </si>
  <si>
    <t>Parciales de las partidas en la hoja de presupuesto</t>
  </si>
  <si>
    <t>SUBTOTAL 3</t>
  </si>
  <si>
    <t>% SUBTOTAL 3</t>
  </si>
  <si>
    <t>SUBTOTAL 4</t>
  </si>
  <si>
    <t>% SUBTOTAL 4</t>
  </si>
  <si>
    <t>Generar el gráfico de utilización de recursos para</t>
  </si>
  <si>
    <t>Al consolidar los insumos de las partidas calcular en base a</t>
  </si>
  <si>
    <t>DESCRIPCIÓN</t>
  </si>
  <si>
    <t>SIM.</t>
  </si>
  <si>
    <t>GG</t>
  </si>
  <si>
    <t>UT</t>
  </si>
  <si>
    <t>ST</t>
  </si>
  <si>
    <t>IM</t>
  </si>
  <si>
    <t>VR</t>
  </si>
  <si>
    <t>SU</t>
  </si>
  <si>
    <t>COSTO DIRECTO (CD)</t>
  </si>
  <si>
    <t xml:space="preserve">   COLOR DE TEXTOS:</t>
  </si>
  <si>
    <t>Subpresupuesto</t>
  </si>
  <si>
    <t>Tamaño ET</t>
  </si>
  <si>
    <t>Fuente ET</t>
  </si>
  <si>
    <t>Tamaño DG</t>
  </si>
  <si>
    <t>Fuente DG</t>
  </si>
  <si>
    <t>Pie de presupuesto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</si>
</sst>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quot;/kg&quot;"/>
    <numFmt numFmtId="165" formatCode="0.00&quot; /&quot;"/>
    <numFmt numFmtId="166" formatCode="\ 0.00&quot;/UC&quot;"/>
    <numFmt numFmtId="167" formatCode="0.0000"/>
    <numFmt numFmtId="168" formatCode="#\ ###\ ##0.00"/>
    <numFmt numFmtId="169" formatCode="&quot;S/ &quot;0.00&quot; /&quot;"/>
    <numFmt numFmtId="170" formatCode="&quot;S/ &quot;0.00&quot; / kg&quot;"/>
    <numFmt numFmtId="171" formatCode="General&quot; Ton&quot;"/>
    <numFmt numFmtId="172" formatCode="General&quot; m3&quot;"/>
    <numFmt numFmtId="173" formatCode="General&quot; h&quot;"/>
  </numFmts>
  <fonts count="39" x14ac:knownFonts="1">
    <font>
      <sz val="10"/>
      <name val="Arial"/>
    </font>
    <font>
      <sz val="10"/>
      <name val="Arial"/>
      <family val="2"/>
    </font>
    <font>
      <sz val="8"/>
      <color indexed="12"/>
      <name val="Arial"/>
      <family val="2"/>
    </font>
    <font>
      <sz val="8"/>
      <name val="Arial"/>
      <family val="2"/>
    </font>
    <font>
      <b/>
      <sz val="10"/>
      <color indexed="10"/>
      <name val="Arial"/>
      <family val="2"/>
    </font>
    <font>
      <b/>
      <sz val="9"/>
      <color indexed="10"/>
      <name val="Arial"/>
      <family val="2"/>
    </font>
    <font>
      <sz val="10"/>
      <color indexed="10"/>
      <name val="Arial"/>
      <family val="2"/>
    </font>
    <font>
      <b/>
      <sz val="8"/>
      <color indexed="81"/>
      <name val="Tahoma"/>
      <family val="2"/>
    </font>
    <font>
      <sz val="8"/>
      <color indexed="81"/>
      <name val="Tahoma"/>
      <family val="2"/>
    </font>
    <font>
      <b/>
      <sz val="10"/>
      <name val="Arial"/>
      <family val="2"/>
    </font>
    <font>
      <b/>
      <sz val="10"/>
      <color indexed="53"/>
      <name val="Arial"/>
      <family val="2"/>
    </font>
    <font>
      <b/>
      <sz val="16"/>
      <color indexed="53"/>
      <name val="Arial"/>
      <family val="2"/>
    </font>
    <font>
      <sz val="10"/>
      <color indexed="8"/>
      <name val="Arial"/>
      <family val="2"/>
    </font>
    <font>
      <sz val="10"/>
      <color indexed="12"/>
      <name val="Arial"/>
      <family val="2"/>
    </font>
    <font>
      <b/>
      <sz val="9"/>
      <color indexed="60"/>
      <name val="Arial"/>
      <family val="2"/>
    </font>
    <font>
      <b/>
      <sz val="10"/>
      <color indexed="60"/>
      <name val="Arial"/>
      <family val="2"/>
    </font>
    <font>
      <sz val="9"/>
      <color indexed="12"/>
      <name val="Arial"/>
      <family val="2"/>
    </font>
    <font>
      <b/>
      <sz val="8"/>
      <color indexed="60"/>
      <name val="Arial"/>
      <family val="2"/>
    </font>
    <font>
      <sz val="10"/>
      <color indexed="10"/>
      <name val="Arial"/>
      <family val="2"/>
    </font>
    <font>
      <sz val="12"/>
      <color indexed="10"/>
      <name val="Arial"/>
      <family val="2"/>
    </font>
    <font>
      <b/>
      <sz val="10"/>
      <color indexed="10"/>
      <name val="Arial"/>
      <family val="2"/>
    </font>
    <font>
      <sz val="10"/>
      <color theme="0"/>
      <name val="Arial"/>
      <family val="2"/>
    </font>
    <font>
      <b/>
      <sz val="10"/>
      <color rgb="FFC00000"/>
      <name val="Arial"/>
      <family val="2"/>
    </font>
    <font>
      <b/>
      <sz val="10"/>
      <color theme="0"/>
      <name val="Arial"/>
      <family val="2"/>
    </font>
    <font>
      <b/>
      <sz val="9"/>
      <color theme="0"/>
      <name val="Arial"/>
      <family val="2"/>
    </font>
    <font>
      <b/>
      <sz val="9"/>
      <color indexed="81"/>
      <name val="Tahoma"/>
      <family val="2"/>
    </font>
    <font>
      <sz val="9"/>
      <color indexed="81"/>
      <name val="Tahoma"/>
      <family val="2"/>
    </font>
    <font>
      <b/>
      <sz val="10"/>
      <color rgb="FFFF0000"/>
      <name val="Arial"/>
      <family val="2"/>
    </font>
    <font>
      <sz val="10"/>
      <color rgb="FF0000FF"/>
      <name val="Arial"/>
      <family val="2"/>
    </font>
    <font>
      <b/>
      <u/>
      <sz val="10"/>
      <name val="Arial"/>
      <family val="2"/>
    </font>
    <font>
      <sz val="10"/>
      <name val="Arial"/>
      <family val="2"/>
    </font>
    <font>
      <sz val="10"/>
      <color rgb="FFFF0000"/>
      <name val="Arial"/>
      <family val="2"/>
    </font>
    <font>
      <b/>
      <sz val="10"/>
      <color indexed="12"/>
      <name val="Arial"/>
      <family val="2"/>
    </font>
    <font>
      <b/>
      <sz val="10"/>
      <color indexed="17"/>
      <name val="Arial"/>
      <family val="2"/>
    </font>
    <font>
      <b/>
      <sz val="10"/>
      <color indexed="16"/>
      <name val="Arial"/>
      <family val="2"/>
    </font>
    <font>
      <u/>
      <sz val="10"/>
      <name val="Arial"/>
      <family val="2"/>
    </font>
    <font>
      <b/>
      <sz val="10"/>
      <color rgb="FF0000FF"/>
      <name val="Arial"/>
      <family val="2"/>
    </font>
    <font>
      <b/>
      <sz val="11"/>
      <color rgb="FF0000FF"/>
      <name val="Arial"/>
      <family val="2"/>
    </font>
    <font>
      <b/>
      <u/>
      <sz val="11"/>
      <color rgb="FF0000FF"/>
      <name val="Arial"/>
      <family val="2"/>
    </font>
  </fonts>
  <fills count="19">
    <fill>
      <patternFill patternType="none"/>
    </fill>
    <fill>
      <patternFill patternType="gray125"/>
    </fill>
    <fill>
      <patternFill patternType="solid">
        <fgColor indexed="13"/>
        <bgColor indexed="64"/>
      </patternFill>
    </fill>
    <fill>
      <patternFill patternType="solid">
        <fgColor theme="8" tint="0.79998168889431442"/>
        <bgColor indexed="64"/>
      </patternFill>
    </fill>
    <fill>
      <patternFill patternType="lightGray">
        <fgColor rgb="FFFFFF00"/>
        <bgColor theme="6" tint="0.59996337778862885"/>
      </patternFill>
    </fill>
    <fill>
      <patternFill patternType="solid">
        <fgColor theme="0" tint="-0.14999847407452621"/>
        <bgColor indexed="64"/>
      </patternFill>
    </fill>
    <fill>
      <patternFill patternType="lightGray">
        <fgColor rgb="FFFFFF00"/>
        <bgColor theme="0" tint="-0.14999847407452621"/>
      </patternFill>
    </fill>
    <fill>
      <patternFill patternType="solid">
        <fgColor rgb="FF33CC33"/>
        <bgColor indexed="64"/>
      </patternFill>
    </fill>
    <fill>
      <patternFill patternType="solid">
        <fgColor rgb="FFFF0000"/>
        <bgColor indexed="64"/>
      </patternFill>
    </fill>
    <fill>
      <patternFill patternType="solid">
        <fgColor theme="9" tint="-0.24994659260841701"/>
        <bgColor indexed="64"/>
      </patternFill>
    </fill>
    <fill>
      <patternFill patternType="solid">
        <fgColor rgb="FF0000FF"/>
        <bgColor indexed="64"/>
      </patternFill>
    </fill>
    <fill>
      <patternFill patternType="solid">
        <fgColor rgb="FF008000"/>
        <bgColor indexed="64"/>
      </patternFill>
    </fill>
    <fill>
      <patternFill patternType="solid">
        <fgColor rgb="FF663300"/>
        <bgColor indexed="64"/>
      </patternFill>
    </fill>
    <fill>
      <patternFill patternType="solid">
        <fgColor rgb="FFCC00FF"/>
        <bgColor indexed="64"/>
      </patternFill>
    </fill>
    <fill>
      <patternFill patternType="solid">
        <fgColor rgb="FFFF7C80"/>
        <bgColor indexed="64"/>
      </patternFill>
    </fill>
    <fill>
      <patternFill patternType="solid">
        <fgColor rgb="FF00FF00"/>
        <bgColor indexed="64"/>
      </patternFill>
    </fill>
    <fill>
      <patternFill patternType="solid">
        <fgColor rgb="FF660066"/>
        <bgColor indexed="64"/>
      </patternFill>
    </fill>
    <fill>
      <patternFill patternType="solid">
        <fgColor rgb="FF00B0F0"/>
        <bgColor indexed="64"/>
      </patternFill>
    </fill>
    <fill>
      <patternFill patternType="solid">
        <fgColor rgb="FFFFFF00"/>
        <bgColor indexed="64"/>
      </patternFill>
    </fill>
  </fills>
  <borders count="3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style="thin">
        <color indexed="64"/>
      </bottom>
      <diagonal/>
    </border>
  </borders>
  <cellStyleXfs count="2">
    <xf numFmtId="0" fontId="0" fillId="0" borderId="0"/>
    <xf numFmtId="9" fontId="30" fillId="0" borderId="0" applyFont="0" applyFill="0" applyBorder="0" applyAlignment="0" applyProtection="0"/>
  </cellStyleXfs>
  <cellXfs count="279">
    <xf numFmtId="0" fontId="0" fillId="0" borderId="0" xfId="0"/>
    <xf numFmtId="0" fontId="0" fillId="0" borderId="0" xfId="0" applyAlignment="1">
      <alignment horizontal="center"/>
    </xf>
    <xf numFmtId="0" fontId="1" fillId="0" borderId="0" xfId="0" applyFont="1"/>
    <xf numFmtId="0" fontId="0" fillId="0" borderId="0" xfId="0" applyAlignment="1">
      <alignment horizontal="left"/>
    </xf>
    <xf numFmtId="0" fontId="14" fillId="0" borderId="2" xfId="0" applyFont="1" applyBorder="1" applyAlignment="1">
      <alignment horizontal="center" vertical="center"/>
    </xf>
    <xf numFmtId="2" fontId="14" fillId="0" borderId="2" xfId="0" applyNumberFormat="1" applyFont="1" applyBorder="1" applyAlignment="1">
      <alignment horizontal="center" vertical="center" wrapText="1"/>
    </xf>
    <xf numFmtId="0" fontId="14" fillId="0" borderId="2" xfId="0" applyFont="1" applyBorder="1" applyAlignment="1">
      <alignment horizontal="center" vertical="center" wrapText="1"/>
    </xf>
    <xf numFmtId="0" fontId="15" fillId="0" borderId="0" xfId="0" applyFont="1" applyAlignment="1">
      <alignment horizontal="center"/>
    </xf>
    <xf numFmtId="0" fontId="0" fillId="0" borderId="0" xfId="0" applyAlignment="1">
      <alignment horizontal="center" vertical="center"/>
    </xf>
    <xf numFmtId="0" fontId="6" fillId="0" borderId="0" xfId="0" applyFont="1" applyAlignment="1">
      <alignment horizontal="center"/>
    </xf>
    <xf numFmtId="0" fontId="14" fillId="0" borderId="2" xfId="0" applyFont="1" applyBorder="1" applyAlignment="1">
      <alignment horizontal="center"/>
    </xf>
    <xf numFmtId="0" fontId="0" fillId="0" borderId="0" xfId="0" applyAlignment="1">
      <alignment vertical="center"/>
    </xf>
    <xf numFmtId="0" fontId="14" fillId="0" borderId="2" xfId="0" applyFont="1" applyBorder="1" applyAlignment="1">
      <alignment horizontal="left" vertical="center"/>
    </xf>
    <xf numFmtId="0" fontId="18" fillId="0" borderId="0" xfId="0" applyFont="1" applyAlignment="1">
      <alignment horizontal="left"/>
    </xf>
    <xf numFmtId="0" fontId="10" fillId="0" borderId="2" xfId="0" applyFont="1" applyBorder="1" applyAlignment="1">
      <alignment horizontal="centerContinuous"/>
    </xf>
    <xf numFmtId="0" fontId="10" fillId="0" borderId="2" xfId="0" applyFont="1" applyBorder="1"/>
    <xf numFmtId="0" fontId="10" fillId="0" borderId="2" xfId="0" applyFont="1" applyBorder="1" applyAlignment="1">
      <alignment horizontal="center" vertical="center"/>
    </xf>
    <xf numFmtId="2" fontId="2" fillId="0" borderId="2" xfId="0" applyNumberFormat="1" applyFont="1" applyBorder="1" applyAlignment="1">
      <alignment horizontal="center" vertical="center" wrapText="1"/>
    </xf>
    <xf numFmtId="168" fontId="0" fillId="0" borderId="0" xfId="0" applyNumberFormat="1" applyAlignment="1">
      <alignment vertical="center"/>
    </xf>
    <xf numFmtId="0" fontId="14" fillId="0" borderId="3" xfId="0" applyFont="1" applyBorder="1" applyAlignment="1">
      <alignment horizontal="center"/>
    </xf>
    <xf numFmtId="0" fontId="17" fillId="0" borderId="4" xfId="0" applyFont="1" applyBorder="1" applyAlignment="1">
      <alignment horizontal="left"/>
    </xf>
    <xf numFmtId="0" fontId="17" fillId="0" borderId="4" xfId="0" applyFont="1" applyBorder="1" applyAlignment="1">
      <alignment horizontal="center"/>
    </xf>
    <xf numFmtId="164" fontId="2" fillId="0" borderId="3" xfId="0" applyNumberFormat="1" applyFont="1" applyBorder="1" applyAlignment="1">
      <alignment horizontal="left" vertical="center" wrapText="1"/>
    </xf>
    <xf numFmtId="171" fontId="16" fillId="0" borderId="4" xfId="0" applyNumberFormat="1" applyFont="1" applyBorder="1" applyAlignment="1">
      <alignment horizontal="left" vertical="center"/>
    </xf>
    <xf numFmtId="0" fontId="16" fillId="0" borderId="4" xfId="0" applyFont="1" applyBorder="1" applyAlignment="1">
      <alignment horizontal="center" vertical="center"/>
    </xf>
    <xf numFmtId="166" fontId="2" fillId="0" borderId="3" xfId="0" applyNumberFormat="1" applyFont="1" applyBorder="1" applyAlignment="1">
      <alignment horizontal="left" vertical="center" wrapText="1"/>
    </xf>
    <xf numFmtId="172" fontId="16" fillId="0" borderId="4" xfId="0" applyNumberFormat="1" applyFont="1" applyBorder="1" applyAlignment="1">
      <alignment horizontal="left" vertical="center"/>
    </xf>
    <xf numFmtId="0" fontId="4" fillId="0" borderId="3" xfId="0" applyFont="1" applyBorder="1" applyAlignment="1">
      <alignment horizontal="center"/>
    </xf>
    <xf numFmtId="0" fontId="4" fillId="0" borderId="1" xfId="0" applyFont="1" applyBorder="1" applyAlignment="1">
      <alignment horizontal="center"/>
    </xf>
    <xf numFmtId="0" fontId="4" fillId="0" borderId="4" xfId="0" applyFont="1" applyBorder="1" applyAlignment="1">
      <alignment horizontal="center"/>
    </xf>
    <xf numFmtId="0" fontId="4" fillId="0" borderId="0" xfId="0" applyFont="1" applyAlignment="1">
      <alignment horizontal="center"/>
    </xf>
    <xf numFmtId="0" fontId="14" fillId="2" borderId="2" xfId="0" applyFont="1" applyFill="1" applyBorder="1" applyAlignment="1">
      <alignment horizontal="center" vertical="center" wrapText="1"/>
    </xf>
    <xf numFmtId="0" fontId="15" fillId="0" borderId="0" xfId="0" applyFont="1" applyAlignment="1">
      <alignment horizontal="left"/>
    </xf>
    <xf numFmtId="0" fontId="18" fillId="0" borderId="0" xfId="0" applyFont="1" applyAlignment="1">
      <alignment vertical="center"/>
    </xf>
    <xf numFmtId="168" fontId="0" fillId="0" borderId="8" xfId="0" applyNumberFormat="1" applyBorder="1" applyAlignment="1">
      <alignment vertical="center"/>
    </xf>
    <xf numFmtId="0" fontId="0" fillId="0" borderId="0" xfId="0" applyAlignment="1">
      <alignment horizontal="left" vertical="center"/>
    </xf>
    <xf numFmtId="0" fontId="19" fillId="0" borderId="0" xfId="0" applyFont="1" applyAlignment="1">
      <alignment vertical="center"/>
    </xf>
    <xf numFmtId="0" fontId="13" fillId="0" borderId="0" xfId="0" applyFont="1" applyAlignment="1">
      <alignment horizontal="center" vertical="center"/>
    </xf>
    <xf numFmtId="0" fontId="20" fillId="0" borderId="8" xfId="0" applyFont="1" applyBorder="1" applyAlignment="1">
      <alignment horizontal="left" vertical="center"/>
    </xf>
    <xf numFmtId="0" fontId="0" fillId="0" borderId="8" xfId="0" applyBorder="1" applyAlignment="1">
      <alignment vertical="center"/>
    </xf>
    <xf numFmtId="0" fontId="4" fillId="0" borderId="8" xfId="0" applyFont="1" applyBorder="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21" fillId="0" borderId="0" xfId="0" applyFont="1" applyAlignment="1">
      <alignment horizontal="left" vertical="center"/>
    </xf>
    <xf numFmtId="0" fontId="21" fillId="0" borderId="0" xfId="0" applyFont="1" applyAlignment="1">
      <alignment vertical="center"/>
    </xf>
    <xf numFmtId="0" fontId="21" fillId="0" borderId="0" xfId="0" applyFont="1" applyAlignment="1">
      <alignment horizontal="center" vertical="center"/>
    </xf>
    <xf numFmtId="0" fontId="1" fillId="0" borderId="0" xfId="0" applyFont="1" applyAlignment="1">
      <alignment vertical="center"/>
    </xf>
    <xf numFmtId="0" fontId="10" fillId="0" borderId="13" xfId="0" applyFont="1" applyBorder="1" applyAlignment="1">
      <alignment horizontal="center" vertical="center"/>
    </xf>
    <xf numFmtId="0" fontId="21" fillId="0" borderId="0" xfId="0" applyFont="1" applyAlignment="1">
      <alignment horizontal="center"/>
    </xf>
    <xf numFmtId="167" fontId="21" fillId="0" borderId="0" xfId="0" applyNumberFormat="1" applyFont="1" applyAlignment="1">
      <alignment vertical="center"/>
    </xf>
    <xf numFmtId="167" fontId="0" fillId="0" borderId="0" xfId="0" applyNumberFormat="1" applyAlignment="1">
      <alignment vertical="center"/>
    </xf>
    <xf numFmtId="167" fontId="0" fillId="0" borderId="8" xfId="0" applyNumberFormat="1" applyBorder="1" applyAlignment="1">
      <alignment vertical="center"/>
    </xf>
    <xf numFmtId="0" fontId="1" fillId="0" borderId="0" xfId="0" applyFont="1" applyAlignment="1">
      <alignment horizontal="right"/>
    </xf>
    <xf numFmtId="0" fontId="19" fillId="0" borderId="0" xfId="0" applyFont="1" applyAlignment="1">
      <alignment vertical="top"/>
    </xf>
    <xf numFmtId="0" fontId="0" fillId="0" borderId="13" xfId="0" applyBorder="1" applyAlignment="1">
      <alignment horizontal="center"/>
    </xf>
    <xf numFmtId="0" fontId="0" fillId="0" borderId="13" xfId="0" applyBorder="1" applyAlignment="1">
      <alignment horizontal="center" vertical="center"/>
    </xf>
    <xf numFmtId="0" fontId="1" fillId="0" borderId="13" xfId="0" applyFont="1" applyBorder="1" applyAlignment="1">
      <alignment horizontal="center" vertical="center"/>
    </xf>
    <xf numFmtId="0" fontId="14" fillId="0" borderId="13" xfId="0" applyFont="1" applyBorder="1" applyAlignment="1">
      <alignment horizontal="center" vertical="center" wrapText="1"/>
    </xf>
    <xf numFmtId="0" fontId="10" fillId="0" borderId="0" xfId="0" applyFont="1" applyAlignment="1">
      <alignment horizontal="center" vertical="center"/>
    </xf>
    <xf numFmtId="166" fontId="3" fillId="0" borderId="0" xfId="0" applyNumberFormat="1" applyFont="1" applyAlignment="1">
      <alignment horizontal="center" vertical="center" wrapText="1"/>
    </xf>
    <xf numFmtId="2" fontId="3" fillId="0" borderId="0" xfId="0" quotePrefix="1" applyNumberFormat="1" applyFont="1" applyAlignment="1">
      <alignment horizontal="center" vertical="center" wrapText="1"/>
    </xf>
    <xf numFmtId="165" fontId="3" fillId="0" borderId="0" xfId="0" applyNumberFormat="1" applyFont="1" applyAlignment="1">
      <alignment horizontal="center" vertical="center" wrapText="1"/>
    </xf>
    <xf numFmtId="169" fontId="3" fillId="0" borderId="0" xfId="0" quotePrefix="1" applyNumberFormat="1" applyFont="1" applyAlignment="1">
      <alignment horizontal="center" vertical="center" wrapText="1"/>
    </xf>
    <xf numFmtId="0" fontId="3" fillId="0" borderId="0" xfId="0" quotePrefix="1" applyFont="1" applyAlignment="1">
      <alignment horizontal="center" vertical="center" wrapText="1"/>
    </xf>
    <xf numFmtId="0" fontId="3" fillId="0" borderId="0" xfId="0" applyFont="1" applyAlignment="1">
      <alignment horizontal="center" vertical="center" wrapText="1"/>
    </xf>
    <xf numFmtId="170" fontId="3" fillId="0" borderId="0" xfId="0" applyNumberFormat="1" applyFont="1" applyAlignment="1">
      <alignment horizontal="left" vertical="center" wrapText="1"/>
    </xf>
    <xf numFmtId="0" fontId="3" fillId="0" borderId="0" xfId="0" applyFont="1" applyAlignment="1">
      <alignment horizontal="center" vertical="center"/>
    </xf>
    <xf numFmtId="49" fontId="3" fillId="0" borderId="9" xfId="0" applyNumberFormat="1" applyFont="1" applyBorder="1"/>
    <xf numFmtId="49" fontId="3" fillId="0" borderId="8" xfId="0" applyNumberFormat="1" applyFont="1" applyBorder="1"/>
    <xf numFmtId="0" fontId="3" fillId="0" borderId="0" xfId="0" applyFont="1"/>
    <xf numFmtId="0" fontId="10" fillId="0" borderId="13" xfId="0" applyFont="1" applyBorder="1" applyAlignment="1">
      <alignment horizontal="center"/>
    </xf>
    <xf numFmtId="2" fontId="11" fillId="0" borderId="0" xfId="0" applyNumberFormat="1" applyFont="1" applyAlignment="1">
      <alignment horizontal="centerContinuous" vertical="center"/>
    </xf>
    <xf numFmtId="0" fontId="0" fillId="0" borderId="0" xfId="0" applyAlignment="1">
      <alignment horizontal="centerContinuous"/>
    </xf>
    <xf numFmtId="0" fontId="11" fillId="0" borderId="0" xfId="0" applyFont="1" applyAlignment="1">
      <alignment horizontal="centerContinuous" vertical="center"/>
    </xf>
    <xf numFmtId="168" fontId="11" fillId="0" borderId="0" xfId="0" applyNumberFormat="1" applyFont="1" applyAlignment="1">
      <alignment horizontal="centerContinuous" vertical="center"/>
    </xf>
    <xf numFmtId="14" fontId="0" fillId="0" borderId="0" xfId="0" applyNumberFormat="1" applyAlignment="1">
      <alignment horizontal="left" vertical="center"/>
    </xf>
    <xf numFmtId="0" fontId="12" fillId="0" borderId="0" xfId="0" applyFont="1" applyAlignment="1">
      <alignment horizontal="left" vertical="center"/>
    </xf>
    <xf numFmtId="0" fontId="6" fillId="0" borderId="3" xfId="0" applyFont="1" applyBorder="1" applyAlignment="1">
      <alignment vertical="center"/>
    </xf>
    <xf numFmtId="0" fontId="10" fillId="0" borderId="4" xfId="0" applyFont="1" applyBorder="1" applyAlignment="1">
      <alignment vertical="center"/>
    </xf>
    <xf numFmtId="0" fontId="9" fillId="0" borderId="3" xfId="0" applyFont="1" applyBorder="1" applyAlignment="1">
      <alignment vertical="center"/>
    </xf>
    <xf numFmtId="0" fontId="9" fillId="0" borderId="14" xfId="0" applyFont="1" applyBorder="1" applyAlignment="1">
      <alignment vertical="center"/>
    </xf>
    <xf numFmtId="0" fontId="9" fillId="0" borderId="4" xfId="0" applyFont="1" applyBorder="1" applyAlignment="1">
      <alignment vertical="center"/>
    </xf>
    <xf numFmtId="0" fontId="0" fillId="0" borderId="8" xfId="0" applyBorder="1"/>
    <xf numFmtId="0" fontId="9" fillId="0" borderId="8" xfId="0" applyFont="1" applyBorder="1" applyAlignment="1">
      <alignment horizontal="left" vertical="center"/>
    </xf>
    <xf numFmtId="0" fontId="24" fillId="7" borderId="0" xfId="0" applyFont="1" applyFill="1" applyAlignment="1">
      <alignment horizontal="center" vertical="center"/>
    </xf>
    <xf numFmtId="0" fontId="0" fillId="0" borderId="0" xfId="0" applyProtection="1">
      <protection locked="0"/>
    </xf>
    <xf numFmtId="0" fontId="1" fillId="0" borderId="0" xfId="0" applyFont="1" applyAlignment="1" applyProtection="1">
      <alignment horizontal="right"/>
      <protection locked="0"/>
    </xf>
    <xf numFmtId="0" fontId="1" fillId="3" borderId="3" xfId="0" applyFont="1" applyFill="1" applyBorder="1" applyProtection="1">
      <protection locked="0"/>
    </xf>
    <xf numFmtId="0" fontId="0" fillId="3" borderId="14" xfId="0" applyFill="1" applyBorder="1" applyProtection="1">
      <protection locked="0"/>
    </xf>
    <xf numFmtId="0" fontId="0" fillId="3" borderId="4" xfId="0" applyFill="1" applyBorder="1" applyProtection="1">
      <protection locked="0"/>
    </xf>
    <xf numFmtId="0" fontId="21" fillId="0" borderId="0" xfId="0" applyFont="1" applyProtection="1">
      <protection locked="0"/>
    </xf>
    <xf numFmtId="0" fontId="1" fillId="3" borderId="13" xfId="0" applyFont="1" applyFill="1" applyBorder="1" applyProtection="1">
      <protection locked="0"/>
    </xf>
    <xf numFmtId="0" fontId="1" fillId="0" borderId="0" xfId="0" applyFont="1" applyProtection="1">
      <protection locked="0"/>
    </xf>
    <xf numFmtId="0" fontId="28" fillId="5" borderId="5" xfId="0" applyFont="1" applyFill="1" applyBorder="1" applyAlignment="1" applyProtection="1">
      <alignment vertical="center"/>
      <protection locked="0"/>
    </xf>
    <xf numFmtId="0" fontId="1" fillId="5" borderId="6" xfId="0" applyFont="1" applyFill="1" applyBorder="1" applyAlignment="1" applyProtection="1">
      <alignment vertical="center"/>
      <protection locked="0"/>
    </xf>
    <xf numFmtId="0" fontId="0" fillId="5" borderId="6" xfId="0" applyFill="1" applyBorder="1" applyAlignment="1" applyProtection="1">
      <alignment vertical="center"/>
      <protection locked="0"/>
    </xf>
    <xf numFmtId="0" fontId="0" fillId="5" borderId="10" xfId="0" applyFill="1" applyBorder="1" applyAlignment="1" applyProtection="1">
      <alignment vertical="center"/>
      <protection locked="0"/>
    </xf>
    <xf numFmtId="0" fontId="1" fillId="0" borderId="0" xfId="0" applyFont="1" applyAlignment="1" applyProtection="1">
      <alignment horizontal="right" vertical="center"/>
      <protection locked="0"/>
    </xf>
    <xf numFmtId="0" fontId="23" fillId="7" borderId="0" xfId="0" applyFont="1" applyFill="1" applyAlignment="1" applyProtection="1">
      <alignment horizontal="center" vertical="center"/>
      <protection locked="0"/>
    </xf>
    <xf numFmtId="0" fontId="28" fillId="5" borderId="11" xfId="0" applyFont="1" applyFill="1" applyBorder="1" applyAlignment="1" applyProtection="1">
      <alignment vertical="center"/>
      <protection locked="0"/>
    </xf>
    <xf numFmtId="0" fontId="1" fillId="5" borderId="0" xfId="0" applyFont="1" applyFill="1" applyAlignment="1" applyProtection="1">
      <alignment vertical="center"/>
      <protection locked="0"/>
    </xf>
    <xf numFmtId="0" fontId="0" fillId="5" borderId="0" xfId="0" applyFill="1" applyAlignment="1" applyProtection="1">
      <alignment vertical="center"/>
      <protection locked="0"/>
    </xf>
    <xf numFmtId="0" fontId="22" fillId="4" borderId="13" xfId="0" applyFont="1" applyFill="1" applyBorder="1" applyAlignment="1" applyProtection="1">
      <alignment horizontal="center" vertical="center" wrapText="1"/>
      <protection locked="0"/>
    </xf>
    <xf numFmtId="0" fontId="0" fillId="5" borderId="7" xfId="0" applyFill="1" applyBorder="1" applyAlignment="1" applyProtection="1">
      <alignment vertical="center"/>
      <protection locked="0"/>
    </xf>
    <xf numFmtId="0" fontId="28" fillId="5" borderId="11" xfId="0" applyFont="1" applyFill="1" applyBorder="1" applyProtection="1">
      <protection locked="0"/>
    </xf>
    <xf numFmtId="0" fontId="0" fillId="5" borderId="0" xfId="0" applyFill="1" applyProtection="1">
      <protection locked="0"/>
    </xf>
    <xf numFmtId="0" fontId="0" fillId="5" borderId="7" xfId="0" applyFill="1" applyBorder="1" applyProtection="1">
      <protection locked="0"/>
    </xf>
    <xf numFmtId="0" fontId="22" fillId="4" borderId="13" xfId="0" applyFont="1" applyFill="1" applyBorder="1" applyAlignment="1" applyProtection="1">
      <alignment horizontal="center" vertical="center"/>
      <protection locked="0"/>
    </xf>
    <xf numFmtId="0" fontId="1" fillId="5" borderId="0" xfId="0" applyFont="1" applyFill="1" applyProtection="1">
      <protection locked="0"/>
    </xf>
    <xf numFmtId="10" fontId="22" fillId="4" borderId="13" xfId="1" applyNumberFormat="1" applyFont="1" applyFill="1" applyBorder="1" applyAlignment="1" applyProtection="1">
      <alignment horizontal="center" vertical="center"/>
      <protection locked="0"/>
    </xf>
    <xf numFmtId="0" fontId="31" fillId="0" borderId="0" xfId="0" applyFont="1" applyProtection="1">
      <protection locked="0"/>
    </xf>
    <xf numFmtId="0" fontId="27" fillId="0" borderId="0" xfId="0" applyFont="1" applyAlignment="1" applyProtection="1">
      <alignment horizontal="right"/>
      <protection locked="0"/>
    </xf>
    <xf numFmtId="0" fontId="0" fillId="0" borderId="0" xfId="0" applyAlignment="1" applyProtection="1">
      <alignment horizontal="center"/>
      <protection locked="0"/>
    </xf>
    <xf numFmtId="0" fontId="0" fillId="5" borderId="0" xfId="0" applyFill="1" applyAlignment="1" applyProtection="1">
      <alignment horizontal="right"/>
      <protection locked="0"/>
    </xf>
    <xf numFmtId="173" fontId="22" fillId="4" borderId="13" xfId="0" applyNumberFormat="1" applyFont="1" applyFill="1" applyBorder="1" applyAlignment="1" applyProtection="1">
      <alignment horizontal="center" vertical="center"/>
      <protection locked="0"/>
    </xf>
    <xf numFmtId="0" fontId="29" fillId="0" borderId="0" xfId="0" applyFont="1" applyProtection="1">
      <protection locked="0"/>
    </xf>
    <xf numFmtId="0" fontId="22" fillId="6" borderId="13" xfId="0" applyFont="1" applyFill="1" applyBorder="1" applyAlignment="1" applyProtection="1">
      <alignment horizontal="center" vertical="center"/>
      <protection locked="0"/>
    </xf>
    <xf numFmtId="0" fontId="28" fillId="5" borderId="9" xfId="0" applyFont="1" applyFill="1" applyBorder="1" applyProtection="1">
      <protection locked="0"/>
    </xf>
    <xf numFmtId="0" fontId="0" fillId="5" borderId="8" xfId="0" applyFill="1" applyBorder="1" applyProtection="1">
      <protection locked="0"/>
    </xf>
    <xf numFmtId="0" fontId="0" fillId="5" borderId="12" xfId="0" applyFill="1" applyBorder="1" applyProtection="1">
      <protection locked="0"/>
    </xf>
    <xf numFmtId="10" fontId="0" fillId="0" borderId="13" xfId="0" applyNumberFormat="1" applyBorder="1" applyAlignment="1">
      <alignment horizontal="center"/>
    </xf>
    <xf numFmtId="10" fontId="0" fillId="0" borderId="13" xfId="0" applyNumberFormat="1" applyBorder="1" applyAlignment="1">
      <alignment horizontal="center" vertical="center"/>
    </xf>
    <xf numFmtId="0" fontId="27" fillId="0" borderId="0" xfId="0" applyFont="1" applyAlignment="1" applyProtection="1">
      <alignment horizontal="centerContinuous"/>
      <protection locked="0"/>
    </xf>
    <xf numFmtId="0" fontId="0" fillId="0" borderId="0" xfId="0" applyAlignment="1" applyProtection="1">
      <alignment horizontal="centerContinuous"/>
      <protection locked="0"/>
    </xf>
    <xf numFmtId="49" fontId="0" fillId="0" borderId="0" xfId="0" applyNumberFormat="1"/>
    <xf numFmtId="49" fontId="10" fillId="0" borderId="0" xfId="0" applyNumberFormat="1" applyFont="1" applyAlignment="1">
      <alignment horizontal="center" vertical="center"/>
    </xf>
    <xf numFmtId="168" fontId="21" fillId="0" borderId="0" xfId="0" applyNumberFormat="1" applyFont="1" applyAlignment="1">
      <alignment vertical="center"/>
    </xf>
    <xf numFmtId="168" fontId="10" fillId="0" borderId="2" xfId="0" applyNumberFormat="1" applyFont="1" applyBorder="1" applyAlignment="1">
      <alignment horizontal="center" vertical="center"/>
    </xf>
    <xf numFmtId="168" fontId="0" fillId="0" borderId="0" xfId="0" applyNumberFormat="1"/>
    <xf numFmtId="0" fontId="1" fillId="0" borderId="0" xfId="0" applyFont="1" applyAlignment="1" applyProtection="1">
      <alignment horizontal="center"/>
      <protection locked="0"/>
    </xf>
    <xf numFmtId="0" fontId="22" fillId="4" borderId="13" xfId="0" applyFont="1" applyFill="1" applyBorder="1" applyAlignment="1" applyProtection="1">
      <alignment horizontal="right" vertical="center"/>
      <protection locked="0"/>
    </xf>
    <xf numFmtId="0" fontId="9" fillId="3" borderId="15" xfId="0" applyFont="1" applyFill="1" applyBorder="1" applyAlignment="1" applyProtection="1">
      <alignment horizontal="center"/>
      <protection locked="0"/>
    </xf>
    <xf numFmtId="0" fontId="9" fillId="3" borderId="16" xfId="0" applyFont="1" applyFill="1" applyBorder="1" applyAlignment="1" applyProtection="1">
      <alignment horizontal="center"/>
      <protection locked="0"/>
    </xf>
    <xf numFmtId="0" fontId="0" fillId="3" borderId="17" xfId="0" applyFill="1" applyBorder="1" applyProtection="1">
      <protection locked="0"/>
    </xf>
    <xf numFmtId="0" fontId="1" fillId="4" borderId="19" xfId="1" applyNumberFormat="1" applyFont="1" applyFill="1" applyBorder="1" applyAlignment="1" applyProtection="1">
      <alignment horizontal="left" vertical="center"/>
      <protection locked="0"/>
    </xf>
    <xf numFmtId="168" fontId="1" fillId="4" borderId="20" xfId="1" applyNumberFormat="1" applyFont="1" applyFill="1" applyBorder="1" applyAlignment="1" applyProtection="1">
      <alignment horizontal="center" vertical="center"/>
      <protection locked="0"/>
    </xf>
    <xf numFmtId="0" fontId="1" fillId="4" borderId="20" xfId="1" applyNumberFormat="1" applyFont="1" applyFill="1" applyBorder="1" applyAlignment="1" applyProtection="1">
      <alignment horizontal="center" vertical="center"/>
      <protection locked="0"/>
    </xf>
    <xf numFmtId="0" fontId="1" fillId="4" borderId="22" xfId="1" applyNumberFormat="1" applyFont="1" applyFill="1" applyBorder="1" applyAlignment="1" applyProtection="1">
      <alignment horizontal="left" vertical="center"/>
      <protection locked="0"/>
    </xf>
    <xf numFmtId="168" fontId="1" fillId="4" borderId="13" xfId="1" applyNumberFormat="1" applyFont="1" applyFill="1" applyBorder="1" applyAlignment="1" applyProtection="1">
      <alignment horizontal="center" vertical="center"/>
      <protection locked="0"/>
    </xf>
    <xf numFmtId="0" fontId="1" fillId="4" borderId="13" xfId="1" applyNumberFormat="1" applyFont="1" applyFill="1" applyBorder="1" applyAlignment="1" applyProtection="1">
      <alignment horizontal="center" vertical="center"/>
      <protection locked="0"/>
    </xf>
    <xf numFmtId="0" fontId="1" fillId="4" borderId="24" xfId="1" applyNumberFormat="1" applyFont="1" applyFill="1" applyBorder="1" applyAlignment="1" applyProtection="1">
      <alignment horizontal="left" vertical="center"/>
      <protection locked="0"/>
    </xf>
    <xf numFmtId="168" fontId="1" fillId="4" borderId="25" xfId="1" applyNumberFormat="1" applyFont="1" applyFill="1" applyBorder="1" applyAlignment="1" applyProtection="1">
      <alignment horizontal="center" vertical="center"/>
      <protection locked="0"/>
    </xf>
    <xf numFmtId="0" fontId="1" fillId="4" borderId="25" xfId="1" applyNumberFormat="1" applyFont="1" applyFill="1" applyBorder="1" applyAlignment="1" applyProtection="1">
      <alignment horizontal="center" vertical="center"/>
      <protection locked="0"/>
    </xf>
    <xf numFmtId="0" fontId="0" fillId="0" borderId="26" xfId="0" applyBorder="1" applyProtection="1">
      <protection locked="0"/>
    </xf>
    <xf numFmtId="0" fontId="0" fillId="0" borderId="0" xfId="0" applyAlignment="1" applyProtection="1">
      <alignment horizontal="right"/>
      <protection locked="0"/>
    </xf>
    <xf numFmtId="0" fontId="1" fillId="8" borderId="28" xfId="0" applyFont="1" applyFill="1" applyBorder="1" applyAlignment="1" applyProtection="1">
      <alignment horizontal="center"/>
      <protection locked="0"/>
    </xf>
    <xf numFmtId="0" fontId="0" fillId="9" borderId="28" xfId="0" applyFill="1" applyBorder="1" applyAlignment="1" applyProtection="1">
      <alignment horizontal="center"/>
      <protection locked="0"/>
    </xf>
    <xf numFmtId="0" fontId="0" fillId="10" borderId="28" xfId="0" applyFill="1" applyBorder="1" applyAlignment="1" applyProtection="1">
      <alignment horizontal="center"/>
      <protection locked="0"/>
    </xf>
    <xf numFmtId="0" fontId="0" fillId="11" borderId="28" xfId="0" applyFill="1" applyBorder="1" applyAlignment="1" applyProtection="1">
      <alignment horizontal="center"/>
      <protection locked="0"/>
    </xf>
    <xf numFmtId="0" fontId="0" fillId="12" borderId="28" xfId="0" applyFill="1" applyBorder="1" applyAlignment="1" applyProtection="1">
      <alignment horizontal="center"/>
      <protection locked="0"/>
    </xf>
    <xf numFmtId="0" fontId="0" fillId="13" borderId="28" xfId="0" applyFill="1" applyBorder="1" applyAlignment="1" applyProtection="1">
      <alignment horizontal="center"/>
      <protection locked="0"/>
    </xf>
    <xf numFmtId="0" fontId="0" fillId="14" borderId="28" xfId="0" applyFill="1" applyBorder="1" applyAlignment="1" applyProtection="1">
      <alignment horizontal="center"/>
      <protection locked="0"/>
    </xf>
    <xf numFmtId="0" fontId="0" fillId="15" borderId="28" xfId="0" applyFill="1" applyBorder="1" applyAlignment="1" applyProtection="1">
      <alignment horizontal="center"/>
      <protection locked="0"/>
    </xf>
    <xf numFmtId="0" fontId="0" fillId="16" borderId="28" xfId="0" applyFill="1" applyBorder="1" applyAlignment="1" applyProtection="1">
      <alignment horizontal="center"/>
      <protection locked="0"/>
    </xf>
    <xf numFmtId="0" fontId="0" fillId="17" borderId="28" xfId="0" applyFill="1" applyBorder="1" applyAlignment="1" applyProtection="1">
      <alignment horizontal="center"/>
      <protection locked="0"/>
    </xf>
    <xf numFmtId="0" fontId="0" fillId="18" borderId="28" xfId="0" applyFill="1" applyBorder="1" applyAlignment="1" applyProtection="1">
      <alignment horizontal="center"/>
      <protection locked="0"/>
    </xf>
    <xf numFmtId="0" fontId="36" fillId="0" borderId="0" xfId="0" applyFont="1" applyAlignment="1" applyProtection="1">
      <alignment horizontal="right"/>
      <protection locked="0"/>
    </xf>
    <xf numFmtId="10" fontId="1" fillId="4" borderId="25" xfId="1" applyNumberFormat="1" applyFont="1" applyFill="1" applyBorder="1" applyAlignment="1" applyProtection="1">
      <alignment horizontal="left" vertical="center"/>
      <protection locked="0"/>
    </xf>
    <xf numFmtId="10" fontId="1" fillId="4" borderId="27" xfId="1" applyNumberFormat="1" applyFont="1" applyFill="1" applyBorder="1" applyAlignment="1" applyProtection="1">
      <alignment horizontal="left" vertical="center"/>
      <protection locked="0"/>
    </xf>
    <xf numFmtId="10" fontId="1" fillId="4" borderId="13" xfId="1" applyNumberFormat="1" applyFont="1" applyFill="1" applyBorder="1" applyAlignment="1" applyProtection="1">
      <alignment horizontal="left" vertical="center"/>
      <protection locked="0"/>
    </xf>
    <xf numFmtId="10" fontId="1" fillId="4" borderId="23" xfId="1" applyNumberFormat="1" applyFont="1" applyFill="1" applyBorder="1" applyAlignment="1" applyProtection="1">
      <alignment horizontal="left" vertical="center"/>
      <protection locked="0"/>
    </xf>
    <xf numFmtId="0" fontId="9" fillId="3" borderId="16" xfId="0" applyFont="1" applyFill="1" applyBorder="1" applyAlignment="1" applyProtection="1">
      <alignment horizontal="center"/>
      <protection locked="0"/>
    </xf>
    <xf numFmtId="0" fontId="9" fillId="3" borderId="18" xfId="0" applyFont="1" applyFill="1" applyBorder="1" applyAlignment="1" applyProtection="1">
      <alignment horizontal="center"/>
      <protection locked="0"/>
    </xf>
    <xf numFmtId="10" fontId="1" fillId="4" borderId="20" xfId="1" applyNumberFormat="1" applyFont="1" applyFill="1" applyBorder="1" applyAlignment="1" applyProtection="1">
      <alignment horizontal="left" vertical="center"/>
      <protection locked="0"/>
    </xf>
    <xf numFmtId="10" fontId="1" fillId="4" borderId="21" xfId="1" applyNumberFormat="1" applyFont="1" applyFill="1" applyBorder="1" applyAlignment="1" applyProtection="1">
      <alignment horizontal="left" vertical="center"/>
      <protection locked="0"/>
    </xf>
    <xf numFmtId="0" fontId="0" fillId="0" borderId="13" xfId="0" applyBorder="1" applyAlignment="1">
      <alignment horizontal="center"/>
    </xf>
    <xf numFmtId="0" fontId="0" fillId="0" borderId="13" xfId="0" applyBorder="1" applyAlignment="1">
      <alignment horizontal="center" vertical="center"/>
    </xf>
    <xf numFmtId="49" fontId="4" fillId="2" borderId="2" xfId="0" applyNumberFormat="1" applyFont="1" applyFill="1" applyBorder="1" applyAlignment="1">
      <alignment horizontal="center"/>
    </xf>
    <xf numFmtId="49" fontId="4" fillId="0" borderId="2" xfId="0" applyNumberFormat="1" applyFont="1" applyBorder="1" applyAlignment="1">
      <alignment horizontal="center"/>
    </xf>
    <xf numFmtId="0" fontId="5" fillId="0" borderId="2" xfId="0" applyFont="1" applyBorder="1" applyAlignment="1">
      <alignment horizontal="center" vertical="center" wrapText="1"/>
    </xf>
    <xf numFmtId="0" fontId="14" fillId="0" borderId="3" xfId="0" applyFont="1" applyBorder="1" applyAlignment="1">
      <alignment horizontal="center"/>
    </xf>
    <xf numFmtId="0" fontId="14" fillId="0" borderId="1" xfId="0" applyFont="1" applyBorder="1" applyAlignment="1">
      <alignment horizontal="center"/>
    </xf>
    <xf numFmtId="165" fontId="2" fillId="0" borderId="3" xfId="0" applyNumberFormat="1" applyFont="1" applyBorder="1" applyAlignment="1">
      <alignment horizontal="left" vertical="center" wrapText="1"/>
    </xf>
    <xf numFmtId="165" fontId="2" fillId="0" borderId="1" xfId="0" applyNumberFormat="1" applyFont="1" applyBorder="1" applyAlignment="1">
      <alignment horizontal="left" vertical="center" wrapText="1"/>
    </xf>
    <xf numFmtId="49" fontId="14" fillId="0" borderId="2" xfId="0" applyNumberFormat="1" applyFont="1" applyBorder="1" applyAlignment="1">
      <alignment horizontal="center" vertical="center"/>
    </xf>
    <xf numFmtId="0" fontId="14" fillId="0" borderId="4" xfId="0" applyFont="1" applyBorder="1" applyAlignment="1">
      <alignment horizontal="center"/>
    </xf>
    <xf numFmtId="0" fontId="3" fillId="0" borderId="3" xfId="0" applyFont="1" applyBorder="1" applyAlignment="1">
      <alignment horizontal="center"/>
    </xf>
    <xf numFmtId="0" fontId="3" fillId="0" borderId="14" xfId="0" applyFont="1" applyBorder="1" applyAlignment="1">
      <alignment horizontal="center"/>
    </xf>
    <xf numFmtId="0" fontId="3" fillId="0" borderId="4" xfId="0" applyFont="1" applyBorder="1" applyAlignment="1">
      <alignment horizontal="center"/>
    </xf>
    <xf numFmtId="0" fontId="9" fillId="0" borderId="0" xfId="0" applyFont="1" applyAlignment="1">
      <alignment horizontal="left" vertical="center" wrapText="1"/>
    </xf>
    <xf numFmtId="0" fontId="0" fillId="0" borderId="0" xfId="0" applyFill="1" applyAlignment="1">
      <alignment vertical="center"/>
    </xf>
    <xf numFmtId="0" fontId="10" fillId="0" borderId="3" xfId="0" applyFont="1" applyFill="1" applyBorder="1" applyAlignment="1">
      <alignment vertical="center"/>
    </xf>
    <xf numFmtId="0" fontId="10" fillId="0" borderId="0" xfId="0" applyFont="1" applyFill="1" applyAlignment="1">
      <alignment vertical="center"/>
    </xf>
    <xf numFmtId="0" fontId="10" fillId="0" borderId="0" xfId="0" applyFont="1" applyFill="1" applyAlignment="1">
      <alignment horizontal="center" vertical="center"/>
    </xf>
    <xf numFmtId="49" fontId="10" fillId="0" borderId="0" xfId="0" applyNumberFormat="1" applyFont="1" applyFill="1" applyAlignment="1">
      <alignment vertical="center"/>
    </xf>
    <xf numFmtId="0" fontId="32" fillId="0" borderId="3" xfId="0" applyFont="1" applyFill="1" applyBorder="1" applyAlignment="1">
      <alignment horizontal="left" vertical="center" indent="1"/>
    </xf>
    <xf numFmtId="0" fontId="32" fillId="0" borderId="0" xfId="0" applyFont="1" applyFill="1" applyAlignment="1">
      <alignment vertical="center"/>
    </xf>
    <xf numFmtId="0" fontId="32" fillId="0" borderId="0" xfId="0" applyFont="1" applyFill="1" applyAlignment="1">
      <alignment horizontal="center" vertical="center"/>
    </xf>
    <xf numFmtId="49" fontId="32" fillId="0" borderId="0" xfId="0" applyNumberFormat="1" applyFont="1" applyFill="1" applyAlignment="1">
      <alignment vertical="center"/>
    </xf>
    <xf numFmtId="0" fontId="33" fillId="0" borderId="3" xfId="0" applyFont="1" applyFill="1" applyBorder="1" applyAlignment="1">
      <alignment horizontal="left" vertical="center" indent="2"/>
    </xf>
    <xf numFmtId="0" fontId="33" fillId="0" borderId="0" xfId="0" applyFont="1" applyFill="1" applyAlignment="1">
      <alignment vertical="center"/>
    </xf>
    <xf numFmtId="0" fontId="33" fillId="0" borderId="0" xfId="0" applyFont="1" applyFill="1" applyAlignment="1">
      <alignment horizontal="center" vertical="center"/>
    </xf>
    <xf numFmtId="49" fontId="33" fillId="0" borderId="0" xfId="0" applyNumberFormat="1" applyFont="1" applyFill="1" applyAlignment="1">
      <alignment vertical="center"/>
    </xf>
    <xf numFmtId="0" fontId="0" fillId="0" borderId="3" xfId="0" applyFill="1" applyBorder="1" applyAlignment="1">
      <alignment horizontal="left" vertical="center" indent="3"/>
    </xf>
    <xf numFmtId="0" fontId="0" fillId="0" borderId="0" xfId="0" applyFill="1" applyAlignment="1">
      <alignment horizontal="center" vertical="center"/>
    </xf>
    <xf numFmtId="49" fontId="0" fillId="0" borderId="0" xfId="0" applyNumberFormat="1" applyFill="1" applyAlignment="1">
      <alignment vertical="center"/>
    </xf>
    <xf numFmtId="0" fontId="34" fillId="0" borderId="3" xfId="0" applyFont="1" applyFill="1" applyBorder="1" applyAlignment="1">
      <alignment horizontal="left" vertical="center" indent="3"/>
    </xf>
    <xf numFmtId="0" fontId="34" fillId="0" borderId="0" xfId="0" applyFont="1" applyFill="1" applyAlignment="1">
      <alignment vertical="center"/>
    </xf>
    <xf numFmtId="0" fontId="34" fillId="0" borderId="0" xfId="0" applyFont="1" applyFill="1" applyAlignment="1">
      <alignment horizontal="center" vertical="center"/>
    </xf>
    <xf numFmtId="49" fontId="34" fillId="0" borderId="0" xfId="0" applyNumberFormat="1" applyFont="1" applyFill="1" applyAlignment="1">
      <alignment vertical="center"/>
    </xf>
    <xf numFmtId="0" fontId="0" fillId="0" borderId="3" xfId="0" applyFill="1" applyBorder="1" applyAlignment="1">
      <alignment horizontal="left" vertical="center" indent="4"/>
    </xf>
    <xf numFmtId="0" fontId="34" fillId="0" borderId="3" xfId="0" applyFont="1" applyFill="1" applyBorder="1" applyAlignment="1">
      <alignment horizontal="left" indent="3"/>
    </xf>
    <xf numFmtId="0" fontId="34" fillId="0" borderId="0" xfId="0" applyFont="1" applyFill="1"/>
    <xf numFmtId="0" fontId="34" fillId="0" borderId="0" xfId="0" applyFont="1" applyFill="1" applyAlignment="1">
      <alignment horizontal="center"/>
    </xf>
    <xf numFmtId="49" fontId="34" fillId="0" borderId="0" xfId="0" applyNumberFormat="1" applyFont="1" applyFill="1"/>
    <xf numFmtId="0" fontId="0" fillId="0" borderId="0" xfId="0" applyFill="1"/>
    <xf numFmtId="0" fontId="0" fillId="0" borderId="3" xfId="0" applyFill="1" applyBorder="1" applyAlignment="1">
      <alignment horizontal="left" indent="4"/>
    </xf>
    <xf numFmtId="0" fontId="0" fillId="0" borderId="0" xfId="0" applyFill="1" applyAlignment="1">
      <alignment horizontal="center"/>
    </xf>
    <xf numFmtId="49" fontId="0" fillId="0" borderId="0" xfId="0" applyNumberFormat="1" applyFill="1"/>
    <xf numFmtId="0" fontId="33" fillId="0" borderId="3" xfId="0" applyFont="1" applyFill="1" applyBorder="1" applyAlignment="1">
      <alignment horizontal="left" indent="2"/>
    </xf>
    <xf numFmtId="0" fontId="33" fillId="0" borderId="0" xfId="0" applyFont="1" applyFill="1"/>
    <xf numFmtId="0" fontId="33" fillId="0" borderId="0" xfId="0" applyFont="1" applyFill="1" applyAlignment="1">
      <alignment horizontal="center"/>
    </xf>
    <xf numFmtId="49" fontId="33" fillId="0" borderId="0" xfId="0" applyNumberFormat="1" applyFont="1" applyFill="1"/>
    <xf numFmtId="0" fontId="0" fillId="0" borderId="3" xfId="0" applyFill="1" applyBorder="1" applyAlignment="1">
      <alignment horizontal="left" indent="3"/>
    </xf>
    <xf numFmtId="0" fontId="32" fillId="0" borderId="3" xfId="0" applyFont="1" applyFill="1" applyBorder="1" applyAlignment="1">
      <alignment horizontal="left" indent="1"/>
    </xf>
    <xf numFmtId="0" fontId="32" fillId="0" borderId="0" xfId="0" applyFont="1" applyFill="1"/>
    <xf numFmtId="0" fontId="32" fillId="0" borderId="0" xfId="0" applyFont="1" applyFill="1" applyAlignment="1">
      <alignment horizontal="center"/>
    </xf>
    <xf numFmtId="49" fontId="32" fillId="0" borderId="0" xfId="0" applyNumberFormat="1" applyFont="1" applyFill="1"/>
    <xf numFmtId="0" fontId="0" fillId="0" borderId="3" xfId="0" applyFill="1" applyBorder="1" applyAlignment="1">
      <alignment horizontal="left" indent="2"/>
    </xf>
    <xf numFmtId="0" fontId="10" fillId="0" borderId="3" xfId="0" applyFont="1" applyFill="1" applyBorder="1"/>
    <xf numFmtId="0" fontId="10" fillId="0" borderId="0" xfId="0" applyFont="1" applyFill="1"/>
    <xf numFmtId="0" fontId="10" fillId="0" borderId="0" xfId="0" applyFont="1" applyFill="1" applyAlignment="1">
      <alignment horizontal="center"/>
    </xf>
    <xf numFmtId="49" fontId="10" fillId="0" borderId="0" xfId="0" applyNumberFormat="1" applyFont="1" applyFill="1"/>
    <xf numFmtId="0" fontId="1" fillId="0" borderId="0" xfId="0" applyFont="1" applyFill="1"/>
    <xf numFmtId="0" fontId="1" fillId="0" borderId="0" xfId="0" applyFont="1" applyFill="1" applyAlignment="1">
      <alignment horizontal="center"/>
    </xf>
    <xf numFmtId="49" fontId="1" fillId="0" borderId="0" xfId="0" applyNumberFormat="1" applyFont="1" applyFill="1"/>
    <xf numFmtId="0" fontId="35" fillId="0" borderId="0" xfId="0" applyFont="1" applyFill="1"/>
    <xf numFmtId="0" fontId="35" fillId="0" borderId="0" xfId="0" applyFont="1" applyFill="1" applyAlignment="1">
      <alignment horizontal="center"/>
    </xf>
    <xf numFmtId="49" fontId="35" fillId="0" borderId="0" xfId="0" applyNumberFormat="1" applyFont="1" applyFill="1"/>
    <xf numFmtId="168" fontId="0" fillId="0" borderId="0" xfId="0" applyNumberFormat="1" applyFill="1"/>
    <xf numFmtId="168" fontId="0" fillId="0" borderId="0" xfId="0" applyNumberFormat="1" applyFill="1" applyAlignment="1">
      <alignment horizontal="right"/>
    </xf>
    <xf numFmtId="0" fontId="10" fillId="0" borderId="29" xfId="0" applyFont="1" applyFill="1" applyBorder="1" applyAlignment="1">
      <alignment vertical="center"/>
    </xf>
    <xf numFmtId="168" fontId="10" fillId="0" borderId="29" xfId="0" applyNumberFormat="1" applyFont="1" applyFill="1" applyBorder="1" applyAlignment="1">
      <alignment vertical="center"/>
    </xf>
    <xf numFmtId="168" fontId="10" fillId="0" borderId="30" xfId="0" applyNumberFormat="1" applyFont="1" applyFill="1" applyBorder="1" applyAlignment="1">
      <alignment vertical="center"/>
    </xf>
    <xf numFmtId="0" fontId="32" fillId="0" borderId="29" xfId="0" applyFont="1" applyFill="1" applyBorder="1" applyAlignment="1">
      <alignment vertical="center"/>
    </xf>
    <xf numFmtId="168" fontId="32" fillId="0" borderId="29" xfId="0" applyNumberFormat="1" applyFont="1" applyFill="1" applyBorder="1" applyAlignment="1">
      <alignment vertical="center"/>
    </xf>
    <xf numFmtId="168" fontId="32" fillId="0" borderId="30" xfId="0" applyNumberFormat="1" applyFont="1" applyFill="1" applyBorder="1" applyAlignment="1">
      <alignment vertical="center"/>
    </xf>
    <xf numFmtId="0" fontId="33" fillId="0" borderId="29" xfId="0" applyFont="1" applyFill="1" applyBorder="1" applyAlignment="1">
      <alignment vertical="center"/>
    </xf>
    <xf numFmtId="168" fontId="33" fillId="0" borderId="29" xfId="0" applyNumberFormat="1" applyFont="1" applyFill="1" applyBorder="1" applyAlignment="1">
      <alignment vertical="center"/>
    </xf>
    <xf numFmtId="168" fontId="33" fillId="0" borderId="30" xfId="0" applyNumberFormat="1" applyFont="1" applyFill="1" applyBorder="1" applyAlignment="1">
      <alignment vertical="center"/>
    </xf>
    <xf numFmtId="0" fontId="0" fillId="0" borderId="29" xfId="0" applyFill="1" applyBorder="1" applyAlignment="1">
      <alignment vertical="center"/>
    </xf>
    <xf numFmtId="168" fontId="0" fillId="0" borderId="29" xfId="0" applyNumberFormat="1" applyFill="1" applyBorder="1" applyAlignment="1">
      <alignment vertical="center"/>
    </xf>
    <xf numFmtId="168" fontId="0" fillId="0" borderId="30" xfId="0" applyNumberFormat="1" applyFill="1" applyBorder="1" applyAlignment="1">
      <alignment vertical="center"/>
    </xf>
    <xf numFmtId="0" fontId="34" fillId="0" borderId="29" xfId="0" applyFont="1" applyFill="1" applyBorder="1" applyAlignment="1">
      <alignment vertical="center"/>
    </xf>
    <xf numFmtId="168" fontId="34" fillId="0" borderId="29" xfId="0" applyNumberFormat="1" applyFont="1" applyFill="1" applyBorder="1" applyAlignment="1">
      <alignment vertical="center"/>
    </xf>
    <xf numFmtId="168" fontId="34" fillId="0" borderId="30" xfId="0" applyNumberFormat="1" applyFont="1" applyFill="1" applyBorder="1" applyAlignment="1">
      <alignment vertical="center"/>
    </xf>
    <xf numFmtId="0" fontId="34" fillId="0" borderId="29" xfId="0" applyFont="1" applyFill="1" applyBorder="1"/>
    <xf numFmtId="168" fontId="34" fillId="0" borderId="29" xfId="0" applyNumberFormat="1" applyFont="1" applyFill="1" applyBorder="1"/>
    <xf numFmtId="168" fontId="34" fillId="0" borderId="30" xfId="0" applyNumberFormat="1" applyFont="1" applyFill="1" applyBorder="1"/>
    <xf numFmtId="0" fontId="0" fillId="0" borderId="29" xfId="0" applyFill="1" applyBorder="1"/>
    <xf numFmtId="168" fontId="0" fillId="0" borderId="29" xfId="0" applyNumberFormat="1" applyFill="1" applyBorder="1"/>
    <xf numFmtId="168" fontId="0" fillId="0" borderId="30" xfId="0" applyNumberFormat="1" applyFill="1" applyBorder="1"/>
    <xf numFmtId="0" fontId="33" fillId="0" borderId="29" xfId="0" applyFont="1" applyFill="1" applyBorder="1"/>
    <xf numFmtId="168" fontId="33" fillId="0" borderId="29" xfId="0" applyNumberFormat="1" applyFont="1" applyFill="1" applyBorder="1"/>
    <xf numFmtId="168" fontId="33" fillId="0" borderId="30" xfId="0" applyNumberFormat="1" applyFont="1" applyFill="1" applyBorder="1"/>
    <xf numFmtId="0" fontId="32" fillId="0" borderId="29" xfId="0" applyFont="1" applyFill="1" applyBorder="1"/>
    <xf numFmtId="168" fontId="32" fillId="0" borderId="29" xfId="0" applyNumberFormat="1" applyFont="1" applyFill="1" applyBorder="1"/>
    <xf numFmtId="168" fontId="32" fillId="0" borderId="30" xfId="0" applyNumberFormat="1" applyFont="1" applyFill="1" applyBorder="1"/>
    <xf numFmtId="0" fontId="10" fillId="0" borderId="29" xfId="0" applyFont="1" applyFill="1" applyBorder="1"/>
    <xf numFmtId="168" fontId="10" fillId="0" borderId="29" xfId="0" applyNumberFormat="1" applyFont="1" applyFill="1" applyBorder="1"/>
    <xf numFmtId="168" fontId="10" fillId="0" borderId="30" xfId="0" applyNumberFormat="1" applyFont="1" applyFill="1" applyBorder="1"/>
    <xf numFmtId="0" fontId="10" fillId="0" borderId="31" xfId="0" applyFont="1" applyFill="1" applyBorder="1" applyAlignment="1">
      <alignment vertical="center"/>
    </xf>
    <xf numFmtId="0" fontId="32" fillId="0" borderId="31" xfId="0" applyFont="1" applyFill="1" applyBorder="1" applyAlignment="1">
      <alignment vertical="center"/>
    </xf>
    <xf numFmtId="0" fontId="33" fillId="0" borderId="31" xfId="0" applyFont="1" applyFill="1" applyBorder="1" applyAlignment="1">
      <alignment vertical="center"/>
    </xf>
    <xf numFmtId="0" fontId="0" fillId="0" borderId="31" xfId="0" applyFill="1" applyBorder="1" applyAlignment="1">
      <alignment vertical="center"/>
    </xf>
    <xf numFmtId="0" fontId="34" fillId="0" borderId="31" xfId="0" applyFont="1" applyFill="1" applyBorder="1" applyAlignment="1">
      <alignment vertical="center"/>
    </xf>
    <xf numFmtId="0" fontId="34" fillId="0" borderId="31" xfId="0" applyFont="1" applyFill="1" applyBorder="1"/>
    <xf numFmtId="0" fontId="0" fillId="0" borderId="31" xfId="0" applyFill="1" applyBorder="1"/>
    <xf numFmtId="0" fontId="33" fillId="0" borderId="31" xfId="0" applyFont="1" applyFill="1" applyBorder="1"/>
    <xf numFmtId="0" fontId="32" fillId="0" borderId="31" xfId="0" applyFont="1" applyFill="1" applyBorder="1"/>
    <xf numFmtId="0" fontId="10" fillId="0" borderId="31" xfId="0" applyFont="1" applyFill="1" applyBorder="1"/>
    <xf numFmtId="0" fontId="37" fillId="0" borderId="3" xfId="0" applyFont="1" applyFill="1" applyBorder="1"/>
    <xf numFmtId="0" fontId="37" fillId="0" borderId="14" xfId="0" applyFont="1" applyFill="1" applyBorder="1"/>
    <xf numFmtId="168" fontId="37" fillId="0" borderId="14" xfId="0" applyNumberFormat="1" applyFont="1" applyFill="1" applyBorder="1"/>
    <xf numFmtId="0" fontId="38" fillId="0" borderId="3" xfId="0" applyFont="1" applyFill="1" applyBorder="1"/>
    <xf numFmtId="0" fontId="38" fillId="0" borderId="14" xfId="0" applyFont="1" applyFill="1" applyBorder="1"/>
    <xf numFmtId="168" fontId="38" fillId="0" borderId="14" xfId="0" applyNumberFormat="1" applyFont="1" applyFill="1" applyBorder="1"/>
    <xf numFmtId="168" fontId="37" fillId="0" borderId="31" xfId="0" applyNumberFormat="1" applyFont="1" applyFill="1" applyBorder="1"/>
    <xf numFmtId="168" fontId="38" fillId="0" borderId="31" xfId="0" applyNumberFormat="1" applyFont="1" applyFill="1" applyBorder="1"/>
  </cellXfs>
  <cellStyles count="2">
    <cellStyle name="Normal" xfId="0" builtinId="0"/>
    <cellStyle name="Porcentaje" xfId="1" builtinId="5"/>
  </cellStyles>
  <dxfs count="14">
    <dxf>
      <font>
        <color rgb="FF990099"/>
      </font>
    </dxf>
    <dxf>
      <font>
        <color rgb="FFFF9999"/>
      </font>
    </dxf>
    <dxf>
      <font>
        <color rgb="FF000099"/>
      </font>
    </dxf>
    <dxf>
      <font>
        <color rgb="FF008000"/>
      </font>
    </dxf>
    <dxf>
      <font>
        <color rgb="FF800000"/>
      </font>
    </dxf>
    <dxf>
      <font>
        <color rgb="FF00FFFF"/>
      </font>
    </dxf>
    <dxf>
      <font>
        <color rgb="FFFF00FF"/>
      </font>
    </dxf>
    <dxf>
      <font>
        <strike val="0"/>
        <color rgb="FFFFFF00"/>
      </font>
    </dxf>
    <dxf>
      <font>
        <color rgb="FF0000FF"/>
      </font>
    </dxf>
    <dxf>
      <font>
        <color rgb="FF00FF00"/>
      </font>
    </dxf>
    <dxf>
      <font>
        <color rgb="FF008080"/>
      </font>
    </dxf>
    <dxf>
      <font>
        <color rgb="FFFF9900"/>
      </font>
    </dxf>
    <dxf>
      <font>
        <color rgb="FFFF0000"/>
      </font>
    </dxf>
    <dxf>
      <font>
        <strike val="0"/>
        <color theme="1"/>
      </font>
    </dxf>
  </dxfs>
  <tableStyles count="0" defaultTableStyle="TableStyleMedium9" defaultPivotStyle="PivotStyleLight16"/>
  <colors>
    <mruColors>
      <color rgb="FF0000FF"/>
      <color rgb="FF0000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4"/>
  <dimension ref="A1:AV55"/>
  <sheetViews>
    <sheetView zoomScale="130" zoomScaleNormal="130" workbookViewId="0">
      <selection activeCell="A11" sqref="A11"/>
    </sheetView>
  </sheetViews>
  <sheetFormatPr baseColWidth="10" defaultRowHeight="12.75" x14ac:dyDescent="0.2"/>
  <cols>
    <col min="1" max="1" width="30.7109375" style="85" customWidth="1"/>
    <col min="2" max="2" width="4" style="85" customWidth="1"/>
    <col min="3" max="3" width="11.42578125" style="85" customWidth="1"/>
    <col min="4" max="4" width="2.140625" style="85" hidden="1" customWidth="1"/>
    <col min="5" max="5" width="1.5703125" style="85" customWidth="1"/>
    <col min="6" max="6" width="2.42578125" style="85" customWidth="1"/>
    <col min="7" max="7" width="13.42578125" style="85" customWidth="1"/>
    <col min="8" max="8" width="6.140625" style="85" customWidth="1"/>
    <col min="9" max="9" width="29.7109375" style="85" customWidth="1"/>
    <col min="10" max="10" width="10.85546875" style="85" customWidth="1"/>
    <col min="11" max="11" width="2.42578125" style="85" customWidth="1"/>
    <col min="12" max="16384" width="11.42578125" style="85"/>
  </cols>
  <sheetData>
    <row r="1" spans="1:48" x14ac:dyDescent="0.2">
      <c r="A1" s="110"/>
      <c r="AQ1" s="85" t="s">
        <v>54</v>
      </c>
      <c r="AT1" s="115" t="s">
        <v>118</v>
      </c>
    </row>
    <row r="2" spans="1:48" x14ac:dyDescent="0.2">
      <c r="B2" s="86" t="s">
        <v>129</v>
      </c>
      <c r="C2" s="87" t="s">
        <v>67</v>
      </c>
      <c r="D2" s="88"/>
      <c r="E2" s="88"/>
      <c r="F2" s="88"/>
      <c r="G2" s="88"/>
      <c r="H2" s="88"/>
      <c r="I2" s="88"/>
      <c r="J2" s="88"/>
      <c r="K2" s="88"/>
      <c r="L2" s="88"/>
      <c r="M2" s="88"/>
      <c r="N2" s="88"/>
      <c r="O2" s="88"/>
      <c r="P2" s="89"/>
      <c r="AQ2" s="85" t="s">
        <v>53</v>
      </c>
      <c r="AT2" s="92" t="s">
        <v>119</v>
      </c>
      <c r="AU2" s="92" t="s">
        <v>120</v>
      </c>
      <c r="AV2" s="92" t="s">
        <v>121</v>
      </c>
    </row>
    <row r="3" spans="1:48" x14ac:dyDescent="0.2">
      <c r="B3" s="86" t="s">
        <v>130</v>
      </c>
      <c r="C3" s="87" t="s">
        <v>67</v>
      </c>
      <c r="D3" s="88"/>
      <c r="E3" s="88"/>
      <c r="F3" s="88"/>
      <c r="G3" s="88"/>
      <c r="H3" s="89"/>
      <c r="AQ3" s="85" t="s">
        <v>53</v>
      </c>
    </row>
    <row r="4" spans="1:48" x14ac:dyDescent="0.2">
      <c r="B4" s="86" t="s">
        <v>131</v>
      </c>
      <c r="C4" s="87" t="s">
        <v>67</v>
      </c>
      <c r="D4" s="88"/>
      <c r="E4" s="88"/>
      <c r="F4" s="88"/>
      <c r="G4" s="89"/>
      <c r="AQ4" s="85" t="s">
        <v>53</v>
      </c>
    </row>
    <row r="5" spans="1:48" x14ac:dyDescent="0.2">
      <c r="B5" s="86" t="s">
        <v>132</v>
      </c>
      <c r="C5" s="91" t="s">
        <v>67</v>
      </c>
      <c r="AI5" s="85" t="s">
        <v>65</v>
      </c>
      <c r="AJ5" s="92" t="s">
        <v>106</v>
      </c>
      <c r="AQ5" s="85" t="s">
        <v>53</v>
      </c>
    </row>
    <row r="6" spans="1:48" x14ac:dyDescent="0.2">
      <c r="F6" s="93" t="s">
        <v>80</v>
      </c>
      <c r="G6" s="94"/>
      <c r="H6" s="95"/>
      <c r="I6" s="95"/>
      <c r="J6" s="95"/>
      <c r="K6" s="96"/>
      <c r="AI6" s="85" t="s">
        <v>60</v>
      </c>
      <c r="AJ6" s="92" t="s">
        <v>107</v>
      </c>
    </row>
    <row r="7" spans="1:48" ht="20.25" customHeight="1" x14ac:dyDescent="0.2">
      <c r="B7" s="97" t="s">
        <v>133</v>
      </c>
      <c r="C7" s="98" t="s">
        <v>151</v>
      </c>
      <c r="D7" s="85" t="str">
        <f>IF(J7=AI5,AJ5,AJ6)</f>
        <v>S/</v>
      </c>
      <c r="F7" s="99"/>
      <c r="G7" s="100" t="s">
        <v>61</v>
      </c>
      <c r="H7" s="101"/>
      <c r="I7" s="101"/>
      <c r="J7" s="102" t="s">
        <v>65</v>
      </c>
      <c r="K7" s="103"/>
    </row>
    <row r="8" spans="1:48" x14ac:dyDescent="0.2">
      <c r="F8" s="104" t="s">
        <v>1538</v>
      </c>
      <c r="G8" s="105"/>
      <c r="H8" s="105"/>
      <c r="I8" s="105"/>
      <c r="J8" s="105"/>
      <c r="K8" s="106"/>
    </row>
    <row r="9" spans="1:48" ht="15" customHeight="1" x14ac:dyDescent="0.2">
      <c r="B9" s="97" t="s">
        <v>136</v>
      </c>
      <c r="C9" s="130" t="s">
        <v>48</v>
      </c>
      <c r="F9" s="104"/>
      <c r="G9" s="108" t="s">
        <v>1539</v>
      </c>
      <c r="H9" s="105"/>
      <c r="I9" s="105"/>
      <c r="J9" s="107">
        <v>2</v>
      </c>
      <c r="K9" s="106"/>
      <c r="AI9" s="85" t="s">
        <v>48</v>
      </c>
      <c r="AL9" s="92"/>
      <c r="AM9" s="92"/>
      <c r="AQ9" s="85" t="s">
        <v>54</v>
      </c>
    </row>
    <row r="10" spans="1:48" ht="15" customHeight="1" x14ac:dyDescent="0.2">
      <c r="B10" s="86" t="s">
        <v>52</v>
      </c>
      <c r="C10" s="109">
        <v>0.18</v>
      </c>
      <c r="F10" s="104"/>
      <c r="G10" s="108" t="s">
        <v>90</v>
      </c>
      <c r="H10" s="105"/>
      <c r="I10" s="105"/>
      <c r="J10" s="107">
        <v>2</v>
      </c>
      <c r="K10" s="106"/>
      <c r="AI10" s="85" t="s">
        <v>49</v>
      </c>
      <c r="AL10" s="92"/>
      <c r="AO10" s="85" t="s">
        <v>108</v>
      </c>
      <c r="AR10" s="110" t="s">
        <v>125</v>
      </c>
    </row>
    <row r="11" spans="1:48" x14ac:dyDescent="0.2">
      <c r="D11" s="85">
        <f>Pto!G474</f>
        <v>2400809.0299999998</v>
      </c>
      <c r="F11" s="104"/>
      <c r="G11" s="108"/>
      <c r="H11" s="105"/>
      <c r="I11" s="105"/>
      <c r="J11" s="105"/>
      <c r="K11" s="106"/>
      <c r="AH11" s="85">
        <v>0</v>
      </c>
      <c r="AI11" s="85">
        <v>0</v>
      </c>
      <c r="AK11" s="85">
        <v>0</v>
      </c>
      <c r="AL11" s="92"/>
      <c r="AO11" s="85" t="s">
        <v>109</v>
      </c>
      <c r="AP11" s="92" t="s">
        <v>110</v>
      </c>
      <c r="AR11" s="92" t="s">
        <v>126</v>
      </c>
    </row>
    <row r="12" spans="1:48" x14ac:dyDescent="0.2">
      <c r="B12" s="111" t="s">
        <v>1555</v>
      </c>
      <c r="F12" s="104"/>
      <c r="G12" s="108" t="s">
        <v>86</v>
      </c>
      <c r="H12" s="105"/>
      <c r="I12" s="105"/>
      <c r="J12" s="107">
        <v>2</v>
      </c>
      <c r="K12" s="106"/>
      <c r="AI12" s="85">
        <v>1</v>
      </c>
      <c r="AJ12" s="85">
        <v>6</v>
      </c>
      <c r="AK12" s="85">
        <v>1</v>
      </c>
      <c r="AL12" s="92"/>
      <c r="AO12" s="85" t="s">
        <v>111</v>
      </c>
      <c r="AP12" s="92" t="s">
        <v>110</v>
      </c>
      <c r="AR12" s="92" t="s">
        <v>127</v>
      </c>
    </row>
    <row r="13" spans="1:48" x14ac:dyDescent="0.2">
      <c r="B13" s="144" t="s">
        <v>1556</v>
      </c>
      <c r="C13" s="145"/>
      <c r="F13" s="104"/>
      <c r="G13" s="108" t="s">
        <v>87</v>
      </c>
      <c r="H13" s="105"/>
      <c r="I13" s="105"/>
      <c r="J13" s="107">
        <v>4</v>
      </c>
      <c r="K13" s="106"/>
      <c r="AI13" s="85">
        <v>2</v>
      </c>
      <c r="AJ13" s="85">
        <v>5</v>
      </c>
      <c r="AK13" s="85">
        <v>2</v>
      </c>
      <c r="AL13" s="92"/>
      <c r="AO13" s="85" t="s">
        <v>112</v>
      </c>
      <c r="AP13" s="92" t="s">
        <v>110</v>
      </c>
      <c r="AR13" s="92" t="s">
        <v>143</v>
      </c>
    </row>
    <row r="14" spans="1:48" x14ac:dyDescent="0.2">
      <c r="B14" s="86" t="s">
        <v>70</v>
      </c>
      <c r="C14" s="146"/>
      <c r="D14" s="85" t="e">
        <f t="shared" ref="D14:D23" si="0">VLOOKUP(C14,AL$10:AM$23,2,FALSE)</f>
        <v>#N/A</v>
      </c>
      <c r="F14" s="104"/>
      <c r="G14" s="105"/>
      <c r="H14" s="105"/>
      <c r="I14" s="105"/>
      <c r="J14" s="105"/>
      <c r="K14" s="106"/>
      <c r="AI14" s="85">
        <v>3</v>
      </c>
      <c r="AK14" s="85">
        <v>3</v>
      </c>
      <c r="AL14" s="92"/>
      <c r="AO14" s="85" t="s">
        <v>113</v>
      </c>
      <c r="AP14" s="92" t="s">
        <v>110</v>
      </c>
      <c r="AR14" s="92" t="s">
        <v>144</v>
      </c>
    </row>
    <row r="15" spans="1:48" x14ac:dyDescent="0.2">
      <c r="B15" s="86" t="s">
        <v>71</v>
      </c>
      <c r="C15" s="147"/>
      <c r="D15" s="85" t="e">
        <f t="shared" si="0"/>
        <v>#N/A</v>
      </c>
      <c r="F15" s="104"/>
      <c r="G15" s="108" t="s">
        <v>88</v>
      </c>
      <c r="H15" s="105"/>
      <c r="I15" s="105"/>
      <c r="J15" s="107">
        <v>2</v>
      </c>
      <c r="K15" s="106"/>
      <c r="AI15" s="85">
        <v>4</v>
      </c>
      <c r="AK15" s="85">
        <v>4</v>
      </c>
      <c r="AL15" s="92"/>
      <c r="AO15" s="85" t="s">
        <v>114</v>
      </c>
      <c r="AP15" s="92" t="s">
        <v>110</v>
      </c>
      <c r="AR15" s="92" t="s">
        <v>145</v>
      </c>
    </row>
    <row r="16" spans="1:48" x14ac:dyDescent="0.2">
      <c r="B16" s="86" t="s">
        <v>72</v>
      </c>
      <c r="C16" s="148"/>
      <c r="D16" s="85" t="e">
        <f t="shared" si="0"/>
        <v>#N/A</v>
      </c>
      <c r="F16" s="104"/>
      <c r="G16" s="105"/>
      <c r="H16" s="105"/>
      <c r="I16" s="105"/>
      <c r="J16" s="105"/>
      <c r="K16" s="106"/>
      <c r="AI16" s="85">
        <v>5</v>
      </c>
      <c r="AK16" s="85">
        <v>5</v>
      </c>
      <c r="AL16" s="92"/>
      <c r="AO16" s="85" t="s">
        <v>115</v>
      </c>
      <c r="AP16" s="92" t="s">
        <v>110</v>
      </c>
      <c r="AR16" s="92" t="s">
        <v>146</v>
      </c>
    </row>
    <row r="17" spans="1:44" x14ac:dyDescent="0.2">
      <c r="B17" s="86" t="s">
        <v>73</v>
      </c>
      <c r="C17" s="149"/>
      <c r="D17" s="85" t="e">
        <f t="shared" si="0"/>
        <v>#N/A</v>
      </c>
      <c r="F17" s="104" t="s">
        <v>105</v>
      </c>
      <c r="G17" s="105"/>
      <c r="H17" s="105"/>
      <c r="I17" s="105"/>
      <c r="J17" s="105"/>
      <c r="K17" s="106"/>
      <c r="AI17" s="92" t="s">
        <v>53</v>
      </c>
      <c r="AJ17" s="92" t="s">
        <v>155</v>
      </c>
      <c r="AK17" s="85">
        <v>6</v>
      </c>
      <c r="AL17" s="92"/>
      <c r="AO17" s="85" t="s">
        <v>116</v>
      </c>
      <c r="AP17" s="92" t="s">
        <v>117</v>
      </c>
      <c r="AR17" s="92" t="s">
        <v>1540</v>
      </c>
    </row>
    <row r="18" spans="1:44" x14ac:dyDescent="0.2">
      <c r="B18" s="86" t="s">
        <v>74</v>
      </c>
      <c r="C18" s="150"/>
      <c r="D18" s="85" t="e">
        <f t="shared" si="0"/>
        <v>#N/A</v>
      </c>
      <c r="F18" s="104"/>
      <c r="G18" s="105"/>
      <c r="H18" s="105"/>
      <c r="I18" s="113" t="s">
        <v>81</v>
      </c>
      <c r="J18" s="107">
        <v>1</v>
      </c>
      <c r="K18" s="106"/>
      <c r="AI18" s="92" t="s">
        <v>54</v>
      </c>
      <c r="AJ18" s="92" t="s">
        <v>156</v>
      </c>
      <c r="AK18" s="85">
        <v>7</v>
      </c>
      <c r="AL18" s="92"/>
      <c r="AR18" s="92" t="s">
        <v>1541</v>
      </c>
    </row>
    <row r="19" spans="1:44" x14ac:dyDescent="0.2">
      <c r="B19" s="86" t="s">
        <v>75</v>
      </c>
      <c r="C19" s="151"/>
      <c r="D19" s="85" t="e">
        <f t="shared" si="0"/>
        <v>#N/A</v>
      </c>
      <c r="F19" s="104"/>
      <c r="G19" s="108" t="s">
        <v>82</v>
      </c>
      <c r="H19" s="114">
        <v>8</v>
      </c>
      <c r="I19" s="113" t="s">
        <v>83</v>
      </c>
      <c r="J19" s="107">
        <v>1</v>
      </c>
      <c r="K19" s="106"/>
      <c r="AK19" s="85">
        <v>8</v>
      </c>
      <c r="AL19" s="92"/>
      <c r="AO19" s="92" t="s">
        <v>1536</v>
      </c>
      <c r="AP19"/>
      <c r="AR19" s="92" t="s">
        <v>1542</v>
      </c>
    </row>
    <row r="20" spans="1:44" x14ac:dyDescent="0.2">
      <c r="B20" s="86" t="s">
        <v>76</v>
      </c>
      <c r="C20" s="152"/>
      <c r="D20" s="85" t="e">
        <f t="shared" si="0"/>
        <v>#N/A</v>
      </c>
      <c r="F20" s="104"/>
      <c r="G20" s="105"/>
      <c r="H20" s="105"/>
      <c r="I20" s="105"/>
      <c r="J20" s="105"/>
      <c r="K20" s="106"/>
      <c r="AI20" s="92" t="s">
        <v>141</v>
      </c>
      <c r="AK20" s="85">
        <v>9</v>
      </c>
      <c r="AL20" s="92"/>
      <c r="AO20" s="85" t="s">
        <v>1557</v>
      </c>
      <c r="AP20" s="112">
        <v>10</v>
      </c>
      <c r="AR20" s="92" t="s">
        <v>1543</v>
      </c>
    </row>
    <row r="21" spans="1:44" x14ac:dyDescent="0.2">
      <c r="B21" s="86" t="s">
        <v>77</v>
      </c>
      <c r="C21" s="153"/>
      <c r="D21" s="85" t="e">
        <f t="shared" si="0"/>
        <v>#N/A</v>
      </c>
      <c r="F21" s="104"/>
      <c r="G21" s="108" t="s">
        <v>55</v>
      </c>
      <c r="H21" s="105"/>
      <c r="I21" s="105"/>
      <c r="J21" s="116" t="s">
        <v>53</v>
      </c>
      <c r="K21" s="106"/>
      <c r="AI21" s="92" t="s">
        <v>56</v>
      </c>
      <c r="AJ21" s="85">
        <v>1</v>
      </c>
      <c r="AL21" s="92"/>
      <c r="AO21" s="85" t="s">
        <v>1558</v>
      </c>
      <c r="AP21" s="129" t="s">
        <v>1537</v>
      </c>
      <c r="AR21" s="92" t="s">
        <v>147</v>
      </c>
    </row>
    <row r="22" spans="1:44" x14ac:dyDescent="0.2">
      <c r="B22" s="86" t="s">
        <v>78</v>
      </c>
      <c r="C22" s="154"/>
      <c r="D22" s="85" t="e">
        <f t="shared" si="0"/>
        <v>#N/A</v>
      </c>
      <c r="F22" s="104"/>
      <c r="G22" s="105"/>
      <c r="H22" s="105"/>
      <c r="I22" s="105"/>
      <c r="J22" s="105"/>
      <c r="K22" s="106"/>
      <c r="AL22" s="92"/>
      <c r="AO22" s="85" t="s">
        <v>1559</v>
      </c>
      <c r="AP22" s="112">
        <v>9</v>
      </c>
    </row>
    <row r="23" spans="1:44" x14ac:dyDescent="0.2">
      <c r="B23" s="86" t="s">
        <v>79</v>
      </c>
      <c r="C23" s="155"/>
      <c r="D23" s="85" t="e">
        <f t="shared" si="0"/>
        <v>#N/A</v>
      </c>
      <c r="F23" s="104"/>
      <c r="G23" s="108" t="s">
        <v>1544</v>
      </c>
      <c r="H23" s="105"/>
      <c r="I23" s="105"/>
      <c r="J23" s="116" t="s">
        <v>141</v>
      </c>
      <c r="K23" s="106"/>
      <c r="AI23" s="92"/>
      <c r="AL23" s="92"/>
      <c r="AO23" s="85" t="s">
        <v>1560</v>
      </c>
      <c r="AP23" s="129" t="s">
        <v>1537</v>
      </c>
    </row>
    <row r="24" spans="1:44" x14ac:dyDescent="0.2">
      <c r="F24" s="104"/>
      <c r="G24" s="105"/>
      <c r="H24" s="105"/>
      <c r="I24" s="105"/>
      <c r="J24" s="105"/>
      <c r="K24" s="106"/>
      <c r="AI24" s="92"/>
    </row>
    <row r="25" spans="1:44" x14ac:dyDescent="0.2">
      <c r="B25" s="156" t="s">
        <v>1561</v>
      </c>
      <c r="C25" s="147"/>
      <c r="F25" s="104"/>
      <c r="G25" s="105" t="s">
        <v>68</v>
      </c>
      <c r="H25" s="105"/>
      <c r="I25" s="105"/>
      <c r="J25" s="116" t="s">
        <v>53</v>
      </c>
      <c r="K25" s="106"/>
      <c r="AI25" s="92"/>
    </row>
    <row r="26" spans="1:44" x14ac:dyDescent="0.2">
      <c r="A26" s="90" t="s">
        <v>150</v>
      </c>
      <c r="F26" s="104"/>
      <c r="G26" s="105"/>
      <c r="H26" s="105"/>
      <c r="I26" s="105"/>
      <c r="J26" s="105"/>
      <c r="K26" s="106"/>
      <c r="AI26" s="92"/>
    </row>
    <row r="27" spans="1:44" x14ac:dyDescent="0.2">
      <c r="A27" s="90" t="s">
        <v>149</v>
      </c>
      <c r="F27" s="104"/>
      <c r="G27" s="108" t="s">
        <v>85</v>
      </c>
      <c r="H27" s="105"/>
      <c r="I27" s="105"/>
      <c r="J27" s="116" t="s">
        <v>53</v>
      </c>
      <c r="K27" s="106"/>
    </row>
    <row r="28" spans="1:44" x14ac:dyDescent="0.2">
      <c r="A28" s="90" t="s">
        <v>50</v>
      </c>
      <c r="F28" s="104"/>
      <c r="G28" s="105"/>
      <c r="H28" s="105"/>
      <c r="I28" s="105"/>
      <c r="J28" s="105"/>
      <c r="K28" s="106"/>
    </row>
    <row r="29" spans="1:44" x14ac:dyDescent="0.2">
      <c r="A29" s="90" t="s">
        <v>51</v>
      </c>
      <c r="F29" s="104"/>
      <c r="G29" s="108" t="s">
        <v>57</v>
      </c>
      <c r="H29" s="105"/>
      <c r="I29" s="105"/>
      <c r="J29" s="116" t="s">
        <v>53</v>
      </c>
      <c r="K29" s="106"/>
    </row>
    <row r="30" spans="1:44" x14ac:dyDescent="0.2">
      <c r="A30" s="90" t="s">
        <v>140</v>
      </c>
      <c r="F30" s="104"/>
      <c r="G30" s="108"/>
      <c r="H30" s="105"/>
      <c r="I30" s="105"/>
      <c r="J30" s="105"/>
      <c r="K30" s="106"/>
    </row>
    <row r="31" spans="1:44" x14ac:dyDescent="0.2">
      <c r="A31" s="90" t="s">
        <v>52</v>
      </c>
      <c r="F31" s="104"/>
      <c r="G31" s="108" t="s">
        <v>142</v>
      </c>
      <c r="H31" s="105"/>
      <c r="I31" s="105"/>
      <c r="J31" s="116" t="s">
        <v>54</v>
      </c>
      <c r="K31" s="106"/>
    </row>
    <row r="32" spans="1:44" x14ac:dyDescent="0.2">
      <c r="A32" s="90" t="s">
        <v>128</v>
      </c>
      <c r="F32" s="104"/>
      <c r="G32" s="108"/>
      <c r="H32" s="105"/>
      <c r="I32" s="105"/>
      <c r="J32" s="105"/>
      <c r="K32" s="106"/>
    </row>
    <row r="33" spans="1:11" x14ac:dyDescent="0.2">
      <c r="A33" s="90" t="s">
        <v>134</v>
      </c>
      <c r="F33" s="104"/>
      <c r="G33" s="108" t="s">
        <v>1545</v>
      </c>
      <c r="H33" s="105"/>
      <c r="I33" s="105"/>
      <c r="J33" s="116" t="s">
        <v>155</v>
      </c>
      <c r="K33" s="106"/>
    </row>
    <row r="34" spans="1:11" x14ac:dyDescent="0.2">
      <c r="A34" s="90" t="s">
        <v>135</v>
      </c>
      <c r="F34" s="117"/>
      <c r="G34" s="118"/>
      <c r="H34" s="118"/>
      <c r="I34" s="118"/>
      <c r="J34" s="118"/>
      <c r="K34" s="119"/>
    </row>
    <row r="35" spans="1:11" ht="6" customHeight="1" x14ac:dyDescent="0.2">
      <c r="A35" s="90" t="s">
        <v>137</v>
      </c>
    </row>
    <row r="36" spans="1:11" ht="13.5" thickBot="1" x14ac:dyDescent="0.25">
      <c r="A36" s="122" t="s">
        <v>154</v>
      </c>
      <c r="B36" s="123"/>
      <c r="C36" s="123"/>
    </row>
    <row r="37" spans="1:11" ht="13.5" thickBot="1" x14ac:dyDescent="0.25">
      <c r="A37" s="131" t="s">
        <v>1546</v>
      </c>
      <c r="B37" s="132" t="s">
        <v>1547</v>
      </c>
      <c r="C37" s="132" t="s">
        <v>138</v>
      </c>
      <c r="D37" s="133"/>
      <c r="E37" s="161" t="s">
        <v>139</v>
      </c>
      <c r="F37" s="161"/>
      <c r="G37" s="162"/>
    </row>
    <row r="38" spans="1:11" x14ac:dyDescent="0.2">
      <c r="A38" s="134" t="s">
        <v>50</v>
      </c>
      <c r="B38" s="135" t="s">
        <v>1548</v>
      </c>
      <c r="C38" s="136">
        <v>15</v>
      </c>
      <c r="E38" s="163" t="s">
        <v>127</v>
      </c>
      <c r="F38" s="163"/>
      <c r="G38" s="164"/>
    </row>
    <row r="39" spans="1:11" x14ac:dyDescent="0.2">
      <c r="A39" s="137" t="s">
        <v>51</v>
      </c>
      <c r="B39" s="138" t="s">
        <v>1549</v>
      </c>
      <c r="C39" s="139">
        <v>10</v>
      </c>
      <c r="E39" s="159" t="s">
        <v>127</v>
      </c>
      <c r="F39" s="159"/>
      <c r="G39" s="160"/>
    </row>
    <row r="40" spans="1:11" x14ac:dyDescent="0.2">
      <c r="A40" s="137" t="s">
        <v>140</v>
      </c>
      <c r="B40" s="138" t="s">
        <v>1550</v>
      </c>
      <c r="C40" s="139"/>
      <c r="E40" s="159" t="s">
        <v>143</v>
      </c>
      <c r="F40" s="159"/>
      <c r="G40" s="160"/>
    </row>
    <row r="41" spans="1:11" x14ac:dyDescent="0.2">
      <c r="A41" s="137" t="s">
        <v>52</v>
      </c>
      <c r="B41" s="138" t="s">
        <v>1551</v>
      </c>
      <c r="C41" s="139">
        <v>18</v>
      </c>
      <c r="E41" s="159" t="s">
        <v>144</v>
      </c>
      <c r="F41" s="159"/>
      <c r="G41" s="160"/>
    </row>
    <row r="42" spans="1:11" x14ac:dyDescent="0.2">
      <c r="A42" s="137" t="s">
        <v>128</v>
      </c>
      <c r="B42" s="138" t="s">
        <v>1552</v>
      </c>
      <c r="C42" s="139"/>
      <c r="E42" s="159" t="s">
        <v>145</v>
      </c>
      <c r="F42" s="159"/>
      <c r="G42" s="160"/>
    </row>
    <row r="43" spans="1:11" x14ac:dyDescent="0.2">
      <c r="A43" s="137" t="s">
        <v>134</v>
      </c>
      <c r="B43" s="138" t="s">
        <v>1553</v>
      </c>
      <c r="C43" s="139">
        <v>2.5</v>
      </c>
      <c r="E43" s="159" t="s">
        <v>146</v>
      </c>
      <c r="F43" s="159"/>
      <c r="G43" s="160"/>
    </row>
    <row r="44" spans="1:11" x14ac:dyDescent="0.2">
      <c r="A44" s="137"/>
      <c r="B44" s="138"/>
      <c r="C44" s="139"/>
      <c r="D44" s="112"/>
      <c r="E44" s="159"/>
      <c r="F44" s="159"/>
      <c r="G44" s="160"/>
    </row>
    <row r="45" spans="1:11" x14ac:dyDescent="0.2">
      <c r="A45" s="137"/>
      <c r="B45" s="138"/>
      <c r="C45" s="139"/>
      <c r="D45" s="112"/>
      <c r="E45" s="159"/>
      <c r="F45" s="159"/>
      <c r="G45" s="160"/>
    </row>
    <row r="46" spans="1:11" x14ac:dyDescent="0.2">
      <c r="A46" s="137"/>
      <c r="B46" s="138"/>
      <c r="C46" s="139"/>
      <c r="D46" s="112"/>
      <c r="E46" s="159"/>
      <c r="F46" s="159"/>
      <c r="G46" s="160"/>
    </row>
    <row r="47" spans="1:11" x14ac:dyDescent="0.2">
      <c r="A47" s="137"/>
      <c r="B47" s="138"/>
      <c r="C47" s="139"/>
      <c r="D47" s="112"/>
      <c r="E47" s="159"/>
      <c r="F47" s="159"/>
      <c r="G47" s="160"/>
    </row>
    <row r="48" spans="1:11" x14ac:dyDescent="0.2">
      <c r="A48" s="137"/>
      <c r="B48" s="138"/>
      <c r="C48" s="139"/>
      <c r="D48" s="112"/>
      <c r="E48" s="159"/>
      <c r="F48" s="159"/>
      <c r="G48" s="160"/>
    </row>
    <row r="49" spans="1:7" x14ac:dyDescent="0.2">
      <c r="A49" s="137"/>
      <c r="B49" s="138"/>
      <c r="C49" s="139"/>
      <c r="D49" s="112"/>
      <c r="E49" s="159"/>
      <c r="F49" s="159"/>
      <c r="G49" s="160"/>
    </row>
    <row r="50" spans="1:7" x14ac:dyDescent="0.2">
      <c r="A50" s="137"/>
      <c r="B50" s="138"/>
      <c r="C50" s="139"/>
      <c r="D50" s="112"/>
      <c r="E50" s="159"/>
      <c r="F50" s="159"/>
      <c r="G50" s="160"/>
    </row>
    <row r="51" spans="1:7" x14ac:dyDescent="0.2">
      <c r="A51" s="137"/>
      <c r="B51" s="138"/>
      <c r="C51" s="139"/>
      <c r="E51" s="159"/>
      <c r="F51" s="159"/>
      <c r="G51" s="160"/>
    </row>
    <row r="52" spans="1:7" x14ac:dyDescent="0.2">
      <c r="A52" s="137"/>
      <c r="B52" s="138"/>
      <c r="C52" s="139"/>
      <c r="E52" s="159"/>
      <c r="F52" s="159"/>
      <c r="G52" s="160"/>
    </row>
    <row r="53" spans="1:7" x14ac:dyDescent="0.2">
      <c r="A53" s="137"/>
      <c r="B53" s="138"/>
      <c r="C53" s="139"/>
      <c r="E53" s="159"/>
      <c r="F53" s="159"/>
      <c r="G53" s="160"/>
    </row>
    <row r="54" spans="1:7" x14ac:dyDescent="0.2">
      <c r="A54" s="137"/>
      <c r="B54" s="138"/>
      <c r="C54" s="139"/>
      <c r="E54" s="159"/>
      <c r="F54" s="159"/>
      <c r="G54" s="160"/>
    </row>
    <row r="55" spans="1:7" ht="13.5" thickBot="1" x14ac:dyDescent="0.25">
      <c r="A55" s="140"/>
      <c r="B55" s="141"/>
      <c r="C55" s="142"/>
      <c r="D55" s="143"/>
      <c r="E55" s="157"/>
      <c r="F55" s="157"/>
      <c r="G55" s="158"/>
    </row>
  </sheetData>
  <mergeCells count="19">
    <mergeCell ref="E48:G48"/>
    <mergeCell ref="E37:G37"/>
    <mergeCell ref="E38:G38"/>
    <mergeCell ref="E39:G39"/>
    <mergeCell ref="E40:G40"/>
    <mergeCell ref="E41:G41"/>
    <mergeCell ref="E42:G42"/>
    <mergeCell ref="E43:G43"/>
    <mergeCell ref="E44:G44"/>
    <mergeCell ref="E45:G45"/>
    <mergeCell ref="E46:G46"/>
    <mergeCell ref="E47:G47"/>
    <mergeCell ref="E55:G55"/>
    <mergeCell ref="E49:G49"/>
    <mergeCell ref="E50:G50"/>
    <mergeCell ref="E51:G51"/>
    <mergeCell ref="E52:G52"/>
    <mergeCell ref="E53:G53"/>
    <mergeCell ref="E54:G54"/>
  </mergeCells>
  <dataValidations count="8">
    <dataValidation type="list" allowBlank="1" showInputMessage="1" showErrorMessage="1" prompt="Seleccione de la lista desplegable" sqref="J23" xr:uid="{0B8A67FF-48EC-4306-B09E-93BBEC608283}">
      <formula1>$AI$20:$AI$21</formula1>
    </dataValidation>
    <dataValidation type="list" allowBlank="1" showInputMessage="1" showErrorMessage="1" prompt="Seleccione de la lista desplegable" sqref="J21 J27 J29 J31 J25" xr:uid="{A3F760EE-8108-48C9-BF20-07B0269E796F}">
      <formula1>$AI$17:$AI$18</formula1>
    </dataValidation>
    <dataValidation type="list" allowBlank="1" showInputMessage="1" showErrorMessage="1" prompt="Seleccione de la lista desplegable" sqref="C9" xr:uid="{953E02C3-E820-4D52-90D5-3049188B2BC4}">
      <formula1>$AI$9:$AI$10</formula1>
    </dataValidation>
    <dataValidation type="list" allowBlank="1" showInputMessage="1" showErrorMessage="1" prompt="Seleccione de la lista desplegable" sqref="J15 J9:J10 J12" xr:uid="{67B9A59E-5073-4BCA-BE15-FF2CDDED2265}">
      <formula1>$AI$11:$AI$16</formula1>
    </dataValidation>
    <dataValidation type="list" allowBlank="1" showInputMessage="1" showErrorMessage="1" prompt="Seleccione de la lista desplegable" sqref="J13" xr:uid="{B87408EB-436B-41F2-A3A6-A60FB560A923}">
      <formula1>$AK$11:$AK$20</formula1>
    </dataValidation>
    <dataValidation type="list" showInputMessage="1" showErrorMessage="1" sqref="E38:E55" xr:uid="{725FAA98-8A17-4248-B749-66476B71414D}">
      <formula1>$AR$11:$AR$21</formula1>
    </dataValidation>
    <dataValidation type="list" allowBlank="1" showInputMessage="1" showErrorMessage="1" prompt="Seleccione de la lista desplegable" sqref="J33" xr:uid="{797443E3-AE32-4E21-8E54-C64DA1E6CA59}">
      <formula1>$AJ$17:$AJ$18</formula1>
    </dataValidation>
    <dataValidation type="list" allowBlank="1" showInputMessage="1" showErrorMessage="1" prompt="Seleccione de la lista desplegable" sqref="J7" xr:uid="{30F7B8D5-CF51-4847-9061-9A4120C2AD3D}">
      <formula1>$AI$5:$AI$6</formula1>
    </dataValidation>
  </dataValidations>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containsText" priority="1" stopIfTrue="1" operator="containsText" id="{553F052A-30F9-48DF-9A7C-43A9F6E268EF}">
            <xm:f>NOT(ISERROR(SEARCH($AL$19,C16)))</xm:f>
            <xm:f>$AL$19</xm:f>
            <x14:dxf>
              <font>
                <strike val="0"/>
                <color theme="1"/>
              </font>
            </x14:dxf>
          </x14:cfRule>
          <x14:cfRule type="containsText" priority="2" stopIfTrue="1" operator="containsText" id="{6652085F-3FE2-4CA2-A3C6-A7171C638748}">
            <xm:f>NOT(ISERROR(SEARCH($AL$20,C16)))</xm:f>
            <xm:f>$AL$20</xm:f>
            <x14:dxf>
              <font>
                <color rgb="FFFF0000"/>
              </font>
            </x14:dxf>
          </x14:cfRule>
          <x14:cfRule type="containsText" priority="3" stopIfTrue="1" operator="containsText" id="{A891A630-3305-4432-A44F-0772D42A0A61}">
            <xm:f>NOT(ISERROR(SEARCH($AL$11,C16)))</xm:f>
            <xm:f>$AL$11</xm:f>
            <x14:dxf>
              <font>
                <color rgb="FFFF9900"/>
              </font>
            </x14:dxf>
          </x14:cfRule>
          <x14:cfRule type="containsText" priority="4" stopIfTrue="1" operator="containsText" id="{8459A6A6-76CC-443E-8520-997F7BEB6570}">
            <xm:f>NOT(ISERROR(SEARCH($AL$22,C16)))</xm:f>
            <xm:f>$AL$22</xm:f>
            <x14:dxf>
              <font>
                <color rgb="FF008080"/>
              </font>
            </x14:dxf>
          </x14:cfRule>
          <x14:cfRule type="containsText" priority="5" stopIfTrue="1" operator="containsText" id="{47FEB9DA-001E-4784-A28A-23F7A187D7F1}">
            <xm:f>NOT(ISERROR(SEARCH($AL$23,C16)))</xm:f>
            <xm:f>$AL$23</xm:f>
            <x14:dxf>
              <font>
                <color rgb="FF00FF00"/>
              </font>
            </x14:dxf>
          </x14:cfRule>
          <x14:cfRule type="containsText" priority="6" stopIfTrue="1" operator="containsText" id="{92C7BBC5-ED5B-4422-A30E-8816BB6AFB6F}">
            <xm:f>NOT(ISERROR(SEARCH($AL$12,C16)))</xm:f>
            <xm:f>$AL$12</xm:f>
            <x14:dxf>
              <font>
                <color rgb="FF0000FF"/>
              </font>
            </x14:dxf>
          </x14:cfRule>
          <x14:cfRule type="containsText" priority="7" stopIfTrue="1" operator="containsText" id="{7993CDB9-EE9F-4754-9657-966F7F27066D}">
            <xm:f>NOT(ISERROR(SEARCH($AL$10,C16)))</xm:f>
            <xm:f>$AL$10</xm:f>
            <x14:dxf>
              <font>
                <strike val="0"/>
                <color rgb="FFFFFF00"/>
              </font>
            </x14:dxf>
          </x14:cfRule>
          <x14:cfRule type="containsText" priority="8" stopIfTrue="1" operator="containsText" id="{082DB518-BFBB-4E77-A4F6-08F666318263}">
            <xm:f>NOT(ISERROR(SEARCH($AL$16,C16)))</xm:f>
            <xm:f>$AL$16</xm:f>
            <x14:dxf>
              <font>
                <color rgb="FFFF00FF"/>
              </font>
            </x14:dxf>
          </x14:cfRule>
          <x14:cfRule type="containsText" priority="9" stopIfTrue="1" operator="containsText" id="{F6FFDD17-8E5C-4C46-BDE3-A6D4ABBB4A78}">
            <xm:f>NOT(ISERROR(SEARCH($AL$14,C16)))</xm:f>
            <xm:f>$AL$14</xm:f>
            <x14:dxf>
              <font>
                <color rgb="FF00FFFF"/>
              </font>
            </x14:dxf>
          </x14:cfRule>
          <x14:cfRule type="containsText" priority="10" stopIfTrue="1" operator="containsText" id="{E73B2760-F2DD-4FE6-AFEA-B0ECFD93B99E}">
            <xm:f>NOT(ISERROR(SEARCH($AL$17,C16)))</xm:f>
            <xm:f>$AL$17</xm:f>
            <x14:dxf>
              <font>
                <color rgb="FF800000"/>
              </font>
            </x14:dxf>
          </x14:cfRule>
          <x14:cfRule type="containsText" priority="11" stopIfTrue="1" operator="containsText" id="{D8F67413-B210-421C-904E-D9A4490A1724}">
            <xm:f>NOT(ISERROR(SEARCH($AL$21,C16)))</xm:f>
            <xm:f>$AL$21</xm:f>
            <x14:dxf>
              <font>
                <color rgb="FF008000"/>
              </font>
            </x14:dxf>
          </x14:cfRule>
          <x14:cfRule type="containsText" priority="12" stopIfTrue="1" operator="containsText" id="{7A98D2F7-CAA0-4070-B3E6-21EA29149E66}">
            <xm:f>NOT(ISERROR(SEARCH($AL$13,C16)))</xm:f>
            <xm:f>$AL$13</xm:f>
            <x14:dxf>
              <font>
                <color rgb="FF000099"/>
              </font>
            </x14:dxf>
          </x14:cfRule>
          <x14:cfRule type="containsText" priority="13" stopIfTrue="1" operator="containsText" id="{020A6982-6F00-4718-B2A1-9F2A6FFFD06C}">
            <xm:f>NOT(ISERROR(SEARCH($AL$15,C16)))</xm:f>
            <xm:f>$AL$15</xm:f>
            <x14:dxf>
              <font>
                <color rgb="FFFF9999"/>
              </font>
            </x14:dxf>
          </x14:cfRule>
          <x14:cfRule type="containsText" priority="14" stopIfTrue="1" operator="containsText" id="{74DF3944-745D-4B8C-81D1-2FFD49F862CA}">
            <xm:f>NOT(ISERROR(SEARCH($AL$18,C16)))</xm:f>
            <xm:f>$AL$18</xm:f>
            <x14:dxf>
              <font>
                <color rgb="FF990099"/>
              </font>
            </x14:dxf>
          </x14:cfRule>
          <xm:sqref>C16:C25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dimension ref="A1:W492"/>
  <sheetViews>
    <sheetView zoomScale="130" zoomScaleNormal="130" workbookViewId="0">
      <selection activeCell="N16" sqref="N16:N492"/>
    </sheetView>
  </sheetViews>
  <sheetFormatPr baseColWidth="10" defaultRowHeight="12.75" x14ac:dyDescent="0.2"/>
  <cols>
    <col min="1" max="1" width="6.140625" customWidth="1"/>
    <col min="2" max="3" width="4.5703125" customWidth="1"/>
    <col min="4" max="4" width="54.5703125" customWidth="1"/>
    <col min="5" max="5" width="6.85546875" style="3" customWidth="1"/>
    <col min="6" max="6" width="9.5703125" customWidth="1"/>
    <col min="7" max="7" width="7.5703125" customWidth="1"/>
    <col min="8" max="8" width="8.5703125" customWidth="1"/>
    <col min="9" max="9" width="11.28515625" customWidth="1"/>
    <col min="10" max="10" width="10.28515625" customWidth="1"/>
    <col min="11" max="11" width="9.140625" style="9" customWidth="1"/>
    <col min="12" max="12" width="7.28515625" customWidth="1"/>
    <col min="13" max="13" width="8.28515625" customWidth="1"/>
    <col min="14" max="14" width="11.5703125" bestFit="1" customWidth="1"/>
  </cols>
  <sheetData>
    <row r="1" spans="1:23" ht="9.75" customHeight="1" x14ac:dyDescent="0.2"/>
    <row r="2" spans="1:23" ht="15" customHeight="1" x14ac:dyDescent="0.2">
      <c r="A2" s="168" t="s">
        <v>22</v>
      </c>
      <c r="B2" s="168"/>
      <c r="C2" s="168"/>
      <c r="D2" s="168"/>
      <c r="E2" s="168"/>
      <c r="F2" s="168"/>
      <c r="G2" s="168"/>
      <c r="H2" s="168"/>
      <c r="I2" s="168"/>
      <c r="J2" s="168"/>
      <c r="K2" s="168"/>
    </row>
    <row r="3" spans="1:23" s="1" customFormat="1" x14ac:dyDescent="0.2">
      <c r="A3" s="174" t="s">
        <v>14</v>
      </c>
      <c r="B3" s="174"/>
      <c r="C3" s="174"/>
      <c r="D3" s="170" t="s">
        <v>20</v>
      </c>
      <c r="E3" s="171"/>
      <c r="F3" s="175"/>
      <c r="G3" s="170" t="s">
        <v>21</v>
      </c>
      <c r="H3" s="171"/>
      <c r="I3" s="171"/>
      <c r="J3" s="171"/>
      <c r="K3" s="175"/>
    </row>
    <row r="4" spans="1:23" s="7" customFormat="1" x14ac:dyDescent="0.2">
      <c r="A4" s="174"/>
      <c r="B4" s="174"/>
      <c r="C4" s="174"/>
      <c r="D4" s="19" t="s">
        <v>19</v>
      </c>
      <c r="E4" s="20"/>
      <c r="F4" s="10" t="s">
        <v>23</v>
      </c>
      <c r="G4" s="170" t="s">
        <v>19</v>
      </c>
      <c r="H4" s="171"/>
      <c r="I4" s="171"/>
      <c r="J4" s="21"/>
      <c r="K4" s="10" t="s">
        <v>23</v>
      </c>
      <c r="L4" s="32" t="s">
        <v>40</v>
      </c>
    </row>
    <row r="5" spans="1:23" s="8" customFormat="1" ht="15" customHeight="1" x14ac:dyDescent="0.2">
      <c r="A5" s="169" t="s">
        <v>9</v>
      </c>
      <c r="B5" s="169"/>
      <c r="C5" s="169"/>
      <c r="D5" s="22" t="s">
        <v>58</v>
      </c>
      <c r="E5" s="23"/>
      <c r="F5" s="17">
        <v>0.15</v>
      </c>
      <c r="G5" s="172" t="s">
        <v>59</v>
      </c>
      <c r="H5" s="173"/>
      <c r="I5" s="173"/>
      <c r="J5" s="24"/>
      <c r="K5" s="17">
        <v>0.06</v>
      </c>
      <c r="L5" s="8">
        <v>2.5</v>
      </c>
    </row>
    <row r="6" spans="1:23" s="8" customFormat="1" ht="15" customHeight="1" x14ac:dyDescent="0.2">
      <c r="A6" s="169" t="s">
        <v>17</v>
      </c>
      <c r="B6" s="169"/>
      <c r="C6" s="169"/>
      <c r="D6" s="25" t="s">
        <v>24</v>
      </c>
      <c r="E6" s="26"/>
      <c r="F6" s="17">
        <v>0</v>
      </c>
      <c r="G6" s="172" t="s">
        <v>59</v>
      </c>
      <c r="H6" s="173"/>
      <c r="I6" s="173"/>
      <c r="J6" s="24"/>
      <c r="K6" s="17">
        <v>1.2</v>
      </c>
      <c r="L6" s="8" t="s">
        <v>41</v>
      </c>
      <c r="M6" s="8" t="s">
        <v>42</v>
      </c>
      <c r="N6" s="8" t="s">
        <v>43</v>
      </c>
    </row>
    <row r="7" spans="1:23" s="8" customFormat="1" ht="12" customHeight="1" x14ac:dyDescent="0.2">
      <c r="A7" s="169" t="s">
        <v>18</v>
      </c>
      <c r="B7" s="169"/>
      <c r="C7" s="169"/>
      <c r="D7" s="25" t="s">
        <v>24</v>
      </c>
      <c r="E7" s="23"/>
      <c r="F7" s="17">
        <v>0</v>
      </c>
      <c r="G7" s="172" t="s">
        <v>24</v>
      </c>
      <c r="H7" s="173"/>
      <c r="I7" s="173"/>
      <c r="J7" s="24"/>
      <c r="K7" s="17">
        <v>0</v>
      </c>
      <c r="L7" s="8">
        <v>6</v>
      </c>
      <c r="M7" s="8">
        <v>2.2000000000000002</v>
      </c>
      <c r="N7" s="8">
        <v>1.5</v>
      </c>
    </row>
    <row r="8" spans="1:23" s="66" customFormat="1" ht="4.5" customHeight="1" x14ac:dyDescent="0.2">
      <c r="A8" s="64">
        <f t="array" ref="A8">MAX(IF(BDcodINS&lt;90001,BDcodINS,80000))</f>
        <v>80010</v>
      </c>
      <c r="B8" s="64">
        <f t="array" ref="B8">MAX(IF(BDcodINS&lt;57001,BDcodINS,53500))</f>
        <v>53500</v>
      </c>
      <c r="C8" s="59">
        <f t="array" ref="C8">MAX(IF(BDcodINS&lt;22501,BDcodINS,20000))</f>
        <v>20000</v>
      </c>
      <c r="D8" s="59"/>
      <c r="E8" s="65"/>
      <c r="F8" s="60"/>
      <c r="H8" s="61"/>
      <c r="I8" s="62"/>
      <c r="J8" s="63"/>
    </row>
    <row r="9" spans="1:23" s="66" customFormat="1" ht="4.5" customHeight="1" x14ac:dyDescent="0.2">
      <c r="A9" s="64">
        <f t="array" ref="A9">MAX(IF(BDcodINS&lt;80001,BDcodINS,77500))</f>
        <v>77513</v>
      </c>
      <c r="B9" s="64">
        <f t="array" ref="B9">MAX(IF(BDcodINS&lt;53501,BDcodINS,50000))</f>
        <v>50000</v>
      </c>
      <c r="C9" s="64">
        <f t="array" ref="C9">MAX(IF(BDcodINS&lt;77501,BDcodINS,75000))</f>
        <v>75000</v>
      </c>
      <c r="D9" s="59"/>
      <c r="E9" s="65"/>
      <c r="F9" s="60"/>
      <c r="H9" s="61"/>
      <c r="I9" s="62"/>
      <c r="J9" s="63"/>
    </row>
    <row r="10" spans="1:23" s="66" customFormat="1" ht="4.5" customHeight="1" x14ac:dyDescent="0.2">
      <c r="A10" s="64">
        <f t="array" ref="A10">MAX(IF(BDcodINS&lt;70001,BDcodINS,60000))</f>
        <v>60016</v>
      </c>
      <c r="B10" s="64">
        <f t="array" ref="B10">MAX(IF(BDcodINS&lt;30001,BDcodINS,27500))</f>
        <v>27500</v>
      </c>
      <c r="C10" s="64">
        <f t="array" ref="C10">MAX(IF(BDcodINS&lt;75001,BDcodINS,72500))</f>
        <v>72500</v>
      </c>
      <c r="D10" s="59"/>
      <c r="E10" s="65"/>
      <c r="F10" s="60"/>
      <c r="H10" s="61"/>
      <c r="I10" s="62"/>
      <c r="J10" s="63"/>
    </row>
    <row r="11" spans="1:23" s="66" customFormat="1" ht="4.5" customHeight="1" x14ac:dyDescent="0.2">
      <c r="A11" s="64">
        <f t="array" ref="A11">MAX(IF(BDcodINS&lt;50001,BDcodINS,30000))</f>
        <v>30429</v>
      </c>
      <c r="B11" s="64">
        <f t="array" ref="B11">MAX(IF(BDcodINS&lt;27501,BDcodINS,25000))</f>
        <v>25000</v>
      </c>
      <c r="C11" s="64">
        <f t="array" ref="C11">MAX(IF(BDcodINS&lt;72501,BDcodINS,70000))</f>
        <v>70001</v>
      </c>
      <c r="D11" s="59"/>
      <c r="E11" s="65"/>
      <c r="F11" s="60"/>
      <c r="H11" s="61"/>
      <c r="I11" s="62"/>
      <c r="J11" s="63"/>
    </row>
    <row r="12" spans="1:23" s="66" customFormat="1" ht="9" customHeight="1" x14ac:dyDescent="0.2">
      <c r="A12" s="64">
        <f t="array" ref="A12">MAX(IF(BDcodINS&lt;20001,BDcodINS,10000))</f>
        <v>10008</v>
      </c>
      <c r="B12" s="64">
        <f t="array" ref="B12">MAX(IF(BDcodINS&lt;25001,BDcodINS,22500))</f>
        <v>22500</v>
      </c>
      <c r="C12" s="64">
        <f t="array" ref="C12">MAX(IF(BDcodINS&lt;60001,BDcodINS,57000))</f>
        <v>57000</v>
      </c>
      <c r="D12" s="67"/>
      <c r="E12" s="68"/>
      <c r="F12" s="68"/>
      <c r="G12" s="68"/>
      <c r="H12" s="68"/>
      <c r="I12" s="68"/>
      <c r="J12" s="68"/>
      <c r="K12" s="68"/>
      <c r="L12" s="68"/>
      <c r="M12" s="69"/>
      <c r="N12" s="176" t="s">
        <v>64</v>
      </c>
      <c r="O12" s="177"/>
      <c r="P12" s="177"/>
      <c r="Q12" s="178"/>
    </row>
    <row r="13" spans="1:23" s="8" customFormat="1" x14ac:dyDescent="0.2">
      <c r="A13" s="27">
        <v>70001</v>
      </c>
      <c r="B13" s="28">
        <f>MATCH($A$13,BDcodINS,0)+15</f>
        <v>24</v>
      </c>
      <c r="C13" s="28">
        <f t="array" ref="C13">MAX(IF(BDcodINS&lt;95001,BDcodINS,90000))</f>
        <v>80010</v>
      </c>
      <c r="D13" s="28"/>
      <c r="E13" s="28"/>
      <c r="F13" s="28"/>
      <c r="G13" s="28"/>
      <c r="H13" s="28"/>
      <c r="I13" s="28"/>
      <c r="J13" s="28"/>
      <c r="K13" s="28"/>
      <c r="L13" s="29"/>
      <c r="N13" s="165" t="str">
        <f>Datos!AI5</f>
        <v>Soles</v>
      </c>
      <c r="O13" s="165"/>
      <c r="P13" s="166" t="str">
        <f>Datos!AI6</f>
        <v>Dólares</v>
      </c>
      <c r="Q13" s="166"/>
    </row>
    <row r="14" spans="1:23" s="8" customFormat="1" x14ac:dyDescent="0.2">
      <c r="A14" s="30">
        <f>COUNT(BDcodINS)+16</f>
        <v>493</v>
      </c>
      <c r="B14" s="30"/>
      <c r="C14" s="30">
        <f t="array" ref="C14">MAX(IF(BDcodINS&lt;100000,BDcodINS,95000))</f>
        <v>80010</v>
      </c>
      <c r="D14" s="30"/>
      <c r="E14" s="30"/>
      <c r="F14" s="30"/>
      <c r="G14" s="30"/>
      <c r="H14" s="167" t="s">
        <v>36</v>
      </c>
      <c r="I14" s="167"/>
      <c r="J14" s="167"/>
      <c r="K14" s="30"/>
      <c r="L14" s="30"/>
      <c r="N14" s="54" t="s">
        <v>16</v>
      </c>
      <c r="O14" s="120">
        <f>1+Datos!$C$10</f>
        <v>1.18</v>
      </c>
      <c r="P14" s="55">
        <v>3.75</v>
      </c>
      <c r="Q14" s="121">
        <f>O14</f>
        <v>1.18</v>
      </c>
    </row>
    <row r="15" spans="1:23" ht="40.5" customHeight="1" x14ac:dyDescent="0.2">
      <c r="A15" s="4" t="s">
        <v>0</v>
      </c>
      <c r="B15" s="4" t="s">
        <v>15</v>
      </c>
      <c r="C15" s="4" t="s">
        <v>1</v>
      </c>
      <c r="D15" s="4" t="s">
        <v>2</v>
      </c>
      <c r="E15" s="12" t="s">
        <v>3</v>
      </c>
      <c r="F15" s="5" t="str">
        <f>Datos!J7</f>
        <v>Soles</v>
      </c>
      <c r="G15" s="6" t="s">
        <v>4</v>
      </c>
      <c r="H15" s="31" t="s">
        <v>37</v>
      </c>
      <c r="I15" s="31" t="s">
        <v>38</v>
      </c>
      <c r="J15" s="31" t="s">
        <v>39</v>
      </c>
      <c r="K15" s="6" t="s">
        <v>5</v>
      </c>
      <c r="L15" s="57" t="s">
        <v>152</v>
      </c>
      <c r="M15" s="57" t="s">
        <v>153</v>
      </c>
      <c r="N15" s="56" t="s">
        <v>62</v>
      </c>
      <c r="O15" s="55" t="s">
        <v>63</v>
      </c>
      <c r="P15" s="55" t="s">
        <v>62</v>
      </c>
      <c r="Q15" s="55" t="s">
        <v>63</v>
      </c>
    </row>
    <row r="16" spans="1:23" s="2" customFormat="1" x14ac:dyDescent="0.2">
      <c r="A16">
        <v>10001</v>
      </c>
      <c r="B16">
        <v>47</v>
      </c>
      <c r="C16" t="s">
        <v>122</v>
      </c>
      <c r="D16" t="s">
        <v>46</v>
      </c>
      <c r="E16" t="s">
        <v>169</v>
      </c>
      <c r="F16">
        <f>IF(AND($F$15=Datos!$AI$5,Datos!$C$9=Datos!$AI$10),IF(A16&gt;30000,N16,ROUND(N16*Datos!$J$18,Dins)),IF(AND($F$15=Datos!$AI$5,Datos!$C$9=Datos!$AI$9),IF(A16&gt;30000,O16,ROUND(O16*Datos!$J$18,Dins)),IF(AND($F$15=Datos!$AI$6,Datos!$C$9=Datos!$AI$10),IF(A16&gt;30000,P16,ROUND(P16*Datos!$J$18,Dins)),IF(AND($F$15=Datos!$AI$6,Datos!$C$9=Datos!$AI$9),IF(A16&gt;30000,Q16,ROUND(Q16*Datos!$J$18,Dins))))))</f>
        <v>24.97</v>
      </c>
      <c r="G16"/>
      <c r="H16"/>
      <c r="I16"/>
      <c r="J16"/>
      <c r="K16"/>
      <c r="L16"/>
      <c r="M16"/>
      <c r="N16">
        <v>24.97</v>
      </c>
      <c r="O16">
        <f t="shared" ref="O16:O79" si="0">IF(A16&gt;30000,ROUND(N16/$O$14,Dins),ROUND(N16,Dins))</f>
        <v>24.97</v>
      </c>
      <c r="P16">
        <f t="shared" ref="P16:P79" si="1">ROUND(N16/$P$14,Dins)</f>
        <v>6.66</v>
      </c>
      <c r="Q16">
        <f t="shared" ref="Q16:Q79" si="2">IF(A16&gt;30000,ROUND(P16/$Q$14,Dins),ROUND(P16,Dins))</f>
        <v>6.66</v>
      </c>
      <c r="R16"/>
      <c r="S16"/>
      <c r="T16"/>
      <c r="U16"/>
      <c r="V16"/>
      <c r="W16"/>
    </row>
    <row r="17" spans="1:23" s="2" customFormat="1" x14ac:dyDescent="0.2">
      <c r="A17">
        <v>10002</v>
      </c>
      <c r="B17">
        <v>47</v>
      </c>
      <c r="C17" t="s">
        <v>122</v>
      </c>
      <c r="D17" t="s">
        <v>30</v>
      </c>
      <c r="E17" t="s">
        <v>169</v>
      </c>
      <c r="F17">
        <f>IF(AND($F$15=Datos!$AI$5,Datos!$C$9=Datos!$AI$10),IF(A17&gt;30000,N17,ROUND(N17*Datos!$J$18,Dins)),IF(AND($F$15=Datos!$AI$5,Datos!$C$9=Datos!$AI$9),IF(A17&gt;30000,O17,ROUND(O17*Datos!$J$18,Dins)),IF(AND($F$15=Datos!$AI$6,Datos!$C$9=Datos!$AI$10),IF(A17&gt;30000,P17,ROUND(P17*Datos!$J$18,Dins)),IF(AND($F$15=Datos!$AI$6,Datos!$C$9=Datos!$AI$9),IF(A17&gt;30000,Q17,ROUND(Q17*Datos!$J$18,Dins))))))</f>
        <v>20.81</v>
      </c>
      <c r="G17"/>
      <c r="H17"/>
      <c r="I17"/>
      <c r="J17"/>
      <c r="K17"/>
      <c r="L17"/>
      <c r="M17"/>
      <c r="N17">
        <v>20.81</v>
      </c>
      <c r="O17">
        <f t="shared" si="0"/>
        <v>20.81</v>
      </c>
      <c r="P17">
        <f t="shared" si="1"/>
        <v>5.55</v>
      </c>
      <c r="Q17">
        <f t="shared" si="2"/>
        <v>5.55</v>
      </c>
      <c r="R17"/>
      <c r="S17"/>
      <c r="T17"/>
      <c r="U17"/>
      <c r="V17"/>
      <c r="W17"/>
    </row>
    <row r="18" spans="1:23" s="2" customFormat="1" x14ac:dyDescent="0.2">
      <c r="A18">
        <v>10003</v>
      </c>
      <c r="B18">
        <v>47</v>
      </c>
      <c r="C18" t="s">
        <v>122</v>
      </c>
      <c r="D18" t="s">
        <v>31</v>
      </c>
      <c r="E18" t="s">
        <v>169</v>
      </c>
      <c r="F18">
        <f>IF(AND($F$15=Datos!$AI$5,Datos!$C$9=Datos!$AI$10),IF(A18&gt;30000,N18,ROUND(N18*Datos!$J$18,Dins)),IF(AND($F$15=Datos!$AI$5,Datos!$C$9=Datos!$AI$9),IF(A18&gt;30000,O18,ROUND(O18*Datos!$J$18,Dins)),IF(AND($F$15=Datos!$AI$6,Datos!$C$9=Datos!$AI$10),IF(A18&gt;30000,P18,ROUND(P18*Datos!$J$18,Dins)),IF(AND($F$15=Datos!$AI$6,Datos!$C$9=Datos!$AI$9),IF(A18&gt;30000,Q18,ROUND(Q18*Datos!$J$18,Dins))))))</f>
        <v>15.36</v>
      </c>
      <c r="G18"/>
      <c r="H18"/>
      <c r="I18"/>
      <c r="J18"/>
      <c r="K18"/>
      <c r="L18"/>
      <c r="M18"/>
      <c r="N18">
        <v>15.36</v>
      </c>
      <c r="O18">
        <f t="shared" si="0"/>
        <v>15.36</v>
      </c>
      <c r="P18">
        <f t="shared" si="1"/>
        <v>4.0999999999999996</v>
      </c>
      <c r="Q18">
        <f t="shared" si="2"/>
        <v>4.0999999999999996</v>
      </c>
      <c r="R18"/>
      <c r="S18"/>
      <c r="T18"/>
      <c r="U18"/>
      <c r="V18"/>
      <c r="W18"/>
    </row>
    <row r="19" spans="1:23" s="2" customFormat="1" x14ac:dyDescent="0.2">
      <c r="A19">
        <v>30001</v>
      </c>
      <c r="B19">
        <v>39</v>
      </c>
      <c r="C19" t="s">
        <v>6</v>
      </c>
      <c r="D19" t="s">
        <v>170</v>
      </c>
      <c r="E19" t="s">
        <v>171</v>
      </c>
      <c r="F19">
        <f>IF(AND($F$15=Datos!$AI$5,Datos!$C$9=Datos!$AI$10),IF(A19&gt;30000,N19,ROUND(N19*Datos!$J$18,Dins)),IF(AND($F$15=Datos!$AI$5,Datos!$C$9=Datos!$AI$9),IF(A19&gt;30000,O19,ROUND(O19*Datos!$J$18,Dins)),IF(AND($F$15=Datos!$AI$6,Datos!$C$9=Datos!$AI$10),IF(A19&gt;30000,P19,ROUND(P19*Datos!$J$18,Dins)),IF(AND($F$15=Datos!$AI$6,Datos!$C$9=Datos!$AI$9),IF(A19&gt;30000,Q19,ROUND(Q19*Datos!$J$18,Dins))))))</f>
        <v>250</v>
      </c>
      <c r="G19">
        <v>0</v>
      </c>
      <c r="H19">
        <v>0</v>
      </c>
      <c r="I19">
        <v>0</v>
      </c>
      <c r="J19">
        <v>0</v>
      </c>
      <c r="K19"/>
      <c r="L19"/>
      <c r="M19"/>
      <c r="N19">
        <v>295</v>
      </c>
      <c r="O19">
        <f t="shared" si="0"/>
        <v>250</v>
      </c>
      <c r="P19">
        <f t="shared" si="1"/>
        <v>78.67</v>
      </c>
      <c r="Q19">
        <f t="shared" si="2"/>
        <v>66.67</v>
      </c>
      <c r="R19"/>
      <c r="S19"/>
      <c r="T19"/>
      <c r="U19"/>
      <c r="V19"/>
      <c r="W19"/>
    </row>
    <row r="20" spans="1:23" s="2" customFormat="1" x14ac:dyDescent="0.2">
      <c r="A20">
        <v>30002</v>
      </c>
      <c r="B20">
        <v>21</v>
      </c>
      <c r="C20" t="s">
        <v>6</v>
      </c>
      <c r="D20" t="s">
        <v>35</v>
      </c>
      <c r="E20" t="s">
        <v>172</v>
      </c>
      <c r="F20">
        <f>IF(AND($F$15=Datos!$AI$5,Datos!$C$9=Datos!$AI$10),IF(A20&gt;30000,N20,ROUND(N20*Datos!$J$18,Dins)),IF(AND($F$15=Datos!$AI$5,Datos!$C$9=Datos!$AI$9),IF(A20&gt;30000,O20,ROUND(O20*Datos!$J$18,Dins)),IF(AND($F$15=Datos!$AI$6,Datos!$C$9=Datos!$AI$10),IF(A20&gt;30000,P20,ROUND(P20*Datos!$J$18,Dins)),IF(AND($F$15=Datos!$AI$6,Datos!$C$9=Datos!$AI$9),IF(A20&gt;30000,Q20,ROUND(Q20*Datos!$J$18,Dins))))))</f>
        <v>18.5</v>
      </c>
      <c r="G20">
        <v>0</v>
      </c>
      <c r="H20">
        <v>0</v>
      </c>
      <c r="I20">
        <v>0</v>
      </c>
      <c r="J20">
        <v>0</v>
      </c>
      <c r="K20"/>
      <c r="L20"/>
      <c r="M20"/>
      <c r="N20">
        <v>21.83</v>
      </c>
      <c r="O20">
        <f t="shared" si="0"/>
        <v>18.5</v>
      </c>
      <c r="P20">
        <f t="shared" si="1"/>
        <v>5.82</v>
      </c>
      <c r="Q20">
        <f t="shared" si="2"/>
        <v>4.93</v>
      </c>
      <c r="R20"/>
      <c r="S20"/>
      <c r="T20"/>
      <c r="U20"/>
      <c r="V20"/>
      <c r="W20"/>
    </row>
    <row r="21" spans="1:23" s="2" customFormat="1" x14ac:dyDescent="0.2">
      <c r="A21">
        <v>30003</v>
      </c>
      <c r="B21">
        <v>26</v>
      </c>
      <c r="C21" t="s">
        <v>6</v>
      </c>
      <c r="D21" t="s">
        <v>173</v>
      </c>
      <c r="E21" t="s">
        <v>174</v>
      </c>
      <c r="F21">
        <f>IF(AND($F$15=Datos!$AI$5,Datos!$C$9=Datos!$AI$10),IF(A21&gt;30000,N21,ROUND(N21*Datos!$J$18,Dins)),IF(AND($F$15=Datos!$AI$5,Datos!$C$9=Datos!$AI$9),IF(A21&gt;30000,O21,ROUND(O21*Datos!$J$18,Dins)),IF(AND($F$15=Datos!$AI$6,Datos!$C$9=Datos!$AI$10),IF(A21&gt;30000,P21,ROUND(P21*Datos!$J$18,Dins)),IF(AND($F$15=Datos!$AI$6,Datos!$C$9=Datos!$AI$9),IF(A21&gt;30000,Q21,ROUND(Q21*Datos!$J$18,Dins))))))</f>
        <v>45.8</v>
      </c>
      <c r="G21">
        <v>0</v>
      </c>
      <c r="H21">
        <v>0</v>
      </c>
      <c r="I21">
        <v>0</v>
      </c>
      <c r="J21">
        <v>0</v>
      </c>
      <c r="K21"/>
      <c r="L21"/>
      <c r="M21"/>
      <c r="N21">
        <v>54.04</v>
      </c>
      <c r="O21">
        <f t="shared" si="0"/>
        <v>45.8</v>
      </c>
      <c r="P21">
        <f t="shared" si="1"/>
        <v>14.41</v>
      </c>
      <c r="Q21">
        <f t="shared" si="2"/>
        <v>12.21</v>
      </c>
      <c r="R21"/>
      <c r="S21"/>
      <c r="T21"/>
      <c r="U21"/>
      <c r="V21"/>
      <c r="W21"/>
    </row>
    <row r="22" spans="1:23" s="2" customFormat="1" x14ac:dyDescent="0.2">
      <c r="A22">
        <v>30004</v>
      </c>
      <c r="B22">
        <v>38</v>
      </c>
      <c r="C22" t="s">
        <v>6</v>
      </c>
      <c r="D22" t="s">
        <v>175</v>
      </c>
      <c r="E22" t="s">
        <v>34</v>
      </c>
      <c r="F22">
        <f>IF(AND($F$15=Datos!$AI$5,Datos!$C$9=Datos!$AI$10),IF(A22&gt;30000,N22,ROUND(N22*Datos!$J$18,Dins)),IF(AND($F$15=Datos!$AI$5,Datos!$C$9=Datos!$AI$9),IF(A22&gt;30000,O22,ROUND(O22*Datos!$J$18,Dins)),IF(AND($F$15=Datos!$AI$6,Datos!$C$9=Datos!$AI$10),IF(A22&gt;30000,P22,ROUND(P22*Datos!$J$18,Dins)),IF(AND($F$15=Datos!$AI$6,Datos!$C$9=Datos!$AI$9),IF(A22&gt;30000,Q22,ROUND(Q22*Datos!$J$18,Dins))))))</f>
        <v>40</v>
      </c>
      <c r="G22">
        <v>0</v>
      </c>
      <c r="H22">
        <v>0</v>
      </c>
      <c r="I22">
        <v>0</v>
      </c>
      <c r="J22">
        <v>0</v>
      </c>
      <c r="K22"/>
      <c r="L22"/>
      <c r="M22"/>
      <c r="N22">
        <v>47.2</v>
      </c>
      <c r="O22">
        <f t="shared" si="0"/>
        <v>40</v>
      </c>
      <c r="P22">
        <f t="shared" si="1"/>
        <v>12.59</v>
      </c>
      <c r="Q22">
        <f t="shared" si="2"/>
        <v>10.67</v>
      </c>
      <c r="R22"/>
      <c r="S22"/>
      <c r="T22"/>
      <c r="U22"/>
      <c r="V22"/>
      <c r="W22"/>
    </row>
    <row r="23" spans="1:23" s="2" customFormat="1" x14ac:dyDescent="0.2">
      <c r="A23">
        <v>30005</v>
      </c>
      <c r="B23">
        <v>39</v>
      </c>
      <c r="C23" t="s">
        <v>6</v>
      </c>
      <c r="D23" t="s">
        <v>176</v>
      </c>
      <c r="E23" t="s">
        <v>7</v>
      </c>
      <c r="F23">
        <f>IF(AND($F$15=Datos!$AI$5,Datos!$C$9=Datos!$AI$10),IF(A23&gt;30000,N23,ROUND(N23*Datos!$J$18,Dins)),IF(AND($F$15=Datos!$AI$5,Datos!$C$9=Datos!$AI$9),IF(A23&gt;30000,O23,ROUND(O23*Datos!$J$18,Dins)),IF(AND($F$15=Datos!$AI$6,Datos!$C$9=Datos!$AI$10),IF(A23&gt;30000,P23,ROUND(P23*Datos!$J$18,Dins)),IF(AND($F$15=Datos!$AI$6,Datos!$C$9=Datos!$AI$9),IF(A23&gt;30000,Q23,ROUND(Q23*Datos!$J$18,Dins))))))</f>
        <v>1500</v>
      </c>
      <c r="G23">
        <v>0</v>
      </c>
      <c r="H23">
        <v>0</v>
      </c>
      <c r="I23">
        <v>0</v>
      </c>
      <c r="J23">
        <v>0</v>
      </c>
      <c r="K23"/>
      <c r="L23"/>
      <c r="M23"/>
      <c r="N23">
        <v>1770</v>
      </c>
      <c r="O23">
        <f t="shared" si="0"/>
        <v>1500</v>
      </c>
      <c r="P23">
        <f t="shared" si="1"/>
        <v>472</v>
      </c>
      <c r="Q23">
        <f t="shared" si="2"/>
        <v>400</v>
      </c>
      <c r="R23"/>
      <c r="S23"/>
      <c r="T23"/>
      <c r="U23"/>
      <c r="V23"/>
      <c r="W23"/>
    </row>
    <row r="24" spans="1:23" s="2" customFormat="1" x14ac:dyDescent="0.2">
      <c r="A24">
        <v>70001</v>
      </c>
      <c r="B24">
        <v>37</v>
      </c>
      <c r="C24" t="s">
        <v>84</v>
      </c>
      <c r="D24" t="s">
        <v>29</v>
      </c>
      <c r="E24" t="s">
        <v>28</v>
      </c>
      <c r="F24">
        <f>IF(AND($F$15=Datos!$AI$5,Datos!$C$9=Datos!$AI$10),IF(A24&gt;30000,N24,ROUND(N24*Datos!$J$18,Dins)),IF(AND($F$15=Datos!$AI$5,Datos!$C$9=Datos!$AI$9),IF(A24&gt;30000,O24,ROUND(O24*Datos!$J$18,Dins)),IF(AND($F$15=Datos!$AI$6,Datos!$C$9=Datos!$AI$10),IF(A24&gt;30000,P24,ROUND(P24*Datos!$J$18,Dins)),IF(AND($F$15=Datos!$AI$6,Datos!$C$9=Datos!$AI$9),IF(A24&gt;30000,Q24,ROUND(Q24*Datos!$J$18,Dins))))))</f>
        <v>34366.11</v>
      </c>
      <c r="G24"/>
      <c r="H24"/>
      <c r="I24"/>
      <c r="J24"/>
      <c r="K24"/>
      <c r="L24"/>
      <c r="M24"/>
      <c r="N24">
        <v>40552.01</v>
      </c>
      <c r="O24">
        <f t="shared" si="0"/>
        <v>34366.11</v>
      </c>
      <c r="P24">
        <f t="shared" si="1"/>
        <v>10813.87</v>
      </c>
      <c r="Q24">
        <f t="shared" si="2"/>
        <v>9164.2999999999993</v>
      </c>
      <c r="R24"/>
      <c r="S24"/>
      <c r="T24"/>
      <c r="U24"/>
      <c r="V24"/>
      <c r="W24"/>
    </row>
    <row r="25" spans="1:23" s="2" customFormat="1" x14ac:dyDescent="0.2">
      <c r="A25">
        <v>30006</v>
      </c>
      <c r="B25">
        <v>39</v>
      </c>
      <c r="C25" t="s">
        <v>6</v>
      </c>
      <c r="D25" t="s">
        <v>179</v>
      </c>
      <c r="E25" t="s">
        <v>7</v>
      </c>
      <c r="F25">
        <f>IF(AND($F$15=Datos!$AI$5,Datos!$C$9=Datos!$AI$10),IF(A25&gt;30000,N25,ROUND(N25*Datos!$J$18,Dins)),IF(AND($F$15=Datos!$AI$5,Datos!$C$9=Datos!$AI$9),IF(A25&gt;30000,O25,ROUND(O25*Datos!$J$18,Dins)),IF(AND($F$15=Datos!$AI$6,Datos!$C$9=Datos!$AI$10),IF(A25&gt;30000,P25,ROUND(P25*Datos!$J$18,Dins)),IF(AND($F$15=Datos!$AI$6,Datos!$C$9=Datos!$AI$9),IF(A25&gt;30000,Q25,ROUND(Q25*Datos!$J$18,Dins))))))</f>
        <v>2025</v>
      </c>
      <c r="G25">
        <v>0</v>
      </c>
      <c r="H25">
        <v>0</v>
      </c>
      <c r="I25">
        <v>0</v>
      </c>
      <c r="J25">
        <v>0</v>
      </c>
      <c r="K25"/>
      <c r="L25"/>
      <c r="M25"/>
      <c r="N25">
        <v>2389.5</v>
      </c>
      <c r="O25">
        <f t="shared" si="0"/>
        <v>2025</v>
      </c>
      <c r="P25">
        <f t="shared" si="1"/>
        <v>637.20000000000005</v>
      </c>
      <c r="Q25">
        <f t="shared" si="2"/>
        <v>540</v>
      </c>
      <c r="R25"/>
      <c r="S25"/>
      <c r="T25"/>
      <c r="U25"/>
      <c r="V25"/>
      <c r="W25"/>
    </row>
    <row r="26" spans="1:23" s="2" customFormat="1" x14ac:dyDescent="0.2">
      <c r="A26">
        <v>30007</v>
      </c>
      <c r="B26">
        <v>2</v>
      </c>
      <c r="C26" t="s">
        <v>6</v>
      </c>
      <c r="D26" t="s">
        <v>182</v>
      </c>
      <c r="E26" t="s">
        <v>33</v>
      </c>
      <c r="F26">
        <f>IF(AND($F$15=Datos!$AI$5,Datos!$C$9=Datos!$AI$10),IF(A26&gt;30000,N26,ROUND(N26*Datos!$J$18,Dins)),IF(AND($F$15=Datos!$AI$5,Datos!$C$9=Datos!$AI$9),IF(A26&gt;30000,O26,ROUND(O26*Datos!$J$18,Dins)),IF(AND($F$15=Datos!$AI$6,Datos!$C$9=Datos!$AI$10),IF(A26&gt;30000,P26,ROUND(P26*Datos!$J$18,Dins)),IF(AND($F$15=Datos!$AI$6,Datos!$C$9=Datos!$AI$9),IF(A26&gt;30000,Q26,ROUND(Q26*Datos!$J$18,Dins))))))</f>
        <v>3.65</v>
      </c>
      <c r="G26">
        <v>0</v>
      </c>
      <c r="H26">
        <v>0</v>
      </c>
      <c r="I26">
        <v>0</v>
      </c>
      <c r="J26">
        <v>0</v>
      </c>
      <c r="K26"/>
      <c r="L26"/>
      <c r="M26"/>
      <c r="N26">
        <v>4.3099999999999996</v>
      </c>
      <c r="O26">
        <f t="shared" si="0"/>
        <v>3.65</v>
      </c>
      <c r="P26">
        <f t="shared" si="1"/>
        <v>1.1499999999999999</v>
      </c>
      <c r="Q26">
        <f t="shared" si="2"/>
        <v>0.97</v>
      </c>
      <c r="R26"/>
      <c r="S26"/>
      <c r="T26"/>
      <c r="U26"/>
      <c r="V26"/>
      <c r="W26"/>
    </row>
    <row r="27" spans="1:23" s="2" customFormat="1" x14ac:dyDescent="0.2">
      <c r="A27">
        <v>30008</v>
      </c>
      <c r="B27">
        <v>10</v>
      </c>
      <c r="C27" t="s">
        <v>6</v>
      </c>
      <c r="D27" t="s">
        <v>183</v>
      </c>
      <c r="E27" t="s">
        <v>168</v>
      </c>
      <c r="F27">
        <f>IF(AND($F$15=Datos!$AI$5,Datos!$C$9=Datos!$AI$10),IF(A27&gt;30000,N27,ROUND(N27*Datos!$J$18,Dins)),IF(AND($F$15=Datos!$AI$5,Datos!$C$9=Datos!$AI$9),IF(A27&gt;30000,O27,ROUND(O27*Datos!$J$18,Dins)),IF(AND($F$15=Datos!$AI$6,Datos!$C$9=Datos!$AI$10),IF(A27&gt;30000,P27,ROUND(P27*Datos!$J$18,Dins)),IF(AND($F$15=Datos!$AI$6,Datos!$C$9=Datos!$AI$9),IF(A27&gt;30000,Q27,ROUND(Q27*Datos!$J$18,Dins))))))</f>
        <v>200</v>
      </c>
      <c r="G27">
        <v>0</v>
      </c>
      <c r="H27">
        <v>0</v>
      </c>
      <c r="I27">
        <v>0</v>
      </c>
      <c r="J27">
        <v>0</v>
      </c>
      <c r="K27"/>
      <c r="L27"/>
      <c r="M27"/>
      <c r="N27">
        <v>236</v>
      </c>
      <c r="O27">
        <f t="shared" si="0"/>
        <v>200</v>
      </c>
      <c r="P27">
        <f t="shared" si="1"/>
        <v>62.93</v>
      </c>
      <c r="Q27">
        <f t="shared" si="2"/>
        <v>53.33</v>
      </c>
      <c r="R27"/>
      <c r="S27"/>
      <c r="T27"/>
      <c r="U27"/>
      <c r="V27"/>
      <c r="W27"/>
    </row>
    <row r="28" spans="1:23" s="2" customFormat="1" x14ac:dyDescent="0.2">
      <c r="A28">
        <v>30009</v>
      </c>
      <c r="B28">
        <v>43</v>
      </c>
      <c r="C28" t="s">
        <v>6</v>
      </c>
      <c r="D28" t="s">
        <v>184</v>
      </c>
      <c r="E28" t="s">
        <v>185</v>
      </c>
      <c r="F28">
        <f>IF(AND($F$15=Datos!$AI$5,Datos!$C$9=Datos!$AI$10),IF(A28&gt;30000,N28,ROUND(N28*Datos!$J$18,Dins)),IF(AND($F$15=Datos!$AI$5,Datos!$C$9=Datos!$AI$9),IF(A28&gt;30000,O28,ROUND(O28*Datos!$J$18,Dins)),IF(AND($F$15=Datos!$AI$6,Datos!$C$9=Datos!$AI$10),IF(A28&gt;30000,P28,ROUND(P28*Datos!$J$18,Dins)),IF(AND($F$15=Datos!$AI$6,Datos!$C$9=Datos!$AI$9),IF(A28&gt;30000,Q28,ROUND(Q28*Datos!$J$18,Dins))))))</f>
        <v>3.7</v>
      </c>
      <c r="G28">
        <v>0</v>
      </c>
      <c r="H28">
        <v>0</v>
      </c>
      <c r="I28">
        <v>0</v>
      </c>
      <c r="J28">
        <v>0</v>
      </c>
      <c r="K28"/>
      <c r="L28"/>
      <c r="M28"/>
      <c r="N28">
        <v>4.37</v>
      </c>
      <c r="O28">
        <f t="shared" si="0"/>
        <v>3.7</v>
      </c>
      <c r="P28">
        <f t="shared" si="1"/>
        <v>1.17</v>
      </c>
      <c r="Q28">
        <f t="shared" si="2"/>
        <v>0.99</v>
      </c>
      <c r="R28"/>
      <c r="S28"/>
      <c r="T28"/>
      <c r="U28"/>
      <c r="V28"/>
      <c r="W28"/>
    </row>
    <row r="29" spans="1:23" s="2" customFormat="1" x14ac:dyDescent="0.2">
      <c r="A29">
        <v>30010</v>
      </c>
      <c r="B29">
        <v>45</v>
      </c>
      <c r="C29" t="s">
        <v>6</v>
      </c>
      <c r="D29" t="s">
        <v>186</v>
      </c>
      <c r="E29" t="s">
        <v>187</v>
      </c>
      <c r="F29">
        <f>IF(AND($F$15=Datos!$AI$5,Datos!$C$9=Datos!$AI$10),IF(A29&gt;30000,N29,ROUND(N29*Datos!$J$18,Dins)),IF(AND($F$15=Datos!$AI$5,Datos!$C$9=Datos!$AI$9),IF(A29&gt;30000,O29,ROUND(O29*Datos!$J$18,Dins)),IF(AND($F$15=Datos!$AI$6,Datos!$C$9=Datos!$AI$10),IF(A29&gt;30000,P29,ROUND(P29*Datos!$J$18,Dins)),IF(AND($F$15=Datos!$AI$6,Datos!$C$9=Datos!$AI$9),IF(A29&gt;30000,Q29,ROUND(Q29*Datos!$J$18,Dins))))))</f>
        <v>25</v>
      </c>
      <c r="G29">
        <v>0</v>
      </c>
      <c r="H29">
        <v>0</v>
      </c>
      <c r="I29">
        <v>0</v>
      </c>
      <c r="J29">
        <v>0</v>
      </c>
      <c r="K29"/>
      <c r="L29"/>
      <c r="M29"/>
      <c r="N29">
        <v>29.5</v>
      </c>
      <c r="O29">
        <f t="shared" si="0"/>
        <v>25</v>
      </c>
      <c r="P29">
        <f t="shared" si="1"/>
        <v>7.87</v>
      </c>
      <c r="Q29">
        <f t="shared" si="2"/>
        <v>6.67</v>
      </c>
      <c r="R29"/>
      <c r="S29"/>
      <c r="T29"/>
      <c r="U29"/>
      <c r="V29"/>
      <c r="W29"/>
    </row>
    <row r="30" spans="1:23" s="2" customFormat="1" x14ac:dyDescent="0.2">
      <c r="A30">
        <v>30011</v>
      </c>
      <c r="B30">
        <v>56</v>
      </c>
      <c r="C30" t="s">
        <v>6</v>
      </c>
      <c r="D30" t="s">
        <v>188</v>
      </c>
      <c r="E30" t="s">
        <v>174</v>
      </c>
      <c r="F30">
        <f>IF(AND($F$15=Datos!$AI$5,Datos!$C$9=Datos!$AI$10),IF(A30&gt;30000,N30,ROUND(N30*Datos!$J$18,Dins)),IF(AND($F$15=Datos!$AI$5,Datos!$C$9=Datos!$AI$9),IF(A30&gt;30000,O30,ROUND(O30*Datos!$J$18,Dins)),IF(AND($F$15=Datos!$AI$6,Datos!$C$9=Datos!$AI$10),IF(A30&gt;30000,P30,ROUND(P30*Datos!$J$18,Dins)),IF(AND($F$15=Datos!$AI$6,Datos!$C$9=Datos!$AI$9),IF(A30&gt;30000,Q30,ROUND(Q30*Datos!$J$18,Dins))))))</f>
        <v>15.5</v>
      </c>
      <c r="G30">
        <v>0</v>
      </c>
      <c r="H30">
        <v>0</v>
      </c>
      <c r="I30">
        <v>0</v>
      </c>
      <c r="J30">
        <v>0</v>
      </c>
      <c r="K30"/>
      <c r="L30"/>
      <c r="M30"/>
      <c r="N30">
        <v>18.29</v>
      </c>
      <c r="O30">
        <f t="shared" si="0"/>
        <v>15.5</v>
      </c>
      <c r="P30">
        <f t="shared" si="1"/>
        <v>4.88</v>
      </c>
      <c r="Q30">
        <f t="shared" si="2"/>
        <v>4.1399999999999997</v>
      </c>
      <c r="R30"/>
      <c r="S30"/>
      <c r="T30"/>
      <c r="U30"/>
      <c r="V30"/>
      <c r="W30"/>
    </row>
    <row r="31" spans="1:23" s="2" customFormat="1" x14ac:dyDescent="0.2">
      <c r="A31">
        <v>30012</v>
      </c>
      <c r="B31">
        <v>72</v>
      </c>
      <c r="C31" t="s">
        <v>6</v>
      </c>
      <c r="D31" t="s">
        <v>189</v>
      </c>
      <c r="E31" t="s">
        <v>168</v>
      </c>
      <c r="F31">
        <f>IF(AND($F$15=Datos!$AI$5,Datos!$C$9=Datos!$AI$10),IF(A31&gt;30000,N31,ROUND(N31*Datos!$J$18,Dins)),IF(AND($F$15=Datos!$AI$5,Datos!$C$9=Datos!$AI$9),IF(A31&gt;30000,O31,ROUND(O31*Datos!$J$18,Dins)),IF(AND($F$15=Datos!$AI$6,Datos!$C$9=Datos!$AI$10),IF(A31&gt;30000,P31,ROUND(P31*Datos!$J$18,Dins)),IF(AND($F$15=Datos!$AI$6,Datos!$C$9=Datos!$AI$9),IF(A31&gt;30000,Q31,ROUND(Q31*Datos!$J$18,Dins))))))</f>
        <v>500</v>
      </c>
      <c r="G31">
        <v>0</v>
      </c>
      <c r="H31">
        <v>0</v>
      </c>
      <c r="I31">
        <v>0</v>
      </c>
      <c r="J31">
        <v>0</v>
      </c>
      <c r="K31"/>
      <c r="L31"/>
      <c r="M31"/>
      <c r="N31">
        <v>590</v>
      </c>
      <c r="O31">
        <f t="shared" si="0"/>
        <v>500</v>
      </c>
      <c r="P31">
        <f t="shared" si="1"/>
        <v>157.33000000000001</v>
      </c>
      <c r="Q31">
        <f t="shared" si="2"/>
        <v>133.33000000000001</v>
      </c>
      <c r="R31"/>
      <c r="S31"/>
      <c r="T31"/>
      <c r="U31"/>
      <c r="V31"/>
      <c r="W31"/>
    </row>
    <row r="32" spans="1:23" s="2" customFormat="1" x14ac:dyDescent="0.2">
      <c r="A32">
        <v>10004</v>
      </c>
      <c r="B32">
        <v>47</v>
      </c>
      <c r="C32" t="s">
        <v>122</v>
      </c>
      <c r="D32" t="s">
        <v>44</v>
      </c>
      <c r="E32" t="s">
        <v>169</v>
      </c>
      <c r="F32">
        <f>IF(AND($F$15=Datos!$AI$5,Datos!$C$9=Datos!$AI$10),IF(A32&gt;30000,N32,ROUND(N32*Datos!$J$18,Dins)),IF(AND($F$15=Datos!$AI$5,Datos!$C$9=Datos!$AI$9),IF(A32&gt;30000,O32,ROUND(O32*Datos!$J$18,Dins)),IF(AND($F$15=Datos!$AI$6,Datos!$C$9=Datos!$AI$10),IF(A32&gt;30000,P32,ROUND(P32*Datos!$J$18,Dins)),IF(AND($F$15=Datos!$AI$6,Datos!$C$9=Datos!$AI$9),IF(A32&gt;30000,Q32,ROUND(Q32*Datos!$J$18,Dins))))))</f>
        <v>20.81</v>
      </c>
      <c r="G32"/>
      <c r="H32"/>
      <c r="I32"/>
      <c r="J32"/>
      <c r="K32"/>
      <c r="L32"/>
      <c r="M32"/>
      <c r="N32">
        <v>20.81</v>
      </c>
      <c r="O32">
        <f t="shared" si="0"/>
        <v>20.81</v>
      </c>
      <c r="P32">
        <f t="shared" si="1"/>
        <v>5.55</v>
      </c>
      <c r="Q32">
        <f t="shared" si="2"/>
        <v>5.55</v>
      </c>
      <c r="R32"/>
      <c r="S32"/>
      <c r="T32"/>
      <c r="U32"/>
      <c r="V32"/>
      <c r="W32"/>
    </row>
    <row r="33" spans="1:23" s="2" customFormat="1" x14ac:dyDescent="0.2">
      <c r="A33">
        <v>10005</v>
      </c>
      <c r="B33">
        <v>47</v>
      </c>
      <c r="C33" t="s">
        <v>122</v>
      </c>
      <c r="D33" t="s">
        <v>195</v>
      </c>
      <c r="E33" t="s">
        <v>169</v>
      </c>
      <c r="F33">
        <f>IF(AND($F$15=Datos!$AI$5,Datos!$C$9=Datos!$AI$10),IF(A33&gt;30000,N33,ROUND(N33*Datos!$J$18,Dins)),IF(AND($F$15=Datos!$AI$5,Datos!$C$9=Datos!$AI$9),IF(A33&gt;30000,O33,ROUND(O33*Datos!$J$18,Dins)),IF(AND($F$15=Datos!$AI$6,Datos!$C$9=Datos!$AI$10),IF(A33&gt;30000,P33,ROUND(P33*Datos!$J$18,Dins)),IF(AND($F$15=Datos!$AI$6,Datos!$C$9=Datos!$AI$9),IF(A33&gt;30000,Q33,ROUND(Q33*Datos!$J$18,Dins))))))</f>
        <v>20.81</v>
      </c>
      <c r="G33"/>
      <c r="H33"/>
      <c r="I33"/>
      <c r="J33"/>
      <c r="K33"/>
      <c r="L33"/>
      <c r="M33"/>
      <c r="N33">
        <v>20.81</v>
      </c>
      <c r="O33">
        <f t="shared" si="0"/>
        <v>20.81</v>
      </c>
      <c r="P33">
        <f t="shared" si="1"/>
        <v>5.55</v>
      </c>
      <c r="Q33">
        <f t="shared" si="2"/>
        <v>5.55</v>
      </c>
      <c r="R33"/>
      <c r="S33"/>
      <c r="T33"/>
      <c r="U33"/>
      <c r="V33"/>
      <c r="W33"/>
    </row>
    <row r="34" spans="1:23" s="2" customFormat="1" x14ac:dyDescent="0.2">
      <c r="A34">
        <v>30013</v>
      </c>
      <c r="B34">
        <v>43</v>
      </c>
      <c r="C34" t="s">
        <v>6</v>
      </c>
      <c r="D34" t="s">
        <v>196</v>
      </c>
      <c r="E34" t="s">
        <v>174</v>
      </c>
      <c r="F34">
        <f>IF(AND($F$15=Datos!$AI$5,Datos!$C$9=Datos!$AI$10),IF(A34&gt;30000,N34,ROUND(N34*Datos!$J$18,Dins)),IF(AND($F$15=Datos!$AI$5,Datos!$C$9=Datos!$AI$9),IF(A34&gt;30000,O34,ROUND(O34*Datos!$J$18,Dins)),IF(AND($F$15=Datos!$AI$6,Datos!$C$9=Datos!$AI$10),IF(A34&gt;30000,P34,ROUND(P34*Datos!$J$18,Dins)),IF(AND($F$15=Datos!$AI$6,Datos!$C$9=Datos!$AI$9),IF(A34&gt;30000,Q34,ROUND(Q34*Datos!$J$18,Dins))))))</f>
        <v>11.7</v>
      </c>
      <c r="G34">
        <v>0</v>
      </c>
      <c r="H34">
        <v>0</v>
      </c>
      <c r="I34">
        <v>0</v>
      </c>
      <c r="J34">
        <v>0</v>
      </c>
      <c r="K34"/>
      <c r="L34"/>
      <c r="M34"/>
      <c r="N34">
        <v>13.81</v>
      </c>
      <c r="O34">
        <f t="shared" si="0"/>
        <v>11.7</v>
      </c>
      <c r="P34">
        <f t="shared" si="1"/>
        <v>3.68</v>
      </c>
      <c r="Q34">
        <f t="shared" si="2"/>
        <v>3.12</v>
      </c>
      <c r="R34"/>
      <c r="S34"/>
      <c r="T34"/>
      <c r="U34"/>
      <c r="V34"/>
      <c r="W34"/>
    </row>
    <row r="35" spans="1:23" s="2" customFormat="1" x14ac:dyDescent="0.2">
      <c r="A35">
        <v>30014</v>
      </c>
      <c r="B35">
        <v>39</v>
      </c>
      <c r="C35" t="s">
        <v>6</v>
      </c>
      <c r="D35" t="s">
        <v>201</v>
      </c>
      <c r="E35" t="s">
        <v>33</v>
      </c>
      <c r="F35">
        <f>IF(AND($F$15=Datos!$AI$5,Datos!$C$9=Datos!$AI$10),IF(A35&gt;30000,N35,ROUND(N35*Datos!$J$18,Dins)),IF(AND($F$15=Datos!$AI$5,Datos!$C$9=Datos!$AI$9),IF(A35&gt;30000,O35,ROUND(O35*Datos!$J$18,Dins)),IF(AND($F$15=Datos!$AI$6,Datos!$C$9=Datos!$AI$10),IF(A35&gt;30000,P35,ROUND(P35*Datos!$J$18,Dins)),IF(AND($F$15=Datos!$AI$6,Datos!$C$9=Datos!$AI$9),IF(A35&gt;30000,Q35,ROUND(Q35*Datos!$J$18,Dins))))))</f>
        <v>12</v>
      </c>
      <c r="G35">
        <v>0</v>
      </c>
      <c r="H35">
        <v>0</v>
      </c>
      <c r="I35">
        <v>0</v>
      </c>
      <c r="J35">
        <v>0</v>
      </c>
      <c r="K35"/>
      <c r="L35"/>
      <c r="M35"/>
      <c r="N35">
        <v>14.16</v>
      </c>
      <c r="O35">
        <f t="shared" si="0"/>
        <v>12</v>
      </c>
      <c r="P35">
        <f t="shared" si="1"/>
        <v>3.78</v>
      </c>
      <c r="Q35">
        <f t="shared" si="2"/>
        <v>3.2</v>
      </c>
      <c r="R35"/>
      <c r="S35"/>
      <c r="T35"/>
      <c r="U35"/>
      <c r="V35"/>
      <c r="W35"/>
    </row>
    <row r="36" spans="1:23" s="2" customFormat="1" x14ac:dyDescent="0.2">
      <c r="A36">
        <v>30015</v>
      </c>
      <c r="B36">
        <v>30</v>
      </c>
      <c r="C36" t="s">
        <v>6</v>
      </c>
      <c r="D36" t="s">
        <v>202</v>
      </c>
      <c r="E36" t="s">
        <v>7</v>
      </c>
      <c r="F36">
        <f>IF(AND($F$15=Datos!$AI$5,Datos!$C$9=Datos!$AI$10),IF(A36&gt;30000,N36,ROUND(N36*Datos!$J$18,Dins)),IF(AND($F$15=Datos!$AI$5,Datos!$C$9=Datos!$AI$9),IF(A36&gt;30000,O36,ROUND(O36*Datos!$J$18,Dins)),IF(AND($F$15=Datos!$AI$6,Datos!$C$9=Datos!$AI$10),IF(A36&gt;30000,P36,ROUND(P36*Datos!$J$18,Dins)),IF(AND($F$15=Datos!$AI$6,Datos!$C$9=Datos!$AI$9),IF(A36&gt;30000,Q36,ROUND(Q36*Datos!$J$18,Dins))))))</f>
        <v>7</v>
      </c>
      <c r="G36">
        <v>0</v>
      </c>
      <c r="H36">
        <v>0</v>
      </c>
      <c r="I36">
        <v>0</v>
      </c>
      <c r="J36">
        <v>0</v>
      </c>
      <c r="K36"/>
      <c r="L36"/>
      <c r="M36"/>
      <c r="N36">
        <v>8.26</v>
      </c>
      <c r="O36">
        <f t="shared" si="0"/>
        <v>7</v>
      </c>
      <c r="P36">
        <f t="shared" si="1"/>
        <v>2.2000000000000002</v>
      </c>
      <c r="Q36">
        <f t="shared" si="2"/>
        <v>1.86</v>
      </c>
      <c r="R36"/>
      <c r="S36"/>
      <c r="T36"/>
      <c r="U36"/>
      <c r="V36"/>
      <c r="W36"/>
    </row>
    <row r="37" spans="1:23" s="2" customFormat="1" x14ac:dyDescent="0.2">
      <c r="A37">
        <v>30016</v>
      </c>
      <c r="B37">
        <v>30</v>
      </c>
      <c r="C37" t="s">
        <v>6</v>
      </c>
      <c r="D37" t="s">
        <v>203</v>
      </c>
      <c r="E37" t="s">
        <v>33</v>
      </c>
      <c r="F37">
        <f>IF(AND($F$15=Datos!$AI$5,Datos!$C$9=Datos!$AI$10),IF(A37&gt;30000,N37,ROUND(N37*Datos!$J$18,Dins)),IF(AND($F$15=Datos!$AI$5,Datos!$C$9=Datos!$AI$9),IF(A37&gt;30000,O37,ROUND(O37*Datos!$J$18,Dins)),IF(AND($F$15=Datos!$AI$6,Datos!$C$9=Datos!$AI$10),IF(A37&gt;30000,P37,ROUND(P37*Datos!$J$18,Dins)),IF(AND($F$15=Datos!$AI$6,Datos!$C$9=Datos!$AI$9),IF(A37&gt;30000,Q37,ROUND(Q37*Datos!$J$18,Dins))))))</f>
        <v>8</v>
      </c>
      <c r="G37">
        <v>0</v>
      </c>
      <c r="H37">
        <v>0</v>
      </c>
      <c r="I37">
        <v>0</v>
      </c>
      <c r="J37">
        <v>0</v>
      </c>
      <c r="K37"/>
      <c r="L37"/>
      <c r="M37"/>
      <c r="N37">
        <v>9.44</v>
      </c>
      <c r="O37">
        <f t="shared" si="0"/>
        <v>8</v>
      </c>
      <c r="P37">
        <f t="shared" si="1"/>
        <v>2.52</v>
      </c>
      <c r="Q37">
        <f t="shared" si="2"/>
        <v>2.14</v>
      </c>
      <c r="R37"/>
      <c r="S37"/>
      <c r="T37"/>
      <c r="U37"/>
      <c r="V37"/>
      <c r="W37"/>
    </row>
    <row r="38" spans="1:23" s="2" customFormat="1" x14ac:dyDescent="0.2">
      <c r="A38">
        <v>30017</v>
      </c>
      <c r="B38">
        <v>26</v>
      </c>
      <c r="C38" t="s">
        <v>6</v>
      </c>
      <c r="D38" t="s">
        <v>204</v>
      </c>
      <c r="E38" t="s">
        <v>174</v>
      </c>
      <c r="F38">
        <f>IF(AND($F$15=Datos!$AI$5,Datos!$C$9=Datos!$AI$10),IF(A38&gt;30000,N38,ROUND(N38*Datos!$J$18,Dins)),IF(AND($F$15=Datos!$AI$5,Datos!$C$9=Datos!$AI$9),IF(A38&gt;30000,O38,ROUND(O38*Datos!$J$18,Dins)),IF(AND($F$15=Datos!$AI$6,Datos!$C$9=Datos!$AI$10),IF(A38&gt;30000,P38,ROUND(P38*Datos!$J$18,Dins)),IF(AND($F$15=Datos!$AI$6,Datos!$C$9=Datos!$AI$9),IF(A38&gt;30000,Q38,ROUND(Q38*Datos!$J$18,Dins))))))</f>
        <v>15</v>
      </c>
      <c r="G38">
        <v>0</v>
      </c>
      <c r="H38">
        <v>0</v>
      </c>
      <c r="I38">
        <v>0</v>
      </c>
      <c r="J38">
        <v>0</v>
      </c>
      <c r="K38"/>
      <c r="L38"/>
      <c r="M38"/>
      <c r="N38">
        <v>17.7</v>
      </c>
      <c r="O38">
        <f t="shared" si="0"/>
        <v>15</v>
      </c>
      <c r="P38">
        <f t="shared" si="1"/>
        <v>4.72</v>
      </c>
      <c r="Q38">
        <f t="shared" si="2"/>
        <v>4</v>
      </c>
      <c r="R38"/>
      <c r="S38"/>
      <c r="T38"/>
      <c r="U38"/>
      <c r="V38"/>
      <c r="W38"/>
    </row>
    <row r="39" spans="1:23" s="2" customFormat="1" x14ac:dyDescent="0.2">
      <c r="A39" s="2">
        <v>30018</v>
      </c>
      <c r="B39" s="2">
        <v>48</v>
      </c>
      <c r="C39" s="2" t="s">
        <v>6</v>
      </c>
      <c r="D39" s="2" t="s">
        <v>205</v>
      </c>
      <c r="E39" s="42" t="s">
        <v>206</v>
      </c>
      <c r="F39">
        <f>IF(AND($F$15=Datos!$AI$5,Datos!$C$9=Datos!$AI$10),IF(A39&gt;30000,N39,ROUND(N39*Datos!$J$18,Dins)),IF(AND($F$15=Datos!$AI$5,Datos!$C$9=Datos!$AI$9),IF(A39&gt;30000,O39,ROUND(O39*Datos!$J$18,Dins)),IF(AND($F$15=Datos!$AI$6,Datos!$C$9=Datos!$AI$10),IF(A39&gt;30000,P39,ROUND(P39*Datos!$J$18,Dins)),IF(AND($F$15=Datos!$AI$6,Datos!$C$9=Datos!$AI$9),IF(A39&gt;30000,Q39,ROUND(Q39*Datos!$J$18,Dins))))))</f>
        <v>13.5</v>
      </c>
      <c r="G39" s="2">
        <v>0</v>
      </c>
      <c r="H39" s="2">
        <v>0</v>
      </c>
      <c r="I39" s="2">
        <v>0</v>
      </c>
      <c r="J39" s="2">
        <v>0</v>
      </c>
      <c r="L39" s="41"/>
      <c r="N39" s="2">
        <v>15.93</v>
      </c>
      <c r="O39">
        <f t="shared" si="0"/>
        <v>13.5</v>
      </c>
      <c r="P39">
        <f t="shared" si="1"/>
        <v>4.25</v>
      </c>
      <c r="Q39">
        <f t="shared" si="2"/>
        <v>3.6</v>
      </c>
    </row>
    <row r="40" spans="1:23" s="2" customFormat="1" x14ac:dyDescent="0.2">
      <c r="A40" s="2">
        <v>30019</v>
      </c>
      <c r="B40" s="2">
        <v>54</v>
      </c>
      <c r="C40" s="2" t="s">
        <v>6</v>
      </c>
      <c r="D40" s="2" t="s">
        <v>207</v>
      </c>
      <c r="E40" s="42" t="s">
        <v>206</v>
      </c>
      <c r="F40">
        <f>IF(AND($F$15=Datos!$AI$5,Datos!$C$9=Datos!$AI$10),IF(A40&gt;30000,N40,ROUND(N40*Datos!$J$18,Dins)),IF(AND($F$15=Datos!$AI$5,Datos!$C$9=Datos!$AI$9),IF(A40&gt;30000,O40,ROUND(O40*Datos!$J$18,Dins)),IF(AND($F$15=Datos!$AI$6,Datos!$C$9=Datos!$AI$10),IF(A40&gt;30000,P40,ROUND(P40*Datos!$J$18,Dins)),IF(AND($F$15=Datos!$AI$6,Datos!$C$9=Datos!$AI$9),IF(A40&gt;30000,Q40,ROUND(Q40*Datos!$J$18,Dins))))))</f>
        <v>40</v>
      </c>
      <c r="G40" s="2">
        <v>0</v>
      </c>
      <c r="H40" s="2">
        <v>0</v>
      </c>
      <c r="I40" s="2">
        <v>0</v>
      </c>
      <c r="J40" s="2">
        <v>0</v>
      </c>
      <c r="L40" s="41"/>
      <c r="N40" s="2">
        <v>47.2</v>
      </c>
      <c r="O40">
        <f t="shared" si="0"/>
        <v>40</v>
      </c>
      <c r="P40">
        <f t="shared" si="1"/>
        <v>12.59</v>
      </c>
      <c r="Q40">
        <f t="shared" si="2"/>
        <v>10.67</v>
      </c>
    </row>
    <row r="41" spans="1:23" s="2" customFormat="1" x14ac:dyDescent="0.2">
      <c r="A41" s="2">
        <v>30020</v>
      </c>
      <c r="B41" s="2">
        <v>54</v>
      </c>
      <c r="C41" s="2" t="s">
        <v>6</v>
      </c>
      <c r="D41" s="2" t="s">
        <v>208</v>
      </c>
      <c r="E41" s="42" t="s">
        <v>206</v>
      </c>
      <c r="F41">
        <f>IF(AND($F$15=Datos!$AI$5,Datos!$C$9=Datos!$AI$10),IF(A41&gt;30000,N41,ROUND(N41*Datos!$J$18,Dins)),IF(AND($F$15=Datos!$AI$5,Datos!$C$9=Datos!$AI$9),IF(A41&gt;30000,O41,ROUND(O41*Datos!$J$18,Dins)),IF(AND($F$15=Datos!$AI$6,Datos!$C$9=Datos!$AI$10),IF(A41&gt;30000,P41,ROUND(P41*Datos!$J$18,Dins)),IF(AND($F$15=Datos!$AI$6,Datos!$C$9=Datos!$AI$9),IF(A41&gt;30000,Q41,ROUND(Q41*Datos!$J$18,Dins))))))</f>
        <v>40</v>
      </c>
      <c r="G41" s="2">
        <v>0</v>
      </c>
      <c r="H41" s="2">
        <v>0</v>
      </c>
      <c r="I41" s="2">
        <v>0</v>
      </c>
      <c r="J41" s="2">
        <v>0</v>
      </c>
      <c r="L41" s="41"/>
      <c r="N41" s="2">
        <v>47.2</v>
      </c>
      <c r="O41">
        <f t="shared" si="0"/>
        <v>40</v>
      </c>
      <c r="P41">
        <f t="shared" si="1"/>
        <v>12.59</v>
      </c>
      <c r="Q41">
        <f t="shared" si="2"/>
        <v>10.67</v>
      </c>
    </row>
    <row r="42" spans="1:23" s="2" customFormat="1" x14ac:dyDescent="0.2">
      <c r="A42" s="2">
        <v>30021</v>
      </c>
      <c r="B42" s="2">
        <v>26</v>
      </c>
      <c r="C42" s="2" t="s">
        <v>6</v>
      </c>
      <c r="D42" s="2" t="s">
        <v>209</v>
      </c>
      <c r="E42" s="42" t="s">
        <v>210</v>
      </c>
      <c r="F42">
        <f>IF(AND($F$15=Datos!$AI$5,Datos!$C$9=Datos!$AI$10),IF(A42&gt;30000,N42,ROUND(N42*Datos!$J$18,Dins)),IF(AND($F$15=Datos!$AI$5,Datos!$C$9=Datos!$AI$9),IF(A42&gt;30000,O42,ROUND(O42*Datos!$J$18,Dins)),IF(AND($F$15=Datos!$AI$6,Datos!$C$9=Datos!$AI$10),IF(A42&gt;30000,P42,ROUND(P42*Datos!$J$18,Dins)),IF(AND($F$15=Datos!$AI$6,Datos!$C$9=Datos!$AI$9),IF(A42&gt;30000,Q42,ROUND(Q42*Datos!$J$18,Dins))))))</f>
        <v>50</v>
      </c>
      <c r="G42" s="2">
        <v>0</v>
      </c>
      <c r="H42" s="2">
        <v>0</v>
      </c>
      <c r="I42" s="2">
        <v>0</v>
      </c>
      <c r="J42" s="2">
        <v>0</v>
      </c>
      <c r="L42" s="41"/>
      <c r="N42" s="2">
        <v>59</v>
      </c>
      <c r="O42">
        <f t="shared" si="0"/>
        <v>50</v>
      </c>
      <c r="P42">
        <f t="shared" si="1"/>
        <v>15.73</v>
      </c>
      <c r="Q42">
        <f t="shared" si="2"/>
        <v>13.33</v>
      </c>
    </row>
    <row r="43" spans="1:23" s="2" customFormat="1" x14ac:dyDescent="0.2">
      <c r="A43" s="2">
        <v>30022</v>
      </c>
      <c r="B43" s="2">
        <v>65</v>
      </c>
      <c r="C43" s="2" t="s">
        <v>6</v>
      </c>
      <c r="D43" s="2" t="s">
        <v>211</v>
      </c>
      <c r="E43" s="42" t="s">
        <v>194</v>
      </c>
      <c r="F43">
        <f>IF(AND($F$15=Datos!$AI$5,Datos!$C$9=Datos!$AI$10),IF(A43&gt;30000,N43,ROUND(N43*Datos!$J$18,Dins)),IF(AND($F$15=Datos!$AI$5,Datos!$C$9=Datos!$AI$9),IF(A43&gt;30000,O43,ROUND(O43*Datos!$J$18,Dins)),IF(AND($F$15=Datos!$AI$6,Datos!$C$9=Datos!$AI$10),IF(A43&gt;30000,P43,ROUND(P43*Datos!$J$18,Dins)),IF(AND($F$15=Datos!$AI$6,Datos!$C$9=Datos!$AI$9),IF(A43&gt;30000,Q43,ROUND(Q43*Datos!$J$18,Dins))))))</f>
        <v>30</v>
      </c>
      <c r="G43" s="2">
        <v>0</v>
      </c>
      <c r="H43" s="2">
        <v>0</v>
      </c>
      <c r="I43" s="2">
        <v>0</v>
      </c>
      <c r="J43" s="2">
        <v>0</v>
      </c>
      <c r="L43" s="41"/>
      <c r="N43" s="2">
        <v>35.4</v>
      </c>
      <c r="O43">
        <f t="shared" si="0"/>
        <v>30</v>
      </c>
      <c r="P43">
        <f t="shared" si="1"/>
        <v>9.44</v>
      </c>
      <c r="Q43">
        <f t="shared" si="2"/>
        <v>8</v>
      </c>
    </row>
    <row r="44" spans="1:23" s="2" customFormat="1" x14ac:dyDescent="0.2">
      <c r="A44" s="2">
        <v>60001</v>
      </c>
      <c r="B44" s="2">
        <v>49</v>
      </c>
      <c r="C44" s="2" t="s">
        <v>123</v>
      </c>
      <c r="D44" s="2" t="s">
        <v>212</v>
      </c>
      <c r="E44" s="42" t="s">
        <v>213</v>
      </c>
      <c r="F44">
        <f>IF(AND($F$15=Datos!$AI$5,Datos!$C$9=Datos!$AI$10),IF(A44&gt;30000,N44,ROUND(N44*Datos!$J$18,Dins)),IF(AND($F$15=Datos!$AI$5,Datos!$C$9=Datos!$AI$9),IF(A44&gt;30000,O44,ROUND(O44*Datos!$J$18,Dins)),IF(AND($F$15=Datos!$AI$6,Datos!$C$9=Datos!$AI$10),IF(A44&gt;30000,P44,ROUND(P44*Datos!$J$18,Dins)),IF(AND($F$15=Datos!$AI$6,Datos!$C$9=Datos!$AI$9),IF(A44&gt;30000,Q44,ROUND(Q44*Datos!$J$18,Dins))))))</f>
        <v>10</v>
      </c>
      <c r="L44" s="41"/>
      <c r="N44" s="2">
        <v>11.8</v>
      </c>
      <c r="O44">
        <f t="shared" si="0"/>
        <v>10</v>
      </c>
      <c r="P44">
        <f t="shared" si="1"/>
        <v>3.15</v>
      </c>
      <c r="Q44">
        <f t="shared" si="2"/>
        <v>2.67</v>
      </c>
    </row>
    <row r="45" spans="1:23" s="2" customFormat="1" x14ac:dyDescent="0.2">
      <c r="A45" s="2">
        <v>30023</v>
      </c>
      <c r="B45" s="2">
        <v>39</v>
      </c>
      <c r="C45" s="2" t="s">
        <v>6</v>
      </c>
      <c r="D45" s="2" t="s">
        <v>222</v>
      </c>
      <c r="E45" s="42" t="s">
        <v>221</v>
      </c>
      <c r="F45">
        <f>IF(AND($F$15=Datos!$AI$5,Datos!$C$9=Datos!$AI$10),IF(A45&gt;30000,N45,ROUND(N45*Datos!$J$18,Dins)),IF(AND($F$15=Datos!$AI$5,Datos!$C$9=Datos!$AI$9),IF(A45&gt;30000,O45,ROUND(O45*Datos!$J$18,Dins)),IF(AND($F$15=Datos!$AI$6,Datos!$C$9=Datos!$AI$10),IF(A45&gt;30000,P45,ROUND(P45*Datos!$J$18,Dins)),IF(AND($F$15=Datos!$AI$6,Datos!$C$9=Datos!$AI$9),IF(A45&gt;30000,Q45,ROUND(Q45*Datos!$J$18,Dins))))))</f>
        <v>150</v>
      </c>
      <c r="G45" s="2">
        <v>0</v>
      </c>
      <c r="H45" s="2">
        <v>0</v>
      </c>
      <c r="I45" s="2">
        <v>0</v>
      </c>
      <c r="J45" s="2">
        <v>0</v>
      </c>
      <c r="L45" s="41"/>
      <c r="N45" s="2">
        <v>177</v>
      </c>
      <c r="O45">
        <f t="shared" si="0"/>
        <v>150</v>
      </c>
      <c r="P45">
        <f t="shared" si="1"/>
        <v>47.2</v>
      </c>
      <c r="Q45">
        <f t="shared" si="2"/>
        <v>40</v>
      </c>
    </row>
    <row r="46" spans="1:23" s="2" customFormat="1" x14ac:dyDescent="0.2">
      <c r="A46" s="2">
        <v>30024</v>
      </c>
      <c r="B46" s="2">
        <v>39</v>
      </c>
      <c r="C46" s="2" t="s">
        <v>6</v>
      </c>
      <c r="D46" s="2" t="s">
        <v>226</v>
      </c>
      <c r="E46" s="42" t="s">
        <v>168</v>
      </c>
      <c r="F46">
        <f>IF(AND($F$15=Datos!$AI$5,Datos!$C$9=Datos!$AI$10),IF(A46&gt;30000,N46,ROUND(N46*Datos!$J$18,Dins)),IF(AND($F$15=Datos!$AI$5,Datos!$C$9=Datos!$AI$9),IF(A46&gt;30000,O46,ROUND(O46*Datos!$J$18,Dins)),IF(AND($F$15=Datos!$AI$6,Datos!$C$9=Datos!$AI$10),IF(A46&gt;30000,P46,ROUND(P46*Datos!$J$18,Dins)),IF(AND($F$15=Datos!$AI$6,Datos!$C$9=Datos!$AI$9),IF(A46&gt;30000,Q46,ROUND(Q46*Datos!$J$18,Dins))))))</f>
        <v>1500</v>
      </c>
      <c r="G46" s="2">
        <v>0</v>
      </c>
      <c r="H46" s="2">
        <v>0</v>
      </c>
      <c r="I46" s="2">
        <v>0</v>
      </c>
      <c r="J46" s="2">
        <v>0</v>
      </c>
      <c r="L46" s="41"/>
      <c r="N46" s="2">
        <v>1770</v>
      </c>
      <c r="O46">
        <f t="shared" si="0"/>
        <v>1500</v>
      </c>
      <c r="P46">
        <f t="shared" si="1"/>
        <v>472</v>
      </c>
      <c r="Q46">
        <f t="shared" si="2"/>
        <v>400</v>
      </c>
    </row>
    <row r="47" spans="1:23" s="2" customFormat="1" x14ac:dyDescent="0.2">
      <c r="A47" s="2">
        <v>80001</v>
      </c>
      <c r="B47" s="2">
        <v>39</v>
      </c>
      <c r="C47" s="2" t="s">
        <v>93</v>
      </c>
      <c r="D47" s="2" t="s">
        <v>229</v>
      </c>
      <c r="E47" s="42" t="s">
        <v>221</v>
      </c>
      <c r="F47">
        <f>IF(AND($F$15=Datos!$AI$5,Datos!$C$9=Datos!$AI$10),IF(A47&gt;30000,N47,ROUND(N47*Datos!$J$18,Dins)),IF(AND($F$15=Datos!$AI$5,Datos!$C$9=Datos!$AI$9),IF(A47&gt;30000,O47,ROUND(O47*Datos!$J$18,Dins)),IF(AND($F$15=Datos!$AI$6,Datos!$C$9=Datos!$AI$10),IF(A47&gt;30000,P47,ROUND(P47*Datos!$J$18,Dins)),IF(AND($F$15=Datos!$AI$6,Datos!$C$9=Datos!$AI$9),IF(A47&gt;30000,Q47,ROUND(Q47*Datos!$J$18,Dins))))))</f>
        <v>150</v>
      </c>
      <c r="G47" s="2">
        <v>0</v>
      </c>
      <c r="H47" s="2">
        <v>0</v>
      </c>
      <c r="I47" s="2">
        <v>0</v>
      </c>
      <c r="J47" s="2">
        <v>0</v>
      </c>
      <c r="L47" s="41"/>
      <c r="N47" s="2">
        <v>177</v>
      </c>
      <c r="O47">
        <f t="shared" si="0"/>
        <v>150</v>
      </c>
      <c r="P47">
        <f t="shared" si="1"/>
        <v>47.2</v>
      </c>
      <c r="Q47">
        <f t="shared" si="2"/>
        <v>40</v>
      </c>
    </row>
    <row r="48" spans="1:23" s="2" customFormat="1" x14ac:dyDescent="0.2">
      <c r="A48" s="2">
        <v>80002</v>
      </c>
      <c r="B48" s="2">
        <v>39</v>
      </c>
      <c r="C48" s="2" t="s">
        <v>93</v>
      </c>
      <c r="D48" s="2" t="s">
        <v>234</v>
      </c>
      <c r="E48" s="42" t="s">
        <v>34</v>
      </c>
      <c r="F48">
        <f>IF(AND($F$15=Datos!$AI$5,Datos!$C$9=Datos!$AI$10),IF(A48&gt;30000,N48,ROUND(N48*Datos!$J$18,Dins)),IF(AND($F$15=Datos!$AI$5,Datos!$C$9=Datos!$AI$9),IF(A48&gt;30000,O48,ROUND(O48*Datos!$J$18,Dins)),IF(AND($F$15=Datos!$AI$6,Datos!$C$9=Datos!$AI$10),IF(A48&gt;30000,P48,ROUND(P48*Datos!$J$18,Dins)),IF(AND($F$15=Datos!$AI$6,Datos!$C$9=Datos!$AI$9),IF(A48&gt;30000,Q48,ROUND(Q48*Datos!$J$18,Dins))))))</f>
        <v>20</v>
      </c>
      <c r="L48" s="41"/>
      <c r="N48" s="2">
        <v>23.6</v>
      </c>
      <c r="O48">
        <f t="shared" si="0"/>
        <v>20</v>
      </c>
      <c r="P48">
        <f t="shared" si="1"/>
        <v>6.29</v>
      </c>
      <c r="Q48">
        <f t="shared" si="2"/>
        <v>5.33</v>
      </c>
    </row>
    <row r="49" spans="1:17" s="2" customFormat="1" x14ac:dyDescent="0.2">
      <c r="A49" s="2">
        <v>60002</v>
      </c>
      <c r="B49" s="2">
        <v>49</v>
      </c>
      <c r="C49" s="2" t="s">
        <v>123</v>
      </c>
      <c r="D49" s="2" t="s">
        <v>239</v>
      </c>
      <c r="E49" s="42" t="s">
        <v>213</v>
      </c>
      <c r="F49">
        <f>IF(AND($F$15=Datos!$AI$5,Datos!$C$9=Datos!$AI$10),IF(A49&gt;30000,N49,ROUND(N49*Datos!$J$18,Dins)),IF(AND($F$15=Datos!$AI$5,Datos!$C$9=Datos!$AI$9),IF(A49&gt;30000,O49,ROUND(O49*Datos!$J$18,Dins)),IF(AND($F$15=Datos!$AI$6,Datos!$C$9=Datos!$AI$10),IF(A49&gt;30000,P49,ROUND(P49*Datos!$J$18,Dins)),IF(AND($F$15=Datos!$AI$6,Datos!$C$9=Datos!$AI$9),IF(A49&gt;30000,Q49,ROUND(Q49*Datos!$J$18,Dins))))))</f>
        <v>10</v>
      </c>
      <c r="L49" s="41"/>
      <c r="N49" s="2">
        <v>11.8</v>
      </c>
      <c r="O49">
        <f t="shared" si="0"/>
        <v>10</v>
      </c>
      <c r="P49">
        <f t="shared" si="1"/>
        <v>3.15</v>
      </c>
      <c r="Q49">
        <f t="shared" si="2"/>
        <v>2.67</v>
      </c>
    </row>
    <row r="50" spans="1:17" s="2" customFormat="1" x14ac:dyDescent="0.2">
      <c r="A50" s="2">
        <v>60003</v>
      </c>
      <c r="B50" s="2">
        <v>49</v>
      </c>
      <c r="C50" s="2" t="s">
        <v>123</v>
      </c>
      <c r="D50" s="2" t="s">
        <v>248</v>
      </c>
      <c r="E50" s="42" t="s">
        <v>213</v>
      </c>
      <c r="F50">
        <f>IF(AND($F$15=Datos!$AI$5,Datos!$C$9=Datos!$AI$10),IF(A50&gt;30000,N50,ROUND(N50*Datos!$J$18,Dins)),IF(AND($F$15=Datos!$AI$5,Datos!$C$9=Datos!$AI$9),IF(A50&gt;30000,O50,ROUND(O50*Datos!$J$18,Dins)),IF(AND($F$15=Datos!$AI$6,Datos!$C$9=Datos!$AI$10),IF(A50&gt;30000,P50,ROUND(P50*Datos!$J$18,Dins)),IF(AND($F$15=Datos!$AI$6,Datos!$C$9=Datos!$AI$9),IF(A50&gt;30000,Q50,ROUND(Q50*Datos!$J$18,Dins))))))</f>
        <v>178</v>
      </c>
      <c r="L50" s="41"/>
      <c r="N50" s="2">
        <v>210.04</v>
      </c>
      <c r="O50">
        <f t="shared" si="0"/>
        <v>178</v>
      </c>
      <c r="P50">
        <f t="shared" si="1"/>
        <v>56.01</v>
      </c>
      <c r="Q50">
        <f t="shared" si="2"/>
        <v>47.47</v>
      </c>
    </row>
    <row r="51" spans="1:17" s="2" customFormat="1" x14ac:dyDescent="0.2">
      <c r="A51" s="2">
        <v>10006</v>
      </c>
      <c r="B51" s="2">
        <v>47</v>
      </c>
      <c r="C51" s="2" t="s">
        <v>122</v>
      </c>
      <c r="D51" s="2" t="s">
        <v>253</v>
      </c>
      <c r="E51" s="42" t="s">
        <v>169</v>
      </c>
      <c r="F51">
        <f>IF(AND($F$15=Datos!$AI$5,Datos!$C$9=Datos!$AI$10),IF(A51&gt;30000,N51,ROUND(N51*Datos!$J$18,Dins)),IF(AND($F$15=Datos!$AI$5,Datos!$C$9=Datos!$AI$9),IF(A51&gt;30000,O51,ROUND(O51*Datos!$J$18,Dins)),IF(AND($F$15=Datos!$AI$6,Datos!$C$9=Datos!$AI$10),IF(A51&gt;30000,P51,ROUND(P51*Datos!$J$18,Dins)),IF(AND($F$15=Datos!$AI$6,Datos!$C$9=Datos!$AI$9),IF(A51&gt;30000,Q51,ROUND(Q51*Datos!$J$18,Dins))))))</f>
        <v>20.100000000000001</v>
      </c>
      <c r="L51" s="41"/>
      <c r="N51" s="2">
        <v>20.100000000000001</v>
      </c>
      <c r="O51">
        <f t="shared" si="0"/>
        <v>20.100000000000001</v>
      </c>
      <c r="P51">
        <f t="shared" si="1"/>
        <v>5.36</v>
      </c>
      <c r="Q51">
        <f t="shared" si="2"/>
        <v>5.36</v>
      </c>
    </row>
    <row r="52" spans="1:17" s="2" customFormat="1" x14ac:dyDescent="0.2">
      <c r="A52" s="2">
        <v>30025</v>
      </c>
      <c r="B52" s="2">
        <v>30</v>
      </c>
      <c r="C52" s="2" t="s">
        <v>6</v>
      </c>
      <c r="D52" s="2" t="s">
        <v>254</v>
      </c>
      <c r="E52" s="42" t="s">
        <v>172</v>
      </c>
      <c r="F52">
        <f>IF(AND($F$15=Datos!$AI$5,Datos!$C$9=Datos!$AI$10),IF(A52&gt;30000,N52,ROUND(N52*Datos!$J$18,Dins)),IF(AND($F$15=Datos!$AI$5,Datos!$C$9=Datos!$AI$9),IF(A52&gt;30000,O52,ROUND(O52*Datos!$J$18,Dins)),IF(AND($F$15=Datos!$AI$6,Datos!$C$9=Datos!$AI$10),IF(A52&gt;30000,P52,ROUND(P52*Datos!$J$18,Dins)),IF(AND($F$15=Datos!$AI$6,Datos!$C$9=Datos!$AI$9),IF(A52&gt;30000,Q52,ROUND(Q52*Datos!$J$18,Dins))))))</f>
        <v>20</v>
      </c>
      <c r="G52" s="2">
        <v>0</v>
      </c>
      <c r="H52" s="2">
        <v>0</v>
      </c>
      <c r="I52" s="2">
        <v>0</v>
      </c>
      <c r="J52" s="2">
        <v>0</v>
      </c>
      <c r="L52" s="41"/>
      <c r="N52" s="2">
        <v>23.6</v>
      </c>
      <c r="O52">
        <f t="shared" si="0"/>
        <v>20</v>
      </c>
      <c r="P52">
        <f t="shared" si="1"/>
        <v>6.29</v>
      </c>
      <c r="Q52">
        <f t="shared" si="2"/>
        <v>5.33</v>
      </c>
    </row>
    <row r="53" spans="1:17" s="2" customFormat="1" x14ac:dyDescent="0.2">
      <c r="A53" s="2">
        <v>30026</v>
      </c>
      <c r="B53" s="2">
        <v>43</v>
      </c>
      <c r="C53" s="2" t="s">
        <v>6</v>
      </c>
      <c r="D53" s="2" t="s">
        <v>255</v>
      </c>
      <c r="E53" s="42" t="s">
        <v>185</v>
      </c>
      <c r="F53">
        <f>IF(AND($F$15=Datos!$AI$5,Datos!$C$9=Datos!$AI$10),IF(A53&gt;30000,N53,ROUND(N53*Datos!$J$18,Dins)),IF(AND($F$15=Datos!$AI$5,Datos!$C$9=Datos!$AI$9),IF(A53&gt;30000,O53,ROUND(O53*Datos!$J$18,Dins)),IF(AND($F$15=Datos!$AI$6,Datos!$C$9=Datos!$AI$10),IF(A53&gt;30000,P53,ROUND(P53*Datos!$J$18,Dins)),IF(AND($F$15=Datos!$AI$6,Datos!$C$9=Datos!$AI$9),IF(A53&gt;30000,Q53,ROUND(Q53*Datos!$J$18,Dins))))))</f>
        <v>3.9</v>
      </c>
      <c r="G53" s="2">
        <v>0</v>
      </c>
      <c r="H53" s="2">
        <v>0</v>
      </c>
      <c r="I53" s="2">
        <v>0</v>
      </c>
      <c r="J53" s="2">
        <v>0</v>
      </c>
      <c r="L53" s="41"/>
      <c r="N53" s="2">
        <v>4.5999999999999996</v>
      </c>
      <c r="O53">
        <f t="shared" si="0"/>
        <v>3.9</v>
      </c>
      <c r="P53">
        <f t="shared" si="1"/>
        <v>1.23</v>
      </c>
      <c r="Q53">
        <f t="shared" si="2"/>
        <v>1.04</v>
      </c>
    </row>
    <row r="54" spans="1:17" s="2" customFormat="1" x14ac:dyDescent="0.2">
      <c r="A54" s="2">
        <v>60004</v>
      </c>
      <c r="B54" s="2">
        <v>49</v>
      </c>
      <c r="C54" s="2" t="s">
        <v>123</v>
      </c>
      <c r="D54" s="2" t="s">
        <v>256</v>
      </c>
      <c r="E54" s="42" t="s">
        <v>213</v>
      </c>
      <c r="F54">
        <f>IF(AND($F$15=Datos!$AI$5,Datos!$C$9=Datos!$AI$10),IF(A54&gt;30000,N54,ROUND(N54*Datos!$J$18,Dins)),IF(AND($F$15=Datos!$AI$5,Datos!$C$9=Datos!$AI$9),IF(A54&gt;30000,O54,ROUND(O54*Datos!$J$18,Dins)),IF(AND($F$15=Datos!$AI$6,Datos!$C$9=Datos!$AI$10),IF(A54&gt;30000,P54,ROUND(P54*Datos!$J$18,Dins)),IF(AND($F$15=Datos!$AI$6,Datos!$C$9=Datos!$AI$9),IF(A54&gt;30000,Q54,ROUND(Q54*Datos!$J$18,Dins))))))</f>
        <v>0.5</v>
      </c>
      <c r="L54" s="41"/>
      <c r="N54" s="2">
        <v>0.59</v>
      </c>
      <c r="O54">
        <f t="shared" si="0"/>
        <v>0.5</v>
      </c>
      <c r="P54">
        <f t="shared" si="1"/>
        <v>0.16</v>
      </c>
      <c r="Q54">
        <f t="shared" si="2"/>
        <v>0.14000000000000001</v>
      </c>
    </row>
    <row r="55" spans="1:17" s="2" customFormat="1" x14ac:dyDescent="0.2">
      <c r="A55" s="2">
        <v>60005</v>
      </c>
      <c r="B55" s="2">
        <v>49</v>
      </c>
      <c r="C55" s="2" t="s">
        <v>123</v>
      </c>
      <c r="D55" s="2" t="s">
        <v>257</v>
      </c>
      <c r="E55" s="42" t="s">
        <v>213</v>
      </c>
      <c r="F55">
        <f>IF(AND($F$15=Datos!$AI$5,Datos!$C$9=Datos!$AI$10),IF(A55&gt;30000,N55,ROUND(N55*Datos!$J$18,Dins)),IF(AND($F$15=Datos!$AI$5,Datos!$C$9=Datos!$AI$9),IF(A55&gt;30000,O55,ROUND(O55*Datos!$J$18,Dins)),IF(AND($F$15=Datos!$AI$6,Datos!$C$9=Datos!$AI$10),IF(A55&gt;30000,P55,ROUND(P55*Datos!$J$18,Dins)),IF(AND($F$15=Datos!$AI$6,Datos!$C$9=Datos!$AI$9),IF(A55&gt;30000,Q55,ROUND(Q55*Datos!$J$18,Dins))))))</f>
        <v>5</v>
      </c>
      <c r="L55" s="41"/>
      <c r="N55" s="2">
        <v>5.9</v>
      </c>
      <c r="O55">
        <f t="shared" si="0"/>
        <v>5</v>
      </c>
      <c r="P55">
        <f t="shared" si="1"/>
        <v>1.57</v>
      </c>
      <c r="Q55">
        <f t="shared" si="2"/>
        <v>1.33</v>
      </c>
    </row>
    <row r="56" spans="1:17" s="2" customFormat="1" x14ac:dyDescent="0.2">
      <c r="A56" s="2">
        <v>30027</v>
      </c>
      <c r="B56" s="2">
        <v>30</v>
      </c>
      <c r="C56" s="2" t="s">
        <v>6</v>
      </c>
      <c r="D56" s="2" t="s">
        <v>260</v>
      </c>
      <c r="E56" s="42" t="s">
        <v>33</v>
      </c>
      <c r="F56">
        <f>IF(AND($F$15=Datos!$AI$5,Datos!$C$9=Datos!$AI$10),IF(A56&gt;30000,N56,ROUND(N56*Datos!$J$18,Dins)),IF(AND($F$15=Datos!$AI$5,Datos!$C$9=Datos!$AI$9),IF(A56&gt;30000,O56,ROUND(O56*Datos!$J$18,Dins)),IF(AND($F$15=Datos!$AI$6,Datos!$C$9=Datos!$AI$10),IF(A56&gt;30000,P56,ROUND(P56*Datos!$J$18,Dins)),IF(AND($F$15=Datos!$AI$6,Datos!$C$9=Datos!$AI$9),IF(A56&gt;30000,Q56,ROUND(Q56*Datos!$J$18,Dins))))))</f>
        <v>9.4499999999999993</v>
      </c>
      <c r="G56" s="2">
        <v>0</v>
      </c>
      <c r="H56" s="2">
        <v>0</v>
      </c>
      <c r="I56" s="2">
        <v>0</v>
      </c>
      <c r="J56" s="2">
        <v>0</v>
      </c>
      <c r="L56" s="41"/>
      <c r="N56" s="2">
        <v>11.15</v>
      </c>
      <c r="O56">
        <f t="shared" si="0"/>
        <v>9.4499999999999993</v>
      </c>
      <c r="P56">
        <f t="shared" si="1"/>
        <v>2.97</v>
      </c>
      <c r="Q56">
        <f t="shared" si="2"/>
        <v>2.52</v>
      </c>
    </row>
    <row r="57" spans="1:17" s="2" customFormat="1" x14ac:dyDescent="0.2">
      <c r="A57" s="2">
        <v>30028</v>
      </c>
      <c r="B57" s="2">
        <v>39</v>
      </c>
      <c r="C57" s="2" t="s">
        <v>6</v>
      </c>
      <c r="D57" s="2" t="s">
        <v>261</v>
      </c>
      <c r="E57" s="42" t="s">
        <v>7</v>
      </c>
      <c r="F57">
        <f>IF(AND($F$15=Datos!$AI$5,Datos!$C$9=Datos!$AI$10),IF(A57&gt;30000,N57,ROUND(N57*Datos!$J$18,Dins)),IF(AND($F$15=Datos!$AI$5,Datos!$C$9=Datos!$AI$9),IF(A57&gt;30000,O57,ROUND(O57*Datos!$J$18,Dins)),IF(AND($F$15=Datos!$AI$6,Datos!$C$9=Datos!$AI$10),IF(A57&gt;30000,P57,ROUND(P57*Datos!$J$18,Dins)),IF(AND($F$15=Datos!$AI$6,Datos!$C$9=Datos!$AI$9),IF(A57&gt;30000,Q57,ROUND(Q57*Datos!$J$18,Dins))))))</f>
        <v>80</v>
      </c>
      <c r="G57" s="2">
        <v>0</v>
      </c>
      <c r="H57" s="2">
        <v>0</v>
      </c>
      <c r="I57" s="2">
        <v>0</v>
      </c>
      <c r="J57" s="2">
        <v>0</v>
      </c>
      <c r="L57" s="41"/>
      <c r="N57" s="2">
        <v>94.4</v>
      </c>
      <c r="O57">
        <f t="shared" si="0"/>
        <v>80</v>
      </c>
      <c r="P57">
        <f t="shared" si="1"/>
        <v>25.17</v>
      </c>
      <c r="Q57">
        <f t="shared" si="2"/>
        <v>21.33</v>
      </c>
    </row>
    <row r="58" spans="1:17" s="2" customFormat="1" x14ac:dyDescent="0.2">
      <c r="A58" s="2">
        <v>60006</v>
      </c>
      <c r="B58" s="2">
        <v>49</v>
      </c>
      <c r="C58" s="2" t="s">
        <v>123</v>
      </c>
      <c r="D58" s="2" t="s">
        <v>262</v>
      </c>
      <c r="E58" s="42" t="s">
        <v>213</v>
      </c>
      <c r="F58">
        <f>IF(AND($F$15=Datos!$AI$5,Datos!$C$9=Datos!$AI$10),IF(A58&gt;30000,N58,ROUND(N58*Datos!$J$18,Dins)),IF(AND($F$15=Datos!$AI$5,Datos!$C$9=Datos!$AI$9),IF(A58&gt;30000,O58,ROUND(O58*Datos!$J$18,Dins)),IF(AND($F$15=Datos!$AI$6,Datos!$C$9=Datos!$AI$10),IF(A58&gt;30000,P58,ROUND(P58*Datos!$J$18,Dins)),IF(AND($F$15=Datos!$AI$6,Datos!$C$9=Datos!$AI$9),IF(A58&gt;30000,Q58,ROUND(Q58*Datos!$J$18,Dins))))))</f>
        <v>5</v>
      </c>
      <c r="L58" s="41"/>
      <c r="N58" s="2">
        <v>5.9</v>
      </c>
      <c r="O58">
        <f t="shared" si="0"/>
        <v>5</v>
      </c>
      <c r="P58">
        <f t="shared" si="1"/>
        <v>1.57</v>
      </c>
      <c r="Q58">
        <f t="shared" si="2"/>
        <v>1.33</v>
      </c>
    </row>
    <row r="59" spans="1:17" s="2" customFormat="1" x14ac:dyDescent="0.2">
      <c r="A59" s="2">
        <v>30029</v>
      </c>
      <c r="B59" s="2">
        <v>39</v>
      </c>
      <c r="C59" s="2" t="s">
        <v>6</v>
      </c>
      <c r="D59" s="2" t="s">
        <v>267</v>
      </c>
      <c r="E59" s="42" t="s">
        <v>168</v>
      </c>
      <c r="F59">
        <f>IF(AND($F$15=Datos!$AI$5,Datos!$C$9=Datos!$AI$10),IF(A59&gt;30000,N59,ROUND(N59*Datos!$J$18,Dins)),IF(AND($F$15=Datos!$AI$5,Datos!$C$9=Datos!$AI$9),IF(A59&gt;30000,O59,ROUND(O59*Datos!$J$18,Dins)),IF(AND($F$15=Datos!$AI$6,Datos!$C$9=Datos!$AI$10),IF(A59&gt;30000,P59,ROUND(P59*Datos!$J$18,Dins)),IF(AND($F$15=Datos!$AI$6,Datos!$C$9=Datos!$AI$9),IF(A59&gt;30000,Q59,ROUND(Q59*Datos!$J$18,Dins))))))</f>
        <v>1271.19</v>
      </c>
      <c r="G59" s="2">
        <v>0</v>
      </c>
      <c r="H59" s="2">
        <v>0</v>
      </c>
      <c r="I59" s="2">
        <v>0</v>
      </c>
      <c r="J59" s="2">
        <v>0</v>
      </c>
      <c r="L59" s="41"/>
      <c r="N59" s="2">
        <v>1500</v>
      </c>
      <c r="O59">
        <f t="shared" si="0"/>
        <v>1271.19</v>
      </c>
      <c r="P59">
        <f t="shared" si="1"/>
        <v>400</v>
      </c>
      <c r="Q59">
        <f t="shared" si="2"/>
        <v>338.98</v>
      </c>
    </row>
    <row r="60" spans="1:17" s="2" customFormat="1" x14ac:dyDescent="0.2">
      <c r="A60" s="2">
        <v>30030</v>
      </c>
      <c r="B60" s="2">
        <v>39</v>
      </c>
      <c r="C60" s="2" t="s">
        <v>6</v>
      </c>
      <c r="D60" s="2" t="s">
        <v>270</v>
      </c>
      <c r="E60" s="42" t="s">
        <v>174</v>
      </c>
      <c r="F60">
        <f>IF(AND($F$15=Datos!$AI$5,Datos!$C$9=Datos!$AI$10),IF(A60&gt;30000,N60,ROUND(N60*Datos!$J$18,Dins)),IF(AND($F$15=Datos!$AI$5,Datos!$C$9=Datos!$AI$9),IF(A60&gt;30000,O60,ROUND(O60*Datos!$J$18,Dins)),IF(AND($F$15=Datos!$AI$6,Datos!$C$9=Datos!$AI$10),IF(A60&gt;30000,P60,ROUND(P60*Datos!$J$18,Dins)),IF(AND($F$15=Datos!$AI$6,Datos!$C$9=Datos!$AI$9),IF(A60&gt;30000,Q60,ROUND(Q60*Datos!$J$18,Dins))))))</f>
        <v>3.9</v>
      </c>
      <c r="G60" s="2">
        <v>0</v>
      </c>
      <c r="H60" s="2">
        <v>0</v>
      </c>
      <c r="I60" s="2">
        <v>0</v>
      </c>
      <c r="J60" s="2">
        <v>0</v>
      </c>
      <c r="L60" s="41"/>
      <c r="N60" s="2">
        <v>4.5999999999999996</v>
      </c>
      <c r="O60">
        <f t="shared" si="0"/>
        <v>3.9</v>
      </c>
      <c r="P60">
        <f t="shared" si="1"/>
        <v>1.23</v>
      </c>
      <c r="Q60">
        <f t="shared" si="2"/>
        <v>1.04</v>
      </c>
    </row>
    <row r="61" spans="1:17" s="2" customFormat="1" x14ac:dyDescent="0.2">
      <c r="A61" s="2">
        <v>30031</v>
      </c>
      <c r="B61" s="2">
        <v>39</v>
      </c>
      <c r="C61" s="2" t="s">
        <v>6</v>
      </c>
      <c r="D61" s="2" t="s">
        <v>271</v>
      </c>
      <c r="E61" s="42" t="s">
        <v>7</v>
      </c>
      <c r="F61">
        <f>IF(AND($F$15=Datos!$AI$5,Datos!$C$9=Datos!$AI$10),IF(A61&gt;30000,N61,ROUND(N61*Datos!$J$18,Dins)),IF(AND($F$15=Datos!$AI$5,Datos!$C$9=Datos!$AI$9),IF(A61&gt;30000,O61,ROUND(O61*Datos!$J$18,Dins)),IF(AND($F$15=Datos!$AI$6,Datos!$C$9=Datos!$AI$10),IF(A61&gt;30000,P61,ROUND(P61*Datos!$J$18,Dins)),IF(AND($F$15=Datos!$AI$6,Datos!$C$9=Datos!$AI$9),IF(A61&gt;30000,Q61,ROUND(Q61*Datos!$J$18,Dins))))))</f>
        <v>2.2000000000000002</v>
      </c>
      <c r="G61" s="2">
        <v>0</v>
      </c>
      <c r="H61" s="2">
        <v>0</v>
      </c>
      <c r="I61" s="2">
        <v>0</v>
      </c>
      <c r="J61" s="2">
        <v>0</v>
      </c>
      <c r="L61" s="41"/>
      <c r="N61" s="2">
        <v>2.6</v>
      </c>
      <c r="O61">
        <f t="shared" si="0"/>
        <v>2.2000000000000002</v>
      </c>
      <c r="P61">
        <f t="shared" si="1"/>
        <v>0.69</v>
      </c>
      <c r="Q61">
        <f t="shared" si="2"/>
        <v>0.57999999999999996</v>
      </c>
    </row>
    <row r="62" spans="1:17" s="2" customFormat="1" x14ac:dyDescent="0.2">
      <c r="A62" s="2">
        <v>30032</v>
      </c>
      <c r="B62" s="2">
        <v>39</v>
      </c>
      <c r="C62" s="2" t="s">
        <v>6</v>
      </c>
      <c r="D62" s="2" t="s">
        <v>272</v>
      </c>
      <c r="E62" s="42" t="s">
        <v>174</v>
      </c>
      <c r="F62">
        <f>IF(AND($F$15=Datos!$AI$5,Datos!$C$9=Datos!$AI$10),IF(A62&gt;30000,N62,ROUND(N62*Datos!$J$18,Dins)),IF(AND($F$15=Datos!$AI$5,Datos!$C$9=Datos!$AI$9),IF(A62&gt;30000,O62,ROUND(O62*Datos!$J$18,Dins)),IF(AND($F$15=Datos!$AI$6,Datos!$C$9=Datos!$AI$10),IF(A62&gt;30000,P62,ROUND(P62*Datos!$J$18,Dins)),IF(AND($F$15=Datos!$AI$6,Datos!$C$9=Datos!$AI$9),IF(A62&gt;30000,Q62,ROUND(Q62*Datos!$J$18,Dins))))))</f>
        <v>15</v>
      </c>
      <c r="G62" s="2">
        <v>0</v>
      </c>
      <c r="H62" s="2">
        <v>0</v>
      </c>
      <c r="I62" s="2">
        <v>0</v>
      </c>
      <c r="J62" s="2">
        <v>0</v>
      </c>
      <c r="L62" s="41"/>
      <c r="N62" s="2">
        <v>17.7</v>
      </c>
      <c r="O62">
        <f t="shared" si="0"/>
        <v>15</v>
      </c>
      <c r="P62">
        <f t="shared" si="1"/>
        <v>4.72</v>
      </c>
      <c r="Q62">
        <f t="shared" si="2"/>
        <v>4</v>
      </c>
    </row>
    <row r="63" spans="1:17" s="2" customFormat="1" x14ac:dyDescent="0.2">
      <c r="A63" s="2">
        <v>30033</v>
      </c>
      <c r="B63" s="2">
        <v>39</v>
      </c>
      <c r="C63" s="2" t="s">
        <v>6</v>
      </c>
      <c r="D63" s="2" t="s">
        <v>273</v>
      </c>
      <c r="E63" s="42" t="s">
        <v>174</v>
      </c>
      <c r="F63">
        <f>IF(AND($F$15=Datos!$AI$5,Datos!$C$9=Datos!$AI$10),IF(A63&gt;30000,N63,ROUND(N63*Datos!$J$18,Dins)),IF(AND($F$15=Datos!$AI$5,Datos!$C$9=Datos!$AI$9),IF(A63&gt;30000,O63,ROUND(O63*Datos!$J$18,Dins)),IF(AND($F$15=Datos!$AI$6,Datos!$C$9=Datos!$AI$10),IF(A63&gt;30000,P63,ROUND(P63*Datos!$J$18,Dins)),IF(AND($F$15=Datos!$AI$6,Datos!$C$9=Datos!$AI$9),IF(A63&gt;30000,Q63,ROUND(Q63*Datos!$J$18,Dins))))))</f>
        <v>18.600000000000001</v>
      </c>
      <c r="G63" s="2">
        <v>0</v>
      </c>
      <c r="H63" s="2">
        <v>0</v>
      </c>
      <c r="I63" s="2">
        <v>0</v>
      </c>
      <c r="J63" s="2">
        <v>0</v>
      </c>
      <c r="N63" s="2">
        <v>21.95</v>
      </c>
      <c r="O63">
        <f t="shared" si="0"/>
        <v>18.600000000000001</v>
      </c>
      <c r="P63">
        <f t="shared" si="1"/>
        <v>5.85</v>
      </c>
      <c r="Q63">
        <f t="shared" si="2"/>
        <v>4.96</v>
      </c>
    </row>
    <row r="64" spans="1:17" s="2" customFormat="1" x14ac:dyDescent="0.2">
      <c r="A64" s="2">
        <v>30034</v>
      </c>
      <c r="B64" s="2">
        <v>39</v>
      </c>
      <c r="C64" s="2" t="s">
        <v>6</v>
      </c>
      <c r="D64" s="2" t="s">
        <v>274</v>
      </c>
      <c r="E64" s="42" t="s">
        <v>275</v>
      </c>
      <c r="F64">
        <f>IF(AND($F$15=Datos!$AI$5,Datos!$C$9=Datos!$AI$10),IF(A64&gt;30000,N64,ROUND(N64*Datos!$J$18,Dins)),IF(AND($F$15=Datos!$AI$5,Datos!$C$9=Datos!$AI$9),IF(A64&gt;30000,O64,ROUND(O64*Datos!$J$18,Dins)),IF(AND($F$15=Datos!$AI$6,Datos!$C$9=Datos!$AI$10),IF(A64&gt;30000,P64,ROUND(P64*Datos!$J$18,Dins)),IF(AND($F$15=Datos!$AI$6,Datos!$C$9=Datos!$AI$9),IF(A64&gt;30000,Q64,ROUND(Q64*Datos!$J$18,Dins))))))</f>
        <v>7.3</v>
      </c>
      <c r="G64" s="2">
        <v>0</v>
      </c>
      <c r="H64" s="2">
        <v>0</v>
      </c>
      <c r="I64" s="2">
        <v>0</v>
      </c>
      <c r="J64" s="2">
        <v>0</v>
      </c>
      <c r="N64" s="2">
        <v>8.61</v>
      </c>
      <c r="O64">
        <f t="shared" si="0"/>
        <v>7.3</v>
      </c>
      <c r="P64">
        <f t="shared" si="1"/>
        <v>2.2999999999999998</v>
      </c>
      <c r="Q64">
        <f t="shared" si="2"/>
        <v>1.95</v>
      </c>
    </row>
    <row r="65" spans="1:17" s="2" customFormat="1" x14ac:dyDescent="0.2">
      <c r="A65" s="2">
        <v>30035</v>
      </c>
      <c r="B65" s="2">
        <v>39</v>
      </c>
      <c r="C65" s="2" t="s">
        <v>6</v>
      </c>
      <c r="D65" s="2" t="s">
        <v>276</v>
      </c>
      <c r="E65" s="42" t="s">
        <v>275</v>
      </c>
      <c r="F65">
        <f>IF(AND($F$15=Datos!$AI$5,Datos!$C$9=Datos!$AI$10),IF(A65&gt;30000,N65,ROUND(N65*Datos!$J$18,Dins)),IF(AND($F$15=Datos!$AI$5,Datos!$C$9=Datos!$AI$9),IF(A65&gt;30000,O65,ROUND(O65*Datos!$J$18,Dins)),IF(AND($F$15=Datos!$AI$6,Datos!$C$9=Datos!$AI$10),IF(A65&gt;30000,P65,ROUND(P65*Datos!$J$18,Dins)),IF(AND($F$15=Datos!$AI$6,Datos!$C$9=Datos!$AI$9),IF(A65&gt;30000,Q65,ROUND(Q65*Datos!$J$18,Dins))))))</f>
        <v>25</v>
      </c>
      <c r="G65" s="2">
        <v>0</v>
      </c>
      <c r="H65" s="2">
        <v>0</v>
      </c>
      <c r="I65" s="2">
        <v>0</v>
      </c>
      <c r="J65" s="2">
        <v>0</v>
      </c>
      <c r="N65" s="2">
        <v>29.5</v>
      </c>
      <c r="O65">
        <f t="shared" si="0"/>
        <v>25</v>
      </c>
      <c r="P65">
        <f t="shared" si="1"/>
        <v>7.87</v>
      </c>
      <c r="Q65">
        <f t="shared" si="2"/>
        <v>6.67</v>
      </c>
    </row>
    <row r="66" spans="1:17" s="2" customFormat="1" x14ac:dyDescent="0.2">
      <c r="A66" s="2">
        <v>30036</v>
      </c>
      <c r="B66" s="2">
        <v>39</v>
      </c>
      <c r="C66" s="2" t="s">
        <v>6</v>
      </c>
      <c r="D66" s="2" t="s">
        <v>277</v>
      </c>
      <c r="E66" s="42" t="s">
        <v>275</v>
      </c>
      <c r="F66">
        <f>IF(AND($F$15=Datos!$AI$5,Datos!$C$9=Datos!$AI$10),IF(A66&gt;30000,N66,ROUND(N66*Datos!$J$18,Dins)),IF(AND($F$15=Datos!$AI$5,Datos!$C$9=Datos!$AI$9),IF(A66&gt;30000,O66,ROUND(O66*Datos!$J$18,Dins)),IF(AND($F$15=Datos!$AI$6,Datos!$C$9=Datos!$AI$10),IF(A66&gt;30000,P66,ROUND(P66*Datos!$J$18,Dins)),IF(AND($F$15=Datos!$AI$6,Datos!$C$9=Datos!$AI$9),IF(A66&gt;30000,Q66,ROUND(Q66*Datos!$J$18,Dins))))))</f>
        <v>10</v>
      </c>
      <c r="G66" s="2">
        <v>0</v>
      </c>
      <c r="H66" s="2">
        <v>0</v>
      </c>
      <c r="I66" s="2">
        <v>0</v>
      </c>
      <c r="J66" s="2">
        <v>0</v>
      </c>
      <c r="N66" s="2">
        <v>11.8</v>
      </c>
      <c r="O66">
        <f t="shared" si="0"/>
        <v>10</v>
      </c>
      <c r="P66">
        <f t="shared" si="1"/>
        <v>3.15</v>
      </c>
      <c r="Q66">
        <f t="shared" si="2"/>
        <v>2.67</v>
      </c>
    </row>
    <row r="67" spans="1:17" s="2" customFormat="1" x14ac:dyDescent="0.2">
      <c r="A67" s="2">
        <v>30037</v>
      </c>
      <c r="B67" s="2">
        <v>39</v>
      </c>
      <c r="C67" s="2" t="s">
        <v>6</v>
      </c>
      <c r="D67" s="2" t="s">
        <v>278</v>
      </c>
      <c r="E67" s="42" t="s">
        <v>174</v>
      </c>
      <c r="F67">
        <f>IF(AND($F$15=Datos!$AI$5,Datos!$C$9=Datos!$AI$10),IF(A67&gt;30000,N67,ROUND(N67*Datos!$J$18,Dins)),IF(AND($F$15=Datos!$AI$5,Datos!$C$9=Datos!$AI$9),IF(A67&gt;30000,O67,ROUND(O67*Datos!$J$18,Dins)),IF(AND($F$15=Datos!$AI$6,Datos!$C$9=Datos!$AI$10),IF(A67&gt;30000,P67,ROUND(P67*Datos!$J$18,Dins)),IF(AND($F$15=Datos!$AI$6,Datos!$C$9=Datos!$AI$9),IF(A67&gt;30000,Q67,ROUND(Q67*Datos!$J$18,Dins))))))</f>
        <v>50</v>
      </c>
      <c r="G67" s="2">
        <v>0</v>
      </c>
      <c r="H67" s="2">
        <v>0</v>
      </c>
      <c r="I67" s="2">
        <v>0</v>
      </c>
      <c r="J67" s="2">
        <v>0</v>
      </c>
      <c r="N67" s="2">
        <v>59</v>
      </c>
      <c r="O67">
        <f t="shared" si="0"/>
        <v>50</v>
      </c>
      <c r="P67">
        <f t="shared" si="1"/>
        <v>15.73</v>
      </c>
      <c r="Q67">
        <f t="shared" si="2"/>
        <v>13.33</v>
      </c>
    </row>
    <row r="68" spans="1:17" s="2" customFormat="1" x14ac:dyDescent="0.2">
      <c r="A68" s="2">
        <v>30038</v>
      </c>
      <c r="B68" s="2">
        <v>39</v>
      </c>
      <c r="C68" s="2" t="s">
        <v>6</v>
      </c>
      <c r="D68" s="2" t="s">
        <v>279</v>
      </c>
      <c r="E68" s="42" t="s">
        <v>174</v>
      </c>
      <c r="F68">
        <f>IF(AND($F$15=Datos!$AI$5,Datos!$C$9=Datos!$AI$10),IF(A68&gt;30000,N68,ROUND(N68*Datos!$J$18,Dins)),IF(AND($F$15=Datos!$AI$5,Datos!$C$9=Datos!$AI$9),IF(A68&gt;30000,O68,ROUND(O68*Datos!$J$18,Dins)),IF(AND($F$15=Datos!$AI$6,Datos!$C$9=Datos!$AI$10),IF(A68&gt;30000,P68,ROUND(P68*Datos!$J$18,Dins)),IF(AND($F$15=Datos!$AI$6,Datos!$C$9=Datos!$AI$9),IF(A68&gt;30000,Q68,ROUND(Q68*Datos!$J$18,Dins))))))</f>
        <v>3.2</v>
      </c>
      <c r="G68" s="2">
        <v>0</v>
      </c>
      <c r="H68" s="2">
        <v>0</v>
      </c>
      <c r="I68" s="2">
        <v>0</v>
      </c>
      <c r="J68" s="2">
        <v>0</v>
      </c>
      <c r="L68" s="41"/>
      <c r="N68" s="2">
        <v>3.78</v>
      </c>
      <c r="O68">
        <f t="shared" si="0"/>
        <v>3.2</v>
      </c>
      <c r="P68">
        <f t="shared" si="1"/>
        <v>1.01</v>
      </c>
      <c r="Q68">
        <f t="shared" si="2"/>
        <v>0.86</v>
      </c>
    </row>
    <row r="69" spans="1:17" s="2" customFormat="1" x14ac:dyDescent="0.2">
      <c r="A69" s="2">
        <v>77501</v>
      </c>
      <c r="B69" s="2">
        <v>48</v>
      </c>
      <c r="C69" s="2" t="s">
        <v>280</v>
      </c>
      <c r="D69" s="2" t="s">
        <v>281</v>
      </c>
      <c r="E69" s="42" t="s">
        <v>7</v>
      </c>
      <c r="F69">
        <f>IF(AND($F$15=Datos!$AI$5,Datos!$C$9=Datos!$AI$10),IF(A69&gt;30000,N69,ROUND(N69*Datos!$J$18,Dins)),IF(AND($F$15=Datos!$AI$5,Datos!$C$9=Datos!$AI$9),IF(A69&gt;30000,O69,ROUND(O69*Datos!$J$18,Dins)),IF(AND($F$15=Datos!$AI$6,Datos!$C$9=Datos!$AI$10),IF(A69&gt;30000,P69,ROUND(P69*Datos!$J$18,Dins)),IF(AND($F$15=Datos!$AI$6,Datos!$C$9=Datos!$AI$9),IF(A69&gt;30000,Q69,ROUND(Q69*Datos!$J$18,Dins))))))</f>
        <v>250</v>
      </c>
      <c r="G69" s="2">
        <v>0</v>
      </c>
      <c r="H69" s="2">
        <v>0</v>
      </c>
      <c r="I69" s="2">
        <v>0</v>
      </c>
      <c r="J69" s="2">
        <v>0</v>
      </c>
      <c r="L69" s="41"/>
      <c r="N69" s="2">
        <v>295</v>
      </c>
      <c r="O69">
        <f t="shared" si="0"/>
        <v>250</v>
      </c>
      <c r="P69">
        <f t="shared" si="1"/>
        <v>78.67</v>
      </c>
      <c r="Q69">
        <f t="shared" si="2"/>
        <v>66.67</v>
      </c>
    </row>
    <row r="70" spans="1:17" s="2" customFormat="1" x14ac:dyDescent="0.2">
      <c r="A70" s="2">
        <v>30039</v>
      </c>
      <c r="B70" s="2">
        <v>39</v>
      </c>
      <c r="C70" s="2" t="s">
        <v>6</v>
      </c>
      <c r="D70" s="2" t="s">
        <v>284</v>
      </c>
      <c r="E70" s="42" t="s">
        <v>194</v>
      </c>
      <c r="F70">
        <f>IF(AND($F$15=Datos!$AI$5,Datos!$C$9=Datos!$AI$10),IF(A70&gt;30000,N70,ROUND(N70*Datos!$J$18,Dins)),IF(AND($F$15=Datos!$AI$5,Datos!$C$9=Datos!$AI$9),IF(A70&gt;30000,O70,ROUND(O70*Datos!$J$18,Dins)),IF(AND($F$15=Datos!$AI$6,Datos!$C$9=Datos!$AI$10),IF(A70&gt;30000,P70,ROUND(P70*Datos!$J$18,Dins)),IF(AND($F$15=Datos!$AI$6,Datos!$C$9=Datos!$AI$9),IF(A70&gt;30000,Q70,ROUND(Q70*Datos!$J$18,Dins))))))</f>
        <v>0.5</v>
      </c>
      <c r="G70" s="2">
        <v>0</v>
      </c>
      <c r="H70" s="2">
        <v>0</v>
      </c>
      <c r="I70" s="2">
        <v>0</v>
      </c>
      <c r="J70" s="2">
        <v>0</v>
      </c>
      <c r="L70" s="41"/>
      <c r="N70" s="2">
        <v>0.59</v>
      </c>
      <c r="O70">
        <f t="shared" si="0"/>
        <v>0.5</v>
      </c>
      <c r="P70">
        <f t="shared" si="1"/>
        <v>0.16</v>
      </c>
      <c r="Q70">
        <f t="shared" si="2"/>
        <v>0.14000000000000001</v>
      </c>
    </row>
    <row r="71" spans="1:17" s="2" customFormat="1" x14ac:dyDescent="0.2">
      <c r="A71" s="2">
        <v>30040</v>
      </c>
      <c r="B71" s="2">
        <v>30</v>
      </c>
      <c r="C71" s="2" t="s">
        <v>6</v>
      </c>
      <c r="D71" s="2" t="s">
        <v>285</v>
      </c>
      <c r="E71" s="42" t="s">
        <v>286</v>
      </c>
      <c r="F71">
        <f>IF(AND($F$15=Datos!$AI$5,Datos!$C$9=Datos!$AI$10),IF(A71&gt;30000,N71,ROUND(N71*Datos!$J$18,Dins)),IF(AND($F$15=Datos!$AI$5,Datos!$C$9=Datos!$AI$9),IF(A71&gt;30000,O71,ROUND(O71*Datos!$J$18,Dins)),IF(AND($F$15=Datos!$AI$6,Datos!$C$9=Datos!$AI$10),IF(A71&gt;30000,P71,ROUND(P71*Datos!$J$18,Dins)),IF(AND($F$15=Datos!$AI$6,Datos!$C$9=Datos!$AI$9),IF(A71&gt;30000,Q71,ROUND(Q71*Datos!$J$18,Dins))))))</f>
        <v>90</v>
      </c>
      <c r="G71" s="2">
        <v>0</v>
      </c>
      <c r="H71" s="2">
        <v>0</v>
      </c>
      <c r="I71" s="2">
        <v>0</v>
      </c>
      <c r="J71" s="2">
        <v>0</v>
      </c>
      <c r="L71" s="41"/>
      <c r="N71" s="2">
        <v>106.2</v>
      </c>
      <c r="O71">
        <f t="shared" si="0"/>
        <v>90</v>
      </c>
      <c r="P71">
        <f t="shared" si="1"/>
        <v>28.32</v>
      </c>
      <c r="Q71">
        <f t="shared" si="2"/>
        <v>24</v>
      </c>
    </row>
    <row r="72" spans="1:17" s="2" customFormat="1" x14ac:dyDescent="0.2">
      <c r="A72" s="2">
        <v>30041</v>
      </c>
      <c r="B72" s="2">
        <v>30</v>
      </c>
      <c r="C72" s="2" t="s">
        <v>6</v>
      </c>
      <c r="D72" s="2" t="s">
        <v>287</v>
      </c>
      <c r="E72" s="42" t="s">
        <v>286</v>
      </c>
      <c r="F72">
        <f>IF(AND($F$15=Datos!$AI$5,Datos!$C$9=Datos!$AI$10),IF(A72&gt;30000,N72,ROUND(N72*Datos!$J$18,Dins)),IF(AND($F$15=Datos!$AI$5,Datos!$C$9=Datos!$AI$9),IF(A72&gt;30000,O72,ROUND(O72*Datos!$J$18,Dins)),IF(AND($F$15=Datos!$AI$6,Datos!$C$9=Datos!$AI$10),IF(A72&gt;30000,P72,ROUND(P72*Datos!$J$18,Dins)),IF(AND($F$15=Datos!$AI$6,Datos!$C$9=Datos!$AI$9),IF(A72&gt;30000,Q72,ROUND(Q72*Datos!$J$18,Dins))))))</f>
        <v>85</v>
      </c>
      <c r="G72" s="2">
        <v>0</v>
      </c>
      <c r="H72" s="2">
        <v>0</v>
      </c>
      <c r="I72" s="2">
        <v>0</v>
      </c>
      <c r="J72" s="2">
        <v>0</v>
      </c>
      <c r="L72" s="41"/>
      <c r="N72" s="2">
        <v>100.3</v>
      </c>
      <c r="O72">
        <f t="shared" si="0"/>
        <v>85</v>
      </c>
      <c r="P72">
        <f t="shared" si="1"/>
        <v>26.75</v>
      </c>
      <c r="Q72">
        <f t="shared" si="2"/>
        <v>22.67</v>
      </c>
    </row>
    <row r="73" spans="1:17" s="2" customFormat="1" x14ac:dyDescent="0.2">
      <c r="A73" s="2">
        <v>30042</v>
      </c>
      <c r="B73" s="2">
        <v>43</v>
      </c>
      <c r="C73" s="2" t="s">
        <v>6</v>
      </c>
      <c r="D73" s="2" t="s">
        <v>288</v>
      </c>
      <c r="E73" s="42" t="s">
        <v>7</v>
      </c>
      <c r="F73">
        <f>IF(AND($F$15=Datos!$AI$5,Datos!$C$9=Datos!$AI$10),IF(A73&gt;30000,N73,ROUND(N73*Datos!$J$18,Dins)),IF(AND($F$15=Datos!$AI$5,Datos!$C$9=Datos!$AI$9),IF(A73&gt;30000,O73,ROUND(O73*Datos!$J$18,Dins)),IF(AND($F$15=Datos!$AI$6,Datos!$C$9=Datos!$AI$10),IF(A73&gt;30000,P73,ROUND(P73*Datos!$J$18,Dins)),IF(AND($F$15=Datos!$AI$6,Datos!$C$9=Datos!$AI$9),IF(A73&gt;30000,Q73,ROUND(Q73*Datos!$J$18,Dins))))))</f>
        <v>20</v>
      </c>
      <c r="G73" s="2">
        <v>0</v>
      </c>
      <c r="H73" s="2">
        <v>0</v>
      </c>
      <c r="I73" s="2">
        <v>0</v>
      </c>
      <c r="J73" s="2">
        <v>0</v>
      </c>
      <c r="L73" s="41"/>
      <c r="N73" s="2">
        <v>23.6</v>
      </c>
      <c r="O73">
        <f t="shared" si="0"/>
        <v>20</v>
      </c>
      <c r="P73">
        <f t="shared" si="1"/>
        <v>6.29</v>
      </c>
      <c r="Q73">
        <f t="shared" si="2"/>
        <v>5.33</v>
      </c>
    </row>
    <row r="74" spans="1:17" s="2" customFormat="1" x14ac:dyDescent="0.2">
      <c r="A74" s="2">
        <v>30043</v>
      </c>
      <c r="B74" s="2">
        <v>30</v>
      </c>
      <c r="C74" s="2" t="s">
        <v>6</v>
      </c>
      <c r="D74" s="2" t="s">
        <v>289</v>
      </c>
      <c r="E74" s="42" t="s">
        <v>194</v>
      </c>
      <c r="F74">
        <f>IF(AND($F$15=Datos!$AI$5,Datos!$C$9=Datos!$AI$10),IF(A74&gt;30000,N74,ROUND(N74*Datos!$J$18,Dins)),IF(AND($F$15=Datos!$AI$5,Datos!$C$9=Datos!$AI$9),IF(A74&gt;30000,O74,ROUND(O74*Datos!$J$18,Dins)),IF(AND($F$15=Datos!$AI$6,Datos!$C$9=Datos!$AI$10),IF(A74&gt;30000,P74,ROUND(P74*Datos!$J$18,Dins)),IF(AND($F$15=Datos!$AI$6,Datos!$C$9=Datos!$AI$9),IF(A74&gt;30000,Q74,ROUND(Q74*Datos!$J$18,Dins))))))</f>
        <v>20</v>
      </c>
      <c r="G74" s="2">
        <v>0</v>
      </c>
      <c r="H74" s="2">
        <v>0</v>
      </c>
      <c r="I74" s="2">
        <v>0</v>
      </c>
      <c r="J74" s="2">
        <v>0</v>
      </c>
      <c r="L74" s="41"/>
      <c r="N74" s="2">
        <v>23.6</v>
      </c>
      <c r="O74">
        <f t="shared" si="0"/>
        <v>20</v>
      </c>
      <c r="P74">
        <f t="shared" si="1"/>
        <v>6.29</v>
      </c>
      <c r="Q74">
        <f t="shared" si="2"/>
        <v>5.33</v>
      </c>
    </row>
    <row r="75" spans="1:17" s="2" customFormat="1" x14ac:dyDescent="0.2">
      <c r="A75" s="2">
        <v>77502</v>
      </c>
      <c r="B75" s="2">
        <v>48</v>
      </c>
      <c r="C75" s="2" t="s">
        <v>280</v>
      </c>
      <c r="D75" s="2" t="s">
        <v>290</v>
      </c>
      <c r="E75" s="42" t="s">
        <v>194</v>
      </c>
      <c r="F75">
        <f>IF(AND($F$15=Datos!$AI$5,Datos!$C$9=Datos!$AI$10),IF(A75&gt;30000,N75,ROUND(N75*Datos!$J$18,Dins)),IF(AND($F$15=Datos!$AI$5,Datos!$C$9=Datos!$AI$9),IF(A75&gt;30000,O75,ROUND(O75*Datos!$J$18,Dins)),IF(AND($F$15=Datos!$AI$6,Datos!$C$9=Datos!$AI$10),IF(A75&gt;30000,P75,ROUND(P75*Datos!$J$18,Dins)),IF(AND($F$15=Datos!$AI$6,Datos!$C$9=Datos!$AI$9),IF(A75&gt;30000,Q75,ROUND(Q75*Datos!$J$18,Dins))))))</f>
        <v>10</v>
      </c>
      <c r="G75" s="2">
        <v>0</v>
      </c>
      <c r="H75" s="2">
        <v>0</v>
      </c>
      <c r="I75" s="2">
        <v>0</v>
      </c>
      <c r="J75" s="2">
        <v>0</v>
      </c>
      <c r="L75" s="41"/>
      <c r="N75" s="2">
        <v>11.8</v>
      </c>
      <c r="O75">
        <f t="shared" si="0"/>
        <v>10</v>
      </c>
      <c r="P75">
        <f t="shared" si="1"/>
        <v>3.15</v>
      </c>
      <c r="Q75">
        <f t="shared" si="2"/>
        <v>2.67</v>
      </c>
    </row>
    <row r="76" spans="1:17" s="2" customFormat="1" x14ac:dyDescent="0.2">
      <c r="A76" s="2">
        <v>30044</v>
      </c>
      <c r="B76" s="2">
        <v>39</v>
      </c>
      <c r="C76" s="2" t="s">
        <v>6</v>
      </c>
      <c r="D76" s="2" t="s">
        <v>293</v>
      </c>
      <c r="E76" s="42" t="s">
        <v>174</v>
      </c>
      <c r="F76">
        <f>IF(AND($F$15=Datos!$AI$5,Datos!$C$9=Datos!$AI$10),IF(A76&gt;30000,N76,ROUND(N76*Datos!$J$18,Dins)),IF(AND($F$15=Datos!$AI$5,Datos!$C$9=Datos!$AI$9),IF(A76&gt;30000,O76,ROUND(O76*Datos!$J$18,Dins)),IF(AND($F$15=Datos!$AI$6,Datos!$C$9=Datos!$AI$10),IF(A76&gt;30000,P76,ROUND(P76*Datos!$J$18,Dins)),IF(AND($F$15=Datos!$AI$6,Datos!$C$9=Datos!$AI$9),IF(A76&gt;30000,Q76,ROUND(Q76*Datos!$J$18,Dins))))))</f>
        <v>50</v>
      </c>
      <c r="G76" s="2">
        <v>0</v>
      </c>
      <c r="H76" s="2">
        <v>0</v>
      </c>
      <c r="I76" s="2">
        <v>0</v>
      </c>
      <c r="J76" s="2">
        <v>0</v>
      </c>
      <c r="L76" s="41"/>
      <c r="N76" s="2">
        <v>59</v>
      </c>
      <c r="O76">
        <f t="shared" si="0"/>
        <v>50</v>
      </c>
      <c r="P76">
        <f t="shared" si="1"/>
        <v>15.73</v>
      </c>
      <c r="Q76">
        <f t="shared" si="2"/>
        <v>13.33</v>
      </c>
    </row>
    <row r="77" spans="1:17" s="2" customFormat="1" x14ac:dyDescent="0.2">
      <c r="A77" s="2">
        <v>30045</v>
      </c>
      <c r="B77" s="2">
        <v>39</v>
      </c>
      <c r="C77" s="2" t="s">
        <v>6</v>
      </c>
      <c r="D77" s="2" t="s">
        <v>294</v>
      </c>
      <c r="E77" s="42" t="s">
        <v>174</v>
      </c>
      <c r="F77">
        <f>IF(AND($F$15=Datos!$AI$5,Datos!$C$9=Datos!$AI$10),IF(A77&gt;30000,N77,ROUND(N77*Datos!$J$18,Dins)),IF(AND($F$15=Datos!$AI$5,Datos!$C$9=Datos!$AI$9),IF(A77&gt;30000,O77,ROUND(O77*Datos!$J$18,Dins)),IF(AND($F$15=Datos!$AI$6,Datos!$C$9=Datos!$AI$10),IF(A77&gt;30000,P77,ROUND(P77*Datos!$J$18,Dins)),IF(AND($F$15=Datos!$AI$6,Datos!$C$9=Datos!$AI$9),IF(A77&gt;30000,Q77,ROUND(Q77*Datos!$J$18,Dins))))))</f>
        <v>30</v>
      </c>
      <c r="G77" s="2">
        <v>0</v>
      </c>
      <c r="H77" s="2">
        <v>0</v>
      </c>
      <c r="I77" s="2">
        <v>0</v>
      </c>
      <c r="J77" s="2">
        <v>0</v>
      </c>
      <c r="L77" s="41"/>
      <c r="N77" s="2">
        <v>35.4</v>
      </c>
      <c r="O77">
        <f t="shared" si="0"/>
        <v>30</v>
      </c>
      <c r="P77">
        <f t="shared" si="1"/>
        <v>9.44</v>
      </c>
      <c r="Q77">
        <f t="shared" si="2"/>
        <v>8</v>
      </c>
    </row>
    <row r="78" spans="1:17" s="2" customFormat="1" x14ac:dyDescent="0.2">
      <c r="A78" s="2">
        <v>30046</v>
      </c>
      <c r="B78" s="2">
        <v>11</v>
      </c>
      <c r="C78" s="2" t="s">
        <v>6</v>
      </c>
      <c r="D78" s="2" t="s">
        <v>295</v>
      </c>
      <c r="E78" s="42" t="s">
        <v>174</v>
      </c>
      <c r="F78">
        <f>IF(AND($F$15=Datos!$AI$5,Datos!$C$9=Datos!$AI$10),IF(A78&gt;30000,N78,ROUND(N78*Datos!$J$18,Dins)),IF(AND($F$15=Datos!$AI$5,Datos!$C$9=Datos!$AI$9),IF(A78&gt;30000,O78,ROUND(O78*Datos!$J$18,Dins)),IF(AND($F$15=Datos!$AI$6,Datos!$C$9=Datos!$AI$10),IF(A78&gt;30000,P78,ROUND(P78*Datos!$J$18,Dins)),IF(AND($F$15=Datos!$AI$6,Datos!$C$9=Datos!$AI$9),IF(A78&gt;30000,Q78,ROUND(Q78*Datos!$J$18,Dins))))))</f>
        <v>30</v>
      </c>
      <c r="G78" s="2">
        <v>0</v>
      </c>
      <c r="H78" s="2">
        <v>0</v>
      </c>
      <c r="I78" s="2">
        <v>0</v>
      </c>
      <c r="J78" s="2">
        <v>0</v>
      </c>
      <c r="L78" s="41"/>
      <c r="N78" s="2">
        <v>35.4</v>
      </c>
      <c r="O78">
        <f t="shared" si="0"/>
        <v>30</v>
      </c>
      <c r="P78">
        <f t="shared" si="1"/>
        <v>9.44</v>
      </c>
      <c r="Q78">
        <f t="shared" si="2"/>
        <v>8</v>
      </c>
    </row>
    <row r="79" spans="1:17" s="2" customFormat="1" x14ac:dyDescent="0.2">
      <c r="A79" s="2">
        <v>77503</v>
      </c>
      <c r="B79" s="2">
        <v>48</v>
      </c>
      <c r="C79" s="2" t="s">
        <v>280</v>
      </c>
      <c r="D79" s="2" t="s">
        <v>296</v>
      </c>
      <c r="E79" s="42" t="s">
        <v>174</v>
      </c>
      <c r="F79">
        <f>IF(AND($F$15=Datos!$AI$5,Datos!$C$9=Datos!$AI$10),IF(A79&gt;30000,N79,ROUND(N79*Datos!$J$18,Dins)),IF(AND($F$15=Datos!$AI$5,Datos!$C$9=Datos!$AI$9),IF(A79&gt;30000,O79,ROUND(O79*Datos!$J$18,Dins)),IF(AND($F$15=Datos!$AI$6,Datos!$C$9=Datos!$AI$10),IF(A79&gt;30000,P79,ROUND(P79*Datos!$J$18,Dins)),IF(AND($F$15=Datos!$AI$6,Datos!$C$9=Datos!$AI$9),IF(A79&gt;30000,Q79,ROUND(Q79*Datos!$J$18,Dins))))))</f>
        <v>80</v>
      </c>
      <c r="G79" s="2">
        <v>0</v>
      </c>
      <c r="H79" s="2">
        <v>0</v>
      </c>
      <c r="I79" s="2">
        <v>0</v>
      </c>
      <c r="J79" s="2">
        <v>0</v>
      </c>
      <c r="L79" s="41"/>
      <c r="N79" s="2">
        <v>94.4</v>
      </c>
      <c r="O79">
        <f t="shared" si="0"/>
        <v>80</v>
      </c>
      <c r="P79">
        <f t="shared" si="1"/>
        <v>25.17</v>
      </c>
      <c r="Q79">
        <f t="shared" si="2"/>
        <v>21.33</v>
      </c>
    </row>
    <row r="80" spans="1:17" s="2" customFormat="1" x14ac:dyDescent="0.2">
      <c r="A80" s="2">
        <v>80003</v>
      </c>
      <c r="B80" s="2">
        <v>39</v>
      </c>
      <c r="C80" s="2" t="s">
        <v>93</v>
      </c>
      <c r="D80" s="2" t="s">
        <v>298</v>
      </c>
      <c r="E80" s="42" t="s">
        <v>168</v>
      </c>
      <c r="F80">
        <f>IF(AND($F$15=Datos!$AI$5,Datos!$C$9=Datos!$AI$10),IF(A80&gt;30000,N80,ROUND(N80*Datos!$J$18,Dins)),IF(AND($F$15=Datos!$AI$5,Datos!$C$9=Datos!$AI$9),IF(A80&gt;30000,O80,ROUND(O80*Datos!$J$18,Dins)),IF(AND($F$15=Datos!$AI$6,Datos!$C$9=Datos!$AI$10),IF(A80&gt;30000,P80,ROUND(P80*Datos!$J$18,Dins)),IF(AND($F$15=Datos!$AI$6,Datos!$C$9=Datos!$AI$9),IF(A80&gt;30000,Q80,ROUND(Q80*Datos!$J$18,Dins))))))</f>
        <v>1000</v>
      </c>
      <c r="L80" s="41"/>
      <c r="N80" s="2">
        <v>1180</v>
      </c>
      <c r="O80">
        <f t="shared" ref="O80:O143" si="3">IF(A80&gt;30000,ROUND(N80/$O$14,Dins),ROUND(N80,Dins))</f>
        <v>1000</v>
      </c>
      <c r="P80">
        <f t="shared" ref="P80:P143" si="4">ROUND(N80/$P$14,Dins)</f>
        <v>314.67</v>
      </c>
      <c r="Q80">
        <f t="shared" ref="Q80:Q143" si="5">IF(A80&gt;30000,ROUND(P80/$Q$14,Dins),ROUND(P80,Dins))</f>
        <v>266.67</v>
      </c>
    </row>
    <row r="81" spans="1:17" x14ac:dyDescent="0.2">
      <c r="A81">
        <v>30047</v>
      </c>
      <c r="B81">
        <v>39</v>
      </c>
      <c r="C81" t="s">
        <v>6</v>
      </c>
      <c r="D81" t="s">
        <v>301</v>
      </c>
      <c r="E81" s="3" t="s">
        <v>7</v>
      </c>
      <c r="F81">
        <f>IF(AND($F$15=Datos!$AI$5,Datos!$C$9=Datos!$AI$10),IF(A81&gt;30000,N81,ROUND(N81*Datos!$J$18,Dins)),IF(AND($F$15=Datos!$AI$5,Datos!$C$9=Datos!$AI$9),IF(A81&gt;30000,O81,ROUND(O81*Datos!$J$18,Dins)),IF(AND($F$15=Datos!$AI$6,Datos!$C$9=Datos!$AI$10),IF(A81&gt;30000,P81,ROUND(P81*Datos!$J$18,Dins)),IF(AND($F$15=Datos!$AI$6,Datos!$C$9=Datos!$AI$9),IF(A81&gt;30000,Q81,ROUND(Q81*Datos!$J$18,Dins))))))</f>
        <v>30</v>
      </c>
      <c r="G81">
        <v>0</v>
      </c>
      <c r="H81">
        <v>0</v>
      </c>
      <c r="I81">
        <v>0</v>
      </c>
      <c r="J81">
        <v>0</v>
      </c>
      <c r="N81">
        <v>35.4</v>
      </c>
      <c r="O81">
        <f t="shared" si="3"/>
        <v>30</v>
      </c>
      <c r="P81">
        <f t="shared" si="4"/>
        <v>9.44</v>
      </c>
      <c r="Q81">
        <f t="shared" si="5"/>
        <v>8</v>
      </c>
    </row>
    <row r="82" spans="1:17" x14ac:dyDescent="0.2">
      <c r="A82">
        <v>77504</v>
      </c>
      <c r="B82">
        <v>48</v>
      </c>
      <c r="C82" t="s">
        <v>280</v>
      </c>
      <c r="D82" t="s">
        <v>302</v>
      </c>
      <c r="E82" s="3" t="s">
        <v>7</v>
      </c>
      <c r="F82">
        <f>IF(AND($F$15=Datos!$AI$5,Datos!$C$9=Datos!$AI$10),IF(A82&gt;30000,N82,ROUND(N82*Datos!$J$18,Dins)),IF(AND($F$15=Datos!$AI$5,Datos!$C$9=Datos!$AI$9),IF(A82&gt;30000,O82,ROUND(O82*Datos!$J$18,Dins)),IF(AND($F$15=Datos!$AI$6,Datos!$C$9=Datos!$AI$10),IF(A82&gt;30000,P82,ROUND(P82*Datos!$J$18,Dins)),IF(AND($F$15=Datos!$AI$6,Datos!$C$9=Datos!$AI$9),IF(A82&gt;30000,Q82,ROUND(Q82*Datos!$J$18,Dins))))))</f>
        <v>100</v>
      </c>
      <c r="G82">
        <v>0</v>
      </c>
      <c r="H82">
        <v>0</v>
      </c>
      <c r="I82">
        <v>0</v>
      </c>
      <c r="J82">
        <v>0</v>
      </c>
      <c r="N82">
        <v>118</v>
      </c>
      <c r="O82">
        <f t="shared" si="3"/>
        <v>100</v>
      </c>
      <c r="P82">
        <f t="shared" si="4"/>
        <v>31.47</v>
      </c>
      <c r="Q82">
        <f t="shared" si="5"/>
        <v>26.67</v>
      </c>
    </row>
    <row r="83" spans="1:17" x14ac:dyDescent="0.2">
      <c r="A83">
        <v>77505</v>
      </c>
      <c r="B83">
        <v>48</v>
      </c>
      <c r="C83" t="s">
        <v>280</v>
      </c>
      <c r="D83" t="s">
        <v>303</v>
      </c>
      <c r="E83" s="3" t="s">
        <v>7</v>
      </c>
      <c r="F83">
        <f>IF(AND($F$15=Datos!$AI$5,Datos!$C$9=Datos!$AI$10),IF(A83&gt;30000,N83,ROUND(N83*Datos!$J$18,Dins)),IF(AND($F$15=Datos!$AI$5,Datos!$C$9=Datos!$AI$9),IF(A83&gt;30000,O83,ROUND(O83*Datos!$J$18,Dins)),IF(AND($F$15=Datos!$AI$6,Datos!$C$9=Datos!$AI$10),IF(A83&gt;30000,P83,ROUND(P83*Datos!$J$18,Dins)),IF(AND($F$15=Datos!$AI$6,Datos!$C$9=Datos!$AI$9),IF(A83&gt;30000,Q83,ROUND(Q83*Datos!$J$18,Dins))))))</f>
        <v>250</v>
      </c>
      <c r="G83">
        <v>0</v>
      </c>
      <c r="H83">
        <v>0</v>
      </c>
      <c r="I83">
        <v>0</v>
      </c>
      <c r="J83">
        <v>0</v>
      </c>
      <c r="N83">
        <v>295</v>
      </c>
      <c r="O83">
        <f t="shared" si="3"/>
        <v>250</v>
      </c>
      <c r="P83">
        <f t="shared" si="4"/>
        <v>78.67</v>
      </c>
      <c r="Q83">
        <f t="shared" si="5"/>
        <v>66.67</v>
      </c>
    </row>
    <row r="84" spans="1:17" x14ac:dyDescent="0.2">
      <c r="A84">
        <v>77506</v>
      </c>
      <c r="B84">
        <v>49</v>
      </c>
      <c r="C84" t="s">
        <v>280</v>
      </c>
      <c r="D84" t="s">
        <v>304</v>
      </c>
      <c r="E84" s="3" t="s">
        <v>7</v>
      </c>
      <c r="F84">
        <f>IF(AND($F$15=Datos!$AI$5,Datos!$C$9=Datos!$AI$10),IF(A84&gt;30000,N84,ROUND(N84*Datos!$J$18,Dins)),IF(AND($F$15=Datos!$AI$5,Datos!$C$9=Datos!$AI$9),IF(A84&gt;30000,O84,ROUND(O84*Datos!$J$18,Dins)),IF(AND($F$15=Datos!$AI$6,Datos!$C$9=Datos!$AI$10),IF(A84&gt;30000,P84,ROUND(P84*Datos!$J$18,Dins)),IF(AND($F$15=Datos!$AI$6,Datos!$C$9=Datos!$AI$9),IF(A84&gt;30000,Q84,ROUND(Q84*Datos!$J$18,Dins))))))</f>
        <v>80</v>
      </c>
      <c r="G84">
        <v>0</v>
      </c>
      <c r="H84">
        <v>0</v>
      </c>
      <c r="I84">
        <v>0</v>
      </c>
      <c r="J84">
        <v>0</v>
      </c>
      <c r="N84">
        <v>94.4</v>
      </c>
      <c r="O84">
        <f t="shared" si="3"/>
        <v>80</v>
      </c>
      <c r="P84">
        <f t="shared" si="4"/>
        <v>25.17</v>
      </c>
      <c r="Q84">
        <f t="shared" si="5"/>
        <v>21.33</v>
      </c>
    </row>
    <row r="85" spans="1:17" x14ac:dyDescent="0.2">
      <c r="A85">
        <v>80004</v>
      </c>
      <c r="B85">
        <v>39</v>
      </c>
      <c r="C85" t="s">
        <v>93</v>
      </c>
      <c r="D85" t="s">
        <v>305</v>
      </c>
      <c r="E85" s="3" t="s">
        <v>213</v>
      </c>
      <c r="F85">
        <f>IF(AND($F$15=Datos!$AI$5,Datos!$C$9=Datos!$AI$10),IF(A85&gt;30000,N85,ROUND(N85*Datos!$J$18,Dins)),IF(AND($F$15=Datos!$AI$5,Datos!$C$9=Datos!$AI$9),IF(A85&gt;30000,O85,ROUND(O85*Datos!$J$18,Dins)),IF(AND($F$15=Datos!$AI$6,Datos!$C$9=Datos!$AI$10),IF(A85&gt;30000,P85,ROUND(P85*Datos!$J$18,Dins)),IF(AND($F$15=Datos!$AI$6,Datos!$C$9=Datos!$AI$9),IF(A85&gt;30000,Q85,ROUND(Q85*Datos!$J$18,Dins))))))</f>
        <v>200</v>
      </c>
      <c r="N85">
        <v>236</v>
      </c>
      <c r="O85">
        <f t="shared" si="3"/>
        <v>200</v>
      </c>
      <c r="P85">
        <f t="shared" si="4"/>
        <v>62.93</v>
      </c>
      <c r="Q85">
        <f t="shared" si="5"/>
        <v>53.33</v>
      </c>
    </row>
    <row r="86" spans="1:17" x14ac:dyDescent="0.2">
      <c r="A86">
        <v>10007</v>
      </c>
      <c r="B86">
        <v>47</v>
      </c>
      <c r="C86" t="s">
        <v>122</v>
      </c>
      <c r="D86" t="s">
        <v>148</v>
      </c>
      <c r="E86" s="3" t="s">
        <v>169</v>
      </c>
      <c r="F86">
        <f>IF(AND($F$15=Datos!$AI$5,Datos!$C$9=Datos!$AI$10),IF(A86&gt;30000,N86,ROUND(N86*Datos!$J$18,Dins)),IF(AND($F$15=Datos!$AI$5,Datos!$C$9=Datos!$AI$9),IF(A86&gt;30000,O86,ROUND(O86*Datos!$J$18,Dins)),IF(AND($F$15=Datos!$AI$6,Datos!$C$9=Datos!$AI$10),IF(A86&gt;30000,P86,ROUND(P86*Datos!$J$18,Dins)),IF(AND($F$15=Datos!$AI$6,Datos!$C$9=Datos!$AI$9),IF(A86&gt;30000,Q86,ROUND(Q86*Datos!$J$18,Dins))))))</f>
        <v>20.81</v>
      </c>
      <c r="N86">
        <v>20.81</v>
      </c>
      <c r="O86">
        <f t="shared" si="3"/>
        <v>20.81</v>
      </c>
      <c r="P86">
        <f t="shared" si="4"/>
        <v>5.55</v>
      </c>
      <c r="Q86">
        <f t="shared" si="5"/>
        <v>5.55</v>
      </c>
    </row>
    <row r="87" spans="1:17" x14ac:dyDescent="0.2">
      <c r="A87">
        <v>10008</v>
      </c>
      <c r="B87">
        <v>47</v>
      </c>
      <c r="C87" t="s">
        <v>122</v>
      </c>
      <c r="D87" t="s">
        <v>32</v>
      </c>
      <c r="E87" s="3" t="s">
        <v>169</v>
      </c>
      <c r="F87">
        <f>IF(AND($F$15=Datos!$AI$5,Datos!$C$9=Datos!$AI$10),IF(A87&gt;30000,N87,ROUND(N87*Datos!$J$18,Dins)),IF(AND($F$15=Datos!$AI$5,Datos!$C$9=Datos!$AI$9),IF(A87&gt;30000,O87,ROUND(O87*Datos!$J$18,Dins)),IF(AND($F$15=Datos!$AI$6,Datos!$C$9=Datos!$AI$10),IF(A87&gt;30000,P87,ROUND(P87*Datos!$J$18,Dins)),IF(AND($F$15=Datos!$AI$6,Datos!$C$9=Datos!$AI$9),IF(A87&gt;30000,Q87,ROUND(Q87*Datos!$J$18,Dins))))))</f>
        <v>17.09</v>
      </c>
      <c r="N87">
        <v>17.09</v>
      </c>
      <c r="O87">
        <f t="shared" si="3"/>
        <v>17.09</v>
      </c>
      <c r="P87">
        <f t="shared" si="4"/>
        <v>4.5599999999999996</v>
      </c>
      <c r="Q87">
        <f t="shared" si="5"/>
        <v>4.5599999999999996</v>
      </c>
    </row>
    <row r="88" spans="1:17" x14ac:dyDescent="0.2">
      <c r="A88">
        <v>60007</v>
      </c>
      <c r="B88">
        <v>49</v>
      </c>
      <c r="C88" t="s">
        <v>123</v>
      </c>
      <c r="D88" t="s">
        <v>314</v>
      </c>
      <c r="E88" s="3" t="s">
        <v>213</v>
      </c>
      <c r="F88">
        <f>IF(AND($F$15=Datos!$AI$5,Datos!$C$9=Datos!$AI$10),IF(A88&gt;30000,N88,ROUND(N88*Datos!$J$18,Dins)),IF(AND($F$15=Datos!$AI$5,Datos!$C$9=Datos!$AI$9),IF(A88&gt;30000,O88,ROUND(O88*Datos!$J$18,Dins)),IF(AND($F$15=Datos!$AI$6,Datos!$C$9=Datos!$AI$10),IF(A88&gt;30000,P88,ROUND(P88*Datos!$J$18,Dins)),IF(AND($F$15=Datos!$AI$6,Datos!$C$9=Datos!$AI$9),IF(A88&gt;30000,Q88,ROUND(Q88*Datos!$J$18,Dins))))))</f>
        <v>270</v>
      </c>
      <c r="N88">
        <v>318.60000000000002</v>
      </c>
      <c r="O88">
        <f t="shared" si="3"/>
        <v>270</v>
      </c>
      <c r="P88">
        <f t="shared" si="4"/>
        <v>84.96</v>
      </c>
      <c r="Q88">
        <f t="shared" si="5"/>
        <v>72</v>
      </c>
    </row>
    <row r="89" spans="1:17" x14ac:dyDescent="0.2">
      <c r="A89">
        <v>60008</v>
      </c>
      <c r="B89">
        <v>49</v>
      </c>
      <c r="C89" t="s">
        <v>123</v>
      </c>
      <c r="D89" t="s">
        <v>329</v>
      </c>
      <c r="E89" s="3" t="s">
        <v>213</v>
      </c>
      <c r="F89">
        <f>IF(AND($F$15=Datos!$AI$5,Datos!$C$9=Datos!$AI$10),IF(A89&gt;30000,N89,ROUND(N89*Datos!$J$18,Dins)),IF(AND($F$15=Datos!$AI$5,Datos!$C$9=Datos!$AI$9),IF(A89&gt;30000,O89,ROUND(O89*Datos!$J$18,Dins)),IF(AND($F$15=Datos!$AI$6,Datos!$C$9=Datos!$AI$10),IF(A89&gt;30000,P89,ROUND(P89*Datos!$J$18,Dins)),IF(AND($F$15=Datos!$AI$6,Datos!$C$9=Datos!$AI$9),IF(A89&gt;30000,Q89,ROUND(Q89*Datos!$J$18,Dins))))))</f>
        <v>22.95</v>
      </c>
      <c r="N89">
        <v>27.08</v>
      </c>
      <c r="O89">
        <f t="shared" si="3"/>
        <v>22.95</v>
      </c>
      <c r="P89">
        <f t="shared" si="4"/>
        <v>7.22</v>
      </c>
      <c r="Q89">
        <f t="shared" si="5"/>
        <v>6.12</v>
      </c>
    </row>
    <row r="90" spans="1:17" x14ac:dyDescent="0.2">
      <c r="A90">
        <v>30048</v>
      </c>
      <c r="B90">
        <v>43</v>
      </c>
      <c r="C90" t="s">
        <v>6</v>
      </c>
      <c r="D90" t="s">
        <v>332</v>
      </c>
      <c r="E90" s="3" t="s">
        <v>185</v>
      </c>
      <c r="F90">
        <f>IF(AND($F$15=Datos!$AI$5,Datos!$C$9=Datos!$AI$10),IF(A90&gt;30000,N90,ROUND(N90*Datos!$J$18,Dins)),IF(AND($F$15=Datos!$AI$5,Datos!$C$9=Datos!$AI$9),IF(A90&gt;30000,O90,ROUND(O90*Datos!$J$18,Dins)),IF(AND($F$15=Datos!$AI$6,Datos!$C$9=Datos!$AI$10),IF(A90&gt;30000,P90,ROUND(P90*Datos!$J$18,Dins)),IF(AND($F$15=Datos!$AI$6,Datos!$C$9=Datos!$AI$9),IF(A90&gt;30000,Q90,ROUND(Q90*Datos!$J$18,Dins))))))</f>
        <v>8.5</v>
      </c>
      <c r="G90">
        <v>0</v>
      </c>
      <c r="H90">
        <v>0</v>
      </c>
      <c r="I90">
        <v>0</v>
      </c>
      <c r="J90">
        <v>0</v>
      </c>
      <c r="N90">
        <v>10.029999999999999</v>
      </c>
      <c r="O90">
        <f t="shared" si="3"/>
        <v>8.5</v>
      </c>
      <c r="P90">
        <f t="shared" si="4"/>
        <v>2.67</v>
      </c>
      <c r="Q90">
        <f t="shared" si="5"/>
        <v>2.2599999999999998</v>
      </c>
    </row>
    <row r="91" spans="1:17" x14ac:dyDescent="0.2">
      <c r="A91">
        <v>80005</v>
      </c>
      <c r="B91">
        <v>39</v>
      </c>
      <c r="C91" t="s">
        <v>93</v>
      </c>
      <c r="D91" t="s">
        <v>339</v>
      </c>
      <c r="E91" s="3" t="s">
        <v>34</v>
      </c>
      <c r="F91">
        <f>IF(AND($F$15=Datos!$AI$5,Datos!$C$9=Datos!$AI$10),IF(A91&gt;30000,N91,ROUND(N91*Datos!$J$18,Dins)),IF(AND($F$15=Datos!$AI$5,Datos!$C$9=Datos!$AI$9),IF(A91&gt;30000,O91,ROUND(O91*Datos!$J$18,Dins)),IF(AND($F$15=Datos!$AI$6,Datos!$C$9=Datos!$AI$10),IF(A91&gt;30000,P91,ROUND(P91*Datos!$J$18,Dins)),IF(AND($F$15=Datos!$AI$6,Datos!$C$9=Datos!$AI$9),IF(A91&gt;30000,Q91,ROUND(Q91*Datos!$J$18,Dins))))))</f>
        <v>35</v>
      </c>
      <c r="N91">
        <v>41.3</v>
      </c>
      <c r="O91">
        <f t="shared" si="3"/>
        <v>35</v>
      </c>
      <c r="P91">
        <f t="shared" si="4"/>
        <v>11.01</v>
      </c>
      <c r="Q91">
        <f t="shared" si="5"/>
        <v>9.33</v>
      </c>
    </row>
    <row r="92" spans="1:17" x14ac:dyDescent="0.2">
      <c r="A92">
        <v>30049</v>
      </c>
      <c r="B92">
        <v>5</v>
      </c>
      <c r="C92" t="s">
        <v>6</v>
      </c>
      <c r="D92" t="s">
        <v>344</v>
      </c>
      <c r="E92" s="3" t="s">
        <v>34</v>
      </c>
      <c r="F92">
        <f>IF(AND($F$15=Datos!$AI$5,Datos!$C$9=Datos!$AI$10),IF(A92&gt;30000,N92,ROUND(N92*Datos!$J$18,Dins)),IF(AND($F$15=Datos!$AI$5,Datos!$C$9=Datos!$AI$9),IF(A92&gt;30000,O92,ROUND(O92*Datos!$J$18,Dins)),IF(AND($F$15=Datos!$AI$6,Datos!$C$9=Datos!$AI$10),IF(A92&gt;30000,P92,ROUND(P92*Datos!$J$18,Dins)),IF(AND($F$15=Datos!$AI$6,Datos!$C$9=Datos!$AI$9),IF(A92&gt;30000,Q92,ROUND(Q92*Datos!$J$18,Dins))))))</f>
        <v>30</v>
      </c>
      <c r="G92">
        <v>0</v>
      </c>
      <c r="H92">
        <v>0</v>
      </c>
      <c r="I92">
        <v>0</v>
      </c>
      <c r="J92">
        <v>0</v>
      </c>
      <c r="N92">
        <v>35.4</v>
      </c>
      <c r="O92">
        <f t="shared" si="3"/>
        <v>30</v>
      </c>
      <c r="P92">
        <f t="shared" si="4"/>
        <v>9.44</v>
      </c>
      <c r="Q92">
        <f t="shared" si="5"/>
        <v>8</v>
      </c>
    </row>
    <row r="93" spans="1:17" x14ac:dyDescent="0.2">
      <c r="A93">
        <v>60009</v>
      </c>
      <c r="B93">
        <v>49</v>
      </c>
      <c r="C93" t="s">
        <v>123</v>
      </c>
      <c r="D93" t="s">
        <v>345</v>
      </c>
      <c r="E93" s="3" t="s">
        <v>213</v>
      </c>
      <c r="F93">
        <f>IF(AND($F$15=Datos!$AI$5,Datos!$C$9=Datos!$AI$10),IF(A93&gt;30000,N93,ROUND(N93*Datos!$J$18,Dins)),IF(AND($F$15=Datos!$AI$5,Datos!$C$9=Datos!$AI$9),IF(A93&gt;30000,O93,ROUND(O93*Datos!$J$18,Dins)),IF(AND($F$15=Datos!$AI$6,Datos!$C$9=Datos!$AI$10),IF(A93&gt;30000,P93,ROUND(P93*Datos!$J$18,Dins)),IF(AND($F$15=Datos!$AI$6,Datos!$C$9=Datos!$AI$9),IF(A93&gt;30000,Q93,ROUND(Q93*Datos!$J$18,Dins))))))</f>
        <v>22.95</v>
      </c>
      <c r="N93">
        <v>27.08</v>
      </c>
      <c r="O93">
        <f t="shared" si="3"/>
        <v>22.95</v>
      </c>
      <c r="P93">
        <f t="shared" si="4"/>
        <v>7.22</v>
      </c>
      <c r="Q93">
        <f t="shared" si="5"/>
        <v>6.12</v>
      </c>
    </row>
    <row r="94" spans="1:17" x14ac:dyDescent="0.2">
      <c r="A94">
        <v>30050</v>
      </c>
      <c r="B94">
        <v>5</v>
      </c>
      <c r="C94" t="s">
        <v>6</v>
      </c>
      <c r="D94" t="s">
        <v>352</v>
      </c>
      <c r="E94" s="3" t="s">
        <v>34</v>
      </c>
      <c r="F94">
        <f>IF(AND($F$15=Datos!$AI$5,Datos!$C$9=Datos!$AI$10),IF(A94&gt;30000,N94,ROUND(N94*Datos!$J$18,Dins)),IF(AND($F$15=Datos!$AI$5,Datos!$C$9=Datos!$AI$9),IF(A94&gt;30000,O94,ROUND(O94*Datos!$J$18,Dins)),IF(AND($F$15=Datos!$AI$6,Datos!$C$9=Datos!$AI$10),IF(A94&gt;30000,P94,ROUND(P94*Datos!$J$18,Dins)),IF(AND($F$15=Datos!$AI$6,Datos!$C$9=Datos!$AI$9),IF(A94&gt;30000,Q94,ROUND(Q94*Datos!$J$18,Dins))))))</f>
        <v>45</v>
      </c>
      <c r="G94">
        <v>0</v>
      </c>
      <c r="H94">
        <v>0</v>
      </c>
      <c r="I94">
        <v>0</v>
      </c>
      <c r="J94">
        <v>0</v>
      </c>
      <c r="N94">
        <v>53.1</v>
      </c>
      <c r="O94">
        <f t="shared" si="3"/>
        <v>45</v>
      </c>
      <c r="P94">
        <f t="shared" si="4"/>
        <v>14.16</v>
      </c>
      <c r="Q94">
        <f t="shared" si="5"/>
        <v>12</v>
      </c>
    </row>
    <row r="95" spans="1:17" x14ac:dyDescent="0.2">
      <c r="A95">
        <v>60010</v>
      </c>
      <c r="B95">
        <v>49</v>
      </c>
      <c r="C95" t="s">
        <v>123</v>
      </c>
      <c r="D95" t="s">
        <v>353</v>
      </c>
      <c r="E95" s="3" t="s">
        <v>213</v>
      </c>
      <c r="F95">
        <f>IF(AND($F$15=Datos!$AI$5,Datos!$C$9=Datos!$AI$10),IF(A95&gt;30000,N95,ROUND(N95*Datos!$J$18,Dins)),IF(AND($F$15=Datos!$AI$5,Datos!$C$9=Datos!$AI$9),IF(A95&gt;30000,O95,ROUND(O95*Datos!$J$18,Dins)),IF(AND($F$15=Datos!$AI$6,Datos!$C$9=Datos!$AI$10),IF(A95&gt;30000,P95,ROUND(P95*Datos!$J$18,Dins)),IF(AND($F$15=Datos!$AI$6,Datos!$C$9=Datos!$AI$9),IF(A95&gt;30000,Q95,ROUND(Q95*Datos!$J$18,Dins))))))</f>
        <v>31.5</v>
      </c>
      <c r="N95">
        <v>37.17</v>
      </c>
      <c r="O95">
        <f t="shared" si="3"/>
        <v>31.5</v>
      </c>
      <c r="P95">
        <f t="shared" si="4"/>
        <v>9.91</v>
      </c>
      <c r="Q95">
        <f t="shared" si="5"/>
        <v>8.4</v>
      </c>
    </row>
    <row r="96" spans="1:17" x14ac:dyDescent="0.2">
      <c r="A96">
        <v>30051</v>
      </c>
      <c r="B96">
        <v>2</v>
      </c>
      <c r="C96" t="s">
        <v>6</v>
      </c>
      <c r="D96" t="s">
        <v>356</v>
      </c>
      <c r="E96" s="3" t="s">
        <v>33</v>
      </c>
      <c r="F96">
        <f>IF(AND($F$15=Datos!$AI$5,Datos!$C$9=Datos!$AI$10),IF(A96&gt;30000,N96,ROUND(N96*Datos!$J$18,Dins)),IF(AND($F$15=Datos!$AI$5,Datos!$C$9=Datos!$AI$9),IF(A96&gt;30000,O96,ROUND(O96*Datos!$J$18,Dins)),IF(AND($F$15=Datos!$AI$6,Datos!$C$9=Datos!$AI$10),IF(A96&gt;30000,P96,ROUND(P96*Datos!$J$18,Dins)),IF(AND($F$15=Datos!$AI$6,Datos!$C$9=Datos!$AI$9),IF(A96&gt;30000,Q96,ROUND(Q96*Datos!$J$18,Dins))))))</f>
        <v>3.5</v>
      </c>
      <c r="G96">
        <v>0</v>
      </c>
      <c r="H96">
        <v>0</v>
      </c>
      <c r="I96">
        <v>0</v>
      </c>
      <c r="J96">
        <v>0</v>
      </c>
      <c r="N96">
        <v>4.13</v>
      </c>
      <c r="O96">
        <f t="shared" si="3"/>
        <v>3.5</v>
      </c>
      <c r="P96">
        <f t="shared" si="4"/>
        <v>1.1000000000000001</v>
      </c>
      <c r="Q96">
        <f t="shared" si="5"/>
        <v>0.93</v>
      </c>
    </row>
    <row r="97" spans="1:17" x14ac:dyDescent="0.2">
      <c r="A97">
        <v>30052</v>
      </c>
      <c r="B97">
        <v>2</v>
      </c>
      <c r="C97" t="s">
        <v>6</v>
      </c>
      <c r="D97" t="s">
        <v>357</v>
      </c>
      <c r="E97" s="3" t="s">
        <v>33</v>
      </c>
      <c r="F97">
        <f>IF(AND($F$15=Datos!$AI$5,Datos!$C$9=Datos!$AI$10),IF(A97&gt;30000,N97,ROUND(N97*Datos!$J$18,Dins)),IF(AND($F$15=Datos!$AI$5,Datos!$C$9=Datos!$AI$9),IF(A97&gt;30000,O97,ROUND(O97*Datos!$J$18,Dins)),IF(AND($F$15=Datos!$AI$6,Datos!$C$9=Datos!$AI$10),IF(A97&gt;30000,P97,ROUND(P97*Datos!$J$18,Dins)),IF(AND($F$15=Datos!$AI$6,Datos!$C$9=Datos!$AI$9),IF(A97&gt;30000,Q97,ROUND(Q97*Datos!$J$18,Dins))))))</f>
        <v>3.5</v>
      </c>
      <c r="G97">
        <v>0</v>
      </c>
      <c r="H97">
        <v>0</v>
      </c>
      <c r="I97">
        <v>0</v>
      </c>
      <c r="J97">
        <v>0</v>
      </c>
      <c r="N97">
        <v>4.13</v>
      </c>
      <c r="O97">
        <f t="shared" si="3"/>
        <v>3.5</v>
      </c>
      <c r="P97">
        <f t="shared" si="4"/>
        <v>1.1000000000000001</v>
      </c>
      <c r="Q97">
        <f t="shared" si="5"/>
        <v>0.93</v>
      </c>
    </row>
    <row r="98" spans="1:17" x14ac:dyDescent="0.2">
      <c r="A98">
        <v>30053</v>
      </c>
      <c r="B98">
        <v>43</v>
      </c>
      <c r="C98" t="s">
        <v>6</v>
      </c>
      <c r="D98" t="s">
        <v>358</v>
      </c>
      <c r="E98" s="3" t="s">
        <v>185</v>
      </c>
      <c r="F98">
        <f>IF(AND($F$15=Datos!$AI$5,Datos!$C$9=Datos!$AI$10),IF(A98&gt;30000,N98,ROUND(N98*Datos!$J$18,Dins)),IF(AND($F$15=Datos!$AI$5,Datos!$C$9=Datos!$AI$9),IF(A98&gt;30000,O98,ROUND(O98*Datos!$J$18,Dins)),IF(AND($F$15=Datos!$AI$6,Datos!$C$9=Datos!$AI$10),IF(A98&gt;30000,P98,ROUND(P98*Datos!$J$18,Dins)),IF(AND($F$15=Datos!$AI$6,Datos!$C$9=Datos!$AI$9),IF(A98&gt;30000,Q98,ROUND(Q98*Datos!$J$18,Dins))))))</f>
        <v>3.9</v>
      </c>
      <c r="G98">
        <v>0</v>
      </c>
      <c r="H98">
        <v>0</v>
      </c>
      <c r="I98">
        <v>0</v>
      </c>
      <c r="J98">
        <v>0</v>
      </c>
      <c r="N98">
        <v>4.5999999999999996</v>
      </c>
      <c r="O98">
        <f t="shared" si="3"/>
        <v>3.9</v>
      </c>
      <c r="P98">
        <f t="shared" si="4"/>
        <v>1.23</v>
      </c>
      <c r="Q98">
        <f t="shared" si="5"/>
        <v>1.04</v>
      </c>
    </row>
    <row r="99" spans="1:17" x14ac:dyDescent="0.2">
      <c r="A99">
        <v>30054</v>
      </c>
      <c r="B99">
        <v>2</v>
      </c>
      <c r="C99" t="s">
        <v>6</v>
      </c>
      <c r="D99" t="s">
        <v>365</v>
      </c>
      <c r="E99" s="3" t="s">
        <v>33</v>
      </c>
      <c r="F99">
        <f>IF(AND($F$15=Datos!$AI$5,Datos!$C$9=Datos!$AI$10),IF(A99&gt;30000,N99,ROUND(N99*Datos!$J$18,Dins)),IF(AND($F$15=Datos!$AI$5,Datos!$C$9=Datos!$AI$9),IF(A99&gt;30000,O99,ROUND(O99*Datos!$J$18,Dins)),IF(AND($F$15=Datos!$AI$6,Datos!$C$9=Datos!$AI$10),IF(A99&gt;30000,P99,ROUND(P99*Datos!$J$18,Dins)),IF(AND($F$15=Datos!$AI$6,Datos!$C$9=Datos!$AI$9),IF(A99&gt;30000,Q99,ROUND(Q99*Datos!$J$18,Dins))))))</f>
        <v>3.5</v>
      </c>
      <c r="G99">
        <v>0</v>
      </c>
      <c r="H99">
        <v>0</v>
      </c>
      <c r="I99">
        <v>0</v>
      </c>
      <c r="J99">
        <v>0</v>
      </c>
      <c r="N99">
        <v>4.13</v>
      </c>
      <c r="O99">
        <f t="shared" si="3"/>
        <v>3.5</v>
      </c>
      <c r="P99">
        <f t="shared" si="4"/>
        <v>1.1000000000000001</v>
      </c>
      <c r="Q99">
        <f t="shared" si="5"/>
        <v>0.93</v>
      </c>
    </row>
    <row r="100" spans="1:17" x14ac:dyDescent="0.2">
      <c r="A100">
        <v>30055</v>
      </c>
      <c r="B100">
        <v>43</v>
      </c>
      <c r="C100" t="s">
        <v>6</v>
      </c>
      <c r="D100" t="s">
        <v>366</v>
      </c>
      <c r="E100" s="3" t="s">
        <v>185</v>
      </c>
      <c r="F100">
        <f>IF(AND($F$15=Datos!$AI$5,Datos!$C$9=Datos!$AI$10),IF(A100&gt;30000,N100,ROUND(N100*Datos!$J$18,Dins)),IF(AND($F$15=Datos!$AI$5,Datos!$C$9=Datos!$AI$9),IF(A100&gt;30000,O100,ROUND(O100*Datos!$J$18,Dins)),IF(AND($F$15=Datos!$AI$6,Datos!$C$9=Datos!$AI$10),IF(A100&gt;30000,P100,ROUND(P100*Datos!$J$18,Dins)),IF(AND($F$15=Datos!$AI$6,Datos!$C$9=Datos!$AI$9),IF(A100&gt;30000,Q100,ROUND(Q100*Datos!$J$18,Dins))))))</f>
        <v>3.9</v>
      </c>
      <c r="G100">
        <v>0</v>
      </c>
      <c r="H100">
        <v>0</v>
      </c>
      <c r="I100">
        <v>0</v>
      </c>
      <c r="J100">
        <v>0</v>
      </c>
      <c r="N100">
        <v>4.5999999999999996</v>
      </c>
      <c r="O100">
        <f t="shared" si="3"/>
        <v>3.9</v>
      </c>
      <c r="P100">
        <f t="shared" si="4"/>
        <v>1.23</v>
      </c>
      <c r="Q100">
        <f t="shared" si="5"/>
        <v>1.04</v>
      </c>
    </row>
    <row r="101" spans="1:17" x14ac:dyDescent="0.2">
      <c r="A101">
        <v>30056</v>
      </c>
      <c r="B101">
        <v>4</v>
      </c>
      <c r="C101" t="s">
        <v>6</v>
      </c>
      <c r="D101" t="s">
        <v>91</v>
      </c>
      <c r="E101" s="3" t="s">
        <v>34</v>
      </c>
      <c r="F101">
        <f>IF(AND($F$15=Datos!$AI$5,Datos!$C$9=Datos!$AI$10),IF(A101&gt;30000,N101,ROUND(N101*Datos!$J$18,Dins)),IF(AND($F$15=Datos!$AI$5,Datos!$C$9=Datos!$AI$9),IF(A101&gt;30000,O101,ROUND(O101*Datos!$J$18,Dins)),IF(AND($F$15=Datos!$AI$6,Datos!$C$9=Datos!$AI$10),IF(A101&gt;30000,P101,ROUND(P101*Datos!$J$18,Dins)),IF(AND($F$15=Datos!$AI$6,Datos!$C$9=Datos!$AI$9),IF(A101&gt;30000,Q101,ROUND(Q101*Datos!$J$18,Dins))))))</f>
        <v>45</v>
      </c>
      <c r="G101">
        <v>0</v>
      </c>
      <c r="H101">
        <v>0</v>
      </c>
      <c r="I101">
        <v>0</v>
      </c>
      <c r="J101">
        <v>0</v>
      </c>
      <c r="N101">
        <v>53.1</v>
      </c>
      <c r="O101">
        <f t="shared" si="3"/>
        <v>45</v>
      </c>
      <c r="P101">
        <f t="shared" si="4"/>
        <v>14.16</v>
      </c>
      <c r="Q101">
        <f t="shared" si="5"/>
        <v>12</v>
      </c>
    </row>
    <row r="102" spans="1:17" x14ac:dyDescent="0.2">
      <c r="A102">
        <v>30057</v>
      </c>
      <c r="B102">
        <v>5</v>
      </c>
      <c r="C102" t="s">
        <v>6</v>
      </c>
      <c r="D102" t="s">
        <v>371</v>
      </c>
      <c r="E102" s="3" t="s">
        <v>34</v>
      </c>
      <c r="F102">
        <f>IF(AND($F$15=Datos!$AI$5,Datos!$C$9=Datos!$AI$10),IF(A102&gt;30000,N102,ROUND(N102*Datos!$J$18,Dins)),IF(AND($F$15=Datos!$AI$5,Datos!$C$9=Datos!$AI$9),IF(A102&gt;30000,O102,ROUND(O102*Datos!$J$18,Dins)),IF(AND($F$15=Datos!$AI$6,Datos!$C$9=Datos!$AI$10),IF(A102&gt;30000,P102,ROUND(P102*Datos!$J$18,Dins)),IF(AND($F$15=Datos!$AI$6,Datos!$C$9=Datos!$AI$9),IF(A102&gt;30000,Q102,ROUND(Q102*Datos!$J$18,Dins))))))</f>
        <v>45</v>
      </c>
      <c r="G102">
        <v>0</v>
      </c>
      <c r="H102">
        <v>0</v>
      </c>
      <c r="I102">
        <v>0</v>
      </c>
      <c r="J102">
        <v>0</v>
      </c>
      <c r="N102">
        <v>53.1</v>
      </c>
      <c r="O102">
        <f t="shared" si="3"/>
        <v>45</v>
      </c>
      <c r="P102">
        <f t="shared" si="4"/>
        <v>14.16</v>
      </c>
      <c r="Q102">
        <f t="shared" si="5"/>
        <v>12</v>
      </c>
    </row>
    <row r="103" spans="1:17" x14ac:dyDescent="0.2">
      <c r="A103">
        <v>30058</v>
      </c>
      <c r="B103">
        <v>21</v>
      </c>
      <c r="C103" t="s">
        <v>6</v>
      </c>
      <c r="D103" t="s">
        <v>372</v>
      </c>
      <c r="E103" s="3" t="s">
        <v>172</v>
      </c>
      <c r="F103">
        <f>IF(AND($F$15=Datos!$AI$5,Datos!$C$9=Datos!$AI$10),IF(A103&gt;30000,N103,ROUND(N103*Datos!$J$18,Dins)),IF(AND($F$15=Datos!$AI$5,Datos!$C$9=Datos!$AI$9),IF(A103&gt;30000,O103,ROUND(O103*Datos!$J$18,Dins)),IF(AND($F$15=Datos!$AI$6,Datos!$C$9=Datos!$AI$10),IF(A103&gt;30000,P103,ROUND(P103*Datos!$J$18,Dins)),IF(AND($F$15=Datos!$AI$6,Datos!$C$9=Datos!$AI$9),IF(A103&gt;30000,Q103,ROUND(Q103*Datos!$J$18,Dins))))))</f>
        <v>18.5</v>
      </c>
      <c r="G103">
        <v>0</v>
      </c>
      <c r="H103">
        <v>0</v>
      </c>
      <c r="I103">
        <v>0</v>
      </c>
      <c r="J103">
        <v>0</v>
      </c>
      <c r="N103">
        <v>21.83</v>
      </c>
      <c r="O103">
        <f t="shared" si="3"/>
        <v>18.5</v>
      </c>
      <c r="P103">
        <f t="shared" si="4"/>
        <v>5.82</v>
      </c>
      <c r="Q103">
        <f t="shared" si="5"/>
        <v>4.93</v>
      </c>
    </row>
    <row r="104" spans="1:17" x14ac:dyDescent="0.2">
      <c r="A104">
        <v>30059</v>
      </c>
      <c r="B104">
        <v>21</v>
      </c>
      <c r="C104" t="s">
        <v>6</v>
      </c>
      <c r="D104" t="s">
        <v>389</v>
      </c>
      <c r="E104" s="3" t="s">
        <v>172</v>
      </c>
      <c r="F104">
        <f>IF(AND($F$15=Datos!$AI$5,Datos!$C$9=Datos!$AI$10),IF(A104&gt;30000,N104,ROUND(N104*Datos!$J$18,Dins)),IF(AND($F$15=Datos!$AI$5,Datos!$C$9=Datos!$AI$9),IF(A104&gt;30000,O104,ROUND(O104*Datos!$J$18,Dins)),IF(AND($F$15=Datos!$AI$6,Datos!$C$9=Datos!$AI$10),IF(A104&gt;30000,P104,ROUND(P104*Datos!$J$18,Dins)),IF(AND($F$15=Datos!$AI$6,Datos!$C$9=Datos!$AI$9),IF(A104&gt;30000,Q104,ROUND(Q104*Datos!$J$18,Dins))))))</f>
        <v>18.5</v>
      </c>
      <c r="G104">
        <v>0</v>
      </c>
      <c r="H104">
        <v>0</v>
      </c>
      <c r="I104">
        <v>0</v>
      </c>
      <c r="J104">
        <v>0</v>
      </c>
      <c r="N104">
        <v>21.83</v>
      </c>
      <c r="O104">
        <f t="shared" si="3"/>
        <v>18.5</v>
      </c>
      <c r="P104">
        <f t="shared" si="4"/>
        <v>5.82</v>
      </c>
      <c r="Q104">
        <f t="shared" si="5"/>
        <v>4.93</v>
      </c>
    </row>
    <row r="105" spans="1:17" x14ac:dyDescent="0.2">
      <c r="A105">
        <v>60011</v>
      </c>
      <c r="B105">
        <v>49</v>
      </c>
      <c r="C105" t="s">
        <v>123</v>
      </c>
      <c r="D105" t="s">
        <v>390</v>
      </c>
      <c r="E105" s="3" t="s">
        <v>213</v>
      </c>
      <c r="F105">
        <f>IF(AND($F$15=Datos!$AI$5,Datos!$C$9=Datos!$AI$10),IF(A105&gt;30000,N105,ROUND(N105*Datos!$J$18,Dins)),IF(AND($F$15=Datos!$AI$5,Datos!$C$9=Datos!$AI$9),IF(A105&gt;30000,O105,ROUND(O105*Datos!$J$18,Dins)),IF(AND($F$15=Datos!$AI$6,Datos!$C$9=Datos!$AI$10),IF(A105&gt;30000,P105,ROUND(P105*Datos!$J$18,Dins)),IF(AND($F$15=Datos!$AI$6,Datos!$C$9=Datos!$AI$9),IF(A105&gt;30000,Q105,ROUND(Q105*Datos!$J$18,Dins))))))</f>
        <v>15.05</v>
      </c>
      <c r="N105">
        <v>17.760000000000002</v>
      </c>
      <c r="O105">
        <f t="shared" si="3"/>
        <v>15.05</v>
      </c>
      <c r="P105">
        <f t="shared" si="4"/>
        <v>4.74</v>
      </c>
      <c r="Q105">
        <f t="shared" si="5"/>
        <v>4.0199999999999996</v>
      </c>
    </row>
    <row r="106" spans="1:17" x14ac:dyDescent="0.2">
      <c r="A106">
        <v>30060</v>
      </c>
      <c r="B106">
        <v>1</v>
      </c>
      <c r="C106" t="s">
        <v>6</v>
      </c>
      <c r="D106" t="s">
        <v>395</v>
      </c>
      <c r="E106" s="3" t="s">
        <v>206</v>
      </c>
      <c r="F106">
        <f>IF(AND($F$15=Datos!$AI$5,Datos!$C$9=Datos!$AI$10),IF(A106&gt;30000,N106,ROUND(N106*Datos!$J$18,Dins)),IF(AND($F$15=Datos!$AI$5,Datos!$C$9=Datos!$AI$9),IF(A106&gt;30000,O106,ROUND(O106*Datos!$J$18,Dins)),IF(AND($F$15=Datos!$AI$6,Datos!$C$9=Datos!$AI$10),IF(A106&gt;30000,P106,ROUND(P106*Datos!$J$18,Dins)),IF(AND($F$15=Datos!$AI$6,Datos!$C$9=Datos!$AI$9),IF(A106&gt;30000,Q106,ROUND(Q106*Datos!$J$18,Dins))))))</f>
        <v>46.84</v>
      </c>
      <c r="G106">
        <v>0</v>
      </c>
      <c r="H106">
        <v>0</v>
      </c>
      <c r="I106">
        <v>0</v>
      </c>
      <c r="J106">
        <v>0</v>
      </c>
      <c r="N106">
        <v>55.27</v>
      </c>
      <c r="O106">
        <f t="shared" si="3"/>
        <v>46.84</v>
      </c>
      <c r="P106">
        <f t="shared" si="4"/>
        <v>14.74</v>
      </c>
      <c r="Q106">
        <f t="shared" si="5"/>
        <v>12.49</v>
      </c>
    </row>
    <row r="107" spans="1:17" x14ac:dyDescent="0.2">
      <c r="A107">
        <v>30061</v>
      </c>
      <c r="B107">
        <v>5</v>
      </c>
      <c r="C107" t="s">
        <v>6</v>
      </c>
      <c r="D107" t="s">
        <v>92</v>
      </c>
      <c r="E107" s="3" t="s">
        <v>34</v>
      </c>
      <c r="F107">
        <f>IF(AND($F$15=Datos!$AI$5,Datos!$C$9=Datos!$AI$10),IF(A107&gt;30000,N107,ROUND(N107*Datos!$J$18,Dins)),IF(AND($F$15=Datos!$AI$5,Datos!$C$9=Datos!$AI$9),IF(A107&gt;30000,O107,ROUND(O107*Datos!$J$18,Dins)),IF(AND($F$15=Datos!$AI$6,Datos!$C$9=Datos!$AI$10),IF(A107&gt;30000,P107,ROUND(P107*Datos!$J$18,Dins)),IF(AND($F$15=Datos!$AI$6,Datos!$C$9=Datos!$AI$9),IF(A107&gt;30000,Q107,ROUND(Q107*Datos!$J$18,Dins))))))</f>
        <v>65</v>
      </c>
      <c r="G107">
        <v>0</v>
      </c>
      <c r="H107">
        <v>0</v>
      </c>
      <c r="I107">
        <v>0</v>
      </c>
      <c r="J107">
        <v>0</v>
      </c>
      <c r="N107">
        <v>76.7</v>
      </c>
      <c r="O107">
        <f t="shared" si="3"/>
        <v>65</v>
      </c>
      <c r="P107">
        <f t="shared" si="4"/>
        <v>20.45</v>
      </c>
      <c r="Q107">
        <f t="shared" si="5"/>
        <v>17.329999999999998</v>
      </c>
    </row>
    <row r="108" spans="1:17" x14ac:dyDescent="0.2">
      <c r="A108">
        <v>30062</v>
      </c>
      <c r="B108">
        <v>34</v>
      </c>
      <c r="C108" t="s">
        <v>6</v>
      </c>
      <c r="D108" t="s">
        <v>396</v>
      </c>
      <c r="E108" s="3" t="s">
        <v>206</v>
      </c>
      <c r="F108">
        <f>IF(AND($F$15=Datos!$AI$5,Datos!$C$9=Datos!$AI$10),IF(A108&gt;30000,N108,ROUND(N108*Datos!$J$18,Dins)),IF(AND($F$15=Datos!$AI$5,Datos!$C$9=Datos!$AI$9),IF(A108&gt;30000,O108,ROUND(O108*Datos!$J$18,Dins)),IF(AND($F$15=Datos!$AI$6,Datos!$C$9=Datos!$AI$10),IF(A108&gt;30000,P108,ROUND(P108*Datos!$J$18,Dins)),IF(AND($F$15=Datos!$AI$6,Datos!$C$9=Datos!$AI$9),IF(A108&gt;30000,Q108,ROUND(Q108*Datos!$J$18,Dins))))))</f>
        <v>10.5</v>
      </c>
      <c r="G108">
        <v>0</v>
      </c>
      <c r="H108">
        <v>0</v>
      </c>
      <c r="I108">
        <v>0</v>
      </c>
      <c r="J108">
        <v>0</v>
      </c>
      <c r="N108">
        <v>12.39</v>
      </c>
      <c r="O108">
        <f t="shared" si="3"/>
        <v>10.5</v>
      </c>
      <c r="P108">
        <f t="shared" si="4"/>
        <v>3.3</v>
      </c>
      <c r="Q108">
        <f t="shared" si="5"/>
        <v>2.8</v>
      </c>
    </row>
    <row r="109" spans="1:17" x14ac:dyDescent="0.2">
      <c r="A109">
        <v>60012</v>
      </c>
      <c r="B109">
        <v>49</v>
      </c>
      <c r="C109" t="s">
        <v>123</v>
      </c>
      <c r="D109" t="s">
        <v>397</v>
      </c>
      <c r="E109" s="3" t="s">
        <v>213</v>
      </c>
      <c r="F109">
        <f>IF(AND($F$15=Datos!$AI$5,Datos!$C$9=Datos!$AI$10),IF(A109&gt;30000,N109,ROUND(N109*Datos!$J$18,Dins)),IF(AND($F$15=Datos!$AI$5,Datos!$C$9=Datos!$AI$9),IF(A109&gt;30000,O109,ROUND(O109*Datos!$J$18,Dins)),IF(AND($F$15=Datos!$AI$6,Datos!$C$9=Datos!$AI$10),IF(A109&gt;30000,P109,ROUND(P109*Datos!$J$18,Dins)),IF(AND($F$15=Datos!$AI$6,Datos!$C$9=Datos!$AI$9),IF(A109&gt;30000,Q109,ROUND(Q109*Datos!$J$18,Dins))))))</f>
        <v>5.9</v>
      </c>
      <c r="N109">
        <v>6.96</v>
      </c>
      <c r="O109">
        <f t="shared" si="3"/>
        <v>5.9</v>
      </c>
      <c r="P109">
        <f t="shared" si="4"/>
        <v>1.86</v>
      </c>
      <c r="Q109">
        <f t="shared" si="5"/>
        <v>1.58</v>
      </c>
    </row>
    <row r="110" spans="1:17" x14ac:dyDescent="0.2">
      <c r="A110">
        <v>30063</v>
      </c>
      <c r="B110">
        <v>2</v>
      </c>
      <c r="C110" t="s">
        <v>6</v>
      </c>
      <c r="D110" t="s">
        <v>418</v>
      </c>
      <c r="E110" s="3" t="s">
        <v>33</v>
      </c>
      <c r="F110">
        <f>IF(AND($F$15=Datos!$AI$5,Datos!$C$9=Datos!$AI$10),IF(A110&gt;30000,N110,ROUND(N110*Datos!$J$18,Dins)),IF(AND($F$15=Datos!$AI$5,Datos!$C$9=Datos!$AI$9),IF(A110&gt;30000,O110,ROUND(O110*Datos!$J$18,Dins)),IF(AND($F$15=Datos!$AI$6,Datos!$C$9=Datos!$AI$10),IF(A110&gt;30000,P110,ROUND(P110*Datos!$J$18,Dins)),IF(AND($F$15=Datos!$AI$6,Datos!$C$9=Datos!$AI$9),IF(A110&gt;30000,Q110,ROUND(Q110*Datos!$J$18,Dins))))))</f>
        <v>3.5</v>
      </c>
      <c r="G110">
        <v>0</v>
      </c>
      <c r="H110">
        <v>0</v>
      </c>
      <c r="I110">
        <v>0</v>
      </c>
      <c r="J110">
        <v>0</v>
      </c>
      <c r="N110">
        <v>4.13</v>
      </c>
      <c r="O110">
        <f t="shared" si="3"/>
        <v>3.5</v>
      </c>
      <c r="P110">
        <f t="shared" si="4"/>
        <v>1.1000000000000001</v>
      </c>
      <c r="Q110">
        <f t="shared" si="5"/>
        <v>0.93</v>
      </c>
    </row>
    <row r="111" spans="1:17" x14ac:dyDescent="0.2">
      <c r="A111">
        <v>30064</v>
      </c>
      <c r="B111">
        <v>3</v>
      </c>
      <c r="C111" t="s">
        <v>6</v>
      </c>
      <c r="D111" t="s">
        <v>419</v>
      </c>
      <c r="E111" s="3" t="s">
        <v>33</v>
      </c>
      <c r="F111">
        <f>IF(AND($F$15=Datos!$AI$5,Datos!$C$9=Datos!$AI$10),IF(A111&gt;30000,N111,ROUND(N111*Datos!$J$18,Dins)),IF(AND($F$15=Datos!$AI$5,Datos!$C$9=Datos!$AI$9),IF(A111&gt;30000,O111,ROUND(O111*Datos!$J$18,Dins)),IF(AND($F$15=Datos!$AI$6,Datos!$C$9=Datos!$AI$10),IF(A111&gt;30000,P111,ROUND(P111*Datos!$J$18,Dins)),IF(AND($F$15=Datos!$AI$6,Datos!$C$9=Datos!$AI$9),IF(A111&gt;30000,Q111,ROUND(Q111*Datos!$J$18,Dins))))))</f>
        <v>2.38</v>
      </c>
      <c r="G111">
        <v>0</v>
      </c>
      <c r="H111">
        <v>0</v>
      </c>
      <c r="I111">
        <v>0</v>
      </c>
      <c r="J111">
        <v>0</v>
      </c>
      <c r="N111">
        <v>2.81</v>
      </c>
      <c r="O111">
        <f t="shared" si="3"/>
        <v>2.38</v>
      </c>
      <c r="P111">
        <f t="shared" si="4"/>
        <v>0.75</v>
      </c>
      <c r="Q111">
        <f t="shared" si="5"/>
        <v>0.64</v>
      </c>
    </row>
    <row r="112" spans="1:17" x14ac:dyDescent="0.2">
      <c r="A112">
        <v>77507</v>
      </c>
      <c r="B112">
        <v>49</v>
      </c>
      <c r="C112" t="s">
        <v>280</v>
      </c>
      <c r="D112" t="s">
        <v>420</v>
      </c>
      <c r="E112" s="3" t="s">
        <v>7</v>
      </c>
      <c r="F112">
        <f>IF(AND($F$15=Datos!$AI$5,Datos!$C$9=Datos!$AI$10),IF(A112&gt;30000,N112,ROUND(N112*Datos!$J$18,Dins)),IF(AND($F$15=Datos!$AI$5,Datos!$C$9=Datos!$AI$9),IF(A112&gt;30000,O112,ROUND(O112*Datos!$J$18,Dins)),IF(AND($F$15=Datos!$AI$6,Datos!$C$9=Datos!$AI$10),IF(A112&gt;30000,P112,ROUND(P112*Datos!$J$18,Dins)),IF(AND($F$15=Datos!$AI$6,Datos!$C$9=Datos!$AI$9),IF(A112&gt;30000,Q112,ROUND(Q112*Datos!$J$18,Dins))))))</f>
        <v>350</v>
      </c>
      <c r="G112">
        <v>0</v>
      </c>
      <c r="H112">
        <v>0</v>
      </c>
      <c r="I112">
        <v>0</v>
      </c>
      <c r="J112">
        <v>0</v>
      </c>
      <c r="N112">
        <v>413</v>
      </c>
      <c r="O112">
        <f t="shared" si="3"/>
        <v>350</v>
      </c>
      <c r="P112">
        <f t="shared" si="4"/>
        <v>110.13</v>
      </c>
      <c r="Q112">
        <f t="shared" si="5"/>
        <v>93.33</v>
      </c>
    </row>
    <row r="113" spans="1:17" x14ac:dyDescent="0.2">
      <c r="A113">
        <v>30065</v>
      </c>
      <c r="B113">
        <v>5</v>
      </c>
      <c r="C113" t="s">
        <v>6</v>
      </c>
      <c r="D113" t="s">
        <v>433</v>
      </c>
      <c r="E113" s="3" t="s">
        <v>34</v>
      </c>
      <c r="F113">
        <f>IF(AND($F$15=Datos!$AI$5,Datos!$C$9=Datos!$AI$10),IF(A113&gt;30000,N113,ROUND(N113*Datos!$J$18,Dins)),IF(AND($F$15=Datos!$AI$5,Datos!$C$9=Datos!$AI$9),IF(A113&gt;30000,O113,ROUND(O113*Datos!$J$18,Dins)),IF(AND($F$15=Datos!$AI$6,Datos!$C$9=Datos!$AI$10),IF(A113&gt;30000,P113,ROUND(P113*Datos!$J$18,Dins)),IF(AND($F$15=Datos!$AI$6,Datos!$C$9=Datos!$AI$9),IF(A113&gt;30000,Q113,ROUND(Q113*Datos!$J$18,Dins))))))</f>
        <v>65</v>
      </c>
      <c r="G113">
        <v>0</v>
      </c>
      <c r="H113">
        <v>0</v>
      </c>
      <c r="I113">
        <v>0</v>
      </c>
      <c r="J113">
        <v>0</v>
      </c>
      <c r="N113">
        <v>76.7</v>
      </c>
      <c r="O113">
        <f t="shared" si="3"/>
        <v>65</v>
      </c>
      <c r="P113">
        <f t="shared" si="4"/>
        <v>20.45</v>
      </c>
      <c r="Q113">
        <f t="shared" si="5"/>
        <v>17.329999999999998</v>
      </c>
    </row>
    <row r="114" spans="1:17" x14ac:dyDescent="0.2">
      <c r="A114">
        <v>60013</v>
      </c>
      <c r="B114">
        <v>49</v>
      </c>
      <c r="C114" t="s">
        <v>123</v>
      </c>
      <c r="D114" t="s">
        <v>434</v>
      </c>
      <c r="E114" s="3" t="s">
        <v>213</v>
      </c>
      <c r="F114">
        <f>IF(AND($F$15=Datos!$AI$5,Datos!$C$9=Datos!$AI$10),IF(A114&gt;30000,N114,ROUND(N114*Datos!$J$18,Dins)),IF(AND($F$15=Datos!$AI$5,Datos!$C$9=Datos!$AI$9),IF(A114&gt;30000,O114,ROUND(O114*Datos!$J$18,Dins)),IF(AND($F$15=Datos!$AI$6,Datos!$C$9=Datos!$AI$10),IF(A114&gt;30000,P114,ROUND(P114*Datos!$J$18,Dins)),IF(AND($F$15=Datos!$AI$6,Datos!$C$9=Datos!$AI$9),IF(A114&gt;30000,Q114,ROUND(Q114*Datos!$J$18,Dins))))))</f>
        <v>8.74</v>
      </c>
      <c r="N114">
        <v>10.31</v>
      </c>
      <c r="O114">
        <f t="shared" si="3"/>
        <v>8.74</v>
      </c>
      <c r="P114">
        <f t="shared" si="4"/>
        <v>2.75</v>
      </c>
      <c r="Q114">
        <f t="shared" si="5"/>
        <v>2.33</v>
      </c>
    </row>
    <row r="115" spans="1:17" x14ac:dyDescent="0.2">
      <c r="A115">
        <v>77508</v>
      </c>
      <c r="B115">
        <v>48</v>
      </c>
      <c r="C115" t="s">
        <v>280</v>
      </c>
      <c r="D115" t="s">
        <v>435</v>
      </c>
      <c r="E115" s="3" t="s">
        <v>171</v>
      </c>
      <c r="F115">
        <f>IF(AND($F$15=Datos!$AI$5,Datos!$C$9=Datos!$AI$10),IF(A115&gt;30000,N115,ROUND(N115*Datos!$J$18,Dins)),IF(AND($F$15=Datos!$AI$5,Datos!$C$9=Datos!$AI$9),IF(A115&gt;30000,O115,ROUND(O115*Datos!$J$18,Dins)),IF(AND($F$15=Datos!$AI$6,Datos!$C$9=Datos!$AI$10),IF(A115&gt;30000,P115,ROUND(P115*Datos!$J$18,Dins)),IF(AND($F$15=Datos!$AI$6,Datos!$C$9=Datos!$AI$9),IF(A115&gt;30000,Q115,ROUND(Q115*Datos!$J$18,Dins))))))</f>
        <v>5</v>
      </c>
      <c r="G115">
        <v>0</v>
      </c>
      <c r="H115">
        <v>0</v>
      </c>
      <c r="I115">
        <v>0</v>
      </c>
      <c r="J115">
        <v>0</v>
      </c>
      <c r="N115">
        <v>5.9</v>
      </c>
      <c r="O115">
        <f t="shared" si="3"/>
        <v>5</v>
      </c>
      <c r="P115">
        <f t="shared" si="4"/>
        <v>1.57</v>
      </c>
      <c r="Q115">
        <f t="shared" si="5"/>
        <v>1.33</v>
      </c>
    </row>
    <row r="116" spans="1:17" x14ac:dyDescent="0.2">
      <c r="A116">
        <v>30066</v>
      </c>
      <c r="B116">
        <v>3</v>
      </c>
      <c r="C116" t="s">
        <v>6</v>
      </c>
      <c r="D116" t="s">
        <v>440</v>
      </c>
      <c r="E116" s="3" t="s">
        <v>33</v>
      </c>
      <c r="F116">
        <f>IF(AND($F$15=Datos!$AI$5,Datos!$C$9=Datos!$AI$10),IF(A116&gt;30000,N116,ROUND(N116*Datos!$J$18,Dins)),IF(AND($F$15=Datos!$AI$5,Datos!$C$9=Datos!$AI$9),IF(A116&gt;30000,O116,ROUND(O116*Datos!$J$18,Dins)),IF(AND($F$15=Datos!$AI$6,Datos!$C$9=Datos!$AI$10),IF(A116&gt;30000,P116,ROUND(P116*Datos!$J$18,Dins)),IF(AND($F$15=Datos!$AI$6,Datos!$C$9=Datos!$AI$9),IF(A116&gt;30000,Q116,ROUND(Q116*Datos!$J$18,Dins))))))</f>
        <v>2.38</v>
      </c>
      <c r="G116">
        <v>0</v>
      </c>
      <c r="H116">
        <v>0</v>
      </c>
      <c r="I116">
        <v>0</v>
      </c>
      <c r="J116">
        <v>0</v>
      </c>
      <c r="N116">
        <v>2.81</v>
      </c>
      <c r="O116">
        <f t="shared" si="3"/>
        <v>2.38</v>
      </c>
      <c r="P116">
        <f t="shared" si="4"/>
        <v>0.75</v>
      </c>
      <c r="Q116">
        <f t="shared" si="5"/>
        <v>0.64</v>
      </c>
    </row>
    <row r="117" spans="1:17" x14ac:dyDescent="0.2">
      <c r="A117">
        <v>30067</v>
      </c>
      <c r="B117">
        <v>39</v>
      </c>
      <c r="C117" t="s">
        <v>6</v>
      </c>
      <c r="D117" t="s">
        <v>447</v>
      </c>
      <c r="E117" s="3" t="s">
        <v>286</v>
      </c>
      <c r="F117">
        <f>IF(AND($F$15=Datos!$AI$5,Datos!$C$9=Datos!$AI$10),IF(A117&gt;30000,N117,ROUND(N117*Datos!$J$18,Dins)),IF(AND($F$15=Datos!$AI$5,Datos!$C$9=Datos!$AI$9),IF(A117&gt;30000,O117,ROUND(O117*Datos!$J$18,Dins)),IF(AND($F$15=Datos!$AI$6,Datos!$C$9=Datos!$AI$10),IF(A117&gt;30000,P117,ROUND(P117*Datos!$J$18,Dins)),IF(AND($F$15=Datos!$AI$6,Datos!$C$9=Datos!$AI$9),IF(A117&gt;30000,Q117,ROUND(Q117*Datos!$J$18,Dins))))))</f>
        <v>1</v>
      </c>
      <c r="G117">
        <v>0</v>
      </c>
      <c r="H117">
        <v>0</v>
      </c>
      <c r="I117">
        <v>0</v>
      </c>
      <c r="J117">
        <v>0</v>
      </c>
      <c r="N117">
        <v>1.18</v>
      </c>
      <c r="O117">
        <f t="shared" si="3"/>
        <v>1</v>
      </c>
      <c r="P117">
        <f t="shared" si="4"/>
        <v>0.31</v>
      </c>
      <c r="Q117">
        <f t="shared" si="5"/>
        <v>0.26</v>
      </c>
    </row>
    <row r="118" spans="1:17" x14ac:dyDescent="0.2">
      <c r="A118">
        <v>30068</v>
      </c>
      <c r="B118">
        <v>30</v>
      </c>
      <c r="C118" t="s">
        <v>6</v>
      </c>
      <c r="D118" t="s">
        <v>448</v>
      </c>
      <c r="E118" s="3" t="s">
        <v>206</v>
      </c>
      <c r="F118">
        <f>IF(AND($F$15=Datos!$AI$5,Datos!$C$9=Datos!$AI$10),IF(A118&gt;30000,N118,ROUND(N118*Datos!$J$18,Dins)),IF(AND($F$15=Datos!$AI$5,Datos!$C$9=Datos!$AI$9),IF(A118&gt;30000,O118,ROUND(O118*Datos!$J$18,Dins)),IF(AND($F$15=Datos!$AI$6,Datos!$C$9=Datos!$AI$10),IF(A118&gt;30000,P118,ROUND(P118*Datos!$J$18,Dins)),IF(AND($F$15=Datos!$AI$6,Datos!$C$9=Datos!$AI$9),IF(A118&gt;30000,Q118,ROUND(Q118*Datos!$J$18,Dins))))))</f>
        <v>44.45</v>
      </c>
      <c r="G118">
        <v>0</v>
      </c>
      <c r="H118">
        <v>0</v>
      </c>
      <c r="I118">
        <v>0</v>
      </c>
      <c r="J118">
        <v>0</v>
      </c>
      <c r="N118">
        <v>52.45</v>
      </c>
      <c r="O118">
        <f t="shared" si="3"/>
        <v>44.45</v>
      </c>
      <c r="P118">
        <f t="shared" si="4"/>
        <v>13.99</v>
      </c>
      <c r="Q118">
        <f t="shared" si="5"/>
        <v>11.86</v>
      </c>
    </row>
    <row r="119" spans="1:17" x14ac:dyDescent="0.2">
      <c r="A119">
        <v>30069</v>
      </c>
      <c r="B119">
        <v>43</v>
      </c>
      <c r="C119" t="s">
        <v>6</v>
      </c>
      <c r="D119" t="s">
        <v>449</v>
      </c>
      <c r="E119" s="3" t="s">
        <v>174</v>
      </c>
      <c r="F119">
        <f>IF(AND($F$15=Datos!$AI$5,Datos!$C$9=Datos!$AI$10),IF(A119&gt;30000,N119,ROUND(N119*Datos!$J$18,Dins)),IF(AND($F$15=Datos!$AI$5,Datos!$C$9=Datos!$AI$9),IF(A119&gt;30000,O119,ROUND(O119*Datos!$J$18,Dins)),IF(AND($F$15=Datos!$AI$6,Datos!$C$9=Datos!$AI$10),IF(A119&gt;30000,P119,ROUND(P119*Datos!$J$18,Dins)),IF(AND($F$15=Datos!$AI$6,Datos!$C$9=Datos!$AI$9),IF(A119&gt;30000,Q119,ROUND(Q119*Datos!$J$18,Dins))))))</f>
        <v>93.6</v>
      </c>
      <c r="G119">
        <v>0</v>
      </c>
      <c r="H119">
        <v>0</v>
      </c>
      <c r="I119">
        <v>0</v>
      </c>
      <c r="J119">
        <v>0</v>
      </c>
      <c r="N119">
        <v>110.45</v>
      </c>
      <c r="O119">
        <f t="shared" si="3"/>
        <v>93.6</v>
      </c>
      <c r="P119">
        <f t="shared" si="4"/>
        <v>29.45</v>
      </c>
      <c r="Q119">
        <f t="shared" si="5"/>
        <v>24.96</v>
      </c>
    </row>
    <row r="120" spans="1:17" x14ac:dyDescent="0.2">
      <c r="A120">
        <v>30070</v>
      </c>
      <c r="B120">
        <v>48</v>
      </c>
      <c r="C120" t="s">
        <v>6</v>
      </c>
      <c r="D120" t="s">
        <v>450</v>
      </c>
      <c r="E120" s="3" t="s">
        <v>7</v>
      </c>
      <c r="F120">
        <f>IF(AND($F$15=Datos!$AI$5,Datos!$C$9=Datos!$AI$10),IF(A120&gt;30000,N120,ROUND(N120*Datos!$J$18,Dins)),IF(AND($F$15=Datos!$AI$5,Datos!$C$9=Datos!$AI$9),IF(A120&gt;30000,O120,ROUND(O120*Datos!$J$18,Dins)),IF(AND($F$15=Datos!$AI$6,Datos!$C$9=Datos!$AI$10),IF(A120&gt;30000,P120,ROUND(P120*Datos!$J$18,Dins)),IF(AND($F$15=Datos!$AI$6,Datos!$C$9=Datos!$AI$9),IF(A120&gt;30000,Q120,ROUND(Q120*Datos!$J$18,Dins))))))</f>
        <v>20</v>
      </c>
      <c r="G120">
        <v>0</v>
      </c>
      <c r="H120">
        <v>0</v>
      </c>
      <c r="I120">
        <v>0</v>
      </c>
      <c r="J120">
        <v>0</v>
      </c>
      <c r="N120">
        <v>23.6</v>
      </c>
      <c r="O120">
        <f t="shared" si="3"/>
        <v>20</v>
      </c>
      <c r="P120">
        <f t="shared" si="4"/>
        <v>6.29</v>
      </c>
      <c r="Q120">
        <f t="shared" si="5"/>
        <v>5.33</v>
      </c>
    </row>
    <row r="121" spans="1:17" x14ac:dyDescent="0.2">
      <c r="A121">
        <v>80006</v>
      </c>
      <c r="B121">
        <v>39</v>
      </c>
      <c r="C121" t="s">
        <v>93</v>
      </c>
      <c r="D121" t="s">
        <v>451</v>
      </c>
      <c r="E121" s="3" t="s">
        <v>210</v>
      </c>
      <c r="F121">
        <f>IF(AND($F$15=Datos!$AI$5,Datos!$C$9=Datos!$AI$10),IF(A121&gt;30000,N121,ROUND(N121*Datos!$J$18,Dins)),IF(AND($F$15=Datos!$AI$5,Datos!$C$9=Datos!$AI$9),IF(A121&gt;30000,O121,ROUND(O121*Datos!$J$18,Dins)),IF(AND($F$15=Datos!$AI$6,Datos!$C$9=Datos!$AI$10),IF(A121&gt;30000,P121,ROUND(P121*Datos!$J$18,Dins)),IF(AND($F$15=Datos!$AI$6,Datos!$C$9=Datos!$AI$9),IF(A121&gt;30000,Q121,ROUND(Q121*Datos!$J$18,Dins))))))</f>
        <v>4.0999999999999996</v>
      </c>
      <c r="N121">
        <v>4.84</v>
      </c>
      <c r="O121">
        <f t="shared" si="3"/>
        <v>4.0999999999999996</v>
      </c>
      <c r="P121">
        <f t="shared" si="4"/>
        <v>1.29</v>
      </c>
      <c r="Q121">
        <f t="shared" si="5"/>
        <v>1.0900000000000001</v>
      </c>
    </row>
    <row r="122" spans="1:17" x14ac:dyDescent="0.2">
      <c r="A122">
        <v>80007</v>
      </c>
      <c r="B122">
        <v>39</v>
      </c>
      <c r="C122" t="s">
        <v>93</v>
      </c>
      <c r="D122" t="s">
        <v>452</v>
      </c>
      <c r="E122" s="3" t="s">
        <v>210</v>
      </c>
      <c r="F122">
        <f>IF(AND($F$15=Datos!$AI$5,Datos!$C$9=Datos!$AI$10),IF(A122&gt;30000,N122,ROUND(N122*Datos!$J$18,Dins)),IF(AND($F$15=Datos!$AI$5,Datos!$C$9=Datos!$AI$9),IF(A122&gt;30000,O122,ROUND(O122*Datos!$J$18,Dins)),IF(AND($F$15=Datos!$AI$6,Datos!$C$9=Datos!$AI$10),IF(A122&gt;30000,P122,ROUND(P122*Datos!$J$18,Dins)),IF(AND($F$15=Datos!$AI$6,Datos!$C$9=Datos!$AI$9),IF(A122&gt;30000,Q122,ROUND(Q122*Datos!$J$18,Dins))))))</f>
        <v>2.5</v>
      </c>
      <c r="N122">
        <v>2.95</v>
      </c>
      <c r="O122">
        <f t="shared" si="3"/>
        <v>2.5</v>
      </c>
      <c r="P122">
        <f t="shared" si="4"/>
        <v>0.79</v>
      </c>
      <c r="Q122">
        <f t="shared" si="5"/>
        <v>0.67</v>
      </c>
    </row>
    <row r="123" spans="1:17" x14ac:dyDescent="0.2">
      <c r="A123">
        <v>30071</v>
      </c>
      <c r="B123">
        <v>80</v>
      </c>
      <c r="C123" t="s">
        <v>6</v>
      </c>
      <c r="D123" t="s">
        <v>469</v>
      </c>
      <c r="E123" s="3" t="s">
        <v>34</v>
      </c>
      <c r="F123">
        <f>IF(AND($F$15=Datos!$AI$5,Datos!$C$9=Datos!$AI$10),IF(A123&gt;30000,N123,ROUND(N123*Datos!$J$18,Dins)),IF(AND($F$15=Datos!$AI$5,Datos!$C$9=Datos!$AI$9),IF(A123&gt;30000,O123,ROUND(O123*Datos!$J$18,Dins)),IF(AND($F$15=Datos!$AI$6,Datos!$C$9=Datos!$AI$10),IF(A123&gt;30000,P123,ROUND(P123*Datos!$J$18,Dins)),IF(AND($F$15=Datos!$AI$6,Datos!$C$9=Datos!$AI$9),IF(A123&gt;30000,Q123,ROUND(Q123*Datos!$J$18,Dins))))))</f>
        <v>218</v>
      </c>
      <c r="G123">
        <v>0</v>
      </c>
      <c r="H123">
        <v>0</v>
      </c>
      <c r="I123">
        <v>0</v>
      </c>
      <c r="J123">
        <v>0</v>
      </c>
      <c r="N123">
        <v>257.24</v>
      </c>
      <c r="O123">
        <f t="shared" si="3"/>
        <v>218</v>
      </c>
      <c r="P123">
        <f t="shared" si="4"/>
        <v>68.599999999999994</v>
      </c>
      <c r="Q123">
        <f t="shared" si="5"/>
        <v>58.14</v>
      </c>
    </row>
    <row r="124" spans="1:17" x14ac:dyDescent="0.2">
      <c r="A124">
        <v>60014</v>
      </c>
      <c r="B124">
        <v>49</v>
      </c>
      <c r="C124" t="s">
        <v>123</v>
      </c>
      <c r="D124" t="s">
        <v>470</v>
      </c>
      <c r="E124" s="3" t="s">
        <v>213</v>
      </c>
      <c r="F124">
        <f>IF(AND($F$15=Datos!$AI$5,Datos!$C$9=Datos!$AI$10),IF(A124&gt;30000,N124,ROUND(N124*Datos!$J$18,Dins)),IF(AND($F$15=Datos!$AI$5,Datos!$C$9=Datos!$AI$9),IF(A124&gt;30000,O124,ROUND(O124*Datos!$J$18,Dins)),IF(AND($F$15=Datos!$AI$6,Datos!$C$9=Datos!$AI$10),IF(A124&gt;30000,P124,ROUND(P124*Datos!$J$18,Dins)),IF(AND($F$15=Datos!$AI$6,Datos!$C$9=Datos!$AI$9),IF(A124&gt;30000,Q124,ROUND(Q124*Datos!$J$18,Dins))))))</f>
        <v>5.9</v>
      </c>
      <c r="N124">
        <v>6.96</v>
      </c>
      <c r="O124">
        <f t="shared" si="3"/>
        <v>5.9</v>
      </c>
      <c r="P124">
        <f t="shared" si="4"/>
        <v>1.86</v>
      </c>
      <c r="Q124">
        <f t="shared" si="5"/>
        <v>1.58</v>
      </c>
    </row>
    <row r="125" spans="1:17" x14ac:dyDescent="0.2">
      <c r="A125">
        <v>77509</v>
      </c>
      <c r="B125">
        <v>48</v>
      </c>
      <c r="C125" t="s">
        <v>280</v>
      </c>
      <c r="D125" t="s">
        <v>471</v>
      </c>
      <c r="E125" s="3" t="s">
        <v>28</v>
      </c>
      <c r="F125">
        <f>IF(AND($F$15=Datos!$AI$5,Datos!$C$9=Datos!$AI$10),IF(A125&gt;30000,N125,ROUND(N125*Datos!$J$18,Dins)),IF(AND($F$15=Datos!$AI$5,Datos!$C$9=Datos!$AI$9),IF(A125&gt;30000,O125,ROUND(O125*Datos!$J$18,Dins)),IF(AND($F$15=Datos!$AI$6,Datos!$C$9=Datos!$AI$10),IF(A125&gt;30000,P125,ROUND(P125*Datos!$J$18,Dins)),IF(AND($F$15=Datos!$AI$6,Datos!$C$9=Datos!$AI$9),IF(A125&gt;30000,Q125,ROUND(Q125*Datos!$J$18,Dins))))))</f>
        <v>29.98</v>
      </c>
      <c r="G125">
        <v>0</v>
      </c>
      <c r="H125">
        <v>0</v>
      </c>
      <c r="I125">
        <v>0</v>
      </c>
      <c r="J125">
        <v>0</v>
      </c>
      <c r="N125">
        <v>35.380000000000003</v>
      </c>
      <c r="O125">
        <f t="shared" si="3"/>
        <v>29.98</v>
      </c>
      <c r="P125">
        <f t="shared" si="4"/>
        <v>9.43</v>
      </c>
      <c r="Q125">
        <f t="shared" si="5"/>
        <v>7.99</v>
      </c>
    </row>
    <row r="126" spans="1:17" x14ac:dyDescent="0.2">
      <c r="A126">
        <v>77510</v>
      </c>
      <c r="B126">
        <v>49</v>
      </c>
      <c r="C126" t="s">
        <v>280</v>
      </c>
      <c r="D126" t="s">
        <v>472</v>
      </c>
      <c r="E126" s="3" t="s">
        <v>34</v>
      </c>
      <c r="F126">
        <f>IF(AND($F$15=Datos!$AI$5,Datos!$C$9=Datos!$AI$10),IF(A126&gt;30000,N126,ROUND(N126*Datos!$J$18,Dins)),IF(AND($F$15=Datos!$AI$5,Datos!$C$9=Datos!$AI$9),IF(A126&gt;30000,O126,ROUND(O126*Datos!$J$18,Dins)),IF(AND($F$15=Datos!$AI$6,Datos!$C$9=Datos!$AI$10),IF(A126&gt;30000,P126,ROUND(P126*Datos!$J$18,Dins)),IF(AND($F$15=Datos!$AI$6,Datos!$C$9=Datos!$AI$9),IF(A126&gt;30000,Q126,ROUND(Q126*Datos!$J$18,Dins))))))</f>
        <v>34</v>
      </c>
      <c r="G126">
        <v>0</v>
      </c>
      <c r="H126">
        <v>0</v>
      </c>
      <c r="I126">
        <v>0</v>
      </c>
      <c r="J126">
        <v>0</v>
      </c>
      <c r="N126">
        <v>40.119999999999997</v>
      </c>
      <c r="O126">
        <f t="shared" si="3"/>
        <v>34</v>
      </c>
      <c r="P126">
        <f t="shared" si="4"/>
        <v>10.7</v>
      </c>
      <c r="Q126">
        <f t="shared" si="5"/>
        <v>9.07</v>
      </c>
    </row>
    <row r="127" spans="1:17" x14ac:dyDescent="0.2">
      <c r="A127">
        <v>30072</v>
      </c>
      <c r="B127">
        <v>2</v>
      </c>
      <c r="C127" t="s">
        <v>6</v>
      </c>
      <c r="D127" t="s">
        <v>475</v>
      </c>
      <c r="E127" s="3" t="s">
        <v>33</v>
      </c>
      <c r="F127">
        <f>IF(AND($F$15=Datos!$AI$5,Datos!$C$9=Datos!$AI$10),IF(A127&gt;30000,N127,ROUND(N127*Datos!$J$18,Dins)),IF(AND($F$15=Datos!$AI$5,Datos!$C$9=Datos!$AI$9),IF(A127&gt;30000,O127,ROUND(O127*Datos!$J$18,Dins)),IF(AND($F$15=Datos!$AI$6,Datos!$C$9=Datos!$AI$10),IF(A127&gt;30000,P127,ROUND(P127*Datos!$J$18,Dins)),IF(AND($F$15=Datos!$AI$6,Datos!$C$9=Datos!$AI$9),IF(A127&gt;30000,Q127,ROUND(Q127*Datos!$J$18,Dins))))))</f>
        <v>3.5</v>
      </c>
      <c r="G127">
        <v>0</v>
      </c>
      <c r="H127">
        <v>0</v>
      </c>
      <c r="I127">
        <v>0</v>
      </c>
      <c r="J127">
        <v>0</v>
      </c>
      <c r="N127">
        <v>4.13</v>
      </c>
      <c r="O127">
        <f t="shared" si="3"/>
        <v>3.5</v>
      </c>
      <c r="P127">
        <f t="shared" si="4"/>
        <v>1.1000000000000001</v>
      </c>
      <c r="Q127">
        <f t="shared" si="5"/>
        <v>0.93</v>
      </c>
    </row>
    <row r="128" spans="1:17" x14ac:dyDescent="0.2">
      <c r="A128">
        <v>30073</v>
      </c>
      <c r="B128">
        <v>43</v>
      </c>
      <c r="C128" t="s">
        <v>6</v>
      </c>
      <c r="D128" t="s">
        <v>476</v>
      </c>
      <c r="E128" s="3" t="s">
        <v>185</v>
      </c>
      <c r="F128">
        <f>IF(AND($F$15=Datos!$AI$5,Datos!$C$9=Datos!$AI$10),IF(A128&gt;30000,N128,ROUND(N128*Datos!$J$18,Dins)),IF(AND($F$15=Datos!$AI$5,Datos!$C$9=Datos!$AI$9),IF(A128&gt;30000,O128,ROUND(O128*Datos!$J$18,Dins)),IF(AND($F$15=Datos!$AI$6,Datos!$C$9=Datos!$AI$10),IF(A128&gt;30000,P128,ROUND(P128*Datos!$J$18,Dins)),IF(AND($F$15=Datos!$AI$6,Datos!$C$9=Datos!$AI$9),IF(A128&gt;30000,Q128,ROUND(Q128*Datos!$J$18,Dins))))))</f>
        <v>3.9</v>
      </c>
      <c r="G128">
        <v>0</v>
      </c>
      <c r="H128">
        <v>0</v>
      </c>
      <c r="I128">
        <v>0</v>
      </c>
      <c r="J128">
        <v>0</v>
      </c>
      <c r="N128">
        <v>4.5999999999999996</v>
      </c>
      <c r="O128">
        <f t="shared" si="3"/>
        <v>3.9</v>
      </c>
      <c r="P128">
        <f t="shared" si="4"/>
        <v>1.23</v>
      </c>
      <c r="Q128">
        <f t="shared" si="5"/>
        <v>1.04</v>
      </c>
    </row>
    <row r="129" spans="1:17" x14ac:dyDescent="0.2">
      <c r="A129">
        <v>30074</v>
      </c>
      <c r="B129">
        <v>80</v>
      </c>
      <c r="C129" t="s">
        <v>6</v>
      </c>
      <c r="D129" t="s">
        <v>483</v>
      </c>
      <c r="E129" s="3" t="s">
        <v>34</v>
      </c>
      <c r="F129">
        <f>IF(AND($F$15=Datos!$AI$5,Datos!$C$9=Datos!$AI$10),IF(A129&gt;30000,N129,ROUND(N129*Datos!$J$18,Dins)),IF(AND($F$15=Datos!$AI$5,Datos!$C$9=Datos!$AI$9),IF(A129&gt;30000,O129,ROUND(O129*Datos!$J$18,Dins)),IF(AND($F$15=Datos!$AI$6,Datos!$C$9=Datos!$AI$10),IF(A129&gt;30000,P129,ROUND(P129*Datos!$J$18,Dins)),IF(AND($F$15=Datos!$AI$6,Datos!$C$9=Datos!$AI$9),IF(A129&gt;30000,Q129,ROUND(Q129*Datos!$J$18,Dins))))))</f>
        <v>218</v>
      </c>
      <c r="G129">
        <v>0</v>
      </c>
      <c r="H129">
        <v>0</v>
      </c>
      <c r="I129">
        <v>0</v>
      </c>
      <c r="J129">
        <v>0</v>
      </c>
      <c r="N129">
        <v>257.24</v>
      </c>
      <c r="O129">
        <f t="shared" si="3"/>
        <v>218</v>
      </c>
      <c r="P129">
        <f t="shared" si="4"/>
        <v>68.599999999999994</v>
      </c>
      <c r="Q129">
        <f t="shared" si="5"/>
        <v>58.14</v>
      </c>
    </row>
    <row r="130" spans="1:17" x14ac:dyDescent="0.2">
      <c r="A130">
        <v>30075</v>
      </c>
      <c r="B130">
        <v>80</v>
      </c>
      <c r="C130" t="s">
        <v>6</v>
      </c>
      <c r="D130" t="s">
        <v>492</v>
      </c>
      <c r="E130" s="3" t="s">
        <v>34</v>
      </c>
      <c r="F130">
        <f>IF(AND($F$15=Datos!$AI$5,Datos!$C$9=Datos!$AI$10),IF(A130&gt;30000,N130,ROUND(N130*Datos!$J$18,Dins)),IF(AND($F$15=Datos!$AI$5,Datos!$C$9=Datos!$AI$9),IF(A130&gt;30000,O130,ROUND(O130*Datos!$J$18,Dins)),IF(AND($F$15=Datos!$AI$6,Datos!$C$9=Datos!$AI$10),IF(A130&gt;30000,P130,ROUND(P130*Datos!$J$18,Dins)),IF(AND($F$15=Datos!$AI$6,Datos!$C$9=Datos!$AI$9),IF(A130&gt;30000,Q130,ROUND(Q130*Datos!$J$18,Dins))))))</f>
        <v>218</v>
      </c>
      <c r="G130">
        <v>0</v>
      </c>
      <c r="H130">
        <v>0</v>
      </c>
      <c r="I130">
        <v>0</v>
      </c>
      <c r="J130">
        <v>0</v>
      </c>
      <c r="N130">
        <v>257.24</v>
      </c>
      <c r="O130">
        <f t="shared" si="3"/>
        <v>218</v>
      </c>
      <c r="P130">
        <f t="shared" si="4"/>
        <v>68.599999999999994</v>
      </c>
      <c r="Q130">
        <f t="shared" si="5"/>
        <v>58.14</v>
      </c>
    </row>
    <row r="131" spans="1:17" x14ac:dyDescent="0.2">
      <c r="A131">
        <v>30076</v>
      </c>
      <c r="B131">
        <v>39</v>
      </c>
      <c r="C131" t="s">
        <v>6</v>
      </c>
      <c r="D131" t="s">
        <v>495</v>
      </c>
      <c r="E131" s="3" t="s">
        <v>194</v>
      </c>
      <c r="F131">
        <f>IF(AND($F$15=Datos!$AI$5,Datos!$C$9=Datos!$AI$10),IF(A131&gt;30000,N131,ROUND(N131*Datos!$J$18,Dins)),IF(AND($F$15=Datos!$AI$5,Datos!$C$9=Datos!$AI$9),IF(A131&gt;30000,O131,ROUND(O131*Datos!$J$18,Dins)),IF(AND($F$15=Datos!$AI$6,Datos!$C$9=Datos!$AI$10),IF(A131&gt;30000,P131,ROUND(P131*Datos!$J$18,Dins)),IF(AND($F$15=Datos!$AI$6,Datos!$C$9=Datos!$AI$9),IF(A131&gt;30000,Q131,ROUND(Q131*Datos!$J$18,Dins))))))</f>
        <v>11.68</v>
      </c>
      <c r="G131">
        <v>0</v>
      </c>
      <c r="H131">
        <v>0</v>
      </c>
      <c r="I131">
        <v>0</v>
      </c>
      <c r="J131">
        <v>0</v>
      </c>
      <c r="N131">
        <v>13.78</v>
      </c>
      <c r="O131">
        <f t="shared" si="3"/>
        <v>11.68</v>
      </c>
      <c r="P131">
        <f t="shared" si="4"/>
        <v>3.67</v>
      </c>
      <c r="Q131">
        <f t="shared" si="5"/>
        <v>3.11</v>
      </c>
    </row>
    <row r="132" spans="1:17" x14ac:dyDescent="0.2">
      <c r="A132">
        <v>30077</v>
      </c>
      <c r="B132">
        <v>39</v>
      </c>
      <c r="C132" t="s">
        <v>6</v>
      </c>
      <c r="D132" t="s">
        <v>498</v>
      </c>
      <c r="E132" s="3" t="s">
        <v>194</v>
      </c>
      <c r="F132">
        <f>IF(AND($F$15=Datos!$AI$5,Datos!$C$9=Datos!$AI$10),IF(A132&gt;30000,N132,ROUND(N132*Datos!$J$18,Dins)),IF(AND($F$15=Datos!$AI$5,Datos!$C$9=Datos!$AI$9),IF(A132&gt;30000,O132,ROUND(O132*Datos!$J$18,Dins)),IF(AND($F$15=Datos!$AI$6,Datos!$C$9=Datos!$AI$10),IF(A132&gt;30000,P132,ROUND(P132*Datos!$J$18,Dins)),IF(AND($F$15=Datos!$AI$6,Datos!$C$9=Datos!$AI$9),IF(A132&gt;30000,Q132,ROUND(Q132*Datos!$J$18,Dins))))))</f>
        <v>13.18</v>
      </c>
      <c r="G132">
        <v>0</v>
      </c>
      <c r="H132">
        <v>0</v>
      </c>
      <c r="I132">
        <v>0</v>
      </c>
      <c r="J132">
        <v>0</v>
      </c>
      <c r="N132">
        <v>15.55</v>
      </c>
      <c r="O132">
        <f t="shared" si="3"/>
        <v>13.18</v>
      </c>
      <c r="P132">
        <f t="shared" si="4"/>
        <v>4.1500000000000004</v>
      </c>
      <c r="Q132">
        <f t="shared" si="5"/>
        <v>3.52</v>
      </c>
    </row>
    <row r="133" spans="1:17" x14ac:dyDescent="0.2">
      <c r="A133">
        <v>30078</v>
      </c>
      <c r="B133">
        <v>39</v>
      </c>
      <c r="C133" t="s">
        <v>6</v>
      </c>
      <c r="D133" t="s">
        <v>501</v>
      </c>
      <c r="E133" s="3" t="s">
        <v>194</v>
      </c>
      <c r="F133">
        <f>IF(AND($F$15=Datos!$AI$5,Datos!$C$9=Datos!$AI$10),IF(A133&gt;30000,N133,ROUND(N133*Datos!$J$18,Dins)),IF(AND($F$15=Datos!$AI$5,Datos!$C$9=Datos!$AI$9),IF(A133&gt;30000,O133,ROUND(O133*Datos!$J$18,Dins)),IF(AND($F$15=Datos!$AI$6,Datos!$C$9=Datos!$AI$10),IF(A133&gt;30000,P133,ROUND(P133*Datos!$J$18,Dins)),IF(AND($F$15=Datos!$AI$6,Datos!$C$9=Datos!$AI$9),IF(A133&gt;30000,Q133,ROUND(Q133*Datos!$J$18,Dins))))))</f>
        <v>14.58</v>
      </c>
      <c r="G133">
        <v>0</v>
      </c>
      <c r="H133">
        <v>0</v>
      </c>
      <c r="I133">
        <v>0</v>
      </c>
      <c r="J133">
        <v>0</v>
      </c>
      <c r="N133">
        <v>17.2</v>
      </c>
      <c r="O133">
        <f t="shared" si="3"/>
        <v>14.58</v>
      </c>
      <c r="P133">
        <f t="shared" si="4"/>
        <v>4.59</v>
      </c>
      <c r="Q133">
        <f t="shared" si="5"/>
        <v>3.89</v>
      </c>
    </row>
    <row r="134" spans="1:17" x14ac:dyDescent="0.2">
      <c r="A134">
        <v>30079</v>
      </c>
      <c r="B134">
        <v>39</v>
      </c>
      <c r="C134" t="s">
        <v>6</v>
      </c>
      <c r="D134" t="s">
        <v>506</v>
      </c>
      <c r="E134" s="3" t="s">
        <v>7</v>
      </c>
      <c r="F134">
        <f>IF(AND($F$15=Datos!$AI$5,Datos!$C$9=Datos!$AI$10),IF(A134&gt;30000,N134,ROUND(N134*Datos!$J$18,Dins)),IF(AND($F$15=Datos!$AI$5,Datos!$C$9=Datos!$AI$9),IF(A134&gt;30000,O134,ROUND(O134*Datos!$J$18,Dins)),IF(AND($F$15=Datos!$AI$6,Datos!$C$9=Datos!$AI$10),IF(A134&gt;30000,P134,ROUND(P134*Datos!$J$18,Dins)),IF(AND($F$15=Datos!$AI$6,Datos!$C$9=Datos!$AI$9),IF(A134&gt;30000,Q134,ROUND(Q134*Datos!$J$18,Dins))))))</f>
        <v>2.77</v>
      </c>
      <c r="G134">
        <v>0</v>
      </c>
      <c r="H134">
        <v>0</v>
      </c>
      <c r="I134">
        <v>0</v>
      </c>
      <c r="J134">
        <v>0</v>
      </c>
      <c r="N134">
        <v>3.27</v>
      </c>
      <c r="O134">
        <f t="shared" si="3"/>
        <v>2.77</v>
      </c>
      <c r="P134">
        <f t="shared" si="4"/>
        <v>0.87</v>
      </c>
      <c r="Q134">
        <f t="shared" si="5"/>
        <v>0.74</v>
      </c>
    </row>
    <row r="135" spans="1:17" x14ac:dyDescent="0.2">
      <c r="A135">
        <v>30080</v>
      </c>
      <c r="B135">
        <v>5</v>
      </c>
      <c r="C135" t="s">
        <v>6</v>
      </c>
      <c r="D135" t="s">
        <v>513</v>
      </c>
      <c r="E135" s="3" t="s">
        <v>34</v>
      </c>
      <c r="F135">
        <f>IF(AND($F$15=Datos!$AI$5,Datos!$C$9=Datos!$AI$10),IF(A135&gt;30000,N135,ROUND(N135*Datos!$J$18,Dins)),IF(AND($F$15=Datos!$AI$5,Datos!$C$9=Datos!$AI$9),IF(A135&gt;30000,O135,ROUND(O135*Datos!$J$18,Dins)),IF(AND($F$15=Datos!$AI$6,Datos!$C$9=Datos!$AI$10),IF(A135&gt;30000,P135,ROUND(P135*Datos!$J$18,Dins)),IF(AND($F$15=Datos!$AI$6,Datos!$C$9=Datos!$AI$9),IF(A135&gt;30000,Q135,ROUND(Q135*Datos!$J$18,Dins))))))</f>
        <v>60</v>
      </c>
      <c r="G135">
        <v>0</v>
      </c>
      <c r="H135">
        <v>0</v>
      </c>
      <c r="I135">
        <v>0</v>
      </c>
      <c r="J135">
        <v>0</v>
      </c>
      <c r="N135">
        <v>70.8</v>
      </c>
      <c r="O135">
        <f t="shared" si="3"/>
        <v>60</v>
      </c>
      <c r="P135">
        <f t="shared" si="4"/>
        <v>18.88</v>
      </c>
      <c r="Q135">
        <f t="shared" si="5"/>
        <v>16</v>
      </c>
    </row>
    <row r="136" spans="1:17" x14ac:dyDescent="0.2">
      <c r="A136">
        <v>60015</v>
      </c>
      <c r="B136">
        <v>49</v>
      </c>
      <c r="C136" t="s">
        <v>123</v>
      </c>
      <c r="D136" t="s">
        <v>514</v>
      </c>
      <c r="E136" s="3" t="s">
        <v>213</v>
      </c>
      <c r="F136">
        <f>IF(AND($F$15=Datos!$AI$5,Datos!$C$9=Datos!$AI$10),IF(A136&gt;30000,N136,ROUND(N136*Datos!$J$18,Dins)),IF(AND($F$15=Datos!$AI$5,Datos!$C$9=Datos!$AI$9),IF(A136&gt;30000,O136,ROUND(O136*Datos!$J$18,Dins)),IF(AND($F$15=Datos!$AI$6,Datos!$C$9=Datos!$AI$10),IF(A136&gt;30000,P136,ROUND(P136*Datos!$J$18,Dins)),IF(AND($F$15=Datos!$AI$6,Datos!$C$9=Datos!$AI$9),IF(A136&gt;30000,Q136,ROUND(Q136*Datos!$J$18,Dins))))))</f>
        <v>15.78</v>
      </c>
      <c r="N136">
        <v>18.62</v>
      </c>
      <c r="O136">
        <f t="shared" si="3"/>
        <v>15.78</v>
      </c>
      <c r="P136">
        <f t="shared" si="4"/>
        <v>4.97</v>
      </c>
      <c r="Q136">
        <f t="shared" si="5"/>
        <v>4.21</v>
      </c>
    </row>
    <row r="137" spans="1:17" x14ac:dyDescent="0.2">
      <c r="A137">
        <v>30081</v>
      </c>
      <c r="B137">
        <v>60</v>
      </c>
      <c r="C137" t="s">
        <v>6</v>
      </c>
      <c r="D137" t="s">
        <v>547</v>
      </c>
      <c r="E137" s="3" t="s">
        <v>187</v>
      </c>
      <c r="F137">
        <f>IF(AND($F$15=Datos!$AI$5,Datos!$C$9=Datos!$AI$10),IF(A137&gt;30000,N137,ROUND(N137*Datos!$J$18,Dins)),IF(AND($F$15=Datos!$AI$5,Datos!$C$9=Datos!$AI$9),IF(A137&gt;30000,O137,ROUND(O137*Datos!$J$18,Dins)),IF(AND($F$15=Datos!$AI$6,Datos!$C$9=Datos!$AI$10),IF(A137&gt;30000,P137,ROUND(P137*Datos!$J$18,Dins)),IF(AND($F$15=Datos!$AI$6,Datos!$C$9=Datos!$AI$9),IF(A137&gt;30000,Q137,ROUND(Q137*Datos!$J$18,Dins))))))</f>
        <v>19</v>
      </c>
      <c r="G137">
        <v>0</v>
      </c>
      <c r="H137">
        <v>0</v>
      </c>
      <c r="I137">
        <v>0</v>
      </c>
      <c r="J137">
        <v>0</v>
      </c>
      <c r="N137">
        <v>22.42</v>
      </c>
      <c r="O137">
        <f t="shared" si="3"/>
        <v>19</v>
      </c>
      <c r="P137">
        <f t="shared" si="4"/>
        <v>5.98</v>
      </c>
      <c r="Q137">
        <f t="shared" si="5"/>
        <v>5.07</v>
      </c>
    </row>
    <row r="138" spans="1:17" x14ac:dyDescent="0.2">
      <c r="A138">
        <v>30082</v>
      </c>
      <c r="B138">
        <v>30</v>
      </c>
      <c r="C138" t="s">
        <v>6</v>
      </c>
      <c r="D138" t="s">
        <v>550</v>
      </c>
      <c r="E138" s="3" t="s">
        <v>551</v>
      </c>
      <c r="F138">
        <f>IF(AND($F$15=Datos!$AI$5,Datos!$C$9=Datos!$AI$10),IF(A138&gt;30000,N138,ROUND(N138*Datos!$J$18,Dins)),IF(AND($F$15=Datos!$AI$5,Datos!$C$9=Datos!$AI$9),IF(A138&gt;30000,O138,ROUND(O138*Datos!$J$18,Dins)),IF(AND($F$15=Datos!$AI$6,Datos!$C$9=Datos!$AI$10),IF(A138&gt;30000,P138,ROUND(P138*Datos!$J$18,Dins)),IF(AND($F$15=Datos!$AI$6,Datos!$C$9=Datos!$AI$9),IF(A138&gt;30000,Q138,ROUND(Q138*Datos!$J$18,Dins))))))</f>
        <v>25.5</v>
      </c>
      <c r="G138">
        <v>0</v>
      </c>
      <c r="H138">
        <v>0</v>
      </c>
      <c r="I138">
        <v>0</v>
      </c>
      <c r="J138">
        <v>0</v>
      </c>
      <c r="N138">
        <v>30.09</v>
      </c>
      <c r="O138">
        <f t="shared" si="3"/>
        <v>25.5</v>
      </c>
      <c r="P138">
        <f t="shared" si="4"/>
        <v>8.02</v>
      </c>
      <c r="Q138">
        <f t="shared" si="5"/>
        <v>6.8</v>
      </c>
    </row>
    <row r="139" spans="1:17" x14ac:dyDescent="0.2">
      <c r="A139">
        <v>30083</v>
      </c>
      <c r="B139">
        <v>30</v>
      </c>
      <c r="C139" t="s">
        <v>6</v>
      </c>
      <c r="D139" t="s">
        <v>554</v>
      </c>
      <c r="E139" s="3" t="s">
        <v>33</v>
      </c>
      <c r="F139">
        <f>IF(AND($F$15=Datos!$AI$5,Datos!$C$9=Datos!$AI$10),IF(A139&gt;30000,N139,ROUND(N139*Datos!$J$18,Dins)),IF(AND($F$15=Datos!$AI$5,Datos!$C$9=Datos!$AI$9),IF(A139&gt;30000,O139,ROUND(O139*Datos!$J$18,Dins)),IF(AND($F$15=Datos!$AI$6,Datos!$C$9=Datos!$AI$10),IF(A139&gt;30000,P139,ROUND(P139*Datos!$J$18,Dins)),IF(AND($F$15=Datos!$AI$6,Datos!$C$9=Datos!$AI$9),IF(A139&gt;30000,Q139,ROUND(Q139*Datos!$J$18,Dins))))))</f>
        <v>55</v>
      </c>
      <c r="G139">
        <v>0</v>
      </c>
      <c r="H139">
        <v>0</v>
      </c>
      <c r="I139">
        <v>0</v>
      </c>
      <c r="J139">
        <v>0</v>
      </c>
      <c r="N139">
        <v>64.900000000000006</v>
      </c>
      <c r="O139">
        <f t="shared" si="3"/>
        <v>55</v>
      </c>
      <c r="P139">
        <f t="shared" si="4"/>
        <v>17.309999999999999</v>
      </c>
      <c r="Q139">
        <f t="shared" si="5"/>
        <v>14.67</v>
      </c>
    </row>
    <row r="140" spans="1:17" x14ac:dyDescent="0.2">
      <c r="A140">
        <v>30084</v>
      </c>
      <c r="B140">
        <v>39</v>
      </c>
      <c r="C140" t="s">
        <v>6</v>
      </c>
      <c r="D140" t="s">
        <v>561</v>
      </c>
      <c r="E140" s="3" t="s">
        <v>7</v>
      </c>
      <c r="F140">
        <f>IF(AND($F$15=Datos!$AI$5,Datos!$C$9=Datos!$AI$10),IF(A140&gt;30000,N140,ROUND(N140*Datos!$J$18,Dins)),IF(AND($F$15=Datos!$AI$5,Datos!$C$9=Datos!$AI$9),IF(A140&gt;30000,O140,ROUND(O140*Datos!$J$18,Dins)),IF(AND($F$15=Datos!$AI$6,Datos!$C$9=Datos!$AI$10),IF(A140&gt;30000,P140,ROUND(P140*Datos!$J$18,Dins)),IF(AND($F$15=Datos!$AI$6,Datos!$C$9=Datos!$AI$9),IF(A140&gt;30000,Q140,ROUND(Q140*Datos!$J$18,Dins))))))</f>
        <v>3.75</v>
      </c>
      <c r="G140">
        <v>0</v>
      </c>
      <c r="H140">
        <v>0</v>
      </c>
      <c r="I140">
        <v>0</v>
      </c>
      <c r="J140">
        <v>0</v>
      </c>
      <c r="N140">
        <v>4.42</v>
      </c>
      <c r="O140">
        <f t="shared" si="3"/>
        <v>3.75</v>
      </c>
      <c r="P140">
        <f t="shared" si="4"/>
        <v>1.18</v>
      </c>
      <c r="Q140">
        <f t="shared" si="5"/>
        <v>1</v>
      </c>
    </row>
    <row r="141" spans="1:17" x14ac:dyDescent="0.2">
      <c r="A141">
        <v>30085</v>
      </c>
      <c r="B141">
        <v>80</v>
      </c>
      <c r="C141" t="s">
        <v>6</v>
      </c>
      <c r="D141" t="s">
        <v>562</v>
      </c>
      <c r="E141" s="3" t="s">
        <v>172</v>
      </c>
      <c r="F141">
        <f>IF(AND($F$15=Datos!$AI$5,Datos!$C$9=Datos!$AI$10),IF(A141&gt;30000,N141,ROUND(N141*Datos!$J$18,Dins)),IF(AND($F$15=Datos!$AI$5,Datos!$C$9=Datos!$AI$9),IF(A141&gt;30000,O141,ROUND(O141*Datos!$J$18,Dins)),IF(AND($F$15=Datos!$AI$6,Datos!$C$9=Datos!$AI$10),IF(A141&gt;30000,P141,ROUND(P141*Datos!$J$18,Dins)),IF(AND($F$15=Datos!$AI$6,Datos!$C$9=Datos!$AI$9),IF(A141&gt;30000,Q141,ROUND(Q141*Datos!$J$18,Dins))))))</f>
        <v>7.32</v>
      </c>
      <c r="G141">
        <v>0</v>
      </c>
      <c r="H141">
        <v>0</v>
      </c>
      <c r="I141">
        <v>0</v>
      </c>
      <c r="J141">
        <v>0</v>
      </c>
      <c r="N141">
        <v>8.64</v>
      </c>
      <c r="O141">
        <f t="shared" si="3"/>
        <v>7.32</v>
      </c>
      <c r="P141">
        <f t="shared" si="4"/>
        <v>2.2999999999999998</v>
      </c>
      <c r="Q141">
        <f t="shared" si="5"/>
        <v>1.95</v>
      </c>
    </row>
    <row r="142" spans="1:17" x14ac:dyDescent="0.2">
      <c r="A142">
        <v>30086</v>
      </c>
      <c r="B142">
        <v>4</v>
      </c>
      <c r="C142" t="s">
        <v>6</v>
      </c>
      <c r="D142" t="s">
        <v>563</v>
      </c>
      <c r="E142" s="3" t="s">
        <v>172</v>
      </c>
      <c r="F142">
        <f>IF(AND($F$15=Datos!$AI$5,Datos!$C$9=Datos!$AI$10),IF(A142&gt;30000,N142,ROUND(N142*Datos!$J$18,Dins)),IF(AND($F$15=Datos!$AI$5,Datos!$C$9=Datos!$AI$9),IF(A142&gt;30000,O142,ROUND(O142*Datos!$J$18,Dins)),IF(AND($F$15=Datos!$AI$6,Datos!$C$9=Datos!$AI$10),IF(A142&gt;30000,P142,ROUND(P142*Datos!$J$18,Dins)),IF(AND($F$15=Datos!$AI$6,Datos!$C$9=Datos!$AI$9),IF(A142&gt;30000,Q142,ROUND(Q142*Datos!$J$18,Dins))))))</f>
        <v>6.62</v>
      </c>
      <c r="G142">
        <v>0</v>
      </c>
      <c r="H142">
        <v>0</v>
      </c>
      <c r="I142">
        <v>0</v>
      </c>
      <c r="J142">
        <v>0</v>
      </c>
      <c r="N142">
        <v>7.81</v>
      </c>
      <c r="O142">
        <f t="shared" si="3"/>
        <v>6.62</v>
      </c>
      <c r="P142">
        <f t="shared" si="4"/>
        <v>2.08</v>
      </c>
      <c r="Q142">
        <f t="shared" si="5"/>
        <v>1.76</v>
      </c>
    </row>
    <row r="143" spans="1:17" x14ac:dyDescent="0.2">
      <c r="A143">
        <v>30087</v>
      </c>
      <c r="B143">
        <v>4</v>
      </c>
      <c r="C143" t="s">
        <v>6</v>
      </c>
      <c r="D143" t="s">
        <v>564</v>
      </c>
      <c r="E143" s="3" t="s">
        <v>172</v>
      </c>
      <c r="F143">
        <f>IF(AND($F$15=Datos!$AI$5,Datos!$C$9=Datos!$AI$10),IF(A143&gt;30000,N143,ROUND(N143*Datos!$J$18,Dins)),IF(AND($F$15=Datos!$AI$5,Datos!$C$9=Datos!$AI$9),IF(A143&gt;30000,O143,ROUND(O143*Datos!$J$18,Dins)),IF(AND($F$15=Datos!$AI$6,Datos!$C$9=Datos!$AI$10),IF(A143&gt;30000,P143,ROUND(P143*Datos!$J$18,Dins)),IF(AND($F$15=Datos!$AI$6,Datos!$C$9=Datos!$AI$9),IF(A143&gt;30000,Q143,ROUND(Q143*Datos!$J$18,Dins))))))</f>
        <v>6.61</v>
      </c>
      <c r="G143">
        <v>0</v>
      </c>
      <c r="H143">
        <v>0</v>
      </c>
      <c r="I143">
        <v>0</v>
      </c>
      <c r="J143">
        <v>0</v>
      </c>
      <c r="N143">
        <v>7.8</v>
      </c>
      <c r="O143">
        <f t="shared" si="3"/>
        <v>6.61</v>
      </c>
      <c r="P143">
        <f t="shared" si="4"/>
        <v>2.08</v>
      </c>
      <c r="Q143">
        <f t="shared" si="5"/>
        <v>1.76</v>
      </c>
    </row>
    <row r="144" spans="1:17" x14ac:dyDescent="0.2">
      <c r="A144">
        <v>30088</v>
      </c>
      <c r="B144">
        <v>30</v>
      </c>
      <c r="C144" t="s">
        <v>6</v>
      </c>
      <c r="D144" t="s">
        <v>565</v>
      </c>
      <c r="E144" s="3" t="s">
        <v>7</v>
      </c>
      <c r="F144">
        <f>IF(AND($F$15=Datos!$AI$5,Datos!$C$9=Datos!$AI$10),IF(A144&gt;30000,N144,ROUND(N144*Datos!$J$18,Dins)),IF(AND($F$15=Datos!$AI$5,Datos!$C$9=Datos!$AI$9),IF(A144&gt;30000,O144,ROUND(O144*Datos!$J$18,Dins)),IF(AND($F$15=Datos!$AI$6,Datos!$C$9=Datos!$AI$10),IF(A144&gt;30000,P144,ROUND(P144*Datos!$J$18,Dins)),IF(AND($F$15=Datos!$AI$6,Datos!$C$9=Datos!$AI$9),IF(A144&gt;30000,Q144,ROUND(Q144*Datos!$J$18,Dins))))))</f>
        <v>268</v>
      </c>
      <c r="G144">
        <v>0</v>
      </c>
      <c r="H144">
        <v>0</v>
      </c>
      <c r="I144">
        <v>0</v>
      </c>
      <c r="J144">
        <v>0</v>
      </c>
      <c r="N144">
        <v>316.24</v>
      </c>
      <c r="O144">
        <f t="shared" ref="O144:O207" si="6">IF(A144&gt;30000,ROUND(N144/$O$14,Dins),ROUND(N144,Dins))</f>
        <v>268</v>
      </c>
      <c r="P144">
        <f t="shared" ref="P144:P207" si="7">ROUND(N144/$P$14,Dins)</f>
        <v>84.33</v>
      </c>
      <c r="Q144">
        <f t="shared" ref="Q144:Q207" si="8">IF(A144&gt;30000,ROUND(P144/$Q$14,Dins),ROUND(P144,Dins))</f>
        <v>71.47</v>
      </c>
    </row>
    <row r="145" spans="1:17" x14ac:dyDescent="0.2">
      <c r="A145">
        <v>30089</v>
      </c>
      <c r="B145">
        <v>26</v>
      </c>
      <c r="C145" t="s">
        <v>6</v>
      </c>
      <c r="D145" t="s">
        <v>566</v>
      </c>
      <c r="E145" s="3" t="s">
        <v>7</v>
      </c>
      <c r="F145">
        <f>IF(AND($F$15=Datos!$AI$5,Datos!$C$9=Datos!$AI$10),IF(A145&gt;30000,N145,ROUND(N145*Datos!$J$18,Dins)),IF(AND($F$15=Datos!$AI$5,Datos!$C$9=Datos!$AI$9),IF(A145&gt;30000,O145,ROUND(O145*Datos!$J$18,Dins)),IF(AND($F$15=Datos!$AI$6,Datos!$C$9=Datos!$AI$10),IF(A145&gt;30000,P145,ROUND(P145*Datos!$J$18,Dins)),IF(AND($F$15=Datos!$AI$6,Datos!$C$9=Datos!$AI$9),IF(A145&gt;30000,Q145,ROUND(Q145*Datos!$J$18,Dins))))))</f>
        <v>1</v>
      </c>
      <c r="G145">
        <v>0</v>
      </c>
      <c r="H145">
        <v>0</v>
      </c>
      <c r="I145">
        <v>0</v>
      </c>
      <c r="J145">
        <v>0</v>
      </c>
      <c r="N145">
        <v>1.18</v>
      </c>
      <c r="O145">
        <f t="shared" si="6"/>
        <v>1</v>
      </c>
      <c r="P145">
        <f t="shared" si="7"/>
        <v>0.31</v>
      </c>
      <c r="Q145">
        <f t="shared" si="8"/>
        <v>0.26</v>
      </c>
    </row>
    <row r="146" spans="1:17" x14ac:dyDescent="0.2">
      <c r="A146">
        <v>30090</v>
      </c>
      <c r="B146">
        <v>39</v>
      </c>
      <c r="C146" t="s">
        <v>6</v>
      </c>
      <c r="D146" t="s">
        <v>569</v>
      </c>
      <c r="E146" s="3" t="s">
        <v>7</v>
      </c>
      <c r="F146">
        <f>IF(AND($F$15=Datos!$AI$5,Datos!$C$9=Datos!$AI$10),IF(A146&gt;30000,N146,ROUND(N146*Datos!$J$18,Dins)),IF(AND($F$15=Datos!$AI$5,Datos!$C$9=Datos!$AI$9),IF(A146&gt;30000,O146,ROUND(O146*Datos!$J$18,Dins)),IF(AND($F$15=Datos!$AI$6,Datos!$C$9=Datos!$AI$10),IF(A146&gt;30000,P146,ROUND(P146*Datos!$J$18,Dins)),IF(AND($F$15=Datos!$AI$6,Datos!$C$9=Datos!$AI$9),IF(A146&gt;30000,Q146,ROUND(Q146*Datos!$J$18,Dins))))))</f>
        <v>4.8</v>
      </c>
      <c r="G146">
        <v>0</v>
      </c>
      <c r="H146">
        <v>0</v>
      </c>
      <c r="I146">
        <v>0</v>
      </c>
      <c r="J146">
        <v>0</v>
      </c>
      <c r="N146">
        <v>5.66</v>
      </c>
      <c r="O146">
        <f t="shared" si="6"/>
        <v>4.8</v>
      </c>
      <c r="P146">
        <f t="shared" si="7"/>
        <v>1.51</v>
      </c>
      <c r="Q146">
        <f t="shared" si="8"/>
        <v>1.28</v>
      </c>
    </row>
    <row r="147" spans="1:17" x14ac:dyDescent="0.2">
      <c r="A147">
        <v>30091</v>
      </c>
      <c r="B147">
        <v>17</v>
      </c>
      <c r="C147" t="s">
        <v>6</v>
      </c>
      <c r="D147" t="s">
        <v>572</v>
      </c>
      <c r="E147" s="3" t="s">
        <v>7</v>
      </c>
      <c r="F147">
        <f>IF(AND($F$15=Datos!$AI$5,Datos!$C$9=Datos!$AI$10),IF(A147&gt;30000,N147,ROUND(N147*Datos!$J$18,Dins)),IF(AND($F$15=Datos!$AI$5,Datos!$C$9=Datos!$AI$9),IF(A147&gt;30000,O147,ROUND(O147*Datos!$J$18,Dins)),IF(AND($F$15=Datos!$AI$6,Datos!$C$9=Datos!$AI$10),IF(A147&gt;30000,P147,ROUND(P147*Datos!$J$18,Dins)),IF(AND($F$15=Datos!$AI$6,Datos!$C$9=Datos!$AI$9),IF(A147&gt;30000,Q147,ROUND(Q147*Datos!$J$18,Dins))))))</f>
        <v>0.56999999999999995</v>
      </c>
      <c r="G147">
        <v>0</v>
      </c>
      <c r="H147">
        <v>0</v>
      </c>
      <c r="I147">
        <v>0</v>
      </c>
      <c r="J147">
        <v>0</v>
      </c>
      <c r="N147">
        <v>0.67</v>
      </c>
      <c r="O147">
        <f t="shared" si="6"/>
        <v>0.56999999999999995</v>
      </c>
      <c r="P147">
        <f t="shared" si="7"/>
        <v>0.18</v>
      </c>
      <c r="Q147">
        <f t="shared" si="8"/>
        <v>0.15</v>
      </c>
    </row>
    <row r="148" spans="1:17" x14ac:dyDescent="0.2">
      <c r="A148">
        <v>30092</v>
      </c>
      <c r="B148">
        <v>17</v>
      </c>
      <c r="C148" t="s">
        <v>6</v>
      </c>
      <c r="D148" t="s">
        <v>575</v>
      </c>
      <c r="E148" s="3" t="s">
        <v>7</v>
      </c>
      <c r="F148">
        <f>IF(AND($F$15=Datos!$AI$5,Datos!$C$9=Datos!$AI$10),IF(A148&gt;30000,N148,ROUND(N148*Datos!$J$18,Dins)),IF(AND($F$15=Datos!$AI$5,Datos!$C$9=Datos!$AI$9),IF(A148&gt;30000,O148,ROUND(O148*Datos!$J$18,Dins)),IF(AND($F$15=Datos!$AI$6,Datos!$C$9=Datos!$AI$10),IF(A148&gt;30000,P148,ROUND(P148*Datos!$J$18,Dins)),IF(AND($F$15=Datos!$AI$6,Datos!$C$9=Datos!$AI$9),IF(A148&gt;30000,Q148,ROUND(Q148*Datos!$J$18,Dins))))))</f>
        <v>0.52</v>
      </c>
      <c r="G148">
        <v>0</v>
      </c>
      <c r="H148">
        <v>0</v>
      </c>
      <c r="I148">
        <v>0</v>
      </c>
      <c r="J148">
        <v>0</v>
      </c>
      <c r="N148">
        <v>0.61</v>
      </c>
      <c r="O148">
        <f t="shared" si="6"/>
        <v>0.52</v>
      </c>
      <c r="P148">
        <f t="shared" si="7"/>
        <v>0.16</v>
      </c>
      <c r="Q148">
        <f t="shared" si="8"/>
        <v>0.14000000000000001</v>
      </c>
    </row>
    <row r="149" spans="1:17" x14ac:dyDescent="0.2">
      <c r="A149">
        <v>30093</v>
      </c>
      <c r="B149">
        <v>4</v>
      </c>
      <c r="C149" t="s">
        <v>6</v>
      </c>
      <c r="D149" t="s">
        <v>47</v>
      </c>
      <c r="E149" s="3" t="s">
        <v>34</v>
      </c>
      <c r="F149">
        <f>IF(AND($F$15=Datos!$AI$5,Datos!$C$9=Datos!$AI$10),IF(A149&gt;30000,N149,ROUND(N149*Datos!$J$18,Dins)),IF(AND($F$15=Datos!$AI$5,Datos!$C$9=Datos!$AI$9),IF(A149&gt;30000,O149,ROUND(O149*Datos!$J$18,Dins)),IF(AND($F$15=Datos!$AI$6,Datos!$C$9=Datos!$AI$10),IF(A149&gt;30000,P149,ROUND(P149*Datos!$J$18,Dins)),IF(AND($F$15=Datos!$AI$6,Datos!$C$9=Datos!$AI$9),IF(A149&gt;30000,Q149,ROUND(Q149*Datos!$J$18,Dins))))))</f>
        <v>45</v>
      </c>
      <c r="G149">
        <v>0</v>
      </c>
      <c r="H149">
        <v>0</v>
      </c>
      <c r="I149">
        <v>0</v>
      </c>
      <c r="J149">
        <v>0</v>
      </c>
      <c r="N149">
        <v>53.1</v>
      </c>
      <c r="O149">
        <f t="shared" si="6"/>
        <v>45</v>
      </c>
      <c r="P149">
        <f t="shared" si="7"/>
        <v>14.16</v>
      </c>
      <c r="Q149">
        <f t="shared" si="8"/>
        <v>12</v>
      </c>
    </row>
    <row r="150" spans="1:17" x14ac:dyDescent="0.2">
      <c r="A150">
        <v>30094</v>
      </c>
      <c r="B150">
        <v>39</v>
      </c>
      <c r="C150" t="s">
        <v>6</v>
      </c>
      <c r="D150" t="s">
        <v>584</v>
      </c>
      <c r="E150" s="3" t="s">
        <v>34</v>
      </c>
      <c r="F150">
        <f>IF(AND($F$15=Datos!$AI$5,Datos!$C$9=Datos!$AI$10),IF(A150&gt;30000,N150,ROUND(N150*Datos!$J$18,Dins)),IF(AND($F$15=Datos!$AI$5,Datos!$C$9=Datos!$AI$9),IF(A150&gt;30000,O150,ROUND(O150*Datos!$J$18,Dins)),IF(AND($F$15=Datos!$AI$6,Datos!$C$9=Datos!$AI$10),IF(A150&gt;30000,P150,ROUND(P150*Datos!$J$18,Dins)),IF(AND($F$15=Datos!$AI$6,Datos!$C$9=Datos!$AI$9),IF(A150&gt;30000,Q150,ROUND(Q150*Datos!$J$18,Dins))))))</f>
        <v>5</v>
      </c>
      <c r="G150">
        <v>0</v>
      </c>
      <c r="H150">
        <v>0</v>
      </c>
      <c r="I150">
        <v>0</v>
      </c>
      <c r="J150">
        <v>0</v>
      </c>
      <c r="N150">
        <v>5.9</v>
      </c>
      <c r="O150">
        <f t="shared" si="6"/>
        <v>5</v>
      </c>
      <c r="P150">
        <f t="shared" si="7"/>
        <v>1.57</v>
      </c>
      <c r="Q150">
        <f t="shared" si="8"/>
        <v>1.33</v>
      </c>
    </row>
    <row r="151" spans="1:17" x14ac:dyDescent="0.2">
      <c r="A151">
        <v>30095</v>
      </c>
      <c r="B151">
        <v>30</v>
      </c>
      <c r="C151" t="s">
        <v>6</v>
      </c>
      <c r="D151" t="s">
        <v>591</v>
      </c>
      <c r="E151" s="3" t="s">
        <v>33</v>
      </c>
      <c r="F151">
        <f>IF(AND($F$15=Datos!$AI$5,Datos!$C$9=Datos!$AI$10),IF(A151&gt;30000,N151,ROUND(N151*Datos!$J$18,Dins)),IF(AND($F$15=Datos!$AI$5,Datos!$C$9=Datos!$AI$9),IF(A151&gt;30000,O151,ROUND(O151*Datos!$J$18,Dins)),IF(AND($F$15=Datos!$AI$6,Datos!$C$9=Datos!$AI$10),IF(A151&gt;30000,P151,ROUND(P151*Datos!$J$18,Dins)),IF(AND($F$15=Datos!$AI$6,Datos!$C$9=Datos!$AI$9),IF(A151&gt;30000,Q151,ROUND(Q151*Datos!$J$18,Dins))))))</f>
        <v>6</v>
      </c>
      <c r="G151">
        <v>0</v>
      </c>
      <c r="H151">
        <v>0</v>
      </c>
      <c r="I151">
        <v>0</v>
      </c>
      <c r="J151">
        <v>0</v>
      </c>
      <c r="N151">
        <v>7.08</v>
      </c>
      <c r="O151">
        <f t="shared" si="6"/>
        <v>6</v>
      </c>
      <c r="P151">
        <f t="shared" si="7"/>
        <v>1.89</v>
      </c>
      <c r="Q151">
        <f t="shared" si="8"/>
        <v>1.6</v>
      </c>
    </row>
    <row r="152" spans="1:17" x14ac:dyDescent="0.2">
      <c r="A152">
        <v>30096</v>
      </c>
      <c r="B152">
        <v>24</v>
      </c>
      <c r="C152" t="s">
        <v>6</v>
      </c>
      <c r="D152" t="s">
        <v>606</v>
      </c>
      <c r="E152" s="3" t="s">
        <v>210</v>
      </c>
      <c r="F152">
        <f>IF(AND($F$15=Datos!$AI$5,Datos!$C$9=Datos!$AI$10),IF(A152&gt;30000,N152,ROUND(N152*Datos!$J$18,Dins)),IF(AND($F$15=Datos!$AI$5,Datos!$C$9=Datos!$AI$9),IF(A152&gt;30000,O152,ROUND(O152*Datos!$J$18,Dins)),IF(AND($F$15=Datos!$AI$6,Datos!$C$9=Datos!$AI$10),IF(A152&gt;30000,P152,ROUND(P152*Datos!$J$18,Dins)),IF(AND($F$15=Datos!$AI$6,Datos!$C$9=Datos!$AI$9),IF(A152&gt;30000,Q152,ROUND(Q152*Datos!$J$18,Dins))))))</f>
        <v>19.95</v>
      </c>
      <c r="G152">
        <v>0</v>
      </c>
      <c r="H152">
        <v>0</v>
      </c>
      <c r="I152">
        <v>0</v>
      </c>
      <c r="J152">
        <v>0</v>
      </c>
      <c r="N152">
        <v>23.54</v>
      </c>
      <c r="O152">
        <f t="shared" si="6"/>
        <v>19.95</v>
      </c>
      <c r="P152">
        <f t="shared" si="7"/>
        <v>6.28</v>
      </c>
      <c r="Q152">
        <f t="shared" si="8"/>
        <v>5.32</v>
      </c>
    </row>
    <row r="153" spans="1:17" x14ac:dyDescent="0.2">
      <c r="A153">
        <v>30097</v>
      </c>
      <c r="B153">
        <v>30</v>
      </c>
      <c r="C153" t="s">
        <v>6</v>
      </c>
      <c r="D153" t="s">
        <v>607</v>
      </c>
      <c r="E153" s="3" t="s">
        <v>33</v>
      </c>
      <c r="F153">
        <f>IF(AND($F$15=Datos!$AI$5,Datos!$C$9=Datos!$AI$10),IF(A153&gt;30000,N153,ROUND(N153*Datos!$J$18,Dins)),IF(AND($F$15=Datos!$AI$5,Datos!$C$9=Datos!$AI$9),IF(A153&gt;30000,O153,ROUND(O153*Datos!$J$18,Dins)),IF(AND($F$15=Datos!$AI$6,Datos!$C$9=Datos!$AI$10),IF(A153&gt;30000,P153,ROUND(P153*Datos!$J$18,Dins)),IF(AND($F$15=Datos!$AI$6,Datos!$C$9=Datos!$AI$9),IF(A153&gt;30000,Q153,ROUND(Q153*Datos!$J$18,Dins))))))</f>
        <v>3.5</v>
      </c>
      <c r="G153">
        <v>0</v>
      </c>
      <c r="H153">
        <v>0</v>
      </c>
      <c r="I153">
        <v>0</v>
      </c>
      <c r="J153">
        <v>0</v>
      </c>
      <c r="N153">
        <v>4.13</v>
      </c>
      <c r="O153">
        <f t="shared" si="6"/>
        <v>3.5</v>
      </c>
      <c r="P153">
        <f t="shared" si="7"/>
        <v>1.1000000000000001</v>
      </c>
      <c r="Q153">
        <f t="shared" si="8"/>
        <v>0.93</v>
      </c>
    </row>
    <row r="154" spans="1:17" x14ac:dyDescent="0.2">
      <c r="A154">
        <v>30098</v>
      </c>
      <c r="B154">
        <v>30</v>
      </c>
      <c r="C154" t="s">
        <v>6</v>
      </c>
      <c r="D154" t="s">
        <v>608</v>
      </c>
      <c r="E154" s="3" t="s">
        <v>172</v>
      </c>
      <c r="F154">
        <f>IF(AND($F$15=Datos!$AI$5,Datos!$C$9=Datos!$AI$10),IF(A154&gt;30000,N154,ROUND(N154*Datos!$J$18,Dins)),IF(AND($F$15=Datos!$AI$5,Datos!$C$9=Datos!$AI$9),IF(A154&gt;30000,O154,ROUND(O154*Datos!$J$18,Dins)),IF(AND($F$15=Datos!$AI$6,Datos!$C$9=Datos!$AI$10),IF(A154&gt;30000,P154,ROUND(P154*Datos!$J$18,Dins)),IF(AND($F$15=Datos!$AI$6,Datos!$C$9=Datos!$AI$9),IF(A154&gt;30000,Q154,ROUND(Q154*Datos!$J$18,Dins))))))</f>
        <v>22</v>
      </c>
      <c r="G154">
        <v>0</v>
      </c>
      <c r="H154">
        <v>0</v>
      </c>
      <c r="I154">
        <v>0</v>
      </c>
      <c r="J154">
        <v>0</v>
      </c>
      <c r="N154">
        <v>25.96</v>
      </c>
      <c r="O154">
        <f t="shared" si="6"/>
        <v>22</v>
      </c>
      <c r="P154">
        <f t="shared" si="7"/>
        <v>6.92</v>
      </c>
      <c r="Q154">
        <f t="shared" si="8"/>
        <v>5.86</v>
      </c>
    </row>
    <row r="155" spans="1:17" x14ac:dyDescent="0.2">
      <c r="A155">
        <v>30099</v>
      </c>
      <c r="B155">
        <v>30</v>
      </c>
      <c r="C155" t="s">
        <v>6</v>
      </c>
      <c r="D155" t="s">
        <v>609</v>
      </c>
      <c r="E155" s="3" t="s">
        <v>194</v>
      </c>
      <c r="F155">
        <f>IF(AND($F$15=Datos!$AI$5,Datos!$C$9=Datos!$AI$10),IF(A155&gt;30000,N155,ROUND(N155*Datos!$J$18,Dins)),IF(AND($F$15=Datos!$AI$5,Datos!$C$9=Datos!$AI$9),IF(A155&gt;30000,O155,ROUND(O155*Datos!$J$18,Dins)),IF(AND($F$15=Datos!$AI$6,Datos!$C$9=Datos!$AI$10),IF(A155&gt;30000,P155,ROUND(P155*Datos!$J$18,Dins)),IF(AND($F$15=Datos!$AI$6,Datos!$C$9=Datos!$AI$9),IF(A155&gt;30000,Q155,ROUND(Q155*Datos!$J$18,Dins))))))</f>
        <v>5</v>
      </c>
      <c r="G155">
        <v>0</v>
      </c>
      <c r="H155">
        <v>0</v>
      </c>
      <c r="I155">
        <v>0</v>
      </c>
      <c r="J155">
        <v>0</v>
      </c>
      <c r="N155">
        <v>5.9</v>
      </c>
      <c r="O155">
        <f t="shared" si="6"/>
        <v>5</v>
      </c>
      <c r="P155">
        <f t="shared" si="7"/>
        <v>1.57</v>
      </c>
      <c r="Q155">
        <f t="shared" si="8"/>
        <v>1.33</v>
      </c>
    </row>
    <row r="156" spans="1:17" x14ac:dyDescent="0.2">
      <c r="A156">
        <v>30100</v>
      </c>
      <c r="B156">
        <v>39</v>
      </c>
      <c r="C156" t="s">
        <v>6</v>
      </c>
      <c r="D156" t="s">
        <v>622</v>
      </c>
      <c r="E156" s="3" t="s">
        <v>623</v>
      </c>
      <c r="F156">
        <f>IF(AND($F$15=Datos!$AI$5,Datos!$C$9=Datos!$AI$10),IF(A156&gt;30000,N156,ROUND(N156*Datos!$J$18,Dins)),IF(AND($F$15=Datos!$AI$5,Datos!$C$9=Datos!$AI$9),IF(A156&gt;30000,O156,ROUND(O156*Datos!$J$18,Dins)),IF(AND($F$15=Datos!$AI$6,Datos!$C$9=Datos!$AI$10),IF(A156&gt;30000,P156,ROUND(P156*Datos!$J$18,Dins)),IF(AND($F$15=Datos!$AI$6,Datos!$C$9=Datos!$AI$9),IF(A156&gt;30000,Q156,ROUND(Q156*Datos!$J$18,Dins))))))</f>
        <v>5</v>
      </c>
      <c r="G156">
        <v>0</v>
      </c>
      <c r="H156">
        <v>0</v>
      </c>
      <c r="I156">
        <v>0</v>
      </c>
      <c r="J156">
        <v>0</v>
      </c>
      <c r="N156">
        <v>5.9</v>
      </c>
      <c r="O156">
        <f t="shared" si="6"/>
        <v>5</v>
      </c>
      <c r="P156">
        <f t="shared" si="7"/>
        <v>1.57</v>
      </c>
      <c r="Q156">
        <f t="shared" si="8"/>
        <v>1.33</v>
      </c>
    </row>
    <row r="157" spans="1:17" x14ac:dyDescent="0.2">
      <c r="A157">
        <v>30101</v>
      </c>
      <c r="B157">
        <v>30</v>
      </c>
      <c r="C157" t="s">
        <v>6</v>
      </c>
      <c r="D157" t="s">
        <v>624</v>
      </c>
      <c r="E157" s="3" t="s">
        <v>33</v>
      </c>
      <c r="F157">
        <f>IF(AND($F$15=Datos!$AI$5,Datos!$C$9=Datos!$AI$10),IF(A157&gt;30000,N157,ROUND(N157*Datos!$J$18,Dins)),IF(AND($F$15=Datos!$AI$5,Datos!$C$9=Datos!$AI$9),IF(A157&gt;30000,O157,ROUND(O157*Datos!$J$18,Dins)),IF(AND($F$15=Datos!$AI$6,Datos!$C$9=Datos!$AI$10),IF(A157&gt;30000,P157,ROUND(P157*Datos!$J$18,Dins)),IF(AND($F$15=Datos!$AI$6,Datos!$C$9=Datos!$AI$9),IF(A157&gt;30000,Q157,ROUND(Q157*Datos!$J$18,Dins))))))</f>
        <v>6</v>
      </c>
      <c r="G157">
        <v>0</v>
      </c>
      <c r="H157">
        <v>0</v>
      </c>
      <c r="I157">
        <v>0</v>
      </c>
      <c r="J157">
        <v>0</v>
      </c>
      <c r="N157">
        <v>7.08</v>
      </c>
      <c r="O157">
        <f t="shared" si="6"/>
        <v>6</v>
      </c>
      <c r="P157">
        <f t="shared" si="7"/>
        <v>1.89</v>
      </c>
      <c r="Q157">
        <f t="shared" si="8"/>
        <v>1.6</v>
      </c>
    </row>
    <row r="158" spans="1:17" x14ac:dyDescent="0.2">
      <c r="A158">
        <v>30102</v>
      </c>
      <c r="B158">
        <v>30</v>
      </c>
      <c r="C158" t="s">
        <v>6</v>
      </c>
      <c r="D158" t="s">
        <v>625</v>
      </c>
      <c r="E158" s="3" t="s">
        <v>210</v>
      </c>
      <c r="F158">
        <f>IF(AND($F$15=Datos!$AI$5,Datos!$C$9=Datos!$AI$10),IF(A158&gt;30000,N158,ROUND(N158*Datos!$J$18,Dins)),IF(AND($F$15=Datos!$AI$5,Datos!$C$9=Datos!$AI$9),IF(A158&gt;30000,O158,ROUND(O158*Datos!$J$18,Dins)),IF(AND($F$15=Datos!$AI$6,Datos!$C$9=Datos!$AI$10),IF(A158&gt;30000,P158,ROUND(P158*Datos!$J$18,Dins)),IF(AND($F$15=Datos!$AI$6,Datos!$C$9=Datos!$AI$9),IF(A158&gt;30000,Q158,ROUND(Q158*Datos!$J$18,Dins))))))</f>
        <v>21</v>
      </c>
      <c r="G158">
        <v>0</v>
      </c>
      <c r="H158">
        <v>0</v>
      </c>
      <c r="I158">
        <v>0</v>
      </c>
      <c r="J158">
        <v>0</v>
      </c>
      <c r="N158">
        <v>24.78</v>
      </c>
      <c r="O158">
        <f t="shared" si="6"/>
        <v>21</v>
      </c>
      <c r="P158">
        <f t="shared" si="7"/>
        <v>6.61</v>
      </c>
      <c r="Q158">
        <f t="shared" si="8"/>
        <v>5.6</v>
      </c>
    </row>
    <row r="159" spans="1:17" x14ac:dyDescent="0.2">
      <c r="A159">
        <v>30103</v>
      </c>
      <c r="B159">
        <v>30</v>
      </c>
      <c r="C159" t="s">
        <v>6</v>
      </c>
      <c r="D159" t="s">
        <v>626</v>
      </c>
      <c r="E159" s="3" t="s">
        <v>172</v>
      </c>
      <c r="F159">
        <f>IF(AND($F$15=Datos!$AI$5,Datos!$C$9=Datos!$AI$10),IF(A159&gt;30000,N159,ROUND(N159*Datos!$J$18,Dins)),IF(AND($F$15=Datos!$AI$5,Datos!$C$9=Datos!$AI$9),IF(A159&gt;30000,O159,ROUND(O159*Datos!$J$18,Dins)),IF(AND($F$15=Datos!$AI$6,Datos!$C$9=Datos!$AI$10),IF(A159&gt;30000,P159,ROUND(P159*Datos!$J$18,Dins)),IF(AND($F$15=Datos!$AI$6,Datos!$C$9=Datos!$AI$9),IF(A159&gt;30000,Q159,ROUND(Q159*Datos!$J$18,Dins))))))</f>
        <v>27.55</v>
      </c>
      <c r="G159">
        <v>0</v>
      </c>
      <c r="H159">
        <v>0</v>
      </c>
      <c r="I159">
        <v>0</v>
      </c>
      <c r="J159">
        <v>0</v>
      </c>
      <c r="N159">
        <v>32.51</v>
      </c>
      <c r="O159">
        <f t="shared" si="6"/>
        <v>27.55</v>
      </c>
      <c r="P159">
        <f t="shared" si="7"/>
        <v>8.67</v>
      </c>
      <c r="Q159">
        <f t="shared" si="8"/>
        <v>7.35</v>
      </c>
    </row>
    <row r="160" spans="1:17" x14ac:dyDescent="0.2">
      <c r="A160">
        <v>30104</v>
      </c>
      <c r="B160">
        <v>24</v>
      </c>
      <c r="C160" t="s">
        <v>6</v>
      </c>
      <c r="D160" t="s">
        <v>629</v>
      </c>
      <c r="E160" s="3" t="s">
        <v>210</v>
      </c>
      <c r="F160">
        <f>IF(AND($F$15=Datos!$AI$5,Datos!$C$9=Datos!$AI$10),IF(A160&gt;30000,N160,ROUND(N160*Datos!$J$18,Dins)),IF(AND($F$15=Datos!$AI$5,Datos!$C$9=Datos!$AI$9),IF(A160&gt;30000,O160,ROUND(O160*Datos!$J$18,Dins)),IF(AND($F$15=Datos!$AI$6,Datos!$C$9=Datos!$AI$10),IF(A160&gt;30000,P160,ROUND(P160*Datos!$J$18,Dins)),IF(AND($F$15=Datos!$AI$6,Datos!$C$9=Datos!$AI$9),IF(A160&gt;30000,Q160,ROUND(Q160*Datos!$J$18,Dins))))))</f>
        <v>19.5</v>
      </c>
      <c r="G160">
        <v>0</v>
      </c>
      <c r="H160">
        <v>0</v>
      </c>
      <c r="I160">
        <v>0</v>
      </c>
      <c r="J160">
        <v>0</v>
      </c>
      <c r="N160">
        <v>23.01</v>
      </c>
      <c r="O160">
        <f t="shared" si="6"/>
        <v>19.5</v>
      </c>
      <c r="P160">
        <f t="shared" si="7"/>
        <v>6.14</v>
      </c>
      <c r="Q160">
        <f t="shared" si="8"/>
        <v>5.2</v>
      </c>
    </row>
    <row r="161" spans="1:17" x14ac:dyDescent="0.2">
      <c r="A161">
        <v>30105</v>
      </c>
      <c r="B161">
        <v>30</v>
      </c>
      <c r="C161" t="s">
        <v>6</v>
      </c>
      <c r="D161" t="s">
        <v>630</v>
      </c>
      <c r="E161" s="3" t="s">
        <v>172</v>
      </c>
      <c r="F161">
        <f>IF(AND($F$15=Datos!$AI$5,Datos!$C$9=Datos!$AI$10),IF(A161&gt;30000,N161,ROUND(N161*Datos!$J$18,Dins)),IF(AND($F$15=Datos!$AI$5,Datos!$C$9=Datos!$AI$9),IF(A161&gt;30000,O161,ROUND(O161*Datos!$J$18,Dins)),IF(AND($F$15=Datos!$AI$6,Datos!$C$9=Datos!$AI$10),IF(A161&gt;30000,P161,ROUND(P161*Datos!$J$18,Dins)),IF(AND($F$15=Datos!$AI$6,Datos!$C$9=Datos!$AI$9),IF(A161&gt;30000,Q161,ROUND(Q161*Datos!$J$18,Dins))))))</f>
        <v>14.5</v>
      </c>
      <c r="G161">
        <v>0</v>
      </c>
      <c r="H161">
        <v>0</v>
      </c>
      <c r="I161">
        <v>0</v>
      </c>
      <c r="J161">
        <v>0</v>
      </c>
      <c r="N161">
        <v>17.11</v>
      </c>
      <c r="O161">
        <f t="shared" si="6"/>
        <v>14.5</v>
      </c>
      <c r="P161">
        <f t="shared" si="7"/>
        <v>4.5599999999999996</v>
      </c>
      <c r="Q161">
        <f t="shared" si="8"/>
        <v>3.86</v>
      </c>
    </row>
    <row r="162" spans="1:17" x14ac:dyDescent="0.2">
      <c r="A162">
        <v>30106</v>
      </c>
      <c r="B162">
        <v>30</v>
      </c>
      <c r="C162" t="s">
        <v>6</v>
      </c>
      <c r="D162" t="s">
        <v>647</v>
      </c>
      <c r="E162" s="3" t="s">
        <v>210</v>
      </c>
      <c r="F162">
        <f>IF(AND($F$15=Datos!$AI$5,Datos!$C$9=Datos!$AI$10),IF(A162&gt;30000,N162,ROUND(N162*Datos!$J$18,Dins)),IF(AND($F$15=Datos!$AI$5,Datos!$C$9=Datos!$AI$9),IF(A162&gt;30000,O162,ROUND(O162*Datos!$J$18,Dins)),IF(AND($F$15=Datos!$AI$6,Datos!$C$9=Datos!$AI$10),IF(A162&gt;30000,P162,ROUND(P162*Datos!$J$18,Dins)),IF(AND($F$15=Datos!$AI$6,Datos!$C$9=Datos!$AI$9),IF(A162&gt;30000,Q162,ROUND(Q162*Datos!$J$18,Dins))))))</f>
        <v>17</v>
      </c>
      <c r="G162">
        <v>0</v>
      </c>
      <c r="H162">
        <v>0</v>
      </c>
      <c r="I162">
        <v>0</v>
      </c>
      <c r="J162">
        <v>0</v>
      </c>
      <c r="N162">
        <v>20.059999999999999</v>
      </c>
      <c r="O162">
        <f t="shared" si="6"/>
        <v>17</v>
      </c>
      <c r="P162">
        <f t="shared" si="7"/>
        <v>5.35</v>
      </c>
      <c r="Q162">
        <f t="shared" si="8"/>
        <v>4.53</v>
      </c>
    </row>
    <row r="163" spans="1:17" x14ac:dyDescent="0.2">
      <c r="A163">
        <v>80008</v>
      </c>
      <c r="B163">
        <v>32</v>
      </c>
      <c r="C163" t="s">
        <v>93</v>
      </c>
      <c r="D163" t="s">
        <v>654</v>
      </c>
      <c r="E163" s="3" t="s">
        <v>33</v>
      </c>
      <c r="F163">
        <f>IF(AND($F$15=Datos!$AI$5,Datos!$C$9=Datos!$AI$10),IF(A163&gt;30000,N163,ROUND(N163*Datos!$J$18,Dins)),IF(AND($F$15=Datos!$AI$5,Datos!$C$9=Datos!$AI$9),IF(A163&gt;30000,O163,ROUND(O163*Datos!$J$18,Dins)),IF(AND($F$15=Datos!$AI$6,Datos!$C$9=Datos!$AI$10),IF(A163&gt;30000,P163,ROUND(P163*Datos!$J$18,Dins)),IF(AND($F$15=Datos!$AI$6,Datos!$C$9=Datos!$AI$9),IF(A163&gt;30000,Q163,ROUND(Q163*Datos!$J$18,Dins))))))</f>
        <v>0.05</v>
      </c>
      <c r="G163">
        <v>0</v>
      </c>
      <c r="H163">
        <v>0</v>
      </c>
      <c r="I163">
        <v>0</v>
      </c>
      <c r="J163">
        <v>0</v>
      </c>
      <c r="N163">
        <v>0.06</v>
      </c>
      <c r="O163">
        <f t="shared" si="6"/>
        <v>0.05</v>
      </c>
      <c r="P163">
        <f t="shared" si="7"/>
        <v>0.02</v>
      </c>
      <c r="Q163">
        <f t="shared" si="8"/>
        <v>0.02</v>
      </c>
    </row>
    <row r="164" spans="1:17" x14ac:dyDescent="0.2">
      <c r="A164">
        <v>30107</v>
      </c>
      <c r="B164">
        <v>43</v>
      </c>
      <c r="C164" t="s">
        <v>6</v>
      </c>
      <c r="D164" t="s">
        <v>659</v>
      </c>
      <c r="E164" s="3" t="s">
        <v>185</v>
      </c>
      <c r="F164">
        <f>IF(AND($F$15=Datos!$AI$5,Datos!$C$9=Datos!$AI$10),IF(A164&gt;30000,N164,ROUND(N164*Datos!$J$18,Dins)),IF(AND($F$15=Datos!$AI$5,Datos!$C$9=Datos!$AI$9),IF(A164&gt;30000,O164,ROUND(O164*Datos!$J$18,Dins)),IF(AND($F$15=Datos!$AI$6,Datos!$C$9=Datos!$AI$10),IF(A164&gt;30000,P164,ROUND(P164*Datos!$J$18,Dins)),IF(AND($F$15=Datos!$AI$6,Datos!$C$9=Datos!$AI$9),IF(A164&gt;30000,Q164,ROUND(Q164*Datos!$J$18,Dins))))))</f>
        <v>3.9</v>
      </c>
      <c r="G164">
        <v>0</v>
      </c>
      <c r="H164">
        <v>0</v>
      </c>
      <c r="I164">
        <v>0</v>
      </c>
      <c r="J164">
        <v>0</v>
      </c>
      <c r="N164">
        <v>4.5999999999999996</v>
      </c>
      <c r="O164">
        <f t="shared" si="6"/>
        <v>3.9</v>
      </c>
      <c r="P164">
        <f t="shared" si="7"/>
        <v>1.23</v>
      </c>
      <c r="Q164">
        <f t="shared" si="8"/>
        <v>1.04</v>
      </c>
    </row>
    <row r="165" spans="1:17" x14ac:dyDescent="0.2">
      <c r="A165">
        <v>30108</v>
      </c>
      <c r="B165">
        <v>17</v>
      </c>
      <c r="C165" t="s">
        <v>6</v>
      </c>
      <c r="D165" t="s">
        <v>660</v>
      </c>
      <c r="E165" s="3" t="s">
        <v>7</v>
      </c>
      <c r="F165">
        <f>IF(AND($F$15=Datos!$AI$5,Datos!$C$9=Datos!$AI$10),IF(A165&gt;30000,N165,ROUND(N165*Datos!$J$18,Dins)),IF(AND($F$15=Datos!$AI$5,Datos!$C$9=Datos!$AI$9),IF(A165&gt;30000,O165,ROUND(O165*Datos!$J$18,Dins)),IF(AND($F$15=Datos!$AI$6,Datos!$C$9=Datos!$AI$10),IF(A165&gt;30000,P165,ROUND(P165*Datos!$J$18,Dins)),IF(AND($F$15=Datos!$AI$6,Datos!$C$9=Datos!$AI$9),IF(A165&gt;30000,Q165,ROUND(Q165*Datos!$J$18,Dins))))))</f>
        <v>1.1000000000000001</v>
      </c>
      <c r="G165">
        <v>0</v>
      </c>
      <c r="H165">
        <v>0</v>
      </c>
      <c r="I165">
        <v>0</v>
      </c>
      <c r="J165">
        <v>0</v>
      </c>
      <c r="N165">
        <v>1.3</v>
      </c>
      <c r="O165">
        <f t="shared" si="6"/>
        <v>1.1000000000000001</v>
      </c>
      <c r="P165">
        <f t="shared" si="7"/>
        <v>0.35</v>
      </c>
      <c r="Q165">
        <f t="shared" si="8"/>
        <v>0.3</v>
      </c>
    </row>
    <row r="166" spans="1:17" x14ac:dyDescent="0.2">
      <c r="A166">
        <v>30109</v>
      </c>
      <c r="B166">
        <v>44</v>
      </c>
      <c r="C166" t="s">
        <v>6</v>
      </c>
      <c r="D166" t="s">
        <v>667</v>
      </c>
      <c r="E166" s="3" t="s">
        <v>174</v>
      </c>
      <c r="F166">
        <f>IF(AND($F$15=Datos!$AI$5,Datos!$C$9=Datos!$AI$10),IF(A166&gt;30000,N166,ROUND(N166*Datos!$J$18,Dins)),IF(AND($F$15=Datos!$AI$5,Datos!$C$9=Datos!$AI$9),IF(A166&gt;30000,O166,ROUND(O166*Datos!$J$18,Dins)),IF(AND($F$15=Datos!$AI$6,Datos!$C$9=Datos!$AI$10),IF(A166&gt;30000,P166,ROUND(P166*Datos!$J$18,Dins)),IF(AND($F$15=Datos!$AI$6,Datos!$C$9=Datos!$AI$9),IF(A166&gt;30000,Q166,ROUND(Q166*Datos!$J$18,Dins))))))</f>
        <v>2000</v>
      </c>
      <c r="G166">
        <v>0</v>
      </c>
      <c r="H166">
        <v>0</v>
      </c>
      <c r="I166">
        <v>0</v>
      </c>
      <c r="J166">
        <v>0</v>
      </c>
      <c r="N166">
        <v>2360</v>
      </c>
      <c r="O166">
        <f t="shared" si="6"/>
        <v>2000</v>
      </c>
      <c r="P166">
        <f t="shared" si="7"/>
        <v>629.33000000000004</v>
      </c>
      <c r="Q166">
        <f t="shared" si="8"/>
        <v>533.33000000000004</v>
      </c>
    </row>
    <row r="167" spans="1:17" x14ac:dyDescent="0.2">
      <c r="A167">
        <v>30110</v>
      </c>
      <c r="B167">
        <v>30</v>
      </c>
      <c r="C167" t="s">
        <v>6</v>
      </c>
      <c r="D167" t="s">
        <v>670</v>
      </c>
      <c r="E167" s="3" t="s">
        <v>7</v>
      </c>
      <c r="F167">
        <f>IF(AND($F$15=Datos!$AI$5,Datos!$C$9=Datos!$AI$10),IF(A167&gt;30000,N167,ROUND(N167*Datos!$J$18,Dins)),IF(AND($F$15=Datos!$AI$5,Datos!$C$9=Datos!$AI$9),IF(A167&gt;30000,O167,ROUND(O167*Datos!$J$18,Dins)),IF(AND($F$15=Datos!$AI$6,Datos!$C$9=Datos!$AI$10),IF(A167&gt;30000,P167,ROUND(P167*Datos!$J$18,Dins)),IF(AND($F$15=Datos!$AI$6,Datos!$C$9=Datos!$AI$9),IF(A167&gt;30000,Q167,ROUND(Q167*Datos!$J$18,Dins))))))</f>
        <v>0.4</v>
      </c>
      <c r="G167">
        <v>0</v>
      </c>
      <c r="H167">
        <v>0</v>
      </c>
      <c r="I167">
        <v>0</v>
      </c>
      <c r="J167">
        <v>0</v>
      </c>
      <c r="N167">
        <v>0.47</v>
      </c>
      <c r="O167">
        <f t="shared" si="6"/>
        <v>0.4</v>
      </c>
      <c r="P167">
        <f t="shared" si="7"/>
        <v>0.13</v>
      </c>
      <c r="Q167">
        <f t="shared" si="8"/>
        <v>0.11</v>
      </c>
    </row>
    <row r="168" spans="1:17" x14ac:dyDescent="0.2">
      <c r="A168">
        <v>30111</v>
      </c>
      <c r="B168">
        <v>43</v>
      </c>
      <c r="C168" t="s">
        <v>6</v>
      </c>
      <c r="D168" t="s">
        <v>671</v>
      </c>
      <c r="E168" s="3" t="s">
        <v>7</v>
      </c>
      <c r="F168">
        <f>IF(AND($F$15=Datos!$AI$5,Datos!$C$9=Datos!$AI$10),IF(A168&gt;30000,N168,ROUND(N168*Datos!$J$18,Dins)),IF(AND($F$15=Datos!$AI$5,Datos!$C$9=Datos!$AI$9),IF(A168&gt;30000,O168,ROUND(O168*Datos!$J$18,Dins)),IF(AND($F$15=Datos!$AI$6,Datos!$C$9=Datos!$AI$10),IF(A168&gt;30000,P168,ROUND(P168*Datos!$J$18,Dins)),IF(AND($F$15=Datos!$AI$6,Datos!$C$9=Datos!$AI$9),IF(A168&gt;30000,Q168,ROUND(Q168*Datos!$J$18,Dins))))))</f>
        <v>424</v>
      </c>
      <c r="G168">
        <v>0</v>
      </c>
      <c r="H168">
        <v>0</v>
      </c>
      <c r="I168">
        <v>0</v>
      </c>
      <c r="J168">
        <v>0</v>
      </c>
      <c r="N168">
        <v>500.32</v>
      </c>
      <c r="O168">
        <f t="shared" si="6"/>
        <v>424</v>
      </c>
      <c r="P168">
        <f t="shared" si="7"/>
        <v>133.41999999999999</v>
      </c>
      <c r="Q168">
        <f t="shared" si="8"/>
        <v>113.07</v>
      </c>
    </row>
    <row r="169" spans="1:17" x14ac:dyDescent="0.2">
      <c r="A169">
        <v>30112</v>
      </c>
      <c r="B169">
        <v>43</v>
      </c>
      <c r="C169" t="s">
        <v>6</v>
      </c>
      <c r="D169" t="s">
        <v>672</v>
      </c>
      <c r="E169" s="3" t="s">
        <v>7</v>
      </c>
      <c r="F169">
        <f>IF(AND($F$15=Datos!$AI$5,Datos!$C$9=Datos!$AI$10),IF(A169&gt;30000,N169,ROUND(N169*Datos!$J$18,Dins)),IF(AND($F$15=Datos!$AI$5,Datos!$C$9=Datos!$AI$9),IF(A169&gt;30000,O169,ROUND(O169*Datos!$J$18,Dins)),IF(AND($F$15=Datos!$AI$6,Datos!$C$9=Datos!$AI$10),IF(A169&gt;30000,P169,ROUND(P169*Datos!$J$18,Dins)),IF(AND($F$15=Datos!$AI$6,Datos!$C$9=Datos!$AI$9),IF(A169&gt;30000,Q169,ROUND(Q169*Datos!$J$18,Dins))))))</f>
        <v>111</v>
      </c>
      <c r="G169">
        <v>0</v>
      </c>
      <c r="H169">
        <v>0</v>
      </c>
      <c r="I169">
        <v>0</v>
      </c>
      <c r="J169">
        <v>0</v>
      </c>
      <c r="N169">
        <v>130.97999999999999</v>
      </c>
      <c r="O169">
        <f t="shared" si="6"/>
        <v>111</v>
      </c>
      <c r="P169">
        <f t="shared" si="7"/>
        <v>34.93</v>
      </c>
      <c r="Q169">
        <f t="shared" si="8"/>
        <v>29.6</v>
      </c>
    </row>
    <row r="170" spans="1:17" x14ac:dyDescent="0.2">
      <c r="A170">
        <v>30113</v>
      </c>
      <c r="B170">
        <v>43</v>
      </c>
      <c r="C170" t="s">
        <v>6</v>
      </c>
      <c r="D170" t="s">
        <v>675</v>
      </c>
      <c r="E170" s="3" t="s">
        <v>7</v>
      </c>
      <c r="F170">
        <f>IF(AND($F$15=Datos!$AI$5,Datos!$C$9=Datos!$AI$10),IF(A170&gt;30000,N170,ROUND(N170*Datos!$J$18,Dins)),IF(AND($F$15=Datos!$AI$5,Datos!$C$9=Datos!$AI$9),IF(A170&gt;30000,O170,ROUND(O170*Datos!$J$18,Dins)),IF(AND($F$15=Datos!$AI$6,Datos!$C$9=Datos!$AI$10),IF(A170&gt;30000,P170,ROUND(P170*Datos!$J$18,Dins)),IF(AND($F$15=Datos!$AI$6,Datos!$C$9=Datos!$AI$9),IF(A170&gt;30000,Q170,ROUND(Q170*Datos!$J$18,Dins))))))</f>
        <v>57</v>
      </c>
      <c r="G170">
        <v>0</v>
      </c>
      <c r="H170">
        <v>0</v>
      </c>
      <c r="I170">
        <v>0</v>
      </c>
      <c r="J170">
        <v>0</v>
      </c>
      <c r="N170">
        <v>67.260000000000005</v>
      </c>
      <c r="O170">
        <f t="shared" si="6"/>
        <v>57</v>
      </c>
      <c r="P170">
        <f t="shared" si="7"/>
        <v>17.940000000000001</v>
      </c>
      <c r="Q170">
        <f t="shared" si="8"/>
        <v>15.2</v>
      </c>
    </row>
    <row r="171" spans="1:17" x14ac:dyDescent="0.2">
      <c r="A171">
        <v>30114</v>
      </c>
      <c r="B171">
        <v>44</v>
      </c>
      <c r="C171" t="s">
        <v>6</v>
      </c>
      <c r="D171" t="s">
        <v>676</v>
      </c>
      <c r="E171" s="3" t="s">
        <v>7</v>
      </c>
      <c r="F171">
        <f>IF(AND($F$15=Datos!$AI$5,Datos!$C$9=Datos!$AI$10),IF(A171&gt;30000,N171,ROUND(N171*Datos!$J$18,Dins)),IF(AND($F$15=Datos!$AI$5,Datos!$C$9=Datos!$AI$9),IF(A171&gt;30000,O171,ROUND(O171*Datos!$J$18,Dins)),IF(AND($F$15=Datos!$AI$6,Datos!$C$9=Datos!$AI$10),IF(A171&gt;30000,P171,ROUND(P171*Datos!$J$18,Dins)),IF(AND($F$15=Datos!$AI$6,Datos!$C$9=Datos!$AI$9),IF(A171&gt;30000,Q171,ROUND(Q171*Datos!$J$18,Dins))))))</f>
        <v>160</v>
      </c>
      <c r="G171">
        <v>0</v>
      </c>
      <c r="H171">
        <v>0</v>
      </c>
      <c r="I171">
        <v>0</v>
      </c>
      <c r="J171">
        <v>0</v>
      </c>
      <c r="N171">
        <v>188.8</v>
      </c>
      <c r="O171">
        <f t="shared" si="6"/>
        <v>160</v>
      </c>
      <c r="P171">
        <f t="shared" si="7"/>
        <v>50.35</v>
      </c>
      <c r="Q171">
        <f t="shared" si="8"/>
        <v>42.67</v>
      </c>
    </row>
    <row r="172" spans="1:17" x14ac:dyDescent="0.2">
      <c r="A172">
        <v>30115</v>
      </c>
      <c r="B172">
        <v>44</v>
      </c>
      <c r="C172" t="s">
        <v>6</v>
      </c>
      <c r="D172" t="s">
        <v>679</v>
      </c>
      <c r="E172" s="3" t="s">
        <v>7</v>
      </c>
      <c r="F172">
        <f>IF(AND($F$15=Datos!$AI$5,Datos!$C$9=Datos!$AI$10),IF(A172&gt;30000,N172,ROUND(N172*Datos!$J$18,Dins)),IF(AND($F$15=Datos!$AI$5,Datos!$C$9=Datos!$AI$9),IF(A172&gt;30000,O172,ROUND(O172*Datos!$J$18,Dins)),IF(AND($F$15=Datos!$AI$6,Datos!$C$9=Datos!$AI$10),IF(A172&gt;30000,P172,ROUND(P172*Datos!$J$18,Dins)),IF(AND($F$15=Datos!$AI$6,Datos!$C$9=Datos!$AI$9),IF(A172&gt;30000,Q172,ROUND(Q172*Datos!$J$18,Dins))))))</f>
        <v>150</v>
      </c>
      <c r="G172">
        <v>0</v>
      </c>
      <c r="H172">
        <v>0</v>
      </c>
      <c r="I172">
        <v>0</v>
      </c>
      <c r="J172">
        <v>0</v>
      </c>
      <c r="N172">
        <v>177</v>
      </c>
      <c r="O172">
        <f t="shared" si="6"/>
        <v>150</v>
      </c>
      <c r="P172">
        <f t="shared" si="7"/>
        <v>47.2</v>
      </c>
      <c r="Q172">
        <f t="shared" si="8"/>
        <v>40</v>
      </c>
    </row>
    <row r="173" spans="1:17" x14ac:dyDescent="0.2">
      <c r="A173">
        <v>30116</v>
      </c>
      <c r="B173">
        <v>30</v>
      </c>
      <c r="C173" t="s">
        <v>6</v>
      </c>
      <c r="D173" t="s">
        <v>682</v>
      </c>
      <c r="E173" s="3" t="s">
        <v>7</v>
      </c>
      <c r="F173">
        <f>IF(AND($F$15=Datos!$AI$5,Datos!$C$9=Datos!$AI$10),IF(A173&gt;30000,N173,ROUND(N173*Datos!$J$18,Dins)),IF(AND($F$15=Datos!$AI$5,Datos!$C$9=Datos!$AI$9),IF(A173&gt;30000,O173,ROUND(O173*Datos!$J$18,Dins)),IF(AND($F$15=Datos!$AI$6,Datos!$C$9=Datos!$AI$10),IF(A173&gt;30000,P173,ROUND(P173*Datos!$J$18,Dins)),IF(AND($F$15=Datos!$AI$6,Datos!$C$9=Datos!$AI$9),IF(A173&gt;30000,Q173,ROUND(Q173*Datos!$J$18,Dins))))))</f>
        <v>0.4</v>
      </c>
      <c r="G173">
        <v>0</v>
      </c>
      <c r="H173">
        <v>0</v>
      </c>
      <c r="I173">
        <v>0</v>
      </c>
      <c r="J173">
        <v>0</v>
      </c>
      <c r="N173">
        <v>0.47</v>
      </c>
      <c r="O173">
        <f t="shared" si="6"/>
        <v>0.4</v>
      </c>
      <c r="P173">
        <f t="shared" si="7"/>
        <v>0.13</v>
      </c>
      <c r="Q173">
        <f t="shared" si="8"/>
        <v>0.11</v>
      </c>
    </row>
    <row r="174" spans="1:17" x14ac:dyDescent="0.2">
      <c r="A174">
        <v>30117</v>
      </c>
      <c r="B174">
        <v>44</v>
      </c>
      <c r="C174" t="s">
        <v>6</v>
      </c>
      <c r="D174" t="s">
        <v>683</v>
      </c>
      <c r="E174" s="3" t="s">
        <v>7</v>
      </c>
      <c r="F174">
        <f>IF(AND($F$15=Datos!$AI$5,Datos!$C$9=Datos!$AI$10),IF(A174&gt;30000,N174,ROUND(N174*Datos!$J$18,Dins)),IF(AND($F$15=Datos!$AI$5,Datos!$C$9=Datos!$AI$9),IF(A174&gt;30000,O174,ROUND(O174*Datos!$J$18,Dins)),IF(AND($F$15=Datos!$AI$6,Datos!$C$9=Datos!$AI$10),IF(A174&gt;30000,P174,ROUND(P174*Datos!$J$18,Dins)),IF(AND($F$15=Datos!$AI$6,Datos!$C$9=Datos!$AI$9),IF(A174&gt;30000,Q174,ROUND(Q174*Datos!$J$18,Dins))))))</f>
        <v>300</v>
      </c>
      <c r="G174">
        <v>0</v>
      </c>
      <c r="H174">
        <v>0</v>
      </c>
      <c r="I174">
        <v>0</v>
      </c>
      <c r="J174">
        <v>0</v>
      </c>
      <c r="N174">
        <v>354</v>
      </c>
      <c r="O174">
        <f t="shared" si="6"/>
        <v>300</v>
      </c>
      <c r="P174">
        <f t="shared" si="7"/>
        <v>94.4</v>
      </c>
      <c r="Q174">
        <f t="shared" si="8"/>
        <v>80</v>
      </c>
    </row>
    <row r="175" spans="1:17" x14ac:dyDescent="0.2">
      <c r="A175">
        <v>30118</v>
      </c>
      <c r="B175">
        <v>44</v>
      </c>
      <c r="C175" t="s">
        <v>6</v>
      </c>
      <c r="D175" t="s">
        <v>686</v>
      </c>
      <c r="E175" s="3" t="s">
        <v>7</v>
      </c>
      <c r="F175">
        <f>IF(AND($F$15=Datos!$AI$5,Datos!$C$9=Datos!$AI$10),IF(A175&gt;30000,N175,ROUND(N175*Datos!$J$18,Dins)),IF(AND($F$15=Datos!$AI$5,Datos!$C$9=Datos!$AI$9),IF(A175&gt;30000,O175,ROUND(O175*Datos!$J$18,Dins)),IF(AND($F$15=Datos!$AI$6,Datos!$C$9=Datos!$AI$10),IF(A175&gt;30000,P175,ROUND(P175*Datos!$J$18,Dins)),IF(AND($F$15=Datos!$AI$6,Datos!$C$9=Datos!$AI$9),IF(A175&gt;30000,Q175,ROUND(Q175*Datos!$J$18,Dins))))))</f>
        <v>415</v>
      </c>
      <c r="G175">
        <v>0</v>
      </c>
      <c r="H175">
        <v>0</v>
      </c>
      <c r="I175">
        <v>0</v>
      </c>
      <c r="J175">
        <v>0</v>
      </c>
      <c r="N175">
        <v>489.7</v>
      </c>
      <c r="O175">
        <f t="shared" si="6"/>
        <v>415</v>
      </c>
      <c r="P175">
        <f t="shared" si="7"/>
        <v>130.59</v>
      </c>
      <c r="Q175">
        <f t="shared" si="8"/>
        <v>110.67</v>
      </c>
    </row>
    <row r="176" spans="1:17" x14ac:dyDescent="0.2">
      <c r="A176">
        <v>30119</v>
      </c>
      <c r="B176">
        <v>30</v>
      </c>
      <c r="C176" t="s">
        <v>6</v>
      </c>
      <c r="D176" t="s">
        <v>691</v>
      </c>
      <c r="E176" s="3" t="s">
        <v>194</v>
      </c>
      <c r="F176">
        <f>IF(AND($F$15=Datos!$AI$5,Datos!$C$9=Datos!$AI$10),IF(A176&gt;30000,N176,ROUND(N176*Datos!$J$18,Dins)),IF(AND($F$15=Datos!$AI$5,Datos!$C$9=Datos!$AI$9),IF(A176&gt;30000,O176,ROUND(O176*Datos!$J$18,Dins)),IF(AND($F$15=Datos!$AI$6,Datos!$C$9=Datos!$AI$10),IF(A176&gt;30000,P176,ROUND(P176*Datos!$J$18,Dins)),IF(AND($F$15=Datos!$AI$6,Datos!$C$9=Datos!$AI$9),IF(A176&gt;30000,Q176,ROUND(Q176*Datos!$J$18,Dins))))))</f>
        <v>450</v>
      </c>
      <c r="G176">
        <v>0</v>
      </c>
      <c r="H176">
        <v>0</v>
      </c>
      <c r="I176">
        <v>0</v>
      </c>
      <c r="J176">
        <v>0</v>
      </c>
      <c r="N176">
        <v>531</v>
      </c>
      <c r="O176">
        <f t="shared" si="6"/>
        <v>450</v>
      </c>
      <c r="P176">
        <f t="shared" si="7"/>
        <v>141.6</v>
      </c>
      <c r="Q176">
        <f t="shared" si="8"/>
        <v>120</v>
      </c>
    </row>
    <row r="177" spans="1:17" x14ac:dyDescent="0.2">
      <c r="A177">
        <v>30120</v>
      </c>
      <c r="B177">
        <v>30</v>
      </c>
      <c r="C177" t="s">
        <v>6</v>
      </c>
      <c r="D177" t="s">
        <v>694</v>
      </c>
      <c r="E177" s="3" t="s">
        <v>194</v>
      </c>
      <c r="F177">
        <f>IF(AND($F$15=Datos!$AI$5,Datos!$C$9=Datos!$AI$10),IF(A177&gt;30000,N177,ROUND(N177*Datos!$J$18,Dins)),IF(AND($F$15=Datos!$AI$5,Datos!$C$9=Datos!$AI$9),IF(A177&gt;30000,O177,ROUND(O177*Datos!$J$18,Dins)),IF(AND($F$15=Datos!$AI$6,Datos!$C$9=Datos!$AI$10),IF(A177&gt;30000,P177,ROUND(P177*Datos!$J$18,Dins)),IF(AND($F$15=Datos!$AI$6,Datos!$C$9=Datos!$AI$9),IF(A177&gt;30000,Q177,ROUND(Q177*Datos!$J$18,Dins))))))</f>
        <v>400</v>
      </c>
      <c r="G177">
        <v>0</v>
      </c>
      <c r="H177">
        <v>0</v>
      </c>
      <c r="I177">
        <v>0</v>
      </c>
      <c r="J177">
        <v>0</v>
      </c>
      <c r="N177">
        <v>472</v>
      </c>
      <c r="O177">
        <f t="shared" si="6"/>
        <v>400</v>
      </c>
      <c r="P177">
        <f t="shared" si="7"/>
        <v>125.87</v>
      </c>
      <c r="Q177">
        <f t="shared" si="8"/>
        <v>106.67</v>
      </c>
    </row>
    <row r="178" spans="1:17" x14ac:dyDescent="0.2">
      <c r="A178">
        <v>30121</v>
      </c>
      <c r="B178">
        <v>30</v>
      </c>
      <c r="C178" t="s">
        <v>6</v>
      </c>
      <c r="D178" t="s">
        <v>699</v>
      </c>
      <c r="E178" s="3" t="s">
        <v>194</v>
      </c>
      <c r="F178">
        <f>IF(AND($F$15=Datos!$AI$5,Datos!$C$9=Datos!$AI$10),IF(A178&gt;30000,N178,ROUND(N178*Datos!$J$18,Dins)),IF(AND($F$15=Datos!$AI$5,Datos!$C$9=Datos!$AI$9),IF(A178&gt;30000,O178,ROUND(O178*Datos!$J$18,Dins)),IF(AND($F$15=Datos!$AI$6,Datos!$C$9=Datos!$AI$10),IF(A178&gt;30000,P178,ROUND(P178*Datos!$J$18,Dins)),IF(AND($F$15=Datos!$AI$6,Datos!$C$9=Datos!$AI$9),IF(A178&gt;30000,Q178,ROUND(Q178*Datos!$J$18,Dins))))))</f>
        <v>700</v>
      </c>
      <c r="G178">
        <v>0</v>
      </c>
      <c r="H178">
        <v>0</v>
      </c>
      <c r="I178">
        <v>0</v>
      </c>
      <c r="J178">
        <v>0</v>
      </c>
      <c r="N178">
        <v>826</v>
      </c>
      <c r="O178">
        <f t="shared" si="6"/>
        <v>700</v>
      </c>
      <c r="P178">
        <f t="shared" si="7"/>
        <v>220.27</v>
      </c>
      <c r="Q178">
        <f t="shared" si="8"/>
        <v>186.67</v>
      </c>
    </row>
    <row r="179" spans="1:17" x14ac:dyDescent="0.2">
      <c r="A179">
        <v>30122</v>
      </c>
      <c r="B179">
        <v>26</v>
      </c>
      <c r="C179" t="s">
        <v>6</v>
      </c>
      <c r="D179" t="s">
        <v>706</v>
      </c>
      <c r="E179" s="3" t="s">
        <v>174</v>
      </c>
      <c r="F179">
        <f>IF(AND($F$15=Datos!$AI$5,Datos!$C$9=Datos!$AI$10),IF(A179&gt;30000,N179,ROUND(N179*Datos!$J$18,Dins)),IF(AND($F$15=Datos!$AI$5,Datos!$C$9=Datos!$AI$9),IF(A179&gt;30000,O179,ROUND(O179*Datos!$J$18,Dins)),IF(AND($F$15=Datos!$AI$6,Datos!$C$9=Datos!$AI$10),IF(A179&gt;30000,P179,ROUND(P179*Datos!$J$18,Dins)),IF(AND($F$15=Datos!$AI$6,Datos!$C$9=Datos!$AI$9),IF(A179&gt;30000,Q179,ROUND(Q179*Datos!$J$18,Dins))))))</f>
        <v>180</v>
      </c>
      <c r="G179">
        <v>0</v>
      </c>
      <c r="H179">
        <v>0</v>
      </c>
      <c r="I179">
        <v>0</v>
      </c>
      <c r="J179">
        <v>0</v>
      </c>
      <c r="N179">
        <v>212.4</v>
      </c>
      <c r="O179">
        <f t="shared" si="6"/>
        <v>180</v>
      </c>
      <c r="P179">
        <f t="shared" si="7"/>
        <v>56.64</v>
      </c>
      <c r="Q179">
        <f t="shared" si="8"/>
        <v>48</v>
      </c>
    </row>
    <row r="180" spans="1:17" x14ac:dyDescent="0.2">
      <c r="A180">
        <v>30123</v>
      </c>
      <c r="B180">
        <v>26</v>
      </c>
      <c r="C180" t="s">
        <v>6</v>
      </c>
      <c r="D180" t="s">
        <v>711</v>
      </c>
      <c r="E180" s="3" t="s">
        <v>7</v>
      </c>
      <c r="F180">
        <f>IF(AND($F$15=Datos!$AI$5,Datos!$C$9=Datos!$AI$10),IF(A180&gt;30000,N180,ROUND(N180*Datos!$J$18,Dins)),IF(AND($F$15=Datos!$AI$5,Datos!$C$9=Datos!$AI$9),IF(A180&gt;30000,O180,ROUND(O180*Datos!$J$18,Dins)),IF(AND($F$15=Datos!$AI$6,Datos!$C$9=Datos!$AI$10),IF(A180&gt;30000,P180,ROUND(P180*Datos!$J$18,Dins)),IF(AND($F$15=Datos!$AI$6,Datos!$C$9=Datos!$AI$9),IF(A180&gt;30000,Q180,ROUND(Q180*Datos!$J$18,Dins))))))</f>
        <v>480</v>
      </c>
      <c r="G180">
        <v>0</v>
      </c>
      <c r="H180">
        <v>0</v>
      </c>
      <c r="I180">
        <v>0</v>
      </c>
      <c r="J180">
        <v>0</v>
      </c>
      <c r="N180">
        <v>566.4</v>
      </c>
      <c r="O180">
        <f t="shared" si="6"/>
        <v>480</v>
      </c>
      <c r="P180">
        <f t="shared" si="7"/>
        <v>151.04</v>
      </c>
      <c r="Q180">
        <f t="shared" si="8"/>
        <v>128</v>
      </c>
    </row>
    <row r="181" spans="1:17" x14ac:dyDescent="0.2">
      <c r="A181">
        <v>30124</v>
      </c>
      <c r="B181">
        <v>26</v>
      </c>
      <c r="C181" t="s">
        <v>6</v>
      </c>
      <c r="D181" t="s">
        <v>716</v>
      </c>
      <c r="E181" s="3" t="s">
        <v>194</v>
      </c>
      <c r="F181">
        <f>IF(AND($F$15=Datos!$AI$5,Datos!$C$9=Datos!$AI$10),IF(A181&gt;30000,N181,ROUND(N181*Datos!$J$18,Dins)),IF(AND($F$15=Datos!$AI$5,Datos!$C$9=Datos!$AI$9),IF(A181&gt;30000,O181,ROUND(O181*Datos!$J$18,Dins)),IF(AND($F$15=Datos!$AI$6,Datos!$C$9=Datos!$AI$10),IF(A181&gt;30000,P181,ROUND(P181*Datos!$J$18,Dins)),IF(AND($F$15=Datos!$AI$6,Datos!$C$9=Datos!$AI$9),IF(A181&gt;30000,Q181,ROUND(Q181*Datos!$J$18,Dins))))))</f>
        <v>135</v>
      </c>
      <c r="G181">
        <v>0</v>
      </c>
      <c r="H181">
        <v>0</v>
      </c>
      <c r="I181">
        <v>0</v>
      </c>
      <c r="J181">
        <v>0</v>
      </c>
      <c r="N181">
        <v>159.30000000000001</v>
      </c>
      <c r="O181">
        <f t="shared" si="6"/>
        <v>135</v>
      </c>
      <c r="P181">
        <f t="shared" si="7"/>
        <v>42.48</v>
      </c>
      <c r="Q181">
        <f t="shared" si="8"/>
        <v>36</v>
      </c>
    </row>
    <row r="182" spans="1:17" x14ac:dyDescent="0.2">
      <c r="A182">
        <v>30125</v>
      </c>
      <c r="B182">
        <v>39</v>
      </c>
      <c r="C182" t="s">
        <v>6</v>
      </c>
      <c r="D182" t="s">
        <v>721</v>
      </c>
      <c r="E182" s="3" t="s">
        <v>194</v>
      </c>
      <c r="F182">
        <f>IF(AND($F$15=Datos!$AI$5,Datos!$C$9=Datos!$AI$10),IF(A182&gt;30000,N182,ROUND(N182*Datos!$J$18,Dins)),IF(AND($F$15=Datos!$AI$5,Datos!$C$9=Datos!$AI$9),IF(A182&gt;30000,O182,ROUND(O182*Datos!$J$18,Dins)),IF(AND($F$15=Datos!$AI$6,Datos!$C$9=Datos!$AI$10),IF(A182&gt;30000,P182,ROUND(P182*Datos!$J$18,Dins)),IF(AND($F$15=Datos!$AI$6,Datos!$C$9=Datos!$AI$9),IF(A182&gt;30000,Q182,ROUND(Q182*Datos!$J$18,Dins))))))</f>
        <v>40.5</v>
      </c>
      <c r="G182">
        <v>0</v>
      </c>
      <c r="H182">
        <v>0</v>
      </c>
      <c r="I182">
        <v>0</v>
      </c>
      <c r="J182">
        <v>0</v>
      </c>
      <c r="N182">
        <v>47.79</v>
      </c>
      <c r="O182">
        <f t="shared" si="6"/>
        <v>40.5</v>
      </c>
      <c r="P182">
        <f t="shared" si="7"/>
        <v>12.74</v>
      </c>
      <c r="Q182">
        <f t="shared" si="8"/>
        <v>10.8</v>
      </c>
    </row>
    <row r="183" spans="1:17" x14ac:dyDescent="0.2">
      <c r="A183">
        <v>30126</v>
      </c>
      <c r="B183">
        <v>30</v>
      </c>
      <c r="C183" t="s">
        <v>6</v>
      </c>
      <c r="D183" t="s">
        <v>726</v>
      </c>
      <c r="E183" s="3" t="s">
        <v>33</v>
      </c>
      <c r="F183">
        <f>IF(AND($F$15=Datos!$AI$5,Datos!$C$9=Datos!$AI$10),IF(A183&gt;30000,N183,ROUND(N183*Datos!$J$18,Dins)),IF(AND($F$15=Datos!$AI$5,Datos!$C$9=Datos!$AI$9),IF(A183&gt;30000,O183,ROUND(O183*Datos!$J$18,Dins)),IF(AND($F$15=Datos!$AI$6,Datos!$C$9=Datos!$AI$10),IF(A183&gt;30000,P183,ROUND(P183*Datos!$J$18,Dins)),IF(AND($F$15=Datos!$AI$6,Datos!$C$9=Datos!$AI$9),IF(A183&gt;30000,Q183,ROUND(Q183*Datos!$J$18,Dins))))))</f>
        <v>8</v>
      </c>
      <c r="G183">
        <v>0</v>
      </c>
      <c r="H183">
        <v>0</v>
      </c>
      <c r="I183">
        <v>0</v>
      </c>
      <c r="J183">
        <v>0</v>
      </c>
      <c r="N183">
        <v>9.44</v>
      </c>
      <c r="O183">
        <f t="shared" si="6"/>
        <v>8</v>
      </c>
      <c r="P183">
        <f t="shared" si="7"/>
        <v>2.52</v>
      </c>
      <c r="Q183">
        <f t="shared" si="8"/>
        <v>2.14</v>
      </c>
    </row>
    <row r="184" spans="1:17" x14ac:dyDescent="0.2">
      <c r="A184">
        <v>30127</v>
      </c>
      <c r="B184">
        <v>39</v>
      </c>
      <c r="C184" t="s">
        <v>6</v>
      </c>
      <c r="D184" t="s">
        <v>727</v>
      </c>
      <c r="E184" s="3" t="s">
        <v>7</v>
      </c>
      <c r="F184">
        <f>IF(AND($F$15=Datos!$AI$5,Datos!$C$9=Datos!$AI$10),IF(A184&gt;30000,N184,ROUND(N184*Datos!$J$18,Dins)),IF(AND($F$15=Datos!$AI$5,Datos!$C$9=Datos!$AI$9),IF(A184&gt;30000,O184,ROUND(O184*Datos!$J$18,Dins)),IF(AND($F$15=Datos!$AI$6,Datos!$C$9=Datos!$AI$10),IF(A184&gt;30000,P184,ROUND(P184*Datos!$J$18,Dins)),IF(AND($F$15=Datos!$AI$6,Datos!$C$9=Datos!$AI$9),IF(A184&gt;30000,Q184,ROUND(Q184*Datos!$J$18,Dins))))))</f>
        <v>1.5</v>
      </c>
      <c r="G184">
        <v>0</v>
      </c>
      <c r="H184">
        <v>0</v>
      </c>
      <c r="I184">
        <v>0</v>
      </c>
      <c r="J184">
        <v>0</v>
      </c>
      <c r="N184">
        <v>1.77</v>
      </c>
      <c r="O184">
        <f t="shared" si="6"/>
        <v>1.5</v>
      </c>
      <c r="P184">
        <f t="shared" si="7"/>
        <v>0.47</v>
      </c>
      <c r="Q184">
        <f t="shared" si="8"/>
        <v>0.4</v>
      </c>
    </row>
    <row r="185" spans="1:17" x14ac:dyDescent="0.2">
      <c r="A185">
        <v>30128</v>
      </c>
      <c r="B185">
        <v>54</v>
      </c>
      <c r="C185" t="s">
        <v>6</v>
      </c>
      <c r="D185" t="s">
        <v>728</v>
      </c>
      <c r="E185" s="3" t="s">
        <v>206</v>
      </c>
      <c r="F185">
        <f>IF(AND($F$15=Datos!$AI$5,Datos!$C$9=Datos!$AI$10),IF(A185&gt;30000,N185,ROUND(N185*Datos!$J$18,Dins)),IF(AND($F$15=Datos!$AI$5,Datos!$C$9=Datos!$AI$9),IF(A185&gt;30000,O185,ROUND(O185*Datos!$J$18,Dins)),IF(AND($F$15=Datos!$AI$6,Datos!$C$9=Datos!$AI$10),IF(A185&gt;30000,P185,ROUND(P185*Datos!$J$18,Dins)),IF(AND($F$15=Datos!$AI$6,Datos!$C$9=Datos!$AI$9),IF(A185&gt;30000,Q185,ROUND(Q185*Datos!$J$18,Dins))))))</f>
        <v>40</v>
      </c>
      <c r="G185">
        <v>0</v>
      </c>
      <c r="H185">
        <v>0</v>
      </c>
      <c r="I185">
        <v>0</v>
      </c>
      <c r="J185">
        <v>0</v>
      </c>
      <c r="N185">
        <v>47.2</v>
      </c>
      <c r="O185">
        <f t="shared" si="6"/>
        <v>40</v>
      </c>
      <c r="P185">
        <f t="shared" si="7"/>
        <v>12.59</v>
      </c>
      <c r="Q185">
        <f t="shared" si="8"/>
        <v>10.67</v>
      </c>
    </row>
    <row r="186" spans="1:17" x14ac:dyDescent="0.2">
      <c r="A186">
        <v>30129</v>
      </c>
      <c r="B186">
        <v>65</v>
      </c>
      <c r="C186" t="s">
        <v>6</v>
      </c>
      <c r="D186" t="s">
        <v>729</v>
      </c>
      <c r="E186" s="3" t="s">
        <v>7</v>
      </c>
      <c r="F186">
        <f>IF(AND($F$15=Datos!$AI$5,Datos!$C$9=Datos!$AI$10),IF(A186&gt;30000,N186,ROUND(N186*Datos!$J$18,Dins)),IF(AND($F$15=Datos!$AI$5,Datos!$C$9=Datos!$AI$9),IF(A186&gt;30000,O186,ROUND(O186*Datos!$J$18,Dins)),IF(AND($F$15=Datos!$AI$6,Datos!$C$9=Datos!$AI$10),IF(A186&gt;30000,P186,ROUND(P186*Datos!$J$18,Dins)),IF(AND($F$15=Datos!$AI$6,Datos!$C$9=Datos!$AI$9),IF(A186&gt;30000,Q186,ROUND(Q186*Datos!$J$18,Dins))))))</f>
        <v>2.75</v>
      </c>
      <c r="G186">
        <v>0</v>
      </c>
      <c r="H186">
        <v>0</v>
      </c>
      <c r="I186">
        <v>0</v>
      </c>
      <c r="J186">
        <v>0</v>
      </c>
      <c r="N186">
        <v>3.24</v>
      </c>
      <c r="O186">
        <f t="shared" si="6"/>
        <v>2.75</v>
      </c>
      <c r="P186">
        <f t="shared" si="7"/>
        <v>0.86</v>
      </c>
      <c r="Q186">
        <f t="shared" si="8"/>
        <v>0.73</v>
      </c>
    </row>
    <row r="187" spans="1:17" x14ac:dyDescent="0.2">
      <c r="A187">
        <v>30130</v>
      </c>
      <c r="B187">
        <v>54</v>
      </c>
      <c r="C187" t="s">
        <v>6</v>
      </c>
      <c r="D187" t="s">
        <v>732</v>
      </c>
      <c r="E187" s="3" t="s">
        <v>206</v>
      </c>
      <c r="F187">
        <f>IF(AND($F$15=Datos!$AI$5,Datos!$C$9=Datos!$AI$10),IF(A187&gt;30000,N187,ROUND(N187*Datos!$J$18,Dins)),IF(AND($F$15=Datos!$AI$5,Datos!$C$9=Datos!$AI$9),IF(A187&gt;30000,O187,ROUND(O187*Datos!$J$18,Dins)),IF(AND($F$15=Datos!$AI$6,Datos!$C$9=Datos!$AI$10),IF(A187&gt;30000,P187,ROUND(P187*Datos!$J$18,Dins)),IF(AND($F$15=Datos!$AI$6,Datos!$C$9=Datos!$AI$9),IF(A187&gt;30000,Q187,ROUND(Q187*Datos!$J$18,Dins))))))</f>
        <v>45</v>
      </c>
      <c r="G187">
        <v>0</v>
      </c>
      <c r="H187">
        <v>0</v>
      </c>
      <c r="I187">
        <v>0</v>
      </c>
      <c r="J187">
        <v>0</v>
      </c>
      <c r="N187">
        <v>53.1</v>
      </c>
      <c r="O187">
        <f t="shared" si="6"/>
        <v>45</v>
      </c>
      <c r="P187">
        <f t="shared" si="7"/>
        <v>14.16</v>
      </c>
      <c r="Q187">
        <f t="shared" si="8"/>
        <v>12</v>
      </c>
    </row>
    <row r="188" spans="1:17" x14ac:dyDescent="0.2">
      <c r="A188">
        <v>30131</v>
      </c>
      <c r="B188">
        <v>39</v>
      </c>
      <c r="C188" t="s">
        <v>6</v>
      </c>
      <c r="D188" t="s">
        <v>733</v>
      </c>
      <c r="E188" s="3" t="s">
        <v>187</v>
      </c>
      <c r="F188">
        <f>IF(AND($F$15=Datos!$AI$5,Datos!$C$9=Datos!$AI$10),IF(A188&gt;30000,N188,ROUND(N188*Datos!$J$18,Dins)),IF(AND($F$15=Datos!$AI$5,Datos!$C$9=Datos!$AI$9),IF(A188&gt;30000,O188,ROUND(O188*Datos!$J$18,Dins)),IF(AND($F$15=Datos!$AI$6,Datos!$C$9=Datos!$AI$10),IF(A188&gt;30000,P188,ROUND(P188*Datos!$J$18,Dins)),IF(AND($F$15=Datos!$AI$6,Datos!$C$9=Datos!$AI$9),IF(A188&gt;30000,Q188,ROUND(Q188*Datos!$J$18,Dins))))))</f>
        <v>125</v>
      </c>
      <c r="G188">
        <v>0</v>
      </c>
      <c r="H188">
        <v>0</v>
      </c>
      <c r="I188">
        <v>0</v>
      </c>
      <c r="J188">
        <v>0</v>
      </c>
      <c r="N188">
        <v>147.5</v>
      </c>
      <c r="O188">
        <f t="shared" si="6"/>
        <v>125</v>
      </c>
      <c r="P188">
        <f t="shared" si="7"/>
        <v>39.33</v>
      </c>
      <c r="Q188">
        <f t="shared" si="8"/>
        <v>33.33</v>
      </c>
    </row>
    <row r="189" spans="1:17" x14ac:dyDescent="0.2">
      <c r="A189">
        <v>30132</v>
      </c>
      <c r="B189">
        <v>65</v>
      </c>
      <c r="C189" t="s">
        <v>6</v>
      </c>
      <c r="D189" t="s">
        <v>734</v>
      </c>
      <c r="E189" s="3" t="s">
        <v>7</v>
      </c>
      <c r="F189">
        <f>IF(AND($F$15=Datos!$AI$5,Datos!$C$9=Datos!$AI$10),IF(A189&gt;30000,N189,ROUND(N189*Datos!$J$18,Dins)),IF(AND($F$15=Datos!$AI$5,Datos!$C$9=Datos!$AI$9),IF(A189&gt;30000,O189,ROUND(O189*Datos!$J$18,Dins)),IF(AND($F$15=Datos!$AI$6,Datos!$C$9=Datos!$AI$10),IF(A189&gt;30000,P189,ROUND(P189*Datos!$J$18,Dins)),IF(AND($F$15=Datos!$AI$6,Datos!$C$9=Datos!$AI$9),IF(A189&gt;30000,Q189,ROUND(Q189*Datos!$J$18,Dins))))))</f>
        <v>4.0599999999999996</v>
      </c>
      <c r="G189">
        <v>0</v>
      </c>
      <c r="H189">
        <v>0</v>
      </c>
      <c r="I189">
        <v>0</v>
      </c>
      <c r="J189">
        <v>0</v>
      </c>
      <c r="N189">
        <v>4.79</v>
      </c>
      <c r="O189">
        <f t="shared" si="6"/>
        <v>4.0599999999999996</v>
      </c>
      <c r="P189">
        <f t="shared" si="7"/>
        <v>1.28</v>
      </c>
      <c r="Q189">
        <f t="shared" si="8"/>
        <v>1.08</v>
      </c>
    </row>
    <row r="190" spans="1:17" x14ac:dyDescent="0.2">
      <c r="A190">
        <v>30133</v>
      </c>
      <c r="B190">
        <v>26</v>
      </c>
      <c r="C190" t="s">
        <v>6</v>
      </c>
      <c r="D190" t="s">
        <v>739</v>
      </c>
      <c r="E190" s="3" t="s">
        <v>7</v>
      </c>
      <c r="F190">
        <f>IF(AND($F$15=Datos!$AI$5,Datos!$C$9=Datos!$AI$10),IF(A190&gt;30000,N190,ROUND(N190*Datos!$J$18,Dins)),IF(AND($F$15=Datos!$AI$5,Datos!$C$9=Datos!$AI$9),IF(A190&gt;30000,O190,ROUND(O190*Datos!$J$18,Dins)),IF(AND($F$15=Datos!$AI$6,Datos!$C$9=Datos!$AI$10),IF(A190&gt;30000,P190,ROUND(P190*Datos!$J$18,Dins)),IF(AND($F$15=Datos!$AI$6,Datos!$C$9=Datos!$AI$9),IF(A190&gt;30000,Q190,ROUND(Q190*Datos!$J$18,Dins))))))</f>
        <v>150</v>
      </c>
      <c r="G190">
        <v>0</v>
      </c>
      <c r="H190">
        <v>0</v>
      </c>
      <c r="I190">
        <v>0</v>
      </c>
      <c r="J190">
        <v>0</v>
      </c>
      <c r="N190">
        <v>177</v>
      </c>
      <c r="O190">
        <f t="shared" si="6"/>
        <v>150</v>
      </c>
      <c r="P190">
        <f t="shared" si="7"/>
        <v>47.2</v>
      </c>
      <c r="Q190">
        <f t="shared" si="8"/>
        <v>40</v>
      </c>
    </row>
    <row r="191" spans="1:17" x14ac:dyDescent="0.2">
      <c r="A191">
        <v>30134</v>
      </c>
      <c r="B191">
        <v>26</v>
      </c>
      <c r="C191" t="s">
        <v>6</v>
      </c>
      <c r="D191" t="s">
        <v>742</v>
      </c>
      <c r="E191" s="3" t="s">
        <v>210</v>
      </c>
      <c r="F191">
        <f>IF(AND($F$15=Datos!$AI$5,Datos!$C$9=Datos!$AI$10),IF(A191&gt;30000,N191,ROUND(N191*Datos!$J$18,Dins)),IF(AND($F$15=Datos!$AI$5,Datos!$C$9=Datos!$AI$9),IF(A191&gt;30000,O191,ROUND(O191*Datos!$J$18,Dins)),IF(AND($F$15=Datos!$AI$6,Datos!$C$9=Datos!$AI$10),IF(A191&gt;30000,P191,ROUND(P191*Datos!$J$18,Dins)),IF(AND($F$15=Datos!$AI$6,Datos!$C$9=Datos!$AI$9),IF(A191&gt;30000,Q191,ROUND(Q191*Datos!$J$18,Dins))))))</f>
        <v>500</v>
      </c>
      <c r="G191">
        <v>0</v>
      </c>
      <c r="H191">
        <v>0</v>
      </c>
      <c r="I191">
        <v>0</v>
      </c>
      <c r="J191">
        <v>0</v>
      </c>
      <c r="N191">
        <v>590</v>
      </c>
      <c r="O191">
        <f t="shared" si="6"/>
        <v>500</v>
      </c>
      <c r="P191">
        <f t="shared" si="7"/>
        <v>157.33000000000001</v>
      </c>
      <c r="Q191">
        <f t="shared" si="8"/>
        <v>133.33000000000001</v>
      </c>
    </row>
    <row r="192" spans="1:17" x14ac:dyDescent="0.2">
      <c r="A192">
        <v>30135</v>
      </c>
      <c r="B192">
        <v>26</v>
      </c>
      <c r="C192" t="s">
        <v>6</v>
      </c>
      <c r="D192" t="s">
        <v>745</v>
      </c>
      <c r="E192" s="3" t="s">
        <v>7</v>
      </c>
      <c r="F192">
        <f>IF(AND($F$15=Datos!$AI$5,Datos!$C$9=Datos!$AI$10),IF(A192&gt;30000,N192,ROUND(N192*Datos!$J$18,Dins)),IF(AND($F$15=Datos!$AI$5,Datos!$C$9=Datos!$AI$9),IF(A192&gt;30000,O192,ROUND(O192*Datos!$J$18,Dins)),IF(AND($F$15=Datos!$AI$6,Datos!$C$9=Datos!$AI$10),IF(A192&gt;30000,P192,ROUND(P192*Datos!$J$18,Dins)),IF(AND($F$15=Datos!$AI$6,Datos!$C$9=Datos!$AI$9),IF(A192&gt;30000,Q192,ROUND(Q192*Datos!$J$18,Dins))))))</f>
        <v>270</v>
      </c>
      <c r="G192">
        <v>0</v>
      </c>
      <c r="H192">
        <v>0</v>
      </c>
      <c r="I192">
        <v>0</v>
      </c>
      <c r="J192">
        <v>0</v>
      </c>
      <c r="N192">
        <v>318.60000000000002</v>
      </c>
      <c r="O192">
        <f t="shared" si="6"/>
        <v>270</v>
      </c>
      <c r="P192">
        <f t="shared" si="7"/>
        <v>84.96</v>
      </c>
      <c r="Q192">
        <f t="shared" si="8"/>
        <v>72</v>
      </c>
    </row>
    <row r="193" spans="1:17" x14ac:dyDescent="0.2">
      <c r="A193">
        <v>30136</v>
      </c>
      <c r="B193">
        <v>26</v>
      </c>
      <c r="C193" t="s">
        <v>6</v>
      </c>
      <c r="D193" t="s">
        <v>754</v>
      </c>
      <c r="E193" s="3" t="s">
        <v>275</v>
      </c>
      <c r="F193">
        <f>IF(AND($F$15=Datos!$AI$5,Datos!$C$9=Datos!$AI$10),IF(A193&gt;30000,N193,ROUND(N193*Datos!$J$18,Dins)),IF(AND($F$15=Datos!$AI$5,Datos!$C$9=Datos!$AI$9),IF(A193&gt;30000,O193,ROUND(O193*Datos!$J$18,Dins)),IF(AND($F$15=Datos!$AI$6,Datos!$C$9=Datos!$AI$10),IF(A193&gt;30000,P193,ROUND(P193*Datos!$J$18,Dins)),IF(AND($F$15=Datos!$AI$6,Datos!$C$9=Datos!$AI$9),IF(A193&gt;30000,Q193,ROUND(Q193*Datos!$J$18,Dins))))))</f>
        <v>8</v>
      </c>
      <c r="G193">
        <v>0</v>
      </c>
      <c r="H193">
        <v>0</v>
      </c>
      <c r="I193">
        <v>0</v>
      </c>
      <c r="J193">
        <v>0</v>
      </c>
      <c r="N193">
        <v>9.44</v>
      </c>
      <c r="O193">
        <f t="shared" si="6"/>
        <v>8</v>
      </c>
      <c r="P193">
        <f t="shared" si="7"/>
        <v>2.52</v>
      </c>
      <c r="Q193">
        <f t="shared" si="8"/>
        <v>2.14</v>
      </c>
    </row>
    <row r="194" spans="1:17" x14ac:dyDescent="0.2">
      <c r="A194">
        <v>30137</v>
      </c>
      <c r="B194">
        <v>26</v>
      </c>
      <c r="C194" t="s">
        <v>6</v>
      </c>
      <c r="D194" t="s">
        <v>757</v>
      </c>
      <c r="E194" s="3" t="s">
        <v>275</v>
      </c>
      <c r="F194">
        <f>IF(AND($F$15=Datos!$AI$5,Datos!$C$9=Datos!$AI$10),IF(A194&gt;30000,N194,ROUND(N194*Datos!$J$18,Dins)),IF(AND($F$15=Datos!$AI$5,Datos!$C$9=Datos!$AI$9),IF(A194&gt;30000,O194,ROUND(O194*Datos!$J$18,Dins)),IF(AND($F$15=Datos!$AI$6,Datos!$C$9=Datos!$AI$10),IF(A194&gt;30000,P194,ROUND(P194*Datos!$J$18,Dins)),IF(AND($F$15=Datos!$AI$6,Datos!$C$9=Datos!$AI$9),IF(A194&gt;30000,Q194,ROUND(Q194*Datos!$J$18,Dins))))))</f>
        <v>6.7</v>
      </c>
      <c r="G194">
        <v>0</v>
      </c>
      <c r="H194">
        <v>0</v>
      </c>
      <c r="I194">
        <v>0</v>
      </c>
      <c r="J194">
        <v>0</v>
      </c>
      <c r="N194">
        <v>7.91</v>
      </c>
      <c r="O194">
        <f t="shared" si="6"/>
        <v>6.7</v>
      </c>
      <c r="P194">
        <f t="shared" si="7"/>
        <v>2.11</v>
      </c>
      <c r="Q194">
        <f t="shared" si="8"/>
        <v>1.79</v>
      </c>
    </row>
    <row r="195" spans="1:17" x14ac:dyDescent="0.2">
      <c r="A195">
        <v>30138</v>
      </c>
      <c r="B195">
        <v>26</v>
      </c>
      <c r="C195" t="s">
        <v>6</v>
      </c>
      <c r="D195" t="s">
        <v>762</v>
      </c>
      <c r="E195" s="3" t="s">
        <v>7</v>
      </c>
      <c r="F195">
        <f>IF(AND($F$15=Datos!$AI$5,Datos!$C$9=Datos!$AI$10),IF(A195&gt;30000,N195,ROUND(N195*Datos!$J$18,Dins)),IF(AND($F$15=Datos!$AI$5,Datos!$C$9=Datos!$AI$9),IF(A195&gt;30000,O195,ROUND(O195*Datos!$J$18,Dins)),IF(AND($F$15=Datos!$AI$6,Datos!$C$9=Datos!$AI$10),IF(A195&gt;30000,P195,ROUND(P195*Datos!$J$18,Dins)),IF(AND($F$15=Datos!$AI$6,Datos!$C$9=Datos!$AI$9),IF(A195&gt;30000,Q195,ROUND(Q195*Datos!$J$18,Dins))))))</f>
        <v>150</v>
      </c>
      <c r="G195">
        <v>0</v>
      </c>
      <c r="H195">
        <v>0</v>
      </c>
      <c r="I195">
        <v>0</v>
      </c>
      <c r="J195">
        <v>0</v>
      </c>
      <c r="N195">
        <v>177</v>
      </c>
      <c r="O195">
        <f t="shared" si="6"/>
        <v>150</v>
      </c>
      <c r="P195">
        <f t="shared" si="7"/>
        <v>47.2</v>
      </c>
      <c r="Q195">
        <f t="shared" si="8"/>
        <v>40</v>
      </c>
    </row>
    <row r="196" spans="1:17" x14ac:dyDescent="0.2">
      <c r="A196">
        <v>30139</v>
      </c>
      <c r="B196">
        <v>26</v>
      </c>
      <c r="C196" t="s">
        <v>6</v>
      </c>
      <c r="D196" t="s">
        <v>765</v>
      </c>
      <c r="E196" s="3" t="s">
        <v>7</v>
      </c>
      <c r="F196">
        <f>IF(AND($F$15=Datos!$AI$5,Datos!$C$9=Datos!$AI$10),IF(A196&gt;30000,N196,ROUND(N196*Datos!$J$18,Dins)),IF(AND($F$15=Datos!$AI$5,Datos!$C$9=Datos!$AI$9),IF(A196&gt;30000,O196,ROUND(O196*Datos!$J$18,Dins)),IF(AND($F$15=Datos!$AI$6,Datos!$C$9=Datos!$AI$10),IF(A196&gt;30000,P196,ROUND(P196*Datos!$J$18,Dins)),IF(AND($F$15=Datos!$AI$6,Datos!$C$9=Datos!$AI$9),IF(A196&gt;30000,Q196,ROUND(Q196*Datos!$J$18,Dins))))))</f>
        <v>18.5</v>
      </c>
      <c r="G196">
        <v>0</v>
      </c>
      <c r="H196">
        <v>0</v>
      </c>
      <c r="I196">
        <v>0</v>
      </c>
      <c r="J196">
        <v>0</v>
      </c>
      <c r="N196">
        <v>21.83</v>
      </c>
      <c r="O196">
        <f t="shared" si="6"/>
        <v>18.5</v>
      </c>
      <c r="P196">
        <f t="shared" si="7"/>
        <v>5.82</v>
      </c>
      <c r="Q196">
        <f t="shared" si="8"/>
        <v>4.93</v>
      </c>
    </row>
    <row r="197" spans="1:17" x14ac:dyDescent="0.2">
      <c r="A197">
        <v>30140</v>
      </c>
      <c r="B197">
        <v>26</v>
      </c>
      <c r="C197" t="s">
        <v>6</v>
      </c>
      <c r="D197" t="s">
        <v>768</v>
      </c>
      <c r="E197" s="3" t="s">
        <v>7</v>
      </c>
      <c r="F197">
        <f>IF(AND($F$15=Datos!$AI$5,Datos!$C$9=Datos!$AI$10),IF(A197&gt;30000,N197,ROUND(N197*Datos!$J$18,Dins)),IF(AND($F$15=Datos!$AI$5,Datos!$C$9=Datos!$AI$9),IF(A197&gt;30000,O197,ROUND(O197*Datos!$J$18,Dins)),IF(AND($F$15=Datos!$AI$6,Datos!$C$9=Datos!$AI$10),IF(A197&gt;30000,P197,ROUND(P197*Datos!$J$18,Dins)),IF(AND($F$15=Datos!$AI$6,Datos!$C$9=Datos!$AI$9),IF(A197&gt;30000,Q197,ROUND(Q197*Datos!$J$18,Dins))))))</f>
        <v>18.5</v>
      </c>
      <c r="G197">
        <v>0</v>
      </c>
      <c r="H197">
        <v>0</v>
      </c>
      <c r="I197">
        <v>0</v>
      </c>
      <c r="J197">
        <v>0</v>
      </c>
      <c r="N197">
        <v>21.83</v>
      </c>
      <c r="O197">
        <f t="shared" si="6"/>
        <v>18.5</v>
      </c>
      <c r="P197">
        <f t="shared" si="7"/>
        <v>5.82</v>
      </c>
      <c r="Q197">
        <f t="shared" si="8"/>
        <v>4.93</v>
      </c>
    </row>
    <row r="198" spans="1:17" x14ac:dyDescent="0.2">
      <c r="A198">
        <v>30141</v>
      </c>
      <c r="B198">
        <v>26</v>
      </c>
      <c r="C198" t="s">
        <v>6</v>
      </c>
      <c r="D198" t="s">
        <v>773</v>
      </c>
      <c r="E198" s="3" t="s">
        <v>7</v>
      </c>
      <c r="F198">
        <f>IF(AND($F$15=Datos!$AI$5,Datos!$C$9=Datos!$AI$10),IF(A198&gt;30000,N198,ROUND(N198*Datos!$J$18,Dins)),IF(AND($F$15=Datos!$AI$5,Datos!$C$9=Datos!$AI$9),IF(A198&gt;30000,O198,ROUND(O198*Datos!$J$18,Dins)),IF(AND($F$15=Datos!$AI$6,Datos!$C$9=Datos!$AI$10),IF(A198&gt;30000,P198,ROUND(P198*Datos!$J$18,Dins)),IF(AND($F$15=Datos!$AI$6,Datos!$C$9=Datos!$AI$9),IF(A198&gt;30000,Q198,ROUND(Q198*Datos!$J$18,Dins))))))</f>
        <v>210</v>
      </c>
      <c r="G198">
        <v>0</v>
      </c>
      <c r="H198">
        <v>0</v>
      </c>
      <c r="I198">
        <v>0</v>
      </c>
      <c r="J198">
        <v>0</v>
      </c>
      <c r="N198">
        <v>247.8</v>
      </c>
      <c r="O198">
        <f t="shared" si="6"/>
        <v>210</v>
      </c>
      <c r="P198">
        <f t="shared" si="7"/>
        <v>66.08</v>
      </c>
      <c r="Q198">
        <f t="shared" si="8"/>
        <v>56</v>
      </c>
    </row>
    <row r="199" spans="1:17" x14ac:dyDescent="0.2">
      <c r="A199">
        <v>30142</v>
      </c>
      <c r="B199">
        <v>30</v>
      </c>
      <c r="C199" t="s">
        <v>6</v>
      </c>
      <c r="D199" t="s">
        <v>778</v>
      </c>
      <c r="E199" s="3" t="s">
        <v>210</v>
      </c>
      <c r="F199">
        <f>IF(AND($F$15=Datos!$AI$5,Datos!$C$9=Datos!$AI$10),IF(A199&gt;30000,N199,ROUND(N199*Datos!$J$18,Dins)),IF(AND($F$15=Datos!$AI$5,Datos!$C$9=Datos!$AI$9),IF(A199&gt;30000,O199,ROUND(O199*Datos!$J$18,Dins)),IF(AND($F$15=Datos!$AI$6,Datos!$C$9=Datos!$AI$10),IF(A199&gt;30000,P199,ROUND(P199*Datos!$J$18,Dins)),IF(AND($F$15=Datos!$AI$6,Datos!$C$9=Datos!$AI$9),IF(A199&gt;30000,Q199,ROUND(Q199*Datos!$J$18,Dins))))))</f>
        <v>150</v>
      </c>
      <c r="G199">
        <v>0</v>
      </c>
      <c r="H199">
        <v>0</v>
      </c>
      <c r="I199">
        <v>0</v>
      </c>
      <c r="J199">
        <v>0</v>
      </c>
      <c r="N199">
        <v>177</v>
      </c>
      <c r="O199">
        <f t="shared" si="6"/>
        <v>150</v>
      </c>
      <c r="P199">
        <f t="shared" si="7"/>
        <v>47.2</v>
      </c>
      <c r="Q199">
        <f t="shared" si="8"/>
        <v>40</v>
      </c>
    </row>
    <row r="200" spans="1:17" x14ac:dyDescent="0.2">
      <c r="A200">
        <v>30143</v>
      </c>
      <c r="B200">
        <v>30</v>
      </c>
      <c r="C200" t="s">
        <v>6</v>
      </c>
      <c r="D200" t="s">
        <v>781</v>
      </c>
      <c r="E200" s="3" t="s">
        <v>210</v>
      </c>
      <c r="F200">
        <f>IF(AND($F$15=Datos!$AI$5,Datos!$C$9=Datos!$AI$10),IF(A200&gt;30000,N200,ROUND(N200*Datos!$J$18,Dins)),IF(AND($F$15=Datos!$AI$5,Datos!$C$9=Datos!$AI$9),IF(A200&gt;30000,O200,ROUND(O200*Datos!$J$18,Dins)),IF(AND($F$15=Datos!$AI$6,Datos!$C$9=Datos!$AI$10),IF(A200&gt;30000,P200,ROUND(P200*Datos!$J$18,Dins)),IF(AND($F$15=Datos!$AI$6,Datos!$C$9=Datos!$AI$9),IF(A200&gt;30000,Q200,ROUND(Q200*Datos!$J$18,Dins))))))</f>
        <v>250</v>
      </c>
      <c r="G200">
        <v>0</v>
      </c>
      <c r="H200">
        <v>0</v>
      </c>
      <c r="I200">
        <v>0</v>
      </c>
      <c r="J200">
        <v>0</v>
      </c>
      <c r="N200">
        <v>295</v>
      </c>
      <c r="O200">
        <f t="shared" si="6"/>
        <v>250</v>
      </c>
      <c r="P200">
        <f t="shared" si="7"/>
        <v>78.67</v>
      </c>
      <c r="Q200">
        <f t="shared" si="8"/>
        <v>66.67</v>
      </c>
    </row>
    <row r="201" spans="1:17" x14ac:dyDescent="0.2">
      <c r="A201">
        <v>30144</v>
      </c>
      <c r="B201">
        <v>39</v>
      </c>
      <c r="C201" t="s">
        <v>6</v>
      </c>
      <c r="D201" t="s">
        <v>784</v>
      </c>
      <c r="E201" s="3" t="s">
        <v>210</v>
      </c>
      <c r="F201">
        <f>IF(AND($F$15=Datos!$AI$5,Datos!$C$9=Datos!$AI$10),IF(A201&gt;30000,N201,ROUND(N201*Datos!$J$18,Dins)),IF(AND($F$15=Datos!$AI$5,Datos!$C$9=Datos!$AI$9),IF(A201&gt;30000,O201,ROUND(O201*Datos!$J$18,Dins)),IF(AND($F$15=Datos!$AI$6,Datos!$C$9=Datos!$AI$10),IF(A201&gt;30000,P201,ROUND(P201*Datos!$J$18,Dins)),IF(AND($F$15=Datos!$AI$6,Datos!$C$9=Datos!$AI$9),IF(A201&gt;30000,Q201,ROUND(Q201*Datos!$J$18,Dins))))))</f>
        <v>355</v>
      </c>
      <c r="G201">
        <v>0</v>
      </c>
      <c r="H201">
        <v>0</v>
      </c>
      <c r="I201">
        <v>0</v>
      </c>
      <c r="J201">
        <v>0</v>
      </c>
      <c r="N201">
        <v>418.9</v>
      </c>
      <c r="O201">
        <f t="shared" si="6"/>
        <v>355</v>
      </c>
      <c r="P201">
        <f t="shared" si="7"/>
        <v>111.71</v>
      </c>
      <c r="Q201">
        <f t="shared" si="8"/>
        <v>94.67</v>
      </c>
    </row>
    <row r="202" spans="1:17" x14ac:dyDescent="0.2">
      <c r="A202">
        <v>30145</v>
      </c>
      <c r="B202">
        <v>30</v>
      </c>
      <c r="C202" t="s">
        <v>6</v>
      </c>
      <c r="D202" t="s">
        <v>787</v>
      </c>
      <c r="E202" s="3" t="s">
        <v>210</v>
      </c>
      <c r="F202">
        <f>IF(AND($F$15=Datos!$AI$5,Datos!$C$9=Datos!$AI$10),IF(A202&gt;30000,N202,ROUND(N202*Datos!$J$18,Dins)),IF(AND($F$15=Datos!$AI$5,Datos!$C$9=Datos!$AI$9),IF(A202&gt;30000,O202,ROUND(O202*Datos!$J$18,Dins)),IF(AND($F$15=Datos!$AI$6,Datos!$C$9=Datos!$AI$10),IF(A202&gt;30000,P202,ROUND(P202*Datos!$J$18,Dins)),IF(AND($F$15=Datos!$AI$6,Datos!$C$9=Datos!$AI$9),IF(A202&gt;30000,Q202,ROUND(Q202*Datos!$J$18,Dins))))))</f>
        <v>255.79</v>
      </c>
      <c r="G202">
        <v>0</v>
      </c>
      <c r="H202">
        <v>0</v>
      </c>
      <c r="I202">
        <v>0</v>
      </c>
      <c r="J202">
        <v>0</v>
      </c>
      <c r="N202">
        <v>301.83</v>
      </c>
      <c r="O202">
        <f t="shared" si="6"/>
        <v>255.79</v>
      </c>
      <c r="P202">
        <f t="shared" si="7"/>
        <v>80.489999999999995</v>
      </c>
      <c r="Q202">
        <f t="shared" si="8"/>
        <v>68.209999999999994</v>
      </c>
    </row>
    <row r="203" spans="1:17" x14ac:dyDescent="0.2">
      <c r="A203">
        <v>30146</v>
      </c>
      <c r="B203">
        <v>30</v>
      </c>
      <c r="C203" t="s">
        <v>6</v>
      </c>
      <c r="D203" t="s">
        <v>794</v>
      </c>
      <c r="E203" s="3" t="s">
        <v>33</v>
      </c>
      <c r="F203">
        <f>IF(AND($F$15=Datos!$AI$5,Datos!$C$9=Datos!$AI$10),IF(A203&gt;30000,N203,ROUND(N203*Datos!$J$18,Dins)),IF(AND($F$15=Datos!$AI$5,Datos!$C$9=Datos!$AI$9),IF(A203&gt;30000,O203,ROUND(O203*Datos!$J$18,Dins)),IF(AND($F$15=Datos!$AI$6,Datos!$C$9=Datos!$AI$10),IF(A203&gt;30000,P203,ROUND(P203*Datos!$J$18,Dins)),IF(AND($F$15=Datos!$AI$6,Datos!$C$9=Datos!$AI$9),IF(A203&gt;30000,Q203,ROUND(Q203*Datos!$J$18,Dins))))))</f>
        <v>1.38</v>
      </c>
      <c r="G203">
        <v>0</v>
      </c>
      <c r="H203">
        <v>0</v>
      </c>
      <c r="I203">
        <v>0</v>
      </c>
      <c r="J203">
        <v>0</v>
      </c>
      <c r="N203">
        <v>1.63</v>
      </c>
      <c r="O203">
        <f t="shared" si="6"/>
        <v>1.38</v>
      </c>
      <c r="P203">
        <f t="shared" si="7"/>
        <v>0.43</v>
      </c>
      <c r="Q203">
        <f t="shared" si="8"/>
        <v>0.36</v>
      </c>
    </row>
    <row r="204" spans="1:17" x14ac:dyDescent="0.2">
      <c r="A204">
        <v>30147</v>
      </c>
      <c r="B204">
        <v>30</v>
      </c>
      <c r="C204" t="s">
        <v>6</v>
      </c>
      <c r="D204" t="s">
        <v>795</v>
      </c>
      <c r="E204" s="3" t="s">
        <v>206</v>
      </c>
      <c r="F204">
        <f>IF(AND($F$15=Datos!$AI$5,Datos!$C$9=Datos!$AI$10),IF(A204&gt;30000,N204,ROUND(N204*Datos!$J$18,Dins)),IF(AND($F$15=Datos!$AI$5,Datos!$C$9=Datos!$AI$9),IF(A204&gt;30000,O204,ROUND(O204*Datos!$J$18,Dins)),IF(AND($F$15=Datos!$AI$6,Datos!$C$9=Datos!$AI$10),IF(A204&gt;30000,P204,ROUND(P204*Datos!$J$18,Dins)),IF(AND($F$15=Datos!$AI$6,Datos!$C$9=Datos!$AI$9),IF(A204&gt;30000,Q204,ROUND(Q204*Datos!$J$18,Dins))))))</f>
        <v>11.9</v>
      </c>
      <c r="G204">
        <v>0</v>
      </c>
      <c r="H204">
        <v>0</v>
      </c>
      <c r="I204">
        <v>0</v>
      </c>
      <c r="J204">
        <v>0</v>
      </c>
      <c r="N204">
        <v>14.04</v>
      </c>
      <c r="O204">
        <f t="shared" si="6"/>
        <v>11.9</v>
      </c>
      <c r="P204">
        <f t="shared" si="7"/>
        <v>3.74</v>
      </c>
      <c r="Q204">
        <f t="shared" si="8"/>
        <v>3.17</v>
      </c>
    </row>
    <row r="205" spans="1:17" x14ac:dyDescent="0.2">
      <c r="A205">
        <v>30148</v>
      </c>
      <c r="B205">
        <v>54</v>
      </c>
      <c r="C205" t="s">
        <v>6</v>
      </c>
      <c r="D205" t="s">
        <v>796</v>
      </c>
      <c r="E205" s="3" t="s">
        <v>33</v>
      </c>
      <c r="F205">
        <f>IF(AND($F$15=Datos!$AI$5,Datos!$C$9=Datos!$AI$10),IF(A205&gt;30000,N205,ROUND(N205*Datos!$J$18,Dins)),IF(AND($F$15=Datos!$AI$5,Datos!$C$9=Datos!$AI$9),IF(A205&gt;30000,O205,ROUND(O205*Datos!$J$18,Dins)),IF(AND($F$15=Datos!$AI$6,Datos!$C$9=Datos!$AI$10),IF(A205&gt;30000,P205,ROUND(P205*Datos!$J$18,Dins)),IF(AND($F$15=Datos!$AI$6,Datos!$C$9=Datos!$AI$9),IF(A205&gt;30000,Q205,ROUND(Q205*Datos!$J$18,Dins))))))</f>
        <v>0.75</v>
      </c>
      <c r="G205">
        <v>0</v>
      </c>
      <c r="H205">
        <v>0</v>
      </c>
      <c r="I205">
        <v>0</v>
      </c>
      <c r="J205">
        <v>0</v>
      </c>
      <c r="N205">
        <v>0.88</v>
      </c>
      <c r="O205">
        <f t="shared" si="6"/>
        <v>0.75</v>
      </c>
      <c r="P205">
        <f t="shared" si="7"/>
        <v>0.23</v>
      </c>
      <c r="Q205">
        <f t="shared" si="8"/>
        <v>0.19</v>
      </c>
    </row>
    <row r="206" spans="1:17" x14ac:dyDescent="0.2">
      <c r="A206">
        <v>30149</v>
      </c>
      <c r="B206">
        <v>39</v>
      </c>
      <c r="C206" t="s">
        <v>6</v>
      </c>
      <c r="D206" t="s">
        <v>797</v>
      </c>
      <c r="E206" s="3" t="s">
        <v>798</v>
      </c>
      <c r="F206">
        <f>IF(AND($F$15=Datos!$AI$5,Datos!$C$9=Datos!$AI$10),IF(A206&gt;30000,N206,ROUND(N206*Datos!$J$18,Dins)),IF(AND($F$15=Datos!$AI$5,Datos!$C$9=Datos!$AI$9),IF(A206&gt;30000,O206,ROUND(O206*Datos!$J$18,Dins)),IF(AND($F$15=Datos!$AI$6,Datos!$C$9=Datos!$AI$10),IF(A206&gt;30000,P206,ROUND(P206*Datos!$J$18,Dins)),IF(AND($F$15=Datos!$AI$6,Datos!$C$9=Datos!$AI$9),IF(A206&gt;30000,Q206,ROUND(Q206*Datos!$J$18,Dins))))))</f>
        <v>1.45</v>
      </c>
      <c r="G206">
        <v>0</v>
      </c>
      <c r="H206">
        <v>0</v>
      </c>
      <c r="I206">
        <v>0</v>
      </c>
      <c r="J206">
        <v>0</v>
      </c>
      <c r="N206">
        <v>1.71</v>
      </c>
      <c r="O206">
        <f t="shared" si="6"/>
        <v>1.45</v>
      </c>
      <c r="P206">
        <f t="shared" si="7"/>
        <v>0.46</v>
      </c>
      <c r="Q206">
        <f t="shared" si="8"/>
        <v>0.39</v>
      </c>
    </row>
    <row r="207" spans="1:17" x14ac:dyDescent="0.2">
      <c r="A207">
        <v>30150</v>
      </c>
      <c r="B207">
        <v>54</v>
      </c>
      <c r="C207" t="s">
        <v>6</v>
      </c>
      <c r="D207" t="s">
        <v>799</v>
      </c>
      <c r="E207" s="3" t="s">
        <v>206</v>
      </c>
      <c r="F207">
        <f>IF(AND($F$15=Datos!$AI$5,Datos!$C$9=Datos!$AI$10),IF(A207&gt;30000,N207,ROUND(N207*Datos!$J$18,Dins)),IF(AND($F$15=Datos!$AI$5,Datos!$C$9=Datos!$AI$9),IF(A207&gt;30000,O207,ROUND(O207*Datos!$J$18,Dins)),IF(AND($F$15=Datos!$AI$6,Datos!$C$9=Datos!$AI$10),IF(A207&gt;30000,P207,ROUND(P207*Datos!$J$18,Dins)),IF(AND($F$15=Datos!$AI$6,Datos!$C$9=Datos!$AI$9),IF(A207&gt;30000,Q207,ROUND(Q207*Datos!$J$18,Dins))))))</f>
        <v>31.5</v>
      </c>
      <c r="G207">
        <v>0</v>
      </c>
      <c r="H207">
        <v>0</v>
      </c>
      <c r="I207">
        <v>0</v>
      </c>
      <c r="J207">
        <v>0</v>
      </c>
      <c r="N207">
        <v>37.17</v>
      </c>
      <c r="O207">
        <f t="shared" si="6"/>
        <v>31.5</v>
      </c>
      <c r="P207">
        <f t="shared" si="7"/>
        <v>9.91</v>
      </c>
      <c r="Q207">
        <f t="shared" si="8"/>
        <v>8.4</v>
      </c>
    </row>
    <row r="208" spans="1:17" x14ac:dyDescent="0.2">
      <c r="A208">
        <v>30151</v>
      </c>
      <c r="B208">
        <v>54</v>
      </c>
      <c r="C208" t="s">
        <v>6</v>
      </c>
      <c r="D208" t="s">
        <v>804</v>
      </c>
      <c r="E208" s="3" t="s">
        <v>206</v>
      </c>
      <c r="F208">
        <f>IF(AND($F$15=Datos!$AI$5,Datos!$C$9=Datos!$AI$10),IF(A208&gt;30000,N208,ROUND(N208*Datos!$J$18,Dins)),IF(AND($F$15=Datos!$AI$5,Datos!$C$9=Datos!$AI$9),IF(A208&gt;30000,O208,ROUND(O208*Datos!$J$18,Dins)),IF(AND($F$15=Datos!$AI$6,Datos!$C$9=Datos!$AI$10),IF(A208&gt;30000,P208,ROUND(P208*Datos!$J$18,Dins)),IF(AND($F$15=Datos!$AI$6,Datos!$C$9=Datos!$AI$9),IF(A208&gt;30000,Q208,ROUND(Q208*Datos!$J$18,Dins))))))</f>
        <v>20.5</v>
      </c>
      <c r="G208">
        <v>0</v>
      </c>
      <c r="H208">
        <v>0</v>
      </c>
      <c r="I208">
        <v>0</v>
      </c>
      <c r="J208">
        <v>0</v>
      </c>
      <c r="N208">
        <v>24.19</v>
      </c>
      <c r="O208">
        <f t="shared" ref="O208:O271" si="9">IF(A208&gt;30000,ROUND(N208/$O$14,Dins),ROUND(N208,Dins))</f>
        <v>20.5</v>
      </c>
      <c r="P208">
        <f t="shared" ref="P208:P271" si="10">ROUND(N208/$P$14,Dins)</f>
        <v>6.45</v>
      </c>
      <c r="Q208">
        <f t="shared" ref="Q208:Q271" si="11">IF(A208&gt;30000,ROUND(P208/$Q$14,Dins),ROUND(P208,Dins))</f>
        <v>5.47</v>
      </c>
    </row>
    <row r="209" spans="1:17" x14ac:dyDescent="0.2">
      <c r="A209">
        <v>30152</v>
      </c>
      <c r="B209">
        <v>54</v>
      </c>
      <c r="C209" t="s">
        <v>6</v>
      </c>
      <c r="D209" t="s">
        <v>809</v>
      </c>
      <c r="E209" s="3" t="s">
        <v>206</v>
      </c>
      <c r="F209">
        <f>IF(AND($F$15=Datos!$AI$5,Datos!$C$9=Datos!$AI$10),IF(A209&gt;30000,N209,ROUND(N209*Datos!$J$18,Dins)),IF(AND($F$15=Datos!$AI$5,Datos!$C$9=Datos!$AI$9),IF(A209&gt;30000,O209,ROUND(O209*Datos!$J$18,Dins)),IF(AND($F$15=Datos!$AI$6,Datos!$C$9=Datos!$AI$10),IF(A209&gt;30000,P209,ROUND(P209*Datos!$J$18,Dins)),IF(AND($F$15=Datos!$AI$6,Datos!$C$9=Datos!$AI$9),IF(A209&gt;30000,Q209,ROUND(Q209*Datos!$J$18,Dins))))))</f>
        <v>40</v>
      </c>
      <c r="G209">
        <v>0</v>
      </c>
      <c r="H209">
        <v>0</v>
      </c>
      <c r="I209">
        <v>0</v>
      </c>
      <c r="J209">
        <v>0</v>
      </c>
      <c r="N209">
        <v>47.2</v>
      </c>
      <c r="O209">
        <f t="shared" si="9"/>
        <v>40</v>
      </c>
      <c r="P209">
        <f t="shared" si="10"/>
        <v>12.59</v>
      </c>
      <c r="Q209">
        <f t="shared" si="11"/>
        <v>10.67</v>
      </c>
    </row>
    <row r="210" spans="1:17" x14ac:dyDescent="0.2">
      <c r="A210">
        <v>30153</v>
      </c>
      <c r="B210">
        <v>54</v>
      </c>
      <c r="C210" t="s">
        <v>6</v>
      </c>
      <c r="D210" t="s">
        <v>810</v>
      </c>
      <c r="E210" s="3" t="s">
        <v>206</v>
      </c>
      <c r="F210">
        <f>IF(AND($F$15=Datos!$AI$5,Datos!$C$9=Datos!$AI$10),IF(A210&gt;30000,N210,ROUND(N210*Datos!$J$18,Dins)),IF(AND($F$15=Datos!$AI$5,Datos!$C$9=Datos!$AI$9),IF(A210&gt;30000,O210,ROUND(O210*Datos!$J$18,Dins)),IF(AND($F$15=Datos!$AI$6,Datos!$C$9=Datos!$AI$10),IF(A210&gt;30000,P210,ROUND(P210*Datos!$J$18,Dins)),IF(AND($F$15=Datos!$AI$6,Datos!$C$9=Datos!$AI$9),IF(A210&gt;30000,Q210,ROUND(Q210*Datos!$J$18,Dins))))))</f>
        <v>40</v>
      </c>
      <c r="G210">
        <v>0</v>
      </c>
      <c r="H210">
        <v>0</v>
      </c>
      <c r="I210">
        <v>0</v>
      </c>
      <c r="J210">
        <v>0</v>
      </c>
      <c r="N210">
        <v>47.2</v>
      </c>
      <c r="O210">
        <f t="shared" si="9"/>
        <v>40</v>
      </c>
      <c r="P210">
        <f t="shared" si="10"/>
        <v>12.59</v>
      </c>
      <c r="Q210">
        <f t="shared" si="11"/>
        <v>10.67</v>
      </c>
    </row>
    <row r="211" spans="1:17" x14ac:dyDescent="0.2">
      <c r="A211">
        <v>77511</v>
      </c>
      <c r="B211">
        <v>48</v>
      </c>
      <c r="C211" t="s">
        <v>280</v>
      </c>
      <c r="D211" t="s">
        <v>811</v>
      </c>
      <c r="E211" s="3" t="s">
        <v>7</v>
      </c>
      <c r="F211">
        <f>IF(AND($F$15=Datos!$AI$5,Datos!$C$9=Datos!$AI$10),IF(A211&gt;30000,N211,ROUND(N211*Datos!$J$18,Dins)),IF(AND($F$15=Datos!$AI$5,Datos!$C$9=Datos!$AI$9),IF(A211&gt;30000,O211,ROUND(O211*Datos!$J$18,Dins)),IF(AND($F$15=Datos!$AI$6,Datos!$C$9=Datos!$AI$10),IF(A211&gt;30000,P211,ROUND(P211*Datos!$J$18,Dins)),IF(AND($F$15=Datos!$AI$6,Datos!$C$9=Datos!$AI$9),IF(A211&gt;30000,Q211,ROUND(Q211*Datos!$J$18,Dins))))))</f>
        <v>10</v>
      </c>
      <c r="G211">
        <v>0</v>
      </c>
      <c r="H211">
        <v>0</v>
      </c>
      <c r="I211">
        <v>0</v>
      </c>
      <c r="J211">
        <v>0</v>
      </c>
      <c r="N211">
        <v>11.8</v>
      </c>
      <c r="O211">
        <f t="shared" si="9"/>
        <v>10</v>
      </c>
      <c r="P211">
        <f t="shared" si="10"/>
        <v>3.15</v>
      </c>
      <c r="Q211">
        <f t="shared" si="11"/>
        <v>2.67</v>
      </c>
    </row>
    <row r="212" spans="1:17" x14ac:dyDescent="0.2">
      <c r="A212">
        <v>30154</v>
      </c>
      <c r="B212">
        <v>54</v>
      </c>
      <c r="C212" t="s">
        <v>6</v>
      </c>
      <c r="D212" t="s">
        <v>816</v>
      </c>
      <c r="E212" s="3" t="s">
        <v>206</v>
      </c>
      <c r="F212">
        <f>IF(AND($F$15=Datos!$AI$5,Datos!$C$9=Datos!$AI$10),IF(A212&gt;30000,N212,ROUND(N212*Datos!$J$18,Dins)),IF(AND($F$15=Datos!$AI$5,Datos!$C$9=Datos!$AI$9),IF(A212&gt;30000,O212,ROUND(O212*Datos!$J$18,Dins)),IF(AND($F$15=Datos!$AI$6,Datos!$C$9=Datos!$AI$10),IF(A212&gt;30000,P212,ROUND(P212*Datos!$J$18,Dins)),IF(AND($F$15=Datos!$AI$6,Datos!$C$9=Datos!$AI$9),IF(A212&gt;30000,Q212,ROUND(Q212*Datos!$J$18,Dins))))))</f>
        <v>35</v>
      </c>
      <c r="G212">
        <v>0</v>
      </c>
      <c r="H212">
        <v>0</v>
      </c>
      <c r="I212">
        <v>0</v>
      </c>
      <c r="J212">
        <v>0</v>
      </c>
      <c r="N212">
        <v>41.3</v>
      </c>
      <c r="O212">
        <f t="shared" si="9"/>
        <v>35</v>
      </c>
      <c r="P212">
        <f t="shared" si="10"/>
        <v>11.01</v>
      </c>
      <c r="Q212">
        <f t="shared" si="11"/>
        <v>9.33</v>
      </c>
    </row>
    <row r="213" spans="1:17" x14ac:dyDescent="0.2">
      <c r="A213">
        <v>30155</v>
      </c>
      <c r="B213">
        <v>54</v>
      </c>
      <c r="C213" t="s">
        <v>6</v>
      </c>
      <c r="D213" t="s">
        <v>817</v>
      </c>
      <c r="E213" s="3" t="s">
        <v>206</v>
      </c>
      <c r="F213">
        <f>IF(AND($F$15=Datos!$AI$5,Datos!$C$9=Datos!$AI$10),IF(A213&gt;30000,N213,ROUND(N213*Datos!$J$18,Dins)),IF(AND($F$15=Datos!$AI$5,Datos!$C$9=Datos!$AI$9),IF(A213&gt;30000,O213,ROUND(O213*Datos!$J$18,Dins)),IF(AND($F$15=Datos!$AI$6,Datos!$C$9=Datos!$AI$10),IF(A213&gt;30000,P213,ROUND(P213*Datos!$J$18,Dins)),IF(AND($F$15=Datos!$AI$6,Datos!$C$9=Datos!$AI$9),IF(A213&gt;30000,Q213,ROUND(Q213*Datos!$J$18,Dins))))))</f>
        <v>41.25</v>
      </c>
      <c r="G213">
        <v>0</v>
      </c>
      <c r="H213">
        <v>0</v>
      </c>
      <c r="I213">
        <v>0</v>
      </c>
      <c r="J213">
        <v>0</v>
      </c>
      <c r="N213">
        <v>48.68</v>
      </c>
      <c r="O213">
        <f t="shared" si="9"/>
        <v>41.25</v>
      </c>
      <c r="P213">
        <f t="shared" si="10"/>
        <v>12.98</v>
      </c>
      <c r="Q213">
        <f t="shared" si="11"/>
        <v>11</v>
      </c>
    </row>
    <row r="214" spans="1:17" x14ac:dyDescent="0.2">
      <c r="A214">
        <v>30156</v>
      </c>
      <c r="B214">
        <v>30</v>
      </c>
      <c r="C214" t="s">
        <v>6</v>
      </c>
      <c r="D214" t="s">
        <v>822</v>
      </c>
      <c r="E214" s="3" t="s">
        <v>206</v>
      </c>
      <c r="F214">
        <f>IF(AND($F$15=Datos!$AI$5,Datos!$C$9=Datos!$AI$10),IF(A214&gt;30000,N214,ROUND(N214*Datos!$J$18,Dins)),IF(AND($F$15=Datos!$AI$5,Datos!$C$9=Datos!$AI$9),IF(A214&gt;30000,O214,ROUND(O214*Datos!$J$18,Dins)),IF(AND($F$15=Datos!$AI$6,Datos!$C$9=Datos!$AI$10),IF(A214&gt;30000,P214,ROUND(P214*Datos!$J$18,Dins)),IF(AND($F$15=Datos!$AI$6,Datos!$C$9=Datos!$AI$9),IF(A214&gt;30000,Q214,ROUND(Q214*Datos!$J$18,Dins))))))</f>
        <v>8</v>
      </c>
      <c r="G214">
        <v>0</v>
      </c>
      <c r="H214">
        <v>0</v>
      </c>
      <c r="I214">
        <v>0</v>
      </c>
      <c r="J214">
        <v>0</v>
      </c>
      <c r="N214">
        <v>9.44</v>
      </c>
      <c r="O214">
        <f t="shared" si="9"/>
        <v>8</v>
      </c>
      <c r="P214">
        <f t="shared" si="10"/>
        <v>2.52</v>
      </c>
      <c r="Q214">
        <f t="shared" si="11"/>
        <v>2.14</v>
      </c>
    </row>
    <row r="215" spans="1:17" x14ac:dyDescent="0.2">
      <c r="A215">
        <v>30157</v>
      </c>
      <c r="B215">
        <v>39</v>
      </c>
      <c r="C215" t="s">
        <v>6</v>
      </c>
      <c r="D215" t="s">
        <v>823</v>
      </c>
      <c r="E215" s="3" t="s">
        <v>174</v>
      </c>
      <c r="F215">
        <f>IF(AND($F$15=Datos!$AI$5,Datos!$C$9=Datos!$AI$10),IF(A215&gt;30000,N215,ROUND(N215*Datos!$J$18,Dins)),IF(AND($F$15=Datos!$AI$5,Datos!$C$9=Datos!$AI$9),IF(A215&gt;30000,O215,ROUND(O215*Datos!$J$18,Dins)),IF(AND($F$15=Datos!$AI$6,Datos!$C$9=Datos!$AI$10),IF(A215&gt;30000,P215,ROUND(P215*Datos!$J$18,Dins)),IF(AND($F$15=Datos!$AI$6,Datos!$C$9=Datos!$AI$9),IF(A215&gt;30000,Q215,ROUND(Q215*Datos!$J$18,Dins))))))</f>
        <v>1.5</v>
      </c>
      <c r="G215">
        <v>0</v>
      </c>
      <c r="H215">
        <v>0</v>
      </c>
      <c r="I215">
        <v>0</v>
      </c>
      <c r="J215">
        <v>0</v>
      </c>
      <c r="N215">
        <v>1.77</v>
      </c>
      <c r="O215">
        <f t="shared" si="9"/>
        <v>1.5</v>
      </c>
      <c r="P215">
        <f t="shared" si="10"/>
        <v>0.47</v>
      </c>
      <c r="Q215">
        <f t="shared" si="11"/>
        <v>0.4</v>
      </c>
    </row>
    <row r="216" spans="1:17" x14ac:dyDescent="0.2">
      <c r="A216">
        <v>30158</v>
      </c>
      <c r="B216">
        <v>13</v>
      </c>
      <c r="C216" t="s">
        <v>6</v>
      </c>
      <c r="D216" t="s">
        <v>834</v>
      </c>
      <c r="E216" s="3" t="s">
        <v>206</v>
      </c>
      <c r="F216">
        <f>IF(AND($F$15=Datos!$AI$5,Datos!$C$9=Datos!$AI$10),IF(A216&gt;30000,N216,ROUND(N216*Datos!$J$18,Dins)),IF(AND($F$15=Datos!$AI$5,Datos!$C$9=Datos!$AI$9),IF(A216&gt;30000,O216,ROUND(O216*Datos!$J$18,Dins)),IF(AND($F$15=Datos!$AI$6,Datos!$C$9=Datos!$AI$10),IF(A216&gt;30000,P216,ROUND(P216*Datos!$J$18,Dins)),IF(AND($F$15=Datos!$AI$6,Datos!$C$9=Datos!$AI$9),IF(A216&gt;30000,Q216,ROUND(Q216*Datos!$J$18,Dins))))))</f>
        <v>7.5</v>
      </c>
      <c r="G216">
        <v>0</v>
      </c>
      <c r="H216">
        <v>0</v>
      </c>
      <c r="I216">
        <v>0</v>
      </c>
      <c r="J216">
        <v>0</v>
      </c>
      <c r="N216">
        <v>8.85</v>
      </c>
      <c r="O216">
        <f t="shared" si="9"/>
        <v>7.5</v>
      </c>
      <c r="P216">
        <f t="shared" si="10"/>
        <v>2.36</v>
      </c>
      <c r="Q216">
        <f t="shared" si="11"/>
        <v>2</v>
      </c>
    </row>
    <row r="217" spans="1:17" x14ac:dyDescent="0.2">
      <c r="A217">
        <v>30159</v>
      </c>
      <c r="B217">
        <v>53</v>
      </c>
      <c r="C217" t="s">
        <v>6</v>
      </c>
      <c r="D217" t="s">
        <v>835</v>
      </c>
      <c r="E217" s="3" t="s">
        <v>206</v>
      </c>
      <c r="F217">
        <f>IF(AND($F$15=Datos!$AI$5,Datos!$C$9=Datos!$AI$10),IF(A217&gt;30000,N217,ROUND(N217*Datos!$J$18,Dins)),IF(AND($F$15=Datos!$AI$5,Datos!$C$9=Datos!$AI$9),IF(A217&gt;30000,O217,ROUND(O217*Datos!$J$18,Dins)),IF(AND($F$15=Datos!$AI$6,Datos!$C$9=Datos!$AI$10),IF(A217&gt;30000,P217,ROUND(P217*Datos!$J$18,Dins)),IF(AND($F$15=Datos!$AI$6,Datos!$C$9=Datos!$AI$9),IF(A217&gt;30000,Q217,ROUND(Q217*Datos!$J$18,Dins))))))</f>
        <v>15</v>
      </c>
      <c r="G217">
        <v>0</v>
      </c>
      <c r="H217">
        <v>0</v>
      </c>
      <c r="I217">
        <v>0</v>
      </c>
      <c r="J217">
        <v>0</v>
      </c>
      <c r="N217">
        <v>17.7</v>
      </c>
      <c r="O217">
        <f t="shared" si="9"/>
        <v>15</v>
      </c>
      <c r="P217">
        <f t="shared" si="10"/>
        <v>4.72</v>
      </c>
      <c r="Q217">
        <f t="shared" si="11"/>
        <v>4</v>
      </c>
    </row>
    <row r="218" spans="1:17" x14ac:dyDescent="0.2">
      <c r="A218">
        <v>30160</v>
      </c>
      <c r="B218">
        <v>30</v>
      </c>
      <c r="C218" t="s">
        <v>6</v>
      </c>
      <c r="D218" t="s">
        <v>842</v>
      </c>
      <c r="E218" s="3" t="s">
        <v>7</v>
      </c>
      <c r="F218">
        <f>IF(AND($F$15=Datos!$AI$5,Datos!$C$9=Datos!$AI$10),IF(A218&gt;30000,N218,ROUND(N218*Datos!$J$18,Dins)),IF(AND($F$15=Datos!$AI$5,Datos!$C$9=Datos!$AI$9),IF(A218&gt;30000,O218,ROUND(O218*Datos!$J$18,Dins)),IF(AND($F$15=Datos!$AI$6,Datos!$C$9=Datos!$AI$10),IF(A218&gt;30000,P218,ROUND(P218*Datos!$J$18,Dins)),IF(AND($F$15=Datos!$AI$6,Datos!$C$9=Datos!$AI$9),IF(A218&gt;30000,Q218,ROUND(Q218*Datos!$J$18,Dins))))))</f>
        <v>410</v>
      </c>
      <c r="G218">
        <v>0</v>
      </c>
      <c r="H218">
        <v>0</v>
      </c>
      <c r="I218">
        <v>0</v>
      </c>
      <c r="J218">
        <v>0</v>
      </c>
      <c r="N218">
        <v>483.8</v>
      </c>
      <c r="O218">
        <f t="shared" si="9"/>
        <v>410</v>
      </c>
      <c r="P218">
        <f t="shared" si="10"/>
        <v>129.01</v>
      </c>
      <c r="Q218">
        <f t="shared" si="11"/>
        <v>109.33</v>
      </c>
    </row>
    <row r="219" spans="1:17" x14ac:dyDescent="0.2">
      <c r="A219">
        <v>30161</v>
      </c>
      <c r="B219">
        <v>30</v>
      </c>
      <c r="C219" t="s">
        <v>6</v>
      </c>
      <c r="D219" t="s">
        <v>845</v>
      </c>
      <c r="E219" s="3" t="s">
        <v>194</v>
      </c>
      <c r="F219">
        <f>IF(AND($F$15=Datos!$AI$5,Datos!$C$9=Datos!$AI$10),IF(A219&gt;30000,N219,ROUND(N219*Datos!$J$18,Dins)),IF(AND($F$15=Datos!$AI$5,Datos!$C$9=Datos!$AI$9),IF(A219&gt;30000,O219,ROUND(O219*Datos!$J$18,Dins)),IF(AND($F$15=Datos!$AI$6,Datos!$C$9=Datos!$AI$10),IF(A219&gt;30000,P219,ROUND(P219*Datos!$J$18,Dins)),IF(AND($F$15=Datos!$AI$6,Datos!$C$9=Datos!$AI$9),IF(A219&gt;30000,Q219,ROUND(Q219*Datos!$J$18,Dins))))))</f>
        <v>291.3</v>
      </c>
      <c r="G219">
        <v>0</v>
      </c>
      <c r="H219">
        <v>0</v>
      </c>
      <c r="I219">
        <v>0</v>
      </c>
      <c r="J219">
        <v>0</v>
      </c>
      <c r="N219">
        <v>343.73</v>
      </c>
      <c r="O219">
        <f t="shared" si="9"/>
        <v>291.3</v>
      </c>
      <c r="P219">
        <f t="shared" si="10"/>
        <v>91.66</v>
      </c>
      <c r="Q219">
        <f t="shared" si="11"/>
        <v>77.680000000000007</v>
      </c>
    </row>
    <row r="220" spans="1:17" x14ac:dyDescent="0.2">
      <c r="A220">
        <v>30162</v>
      </c>
      <c r="B220">
        <v>2</v>
      </c>
      <c r="C220" t="s">
        <v>6</v>
      </c>
      <c r="D220" t="s">
        <v>854</v>
      </c>
      <c r="E220" s="3" t="s">
        <v>174</v>
      </c>
      <c r="F220">
        <f>IF(AND($F$15=Datos!$AI$5,Datos!$C$9=Datos!$AI$10),IF(A220&gt;30000,N220,ROUND(N220*Datos!$J$18,Dins)),IF(AND($F$15=Datos!$AI$5,Datos!$C$9=Datos!$AI$9),IF(A220&gt;30000,O220,ROUND(O220*Datos!$J$18,Dins)),IF(AND($F$15=Datos!$AI$6,Datos!$C$9=Datos!$AI$10),IF(A220&gt;30000,P220,ROUND(P220*Datos!$J$18,Dins)),IF(AND($F$15=Datos!$AI$6,Datos!$C$9=Datos!$AI$9),IF(A220&gt;30000,Q220,ROUND(Q220*Datos!$J$18,Dins))))))</f>
        <v>3.6</v>
      </c>
      <c r="G220">
        <v>0</v>
      </c>
      <c r="H220">
        <v>0</v>
      </c>
      <c r="I220">
        <v>0</v>
      </c>
      <c r="J220">
        <v>0</v>
      </c>
      <c r="N220">
        <v>4.25</v>
      </c>
      <c r="O220">
        <f t="shared" si="9"/>
        <v>3.6</v>
      </c>
      <c r="P220">
        <f t="shared" si="10"/>
        <v>1.1299999999999999</v>
      </c>
      <c r="Q220">
        <f t="shared" si="11"/>
        <v>0.96</v>
      </c>
    </row>
    <row r="221" spans="1:17" x14ac:dyDescent="0.2">
      <c r="A221">
        <v>30163</v>
      </c>
      <c r="B221">
        <v>10</v>
      </c>
      <c r="C221" t="s">
        <v>6</v>
      </c>
      <c r="D221" t="s">
        <v>855</v>
      </c>
      <c r="E221" s="3" t="s">
        <v>7</v>
      </c>
      <c r="F221">
        <f>IF(AND($F$15=Datos!$AI$5,Datos!$C$9=Datos!$AI$10),IF(A221&gt;30000,N221,ROUND(N221*Datos!$J$18,Dins)),IF(AND($F$15=Datos!$AI$5,Datos!$C$9=Datos!$AI$9),IF(A221&gt;30000,O221,ROUND(O221*Datos!$J$18,Dins)),IF(AND($F$15=Datos!$AI$6,Datos!$C$9=Datos!$AI$10),IF(A221&gt;30000,P221,ROUND(P221*Datos!$J$18,Dins)),IF(AND($F$15=Datos!$AI$6,Datos!$C$9=Datos!$AI$9),IF(A221&gt;30000,Q221,ROUND(Q221*Datos!$J$18,Dins))))))</f>
        <v>250</v>
      </c>
      <c r="G221">
        <v>0</v>
      </c>
      <c r="H221">
        <v>0</v>
      </c>
      <c r="I221">
        <v>0</v>
      </c>
      <c r="J221">
        <v>0</v>
      </c>
      <c r="N221">
        <v>295</v>
      </c>
      <c r="O221">
        <f t="shared" si="9"/>
        <v>250</v>
      </c>
      <c r="P221">
        <f t="shared" si="10"/>
        <v>78.67</v>
      </c>
      <c r="Q221">
        <f t="shared" si="11"/>
        <v>66.67</v>
      </c>
    </row>
    <row r="222" spans="1:17" x14ac:dyDescent="0.2">
      <c r="A222">
        <v>30164</v>
      </c>
      <c r="B222">
        <v>72</v>
      </c>
      <c r="C222" t="s">
        <v>6</v>
      </c>
      <c r="D222" t="s">
        <v>856</v>
      </c>
      <c r="E222" s="3" t="s">
        <v>7</v>
      </c>
      <c r="F222">
        <f>IF(AND($F$15=Datos!$AI$5,Datos!$C$9=Datos!$AI$10),IF(A222&gt;30000,N222,ROUND(N222*Datos!$J$18,Dins)),IF(AND($F$15=Datos!$AI$5,Datos!$C$9=Datos!$AI$9),IF(A222&gt;30000,O222,ROUND(O222*Datos!$J$18,Dins)),IF(AND($F$15=Datos!$AI$6,Datos!$C$9=Datos!$AI$10),IF(A222&gt;30000,P222,ROUND(P222*Datos!$J$18,Dins)),IF(AND($F$15=Datos!$AI$6,Datos!$C$9=Datos!$AI$9),IF(A222&gt;30000,Q222,ROUND(Q222*Datos!$J$18,Dins))))))</f>
        <v>9.23</v>
      </c>
      <c r="G222">
        <v>0</v>
      </c>
      <c r="H222">
        <v>0</v>
      </c>
      <c r="I222">
        <v>0</v>
      </c>
      <c r="J222">
        <v>0</v>
      </c>
      <c r="N222">
        <v>10.89</v>
      </c>
      <c r="O222">
        <f t="shared" si="9"/>
        <v>9.23</v>
      </c>
      <c r="P222">
        <f t="shared" si="10"/>
        <v>2.9</v>
      </c>
      <c r="Q222">
        <f t="shared" si="11"/>
        <v>2.46</v>
      </c>
    </row>
    <row r="223" spans="1:17" x14ac:dyDescent="0.2">
      <c r="A223">
        <v>30165</v>
      </c>
      <c r="B223">
        <v>10</v>
      </c>
      <c r="C223" t="s">
        <v>6</v>
      </c>
      <c r="D223" t="s">
        <v>857</v>
      </c>
      <c r="E223" s="3" t="s">
        <v>7</v>
      </c>
      <c r="F223">
        <f>IF(AND($F$15=Datos!$AI$5,Datos!$C$9=Datos!$AI$10),IF(A223&gt;30000,N223,ROUND(N223*Datos!$J$18,Dins)),IF(AND($F$15=Datos!$AI$5,Datos!$C$9=Datos!$AI$9),IF(A223&gt;30000,O223,ROUND(O223*Datos!$J$18,Dins)),IF(AND($F$15=Datos!$AI$6,Datos!$C$9=Datos!$AI$10),IF(A223&gt;30000,P223,ROUND(P223*Datos!$J$18,Dins)),IF(AND($F$15=Datos!$AI$6,Datos!$C$9=Datos!$AI$9),IF(A223&gt;30000,Q223,ROUND(Q223*Datos!$J$18,Dins))))))</f>
        <v>30.5</v>
      </c>
      <c r="G223">
        <v>0</v>
      </c>
      <c r="H223">
        <v>0</v>
      </c>
      <c r="I223">
        <v>0</v>
      </c>
      <c r="J223">
        <v>0</v>
      </c>
      <c r="N223">
        <v>35.99</v>
      </c>
      <c r="O223">
        <f t="shared" si="9"/>
        <v>30.5</v>
      </c>
      <c r="P223">
        <f t="shared" si="10"/>
        <v>9.6</v>
      </c>
      <c r="Q223">
        <f t="shared" si="11"/>
        <v>8.14</v>
      </c>
    </row>
    <row r="224" spans="1:17" x14ac:dyDescent="0.2">
      <c r="A224">
        <v>30166</v>
      </c>
      <c r="B224">
        <v>26</v>
      </c>
      <c r="C224" t="s">
        <v>6</v>
      </c>
      <c r="D224" t="s">
        <v>858</v>
      </c>
      <c r="E224" s="3" t="s">
        <v>7</v>
      </c>
      <c r="F224">
        <f>IF(AND($F$15=Datos!$AI$5,Datos!$C$9=Datos!$AI$10),IF(A224&gt;30000,N224,ROUND(N224*Datos!$J$18,Dins)),IF(AND($F$15=Datos!$AI$5,Datos!$C$9=Datos!$AI$9),IF(A224&gt;30000,O224,ROUND(O224*Datos!$J$18,Dins)),IF(AND($F$15=Datos!$AI$6,Datos!$C$9=Datos!$AI$10),IF(A224&gt;30000,P224,ROUND(P224*Datos!$J$18,Dins)),IF(AND($F$15=Datos!$AI$6,Datos!$C$9=Datos!$AI$9),IF(A224&gt;30000,Q224,ROUND(Q224*Datos!$J$18,Dins))))))</f>
        <v>0.2</v>
      </c>
      <c r="G224">
        <v>0</v>
      </c>
      <c r="H224">
        <v>0</v>
      </c>
      <c r="I224">
        <v>0</v>
      </c>
      <c r="J224">
        <v>0</v>
      </c>
      <c r="N224">
        <v>0.24</v>
      </c>
      <c r="O224">
        <f t="shared" si="9"/>
        <v>0.2</v>
      </c>
      <c r="P224">
        <f t="shared" si="10"/>
        <v>0.06</v>
      </c>
      <c r="Q224">
        <f t="shared" si="11"/>
        <v>0.05</v>
      </c>
    </row>
    <row r="225" spans="1:17" x14ac:dyDescent="0.2">
      <c r="A225">
        <v>30167</v>
      </c>
      <c r="B225">
        <v>39</v>
      </c>
      <c r="C225" t="s">
        <v>6</v>
      </c>
      <c r="D225" t="s">
        <v>859</v>
      </c>
      <c r="E225" s="3" t="s">
        <v>7</v>
      </c>
      <c r="F225">
        <f>IF(AND($F$15=Datos!$AI$5,Datos!$C$9=Datos!$AI$10),IF(A225&gt;30000,N225,ROUND(N225*Datos!$J$18,Dins)),IF(AND($F$15=Datos!$AI$5,Datos!$C$9=Datos!$AI$9),IF(A225&gt;30000,O225,ROUND(O225*Datos!$J$18,Dins)),IF(AND($F$15=Datos!$AI$6,Datos!$C$9=Datos!$AI$10),IF(A225&gt;30000,P225,ROUND(P225*Datos!$J$18,Dins)),IF(AND($F$15=Datos!$AI$6,Datos!$C$9=Datos!$AI$9),IF(A225&gt;30000,Q225,ROUND(Q225*Datos!$J$18,Dins))))))</f>
        <v>8.5</v>
      </c>
      <c r="G225">
        <v>0</v>
      </c>
      <c r="H225">
        <v>0</v>
      </c>
      <c r="I225">
        <v>0</v>
      </c>
      <c r="J225">
        <v>0</v>
      </c>
      <c r="N225">
        <v>10.029999999999999</v>
      </c>
      <c r="O225">
        <f t="shared" si="9"/>
        <v>8.5</v>
      </c>
      <c r="P225">
        <f t="shared" si="10"/>
        <v>2.67</v>
      </c>
      <c r="Q225">
        <f t="shared" si="11"/>
        <v>2.2599999999999998</v>
      </c>
    </row>
    <row r="226" spans="1:17" x14ac:dyDescent="0.2">
      <c r="A226">
        <v>30168</v>
      </c>
      <c r="B226">
        <v>10</v>
      </c>
      <c r="C226" t="s">
        <v>6</v>
      </c>
      <c r="D226" t="s">
        <v>862</v>
      </c>
      <c r="E226" s="3" t="s">
        <v>7</v>
      </c>
      <c r="F226">
        <f>IF(AND($F$15=Datos!$AI$5,Datos!$C$9=Datos!$AI$10),IF(A226&gt;30000,N226,ROUND(N226*Datos!$J$18,Dins)),IF(AND($F$15=Datos!$AI$5,Datos!$C$9=Datos!$AI$9),IF(A226&gt;30000,O226,ROUND(O226*Datos!$J$18,Dins)),IF(AND($F$15=Datos!$AI$6,Datos!$C$9=Datos!$AI$10),IF(A226&gt;30000,P226,ROUND(P226*Datos!$J$18,Dins)),IF(AND($F$15=Datos!$AI$6,Datos!$C$9=Datos!$AI$9),IF(A226&gt;30000,Q226,ROUND(Q226*Datos!$J$18,Dins))))))</f>
        <v>142</v>
      </c>
      <c r="G226">
        <v>0</v>
      </c>
      <c r="H226">
        <v>0</v>
      </c>
      <c r="I226">
        <v>0</v>
      </c>
      <c r="J226">
        <v>0</v>
      </c>
      <c r="N226">
        <v>167.56</v>
      </c>
      <c r="O226">
        <f t="shared" si="9"/>
        <v>142</v>
      </c>
      <c r="P226">
        <f t="shared" si="10"/>
        <v>44.68</v>
      </c>
      <c r="Q226">
        <f t="shared" si="11"/>
        <v>37.86</v>
      </c>
    </row>
    <row r="227" spans="1:17" x14ac:dyDescent="0.2">
      <c r="A227">
        <v>30169</v>
      </c>
      <c r="B227">
        <v>10</v>
      </c>
      <c r="C227" t="s">
        <v>6</v>
      </c>
      <c r="D227" t="s">
        <v>863</v>
      </c>
      <c r="E227" s="3" t="s">
        <v>7</v>
      </c>
      <c r="F227">
        <f>IF(AND($F$15=Datos!$AI$5,Datos!$C$9=Datos!$AI$10),IF(A227&gt;30000,N227,ROUND(N227*Datos!$J$18,Dins)),IF(AND($F$15=Datos!$AI$5,Datos!$C$9=Datos!$AI$9),IF(A227&gt;30000,O227,ROUND(O227*Datos!$J$18,Dins)),IF(AND($F$15=Datos!$AI$6,Datos!$C$9=Datos!$AI$10),IF(A227&gt;30000,P227,ROUND(P227*Datos!$J$18,Dins)),IF(AND($F$15=Datos!$AI$6,Datos!$C$9=Datos!$AI$9),IF(A227&gt;30000,Q227,ROUND(Q227*Datos!$J$18,Dins))))))</f>
        <v>17.8</v>
      </c>
      <c r="G227">
        <v>0</v>
      </c>
      <c r="H227">
        <v>0</v>
      </c>
      <c r="I227">
        <v>0</v>
      </c>
      <c r="J227">
        <v>0</v>
      </c>
      <c r="N227">
        <v>21</v>
      </c>
      <c r="O227">
        <f t="shared" si="9"/>
        <v>17.8</v>
      </c>
      <c r="P227">
        <f t="shared" si="10"/>
        <v>5.6</v>
      </c>
      <c r="Q227">
        <f t="shared" si="11"/>
        <v>4.75</v>
      </c>
    </row>
    <row r="228" spans="1:17" x14ac:dyDescent="0.2">
      <c r="A228">
        <v>30170</v>
      </c>
      <c r="B228">
        <v>39</v>
      </c>
      <c r="C228" t="s">
        <v>6</v>
      </c>
      <c r="D228" t="s">
        <v>866</v>
      </c>
      <c r="E228" s="3" t="s">
        <v>7</v>
      </c>
      <c r="F228">
        <f>IF(AND($F$15=Datos!$AI$5,Datos!$C$9=Datos!$AI$10),IF(A228&gt;30000,N228,ROUND(N228*Datos!$J$18,Dins)),IF(AND($F$15=Datos!$AI$5,Datos!$C$9=Datos!$AI$9),IF(A228&gt;30000,O228,ROUND(O228*Datos!$J$18,Dins)),IF(AND($F$15=Datos!$AI$6,Datos!$C$9=Datos!$AI$10),IF(A228&gt;30000,P228,ROUND(P228*Datos!$J$18,Dins)),IF(AND($F$15=Datos!$AI$6,Datos!$C$9=Datos!$AI$9),IF(A228&gt;30000,Q228,ROUND(Q228*Datos!$J$18,Dins))))))</f>
        <v>11</v>
      </c>
      <c r="G228">
        <v>0</v>
      </c>
      <c r="H228">
        <v>0</v>
      </c>
      <c r="I228">
        <v>0</v>
      </c>
      <c r="J228">
        <v>0</v>
      </c>
      <c r="N228">
        <v>12.98</v>
      </c>
      <c r="O228">
        <f t="shared" si="9"/>
        <v>11</v>
      </c>
      <c r="P228">
        <f t="shared" si="10"/>
        <v>3.46</v>
      </c>
      <c r="Q228">
        <f t="shared" si="11"/>
        <v>2.93</v>
      </c>
    </row>
    <row r="229" spans="1:17" x14ac:dyDescent="0.2">
      <c r="A229">
        <v>30171</v>
      </c>
      <c r="B229">
        <v>65</v>
      </c>
      <c r="C229" t="s">
        <v>6</v>
      </c>
      <c r="D229" t="s">
        <v>867</v>
      </c>
      <c r="E229" s="3" t="s">
        <v>7</v>
      </c>
      <c r="F229">
        <f>IF(AND($F$15=Datos!$AI$5,Datos!$C$9=Datos!$AI$10),IF(A229&gt;30000,N229,ROUND(N229*Datos!$J$18,Dins)),IF(AND($F$15=Datos!$AI$5,Datos!$C$9=Datos!$AI$9),IF(A229&gt;30000,O229,ROUND(O229*Datos!$J$18,Dins)),IF(AND($F$15=Datos!$AI$6,Datos!$C$9=Datos!$AI$10),IF(A229&gt;30000,P229,ROUND(P229*Datos!$J$18,Dins)),IF(AND($F$15=Datos!$AI$6,Datos!$C$9=Datos!$AI$9),IF(A229&gt;30000,Q229,ROUND(Q229*Datos!$J$18,Dins))))))</f>
        <v>37.200000000000003</v>
      </c>
      <c r="G229">
        <v>0</v>
      </c>
      <c r="H229">
        <v>0</v>
      </c>
      <c r="I229">
        <v>0</v>
      </c>
      <c r="J229">
        <v>0</v>
      </c>
      <c r="N229">
        <v>43.9</v>
      </c>
      <c r="O229">
        <f t="shared" si="9"/>
        <v>37.200000000000003</v>
      </c>
      <c r="P229">
        <f t="shared" si="10"/>
        <v>11.71</v>
      </c>
      <c r="Q229">
        <f t="shared" si="11"/>
        <v>9.92</v>
      </c>
    </row>
    <row r="230" spans="1:17" x14ac:dyDescent="0.2">
      <c r="A230">
        <v>30172</v>
      </c>
      <c r="B230">
        <v>30</v>
      </c>
      <c r="C230" t="s">
        <v>6</v>
      </c>
      <c r="D230" t="s">
        <v>868</v>
      </c>
      <c r="E230" s="3" t="s">
        <v>174</v>
      </c>
      <c r="F230">
        <f>IF(AND($F$15=Datos!$AI$5,Datos!$C$9=Datos!$AI$10),IF(A230&gt;30000,N230,ROUND(N230*Datos!$J$18,Dins)),IF(AND($F$15=Datos!$AI$5,Datos!$C$9=Datos!$AI$9),IF(A230&gt;30000,O230,ROUND(O230*Datos!$J$18,Dins)),IF(AND($F$15=Datos!$AI$6,Datos!$C$9=Datos!$AI$10),IF(A230&gt;30000,P230,ROUND(P230*Datos!$J$18,Dins)),IF(AND($F$15=Datos!$AI$6,Datos!$C$9=Datos!$AI$9),IF(A230&gt;30000,Q230,ROUND(Q230*Datos!$J$18,Dins))))))</f>
        <v>6.5</v>
      </c>
      <c r="G230">
        <v>0</v>
      </c>
      <c r="H230">
        <v>0</v>
      </c>
      <c r="I230">
        <v>0</v>
      </c>
      <c r="J230">
        <v>0</v>
      </c>
      <c r="N230">
        <v>7.67</v>
      </c>
      <c r="O230">
        <f t="shared" si="9"/>
        <v>6.5</v>
      </c>
      <c r="P230">
        <f t="shared" si="10"/>
        <v>2.0499999999999998</v>
      </c>
      <c r="Q230">
        <f t="shared" si="11"/>
        <v>1.74</v>
      </c>
    </row>
    <row r="231" spans="1:17" x14ac:dyDescent="0.2">
      <c r="A231">
        <v>30173</v>
      </c>
      <c r="B231">
        <v>48</v>
      </c>
      <c r="C231" t="s">
        <v>6</v>
      </c>
      <c r="D231" t="s">
        <v>869</v>
      </c>
      <c r="E231" s="3" t="s">
        <v>174</v>
      </c>
      <c r="F231">
        <f>IF(AND($F$15=Datos!$AI$5,Datos!$C$9=Datos!$AI$10),IF(A231&gt;30000,N231,ROUND(N231*Datos!$J$18,Dins)),IF(AND($F$15=Datos!$AI$5,Datos!$C$9=Datos!$AI$9),IF(A231&gt;30000,O231,ROUND(O231*Datos!$J$18,Dins)),IF(AND($F$15=Datos!$AI$6,Datos!$C$9=Datos!$AI$10),IF(A231&gt;30000,P231,ROUND(P231*Datos!$J$18,Dins)),IF(AND($F$15=Datos!$AI$6,Datos!$C$9=Datos!$AI$9),IF(A231&gt;30000,Q231,ROUND(Q231*Datos!$J$18,Dins))))))</f>
        <v>106</v>
      </c>
      <c r="G231">
        <v>0</v>
      </c>
      <c r="H231">
        <v>0</v>
      </c>
      <c r="I231">
        <v>0</v>
      </c>
      <c r="J231">
        <v>0</v>
      </c>
      <c r="N231">
        <v>125.08</v>
      </c>
      <c r="O231">
        <f t="shared" si="9"/>
        <v>106</v>
      </c>
      <c r="P231">
        <f t="shared" si="10"/>
        <v>33.35</v>
      </c>
      <c r="Q231">
        <f t="shared" si="11"/>
        <v>28.26</v>
      </c>
    </row>
    <row r="232" spans="1:17" x14ac:dyDescent="0.2">
      <c r="A232">
        <v>30174</v>
      </c>
      <c r="B232">
        <v>72</v>
      </c>
      <c r="C232" t="s">
        <v>6</v>
      </c>
      <c r="D232" t="s">
        <v>870</v>
      </c>
      <c r="E232" s="3" t="s">
        <v>7</v>
      </c>
      <c r="F232">
        <f>IF(AND($F$15=Datos!$AI$5,Datos!$C$9=Datos!$AI$10),IF(A232&gt;30000,N232,ROUND(N232*Datos!$J$18,Dins)),IF(AND($F$15=Datos!$AI$5,Datos!$C$9=Datos!$AI$9),IF(A232&gt;30000,O232,ROUND(O232*Datos!$J$18,Dins)),IF(AND($F$15=Datos!$AI$6,Datos!$C$9=Datos!$AI$10),IF(A232&gt;30000,P232,ROUND(P232*Datos!$J$18,Dins)),IF(AND($F$15=Datos!$AI$6,Datos!$C$9=Datos!$AI$9),IF(A232&gt;30000,Q232,ROUND(Q232*Datos!$J$18,Dins))))))</f>
        <v>9.25</v>
      </c>
      <c r="G232">
        <v>0</v>
      </c>
      <c r="H232">
        <v>0</v>
      </c>
      <c r="I232">
        <v>0</v>
      </c>
      <c r="J232">
        <v>0</v>
      </c>
      <c r="N232">
        <v>10.92</v>
      </c>
      <c r="O232">
        <f t="shared" si="9"/>
        <v>9.25</v>
      </c>
      <c r="P232">
        <f t="shared" si="10"/>
        <v>2.91</v>
      </c>
      <c r="Q232">
        <f t="shared" si="11"/>
        <v>2.4700000000000002</v>
      </c>
    </row>
    <row r="233" spans="1:17" x14ac:dyDescent="0.2">
      <c r="A233">
        <v>30175</v>
      </c>
      <c r="B233">
        <v>30</v>
      </c>
      <c r="C233" t="s">
        <v>6</v>
      </c>
      <c r="D233" t="s">
        <v>871</v>
      </c>
      <c r="E233" s="3" t="s">
        <v>7</v>
      </c>
      <c r="F233">
        <f>IF(AND($F$15=Datos!$AI$5,Datos!$C$9=Datos!$AI$10),IF(A233&gt;30000,N233,ROUND(N233*Datos!$J$18,Dins)),IF(AND($F$15=Datos!$AI$5,Datos!$C$9=Datos!$AI$9),IF(A233&gt;30000,O233,ROUND(O233*Datos!$J$18,Dins)),IF(AND($F$15=Datos!$AI$6,Datos!$C$9=Datos!$AI$10),IF(A233&gt;30000,P233,ROUND(P233*Datos!$J$18,Dins)),IF(AND($F$15=Datos!$AI$6,Datos!$C$9=Datos!$AI$9),IF(A233&gt;30000,Q233,ROUND(Q233*Datos!$J$18,Dins))))))</f>
        <v>75</v>
      </c>
      <c r="G233">
        <v>0</v>
      </c>
      <c r="H233">
        <v>0</v>
      </c>
      <c r="I233">
        <v>0</v>
      </c>
      <c r="J233">
        <v>0</v>
      </c>
      <c r="N233">
        <v>88.5</v>
      </c>
      <c r="O233">
        <f t="shared" si="9"/>
        <v>75</v>
      </c>
      <c r="P233">
        <f t="shared" si="10"/>
        <v>23.6</v>
      </c>
      <c r="Q233">
        <f t="shared" si="11"/>
        <v>20</v>
      </c>
    </row>
    <row r="234" spans="1:17" x14ac:dyDescent="0.2">
      <c r="A234">
        <v>30176</v>
      </c>
      <c r="B234">
        <v>39</v>
      </c>
      <c r="C234" t="s">
        <v>6</v>
      </c>
      <c r="D234" t="s">
        <v>874</v>
      </c>
      <c r="E234" s="3" t="s">
        <v>7</v>
      </c>
      <c r="F234">
        <f>IF(AND($F$15=Datos!$AI$5,Datos!$C$9=Datos!$AI$10),IF(A234&gt;30000,N234,ROUND(N234*Datos!$J$18,Dins)),IF(AND($F$15=Datos!$AI$5,Datos!$C$9=Datos!$AI$9),IF(A234&gt;30000,O234,ROUND(O234*Datos!$J$18,Dins)),IF(AND($F$15=Datos!$AI$6,Datos!$C$9=Datos!$AI$10),IF(A234&gt;30000,P234,ROUND(P234*Datos!$J$18,Dins)),IF(AND($F$15=Datos!$AI$6,Datos!$C$9=Datos!$AI$9),IF(A234&gt;30000,Q234,ROUND(Q234*Datos!$J$18,Dins))))))</f>
        <v>28.5</v>
      </c>
      <c r="G234">
        <v>0</v>
      </c>
      <c r="H234">
        <v>0</v>
      </c>
      <c r="I234">
        <v>0</v>
      </c>
      <c r="J234">
        <v>0</v>
      </c>
      <c r="N234">
        <v>33.630000000000003</v>
      </c>
      <c r="O234">
        <f t="shared" si="9"/>
        <v>28.5</v>
      </c>
      <c r="P234">
        <f t="shared" si="10"/>
        <v>8.9700000000000006</v>
      </c>
      <c r="Q234">
        <f t="shared" si="11"/>
        <v>7.6</v>
      </c>
    </row>
    <row r="235" spans="1:17" x14ac:dyDescent="0.2">
      <c r="A235">
        <v>30177</v>
      </c>
      <c r="B235">
        <v>30</v>
      </c>
      <c r="C235" t="s">
        <v>6</v>
      </c>
      <c r="D235" t="s">
        <v>875</v>
      </c>
      <c r="E235" s="3" t="s">
        <v>7</v>
      </c>
      <c r="F235">
        <f>IF(AND($F$15=Datos!$AI$5,Datos!$C$9=Datos!$AI$10),IF(A235&gt;30000,N235,ROUND(N235*Datos!$J$18,Dins)),IF(AND($F$15=Datos!$AI$5,Datos!$C$9=Datos!$AI$9),IF(A235&gt;30000,O235,ROUND(O235*Datos!$J$18,Dins)),IF(AND($F$15=Datos!$AI$6,Datos!$C$9=Datos!$AI$10),IF(A235&gt;30000,P235,ROUND(P235*Datos!$J$18,Dins)),IF(AND($F$15=Datos!$AI$6,Datos!$C$9=Datos!$AI$9),IF(A235&gt;30000,Q235,ROUND(Q235*Datos!$J$18,Dins))))))</f>
        <v>33.5</v>
      </c>
      <c r="G235">
        <v>0</v>
      </c>
      <c r="H235">
        <v>0</v>
      </c>
      <c r="I235">
        <v>0</v>
      </c>
      <c r="J235">
        <v>0</v>
      </c>
      <c r="N235">
        <v>39.53</v>
      </c>
      <c r="O235">
        <f t="shared" si="9"/>
        <v>33.5</v>
      </c>
      <c r="P235">
        <f t="shared" si="10"/>
        <v>10.54</v>
      </c>
      <c r="Q235">
        <f t="shared" si="11"/>
        <v>8.93</v>
      </c>
    </row>
    <row r="236" spans="1:17" x14ac:dyDescent="0.2">
      <c r="A236">
        <v>30178</v>
      </c>
      <c r="B236">
        <v>39</v>
      </c>
      <c r="C236" t="s">
        <v>6</v>
      </c>
      <c r="D236" t="s">
        <v>876</v>
      </c>
      <c r="E236" s="3" t="s">
        <v>7</v>
      </c>
      <c r="F236">
        <f>IF(AND($F$15=Datos!$AI$5,Datos!$C$9=Datos!$AI$10),IF(A236&gt;30000,N236,ROUND(N236*Datos!$J$18,Dins)),IF(AND($F$15=Datos!$AI$5,Datos!$C$9=Datos!$AI$9),IF(A236&gt;30000,O236,ROUND(O236*Datos!$J$18,Dins)),IF(AND($F$15=Datos!$AI$6,Datos!$C$9=Datos!$AI$10),IF(A236&gt;30000,P236,ROUND(P236*Datos!$J$18,Dins)),IF(AND($F$15=Datos!$AI$6,Datos!$C$9=Datos!$AI$9),IF(A236&gt;30000,Q236,ROUND(Q236*Datos!$J$18,Dins))))))</f>
        <v>11</v>
      </c>
      <c r="G236">
        <v>0</v>
      </c>
      <c r="H236">
        <v>0</v>
      </c>
      <c r="I236">
        <v>0</v>
      </c>
      <c r="J236">
        <v>0</v>
      </c>
      <c r="N236">
        <v>12.98</v>
      </c>
      <c r="O236">
        <f t="shared" si="9"/>
        <v>11</v>
      </c>
      <c r="P236">
        <f t="shared" si="10"/>
        <v>3.46</v>
      </c>
      <c r="Q236">
        <f t="shared" si="11"/>
        <v>2.93</v>
      </c>
    </row>
    <row r="237" spans="1:17" x14ac:dyDescent="0.2">
      <c r="A237">
        <v>30179</v>
      </c>
      <c r="B237">
        <v>65</v>
      </c>
      <c r="C237" t="s">
        <v>6</v>
      </c>
      <c r="D237" t="s">
        <v>877</v>
      </c>
      <c r="E237" s="3" t="s">
        <v>174</v>
      </c>
      <c r="F237">
        <f>IF(AND($F$15=Datos!$AI$5,Datos!$C$9=Datos!$AI$10),IF(A237&gt;30000,N237,ROUND(N237*Datos!$J$18,Dins)),IF(AND($F$15=Datos!$AI$5,Datos!$C$9=Datos!$AI$9),IF(A237&gt;30000,O237,ROUND(O237*Datos!$J$18,Dins)),IF(AND($F$15=Datos!$AI$6,Datos!$C$9=Datos!$AI$10),IF(A237&gt;30000,P237,ROUND(P237*Datos!$J$18,Dins)),IF(AND($F$15=Datos!$AI$6,Datos!$C$9=Datos!$AI$9),IF(A237&gt;30000,Q237,ROUND(Q237*Datos!$J$18,Dins))))))</f>
        <v>3.5</v>
      </c>
      <c r="G237">
        <v>0</v>
      </c>
      <c r="H237">
        <v>0</v>
      </c>
      <c r="I237">
        <v>0</v>
      </c>
      <c r="J237">
        <v>0</v>
      </c>
      <c r="N237">
        <v>4.13</v>
      </c>
      <c r="O237">
        <f t="shared" si="9"/>
        <v>3.5</v>
      </c>
      <c r="P237">
        <f t="shared" si="10"/>
        <v>1.1000000000000001</v>
      </c>
      <c r="Q237">
        <f t="shared" si="11"/>
        <v>0.93</v>
      </c>
    </row>
    <row r="238" spans="1:17" x14ac:dyDescent="0.2">
      <c r="A238">
        <v>30180</v>
      </c>
      <c r="B238">
        <v>30</v>
      </c>
      <c r="C238" t="s">
        <v>6</v>
      </c>
      <c r="D238" t="s">
        <v>878</v>
      </c>
      <c r="E238" s="3" t="s">
        <v>286</v>
      </c>
      <c r="F238">
        <f>IF(AND($F$15=Datos!$AI$5,Datos!$C$9=Datos!$AI$10),IF(A238&gt;30000,N238,ROUND(N238*Datos!$J$18,Dins)),IF(AND($F$15=Datos!$AI$5,Datos!$C$9=Datos!$AI$9),IF(A238&gt;30000,O238,ROUND(O238*Datos!$J$18,Dins)),IF(AND($F$15=Datos!$AI$6,Datos!$C$9=Datos!$AI$10),IF(A238&gt;30000,P238,ROUND(P238*Datos!$J$18,Dins)),IF(AND($F$15=Datos!$AI$6,Datos!$C$9=Datos!$AI$9),IF(A238&gt;30000,Q238,ROUND(Q238*Datos!$J$18,Dins))))))</f>
        <v>3.25</v>
      </c>
      <c r="G238">
        <v>0</v>
      </c>
      <c r="H238">
        <v>0</v>
      </c>
      <c r="I238">
        <v>0</v>
      </c>
      <c r="J238">
        <v>0</v>
      </c>
      <c r="N238">
        <v>3.84</v>
      </c>
      <c r="O238">
        <f t="shared" si="9"/>
        <v>3.25</v>
      </c>
      <c r="P238">
        <f t="shared" si="10"/>
        <v>1.02</v>
      </c>
      <c r="Q238">
        <f t="shared" si="11"/>
        <v>0.86</v>
      </c>
    </row>
    <row r="239" spans="1:17" x14ac:dyDescent="0.2">
      <c r="A239">
        <v>30181</v>
      </c>
      <c r="B239">
        <v>30</v>
      </c>
      <c r="C239" t="s">
        <v>6</v>
      </c>
      <c r="D239" t="s">
        <v>879</v>
      </c>
      <c r="E239" s="3" t="s">
        <v>880</v>
      </c>
      <c r="F239">
        <f>IF(AND($F$15=Datos!$AI$5,Datos!$C$9=Datos!$AI$10),IF(A239&gt;30000,N239,ROUND(N239*Datos!$J$18,Dins)),IF(AND($F$15=Datos!$AI$5,Datos!$C$9=Datos!$AI$9),IF(A239&gt;30000,O239,ROUND(O239*Datos!$J$18,Dins)),IF(AND($F$15=Datos!$AI$6,Datos!$C$9=Datos!$AI$10),IF(A239&gt;30000,P239,ROUND(P239*Datos!$J$18,Dins)),IF(AND($F$15=Datos!$AI$6,Datos!$C$9=Datos!$AI$9),IF(A239&gt;30000,Q239,ROUND(Q239*Datos!$J$18,Dins))))))</f>
        <v>13</v>
      </c>
      <c r="G239">
        <v>0</v>
      </c>
      <c r="H239">
        <v>0</v>
      </c>
      <c r="I239">
        <v>0</v>
      </c>
      <c r="J239">
        <v>0</v>
      </c>
      <c r="N239">
        <v>15.34</v>
      </c>
      <c r="O239">
        <f t="shared" si="9"/>
        <v>13</v>
      </c>
      <c r="P239">
        <f t="shared" si="10"/>
        <v>4.09</v>
      </c>
      <c r="Q239">
        <f t="shared" si="11"/>
        <v>3.47</v>
      </c>
    </row>
    <row r="240" spans="1:17" x14ac:dyDescent="0.2">
      <c r="A240">
        <v>30182</v>
      </c>
      <c r="B240">
        <v>30</v>
      </c>
      <c r="C240" t="s">
        <v>6</v>
      </c>
      <c r="D240" t="s">
        <v>883</v>
      </c>
      <c r="E240" s="3" t="s">
        <v>174</v>
      </c>
      <c r="F240">
        <f>IF(AND($F$15=Datos!$AI$5,Datos!$C$9=Datos!$AI$10),IF(A240&gt;30000,N240,ROUND(N240*Datos!$J$18,Dins)),IF(AND($F$15=Datos!$AI$5,Datos!$C$9=Datos!$AI$9),IF(A240&gt;30000,O240,ROUND(O240*Datos!$J$18,Dins)),IF(AND($F$15=Datos!$AI$6,Datos!$C$9=Datos!$AI$10),IF(A240&gt;30000,P240,ROUND(P240*Datos!$J$18,Dins)),IF(AND($F$15=Datos!$AI$6,Datos!$C$9=Datos!$AI$9),IF(A240&gt;30000,Q240,ROUND(Q240*Datos!$J$18,Dins))))))</f>
        <v>0.5</v>
      </c>
      <c r="G240">
        <v>0</v>
      </c>
      <c r="H240">
        <v>0</v>
      </c>
      <c r="I240">
        <v>0</v>
      </c>
      <c r="J240">
        <v>0</v>
      </c>
      <c r="N240">
        <v>0.59</v>
      </c>
      <c r="O240">
        <f t="shared" si="9"/>
        <v>0.5</v>
      </c>
      <c r="P240">
        <f t="shared" si="10"/>
        <v>0.16</v>
      </c>
      <c r="Q240">
        <f t="shared" si="11"/>
        <v>0.14000000000000001</v>
      </c>
    </row>
    <row r="241" spans="1:17" x14ac:dyDescent="0.2">
      <c r="A241">
        <v>30183</v>
      </c>
      <c r="B241">
        <v>39</v>
      </c>
      <c r="C241" t="s">
        <v>6</v>
      </c>
      <c r="D241" t="s">
        <v>884</v>
      </c>
      <c r="E241" s="3" t="s">
        <v>7</v>
      </c>
      <c r="F241">
        <f>IF(AND($F$15=Datos!$AI$5,Datos!$C$9=Datos!$AI$10),IF(A241&gt;30000,N241,ROUND(N241*Datos!$J$18,Dins)),IF(AND($F$15=Datos!$AI$5,Datos!$C$9=Datos!$AI$9),IF(A241&gt;30000,O241,ROUND(O241*Datos!$J$18,Dins)),IF(AND($F$15=Datos!$AI$6,Datos!$C$9=Datos!$AI$10),IF(A241&gt;30000,P241,ROUND(P241*Datos!$J$18,Dins)),IF(AND($F$15=Datos!$AI$6,Datos!$C$9=Datos!$AI$9),IF(A241&gt;30000,Q241,ROUND(Q241*Datos!$J$18,Dins))))))</f>
        <v>11.5</v>
      </c>
      <c r="G241">
        <v>0</v>
      </c>
      <c r="H241">
        <v>0</v>
      </c>
      <c r="I241">
        <v>0</v>
      </c>
      <c r="J241">
        <v>0</v>
      </c>
      <c r="N241">
        <v>13.57</v>
      </c>
      <c r="O241">
        <f t="shared" si="9"/>
        <v>11.5</v>
      </c>
      <c r="P241">
        <f t="shared" si="10"/>
        <v>3.62</v>
      </c>
      <c r="Q241">
        <f t="shared" si="11"/>
        <v>3.07</v>
      </c>
    </row>
    <row r="242" spans="1:17" x14ac:dyDescent="0.2">
      <c r="A242">
        <v>30184</v>
      </c>
      <c r="B242">
        <v>48</v>
      </c>
      <c r="C242" t="s">
        <v>6</v>
      </c>
      <c r="D242" t="s">
        <v>885</v>
      </c>
      <c r="E242" s="3" t="s">
        <v>174</v>
      </c>
      <c r="F242">
        <f>IF(AND($F$15=Datos!$AI$5,Datos!$C$9=Datos!$AI$10),IF(A242&gt;30000,N242,ROUND(N242*Datos!$J$18,Dins)),IF(AND($F$15=Datos!$AI$5,Datos!$C$9=Datos!$AI$9),IF(A242&gt;30000,O242,ROUND(O242*Datos!$J$18,Dins)),IF(AND($F$15=Datos!$AI$6,Datos!$C$9=Datos!$AI$10),IF(A242&gt;30000,P242,ROUND(P242*Datos!$J$18,Dins)),IF(AND($F$15=Datos!$AI$6,Datos!$C$9=Datos!$AI$9),IF(A242&gt;30000,Q242,ROUND(Q242*Datos!$J$18,Dins))))))</f>
        <v>125</v>
      </c>
      <c r="G242">
        <v>0</v>
      </c>
      <c r="H242">
        <v>0</v>
      </c>
      <c r="I242">
        <v>0</v>
      </c>
      <c r="J242">
        <v>0</v>
      </c>
      <c r="N242">
        <v>147.5</v>
      </c>
      <c r="O242">
        <f t="shared" si="9"/>
        <v>125</v>
      </c>
      <c r="P242">
        <f t="shared" si="10"/>
        <v>39.33</v>
      </c>
      <c r="Q242">
        <f t="shared" si="11"/>
        <v>33.33</v>
      </c>
    </row>
    <row r="243" spans="1:17" x14ac:dyDescent="0.2">
      <c r="A243">
        <v>30185</v>
      </c>
      <c r="B243">
        <v>30</v>
      </c>
      <c r="C243" t="s">
        <v>6</v>
      </c>
      <c r="D243" t="s">
        <v>886</v>
      </c>
      <c r="E243" s="3" t="s">
        <v>174</v>
      </c>
      <c r="F243">
        <f>IF(AND($F$15=Datos!$AI$5,Datos!$C$9=Datos!$AI$10),IF(A243&gt;30000,N243,ROUND(N243*Datos!$J$18,Dins)),IF(AND($F$15=Datos!$AI$5,Datos!$C$9=Datos!$AI$9),IF(A243&gt;30000,O243,ROUND(O243*Datos!$J$18,Dins)),IF(AND($F$15=Datos!$AI$6,Datos!$C$9=Datos!$AI$10),IF(A243&gt;30000,P243,ROUND(P243*Datos!$J$18,Dins)),IF(AND($F$15=Datos!$AI$6,Datos!$C$9=Datos!$AI$9),IF(A243&gt;30000,Q243,ROUND(Q243*Datos!$J$18,Dins))))))</f>
        <v>135.9</v>
      </c>
      <c r="G243">
        <v>0</v>
      </c>
      <c r="H243">
        <v>0</v>
      </c>
      <c r="I243">
        <v>0</v>
      </c>
      <c r="J243">
        <v>0</v>
      </c>
      <c r="N243">
        <v>160.36000000000001</v>
      </c>
      <c r="O243">
        <f t="shared" si="9"/>
        <v>135.9</v>
      </c>
      <c r="P243">
        <f t="shared" si="10"/>
        <v>42.76</v>
      </c>
      <c r="Q243">
        <f t="shared" si="11"/>
        <v>36.24</v>
      </c>
    </row>
    <row r="244" spans="1:17" x14ac:dyDescent="0.2">
      <c r="A244">
        <v>30186</v>
      </c>
      <c r="B244">
        <v>72</v>
      </c>
      <c r="C244" t="s">
        <v>6</v>
      </c>
      <c r="D244" t="s">
        <v>887</v>
      </c>
      <c r="E244" s="3" t="s">
        <v>7</v>
      </c>
      <c r="F244">
        <f>IF(AND($F$15=Datos!$AI$5,Datos!$C$9=Datos!$AI$10),IF(A244&gt;30000,N244,ROUND(N244*Datos!$J$18,Dins)),IF(AND($F$15=Datos!$AI$5,Datos!$C$9=Datos!$AI$9),IF(A244&gt;30000,O244,ROUND(O244*Datos!$J$18,Dins)),IF(AND($F$15=Datos!$AI$6,Datos!$C$9=Datos!$AI$10),IF(A244&gt;30000,P244,ROUND(P244*Datos!$J$18,Dins)),IF(AND($F$15=Datos!$AI$6,Datos!$C$9=Datos!$AI$9),IF(A244&gt;30000,Q244,ROUND(Q244*Datos!$J$18,Dins))))))</f>
        <v>15</v>
      </c>
      <c r="G244">
        <v>0</v>
      </c>
      <c r="H244">
        <v>0</v>
      </c>
      <c r="I244">
        <v>0</v>
      </c>
      <c r="J244">
        <v>0</v>
      </c>
      <c r="N244">
        <v>17.7</v>
      </c>
      <c r="O244">
        <f t="shared" si="9"/>
        <v>15</v>
      </c>
      <c r="P244">
        <f t="shared" si="10"/>
        <v>4.72</v>
      </c>
      <c r="Q244">
        <f t="shared" si="11"/>
        <v>4</v>
      </c>
    </row>
    <row r="245" spans="1:17" x14ac:dyDescent="0.2">
      <c r="A245">
        <v>30187</v>
      </c>
      <c r="B245">
        <v>30</v>
      </c>
      <c r="C245" t="s">
        <v>6</v>
      </c>
      <c r="D245" t="s">
        <v>890</v>
      </c>
      <c r="E245" s="3" t="s">
        <v>7</v>
      </c>
      <c r="F245">
        <f>IF(AND($F$15=Datos!$AI$5,Datos!$C$9=Datos!$AI$10),IF(A245&gt;30000,N245,ROUND(N245*Datos!$J$18,Dins)),IF(AND($F$15=Datos!$AI$5,Datos!$C$9=Datos!$AI$9),IF(A245&gt;30000,O245,ROUND(O245*Datos!$J$18,Dins)),IF(AND($F$15=Datos!$AI$6,Datos!$C$9=Datos!$AI$10),IF(A245&gt;30000,P245,ROUND(P245*Datos!$J$18,Dins)),IF(AND($F$15=Datos!$AI$6,Datos!$C$9=Datos!$AI$9),IF(A245&gt;30000,Q245,ROUND(Q245*Datos!$J$18,Dins))))))</f>
        <v>190</v>
      </c>
      <c r="G245">
        <v>0</v>
      </c>
      <c r="H245">
        <v>0</v>
      </c>
      <c r="I245">
        <v>0</v>
      </c>
      <c r="J245">
        <v>0</v>
      </c>
      <c r="N245">
        <v>224.2</v>
      </c>
      <c r="O245">
        <f t="shared" si="9"/>
        <v>190</v>
      </c>
      <c r="P245">
        <f t="shared" si="10"/>
        <v>59.79</v>
      </c>
      <c r="Q245">
        <f t="shared" si="11"/>
        <v>50.67</v>
      </c>
    </row>
    <row r="246" spans="1:17" x14ac:dyDescent="0.2">
      <c r="A246">
        <v>30188</v>
      </c>
      <c r="B246">
        <v>10</v>
      </c>
      <c r="C246" t="s">
        <v>6</v>
      </c>
      <c r="D246" t="s">
        <v>891</v>
      </c>
      <c r="E246" s="3" t="s">
        <v>7</v>
      </c>
      <c r="F246">
        <f>IF(AND($F$15=Datos!$AI$5,Datos!$C$9=Datos!$AI$10),IF(A246&gt;30000,N246,ROUND(N246*Datos!$J$18,Dins)),IF(AND($F$15=Datos!$AI$5,Datos!$C$9=Datos!$AI$9),IF(A246&gt;30000,O246,ROUND(O246*Datos!$J$18,Dins)),IF(AND($F$15=Datos!$AI$6,Datos!$C$9=Datos!$AI$10),IF(A246&gt;30000,P246,ROUND(P246*Datos!$J$18,Dins)),IF(AND($F$15=Datos!$AI$6,Datos!$C$9=Datos!$AI$9),IF(A246&gt;30000,Q246,ROUND(Q246*Datos!$J$18,Dins))))))</f>
        <v>150</v>
      </c>
      <c r="G246">
        <v>0</v>
      </c>
      <c r="H246">
        <v>0</v>
      </c>
      <c r="I246">
        <v>0</v>
      </c>
      <c r="J246">
        <v>0</v>
      </c>
      <c r="N246">
        <v>177</v>
      </c>
      <c r="O246">
        <f t="shared" si="9"/>
        <v>150</v>
      </c>
      <c r="P246">
        <f t="shared" si="10"/>
        <v>47.2</v>
      </c>
      <c r="Q246">
        <f t="shared" si="11"/>
        <v>40</v>
      </c>
    </row>
    <row r="247" spans="1:17" x14ac:dyDescent="0.2">
      <c r="A247">
        <v>30189</v>
      </c>
      <c r="B247">
        <v>65</v>
      </c>
      <c r="C247" t="s">
        <v>6</v>
      </c>
      <c r="D247" t="s">
        <v>892</v>
      </c>
      <c r="E247" s="3" t="s">
        <v>7</v>
      </c>
      <c r="F247">
        <f>IF(AND($F$15=Datos!$AI$5,Datos!$C$9=Datos!$AI$10),IF(A247&gt;30000,N247,ROUND(N247*Datos!$J$18,Dins)),IF(AND($F$15=Datos!$AI$5,Datos!$C$9=Datos!$AI$9),IF(A247&gt;30000,O247,ROUND(O247*Datos!$J$18,Dins)),IF(AND($F$15=Datos!$AI$6,Datos!$C$9=Datos!$AI$10),IF(A247&gt;30000,P247,ROUND(P247*Datos!$J$18,Dins)),IF(AND($F$15=Datos!$AI$6,Datos!$C$9=Datos!$AI$9),IF(A247&gt;30000,Q247,ROUND(Q247*Datos!$J$18,Dins))))))</f>
        <v>35</v>
      </c>
      <c r="G247">
        <v>0</v>
      </c>
      <c r="H247">
        <v>0</v>
      </c>
      <c r="I247">
        <v>0</v>
      </c>
      <c r="J247">
        <v>0</v>
      </c>
      <c r="N247">
        <v>41.3</v>
      </c>
      <c r="O247">
        <f t="shared" si="9"/>
        <v>35</v>
      </c>
      <c r="P247">
        <f t="shared" si="10"/>
        <v>11.01</v>
      </c>
      <c r="Q247">
        <f t="shared" si="11"/>
        <v>9.33</v>
      </c>
    </row>
    <row r="248" spans="1:17" x14ac:dyDescent="0.2">
      <c r="A248">
        <v>30190</v>
      </c>
      <c r="B248">
        <v>30</v>
      </c>
      <c r="C248" t="s">
        <v>6</v>
      </c>
      <c r="D248" t="s">
        <v>893</v>
      </c>
      <c r="E248" s="3" t="s">
        <v>880</v>
      </c>
      <c r="F248">
        <f>IF(AND($F$15=Datos!$AI$5,Datos!$C$9=Datos!$AI$10),IF(A248&gt;30000,N248,ROUND(N248*Datos!$J$18,Dins)),IF(AND($F$15=Datos!$AI$5,Datos!$C$9=Datos!$AI$9),IF(A248&gt;30000,O248,ROUND(O248*Datos!$J$18,Dins)),IF(AND($F$15=Datos!$AI$6,Datos!$C$9=Datos!$AI$10),IF(A248&gt;30000,P248,ROUND(P248*Datos!$J$18,Dins)),IF(AND($F$15=Datos!$AI$6,Datos!$C$9=Datos!$AI$9),IF(A248&gt;30000,Q248,ROUND(Q248*Datos!$J$18,Dins))))))</f>
        <v>25.5</v>
      </c>
      <c r="G248">
        <v>0</v>
      </c>
      <c r="H248">
        <v>0</v>
      </c>
      <c r="I248">
        <v>0</v>
      </c>
      <c r="J248">
        <v>0</v>
      </c>
      <c r="N248">
        <v>30.09</v>
      </c>
      <c r="O248">
        <f t="shared" si="9"/>
        <v>25.5</v>
      </c>
      <c r="P248">
        <f t="shared" si="10"/>
        <v>8.02</v>
      </c>
      <c r="Q248">
        <f t="shared" si="11"/>
        <v>6.8</v>
      </c>
    </row>
    <row r="249" spans="1:17" x14ac:dyDescent="0.2">
      <c r="A249">
        <v>30191</v>
      </c>
      <c r="B249">
        <v>30</v>
      </c>
      <c r="C249" t="s">
        <v>6</v>
      </c>
      <c r="D249" t="s">
        <v>894</v>
      </c>
      <c r="E249" s="3" t="s">
        <v>174</v>
      </c>
      <c r="F249">
        <f>IF(AND($F$15=Datos!$AI$5,Datos!$C$9=Datos!$AI$10),IF(A249&gt;30000,N249,ROUND(N249*Datos!$J$18,Dins)),IF(AND($F$15=Datos!$AI$5,Datos!$C$9=Datos!$AI$9),IF(A249&gt;30000,O249,ROUND(O249*Datos!$J$18,Dins)),IF(AND($F$15=Datos!$AI$6,Datos!$C$9=Datos!$AI$10),IF(A249&gt;30000,P249,ROUND(P249*Datos!$J$18,Dins)),IF(AND($F$15=Datos!$AI$6,Datos!$C$9=Datos!$AI$9),IF(A249&gt;30000,Q249,ROUND(Q249*Datos!$J$18,Dins))))))</f>
        <v>6.5</v>
      </c>
      <c r="G249">
        <v>0</v>
      </c>
      <c r="H249">
        <v>0</v>
      </c>
      <c r="I249">
        <v>0</v>
      </c>
      <c r="J249">
        <v>0</v>
      </c>
      <c r="N249">
        <v>7.67</v>
      </c>
      <c r="O249">
        <f t="shared" si="9"/>
        <v>6.5</v>
      </c>
      <c r="P249">
        <f t="shared" si="10"/>
        <v>2.0499999999999998</v>
      </c>
      <c r="Q249">
        <f t="shared" si="11"/>
        <v>1.74</v>
      </c>
    </row>
    <row r="250" spans="1:17" x14ac:dyDescent="0.2">
      <c r="A250">
        <v>30192</v>
      </c>
      <c r="B250">
        <v>39</v>
      </c>
      <c r="C250" t="s">
        <v>6</v>
      </c>
      <c r="D250" t="s">
        <v>899</v>
      </c>
      <c r="E250" s="3" t="s">
        <v>174</v>
      </c>
      <c r="F250">
        <f>IF(AND($F$15=Datos!$AI$5,Datos!$C$9=Datos!$AI$10),IF(A250&gt;30000,N250,ROUND(N250*Datos!$J$18,Dins)),IF(AND($F$15=Datos!$AI$5,Datos!$C$9=Datos!$AI$9),IF(A250&gt;30000,O250,ROUND(O250*Datos!$J$18,Dins)),IF(AND($F$15=Datos!$AI$6,Datos!$C$9=Datos!$AI$10),IF(A250&gt;30000,P250,ROUND(P250*Datos!$J$18,Dins)),IF(AND($F$15=Datos!$AI$6,Datos!$C$9=Datos!$AI$9),IF(A250&gt;30000,Q250,ROUND(Q250*Datos!$J$18,Dins))))))</f>
        <v>6.5</v>
      </c>
      <c r="G250">
        <v>0</v>
      </c>
      <c r="H250">
        <v>0</v>
      </c>
      <c r="I250">
        <v>0</v>
      </c>
      <c r="J250">
        <v>0</v>
      </c>
      <c r="N250">
        <v>7.67</v>
      </c>
      <c r="O250">
        <f t="shared" si="9"/>
        <v>6.5</v>
      </c>
      <c r="P250">
        <f t="shared" si="10"/>
        <v>2.0499999999999998</v>
      </c>
      <c r="Q250">
        <f t="shared" si="11"/>
        <v>1.74</v>
      </c>
    </row>
    <row r="251" spans="1:17" x14ac:dyDescent="0.2">
      <c r="A251">
        <v>30193</v>
      </c>
      <c r="B251">
        <v>30</v>
      </c>
      <c r="C251" t="s">
        <v>6</v>
      </c>
      <c r="D251" t="s">
        <v>900</v>
      </c>
      <c r="E251" s="3" t="s">
        <v>7</v>
      </c>
      <c r="F251">
        <f>IF(AND($F$15=Datos!$AI$5,Datos!$C$9=Datos!$AI$10),IF(A251&gt;30000,N251,ROUND(N251*Datos!$J$18,Dins)),IF(AND($F$15=Datos!$AI$5,Datos!$C$9=Datos!$AI$9),IF(A251&gt;30000,O251,ROUND(O251*Datos!$J$18,Dins)),IF(AND($F$15=Datos!$AI$6,Datos!$C$9=Datos!$AI$10),IF(A251&gt;30000,P251,ROUND(P251*Datos!$J$18,Dins)),IF(AND($F$15=Datos!$AI$6,Datos!$C$9=Datos!$AI$9),IF(A251&gt;30000,Q251,ROUND(Q251*Datos!$J$18,Dins))))))</f>
        <v>9</v>
      </c>
      <c r="G251">
        <v>0</v>
      </c>
      <c r="H251">
        <v>0</v>
      </c>
      <c r="I251">
        <v>0</v>
      </c>
      <c r="J251">
        <v>0</v>
      </c>
      <c r="N251">
        <v>10.62</v>
      </c>
      <c r="O251">
        <f t="shared" si="9"/>
        <v>9</v>
      </c>
      <c r="P251">
        <f t="shared" si="10"/>
        <v>2.83</v>
      </c>
      <c r="Q251">
        <f t="shared" si="11"/>
        <v>2.4</v>
      </c>
    </row>
    <row r="252" spans="1:17" x14ac:dyDescent="0.2">
      <c r="A252">
        <v>30194</v>
      </c>
      <c r="B252">
        <v>30</v>
      </c>
      <c r="C252" t="s">
        <v>6</v>
      </c>
      <c r="D252" t="s">
        <v>901</v>
      </c>
      <c r="E252" s="3" t="s">
        <v>7</v>
      </c>
      <c r="F252">
        <f>IF(AND($F$15=Datos!$AI$5,Datos!$C$9=Datos!$AI$10),IF(A252&gt;30000,N252,ROUND(N252*Datos!$J$18,Dins)),IF(AND($F$15=Datos!$AI$5,Datos!$C$9=Datos!$AI$9),IF(A252&gt;30000,O252,ROUND(O252*Datos!$J$18,Dins)),IF(AND($F$15=Datos!$AI$6,Datos!$C$9=Datos!$AI$10),IF(A252&gt;30000,P252,ROUND(P252*Datos!$J$18,Dins)),IF(AND($F$15=Datos!$AI$6,Datos!$C$9=Datos!$AI$9),IF(A252&gt;30000,Q252,ROUND(Q252*Datos!$J$18,Dins))))))</f>
        <v>5</v>
      </c>
      <c r="G252">
        <v>0</v>
      </c>
      <c r="H252">
        <v>0</v>
      </c>
      <c r="I252">
        <v>0</v>
      </c>
      <c r="J252">
        <v>0</v>
      </c>
      <c r="N252">
        <v>5.9</v>
      </c>
      <c r="O252">
        <f t="shared" si="9"/>
        <v>5</v>
      </c>
      <c r="P252">
        <f t="shared" si="10"/>
        <v>1.57</v>
      </c>
      <c r="Q252">
        <f t="shared" si="11"/>
        <v>1.33</v>
      </c>
    </row>
    <row r="253" spans="1:17" x14ac:dyDescent="0.2">
      <c r="A253">
        <v>30195</v>
      </c>
      <c r="B253">
        <v>10</v>
      </c>
      <c r="C253" t="s">
        <v>6</v>
      </c>
      <c r="D253" t="s">
        <v>904</v>
      </c>
      <c r="E253" s="3" t="s">
        <v>174</v>
      </c>
      <c r="F253">
        <f>IF(AND($F$15=Datos!$AI$5,Datos!$C$9=Datos!$AI$10),IF(A253&gt;30000,N253,ROUND(N253*Datos!$J$18,Dins)),IF(AND($F$15=Datos!$AI$5,Datos!$C$9=Datos!$AI$9),IF(A253&gt;30000,O253,ROUND(O253*Datos!$J$18,Dins)),IF(AND($F$15=Datos!$AI$6,Datos!$C$9=Datos!$AI$10),IF(A253&gt;30000,P253,ROUND(P253*Datos!$J$18,Dins)),IF(AND($F$15=Datos!$AI$6,Datos!$C$9=Datos!$AI$9),IF(A253&gt;30000,Q253,ROUND(Q253*Datos!$J$18,Dins))))))</f>
        <v>6</v>
      </c>
      <c r="G253">
        <v>0</v>
      </c>
      <c r="H253">
        <v>0</v>
      </c>
      <c r="I253">
        <v>0</v>
      </c>
      <c r="J253">
        <v>0</v>
      </c>
      <c r="N253">
        <v>7.08</v>
      </c>
      <c r="O253">
        <f t="shared" si="9"/>
        <v>6</v>
      </c>
      <c r="P253">
        <f t="shared" si="10"/>
        <v>1.89</v>
      </c>
      <c r="Q253">
        <f t="shared" si="11"/>
        <v>1.6</v>
      </c>
    </row>
    <row r="254" spans="1:17" x14ac:dyDescent="0.2">
      <c r="A254">
        <v>30196</v>
      </c>
      <c r="B254">
        <v>39</v>
      </c>
      <c r="C254" t="s">
        <v>6</v>
      </c>
      <c r="D254" t="s">
        <v>907</v>
      </c>
      <c r="E254" s="3" t="s">
        <v>174</v>
      </c>
      <c r="F254">
        <f>IF(AND($F$15=Datos!$AI$5,Datos!$C$9=Datos!$AI$10),IF(A254&gt;30000,N254,ROUND(N254*Datos!$J$18,Dins)),IF(AND($F$15=Datos!$AI$5,Datos!$C$9=Datos!$AI$9),IF(A254&gt;30000,O254,ROUND(O254*Datos!$J$18,Dins)),IF(AND($F$15=Datos!$AI$6,Datos!$C$9=Datos!$AI$10),IF(A254&gt;30000,P254,ROUND(P254*Datos!$J$18,Dins)),IF(AND($F$15=Datos!$AI$6,Datos!$C$9=Datos!$AI$9),IF(A254&gt;30000,Q254,ROUND(Q254*Datos!$J$18,Dins))))))</f>
        <v>4.95</v>
      </c>
      <c r="G254">
        <v>0</v>
      </c>
      <c r="H254">
        <v>0</v>
      </c>
      <c r="I254">
        <v>0</v>
      </c>
      <c r="J254">
        <v>0</v>
      </c>
      <c r="N254">
        <v>5.84</v>
      </c>
      <c r="O254">
        <f t="shared" si="9"/>
        <v>4.95</v>
      </c>
      <c r="P254">
        <f t="shared" si="10"/>
        <v>1.56</v>
      </c>
      <c r="Q254">
        <f t="shared" si="11"/>
        <v>1.32</v>
      </c>
    </row>
    <row r="255" spans="1:17" x14ac:dyDescent="0.2">
      <c r="A255">
        <v>30197</v>
      </c>
      <c r="B255">
        <v>30</v>
      </c>
      <c r="C255" t="s">
        <v>6</v>
      </c>
      <c r="D255" t="s">
        <v>915</v>
      </c>
      <c r="E255" s="3" t="s">
        <v>7</v>
      </c>
      <c r="F255">
        <f>IF(AND($F$15=Datos!$AI$5,Datos!$C$9=Datos!$AI$10),IF(A255&gt;30000,N255,ROUND(N255*Datos!$J$18,Dins)),IF(AND($F$15=Datos!$AI$5,Datos!$C$9=Datos!$AI$9),IF(A255&gt;30000,O255,ROUND(O255*Datos!$J$18,Dins)),IF(AND($F$15=Datos!$AI$6,Datos!$C$9=Datos!$AI$10),IF(A255&gt;30000,P255,ROUND(P255*Datos!$J$18,Dins)),IF(AND($F$15=Datos!$AI$6,Datos!$C$9=Datos!$AI$9),IF(A255&gt;30000,Q255,ROUND(Q255*Datos!$J$18,Dins))))))</f>
        <v>7.25</v>
      </c>
      <c r="G255">
        <v>0</v>
      </c>
      <c r="H255">
        <v>0</v>
      </c>
      <c r="I255">
        <v>0</v>
      </c>
      <c r="J255">
        <v>0</v>
      </c>
      <c r="N255">
        <v>8.56</v>
      </c>
      <c r="O255">
        <f t="shared" si="9"/>
        <v>7.25</v>
      </c>
      <c r="P255">
        <f t="shared" si="10"/>
        <v>2.2799999999999998</v>
      </c>
      <c r="Q255">
        <f t="shared" si="11"/>
        <v>1.93</v>
      </c>
    </row>
    <row r="256" spans="1:17" x14ac:dyDescent="0.2">
      <c r="A256">
        <v>30198</v>
      </c>
      <c r="B256">
        <v>37</v>
      </c>
      <c r="C256" t="s">
        <v>6</v>
      </c>
      <c r="D256" t="s">
        <v>916</v>
      </c>
      <c r="E256" s="3" t="s">
        <v>7</v>
      </c>
      <c r="F256">
        <f>IF(AND($F$15=Datos!$AI$5,Datos!$C$9=Datos!$AI$10),IF(A256&gt;30000,N256,ROUND(N256*Datos!$J$18,Dins)),IF(AND($F$15=Datos!$AI$5,Datos!$C$9=Datos!$AI$9),IF(A256&gt;30000,O256,ROUND(O256*Datos!$J$18,Dins)),IF(AND($F$15=Datos!$AI$6,Datos!$C$9=Datos!$AI$10),IF(A256&gt;30000,P256,ROUND(P256*Datos!$J$18,Dins)),IF(AND($F$15=Datos!$AI$6,Datos!$C$9=Datos!$AI$9),IF(A256&gt;30000,Q256,ROUND(Q256*Datos!$J$18,Dins))))))</f>
        <v>5</v>
      </c>
      <c r="G256">
        <v>0</v>
      </c>
      <c r="H256">
        <v>0</v>
      </c>
      <c r="I256">
        <v>0</v>
      </c>
      <c r="J256">
        <v>0</v>
      </c>
      <c r="N256">
        <v>5.9</v>
      </c>
      <c r="O256">
        <f t="shared" si="9"/>
        <v>5</v>
      </c>
      <c r="P256">
        <f t="shared" si="10"/>
        <v>1.57</v>
      </c>
      <c r="Q256">
        <f t="shared" si="11"/>
        <v>1.33</v>
      </c>
    </row>
    <row r="257" spans="1:17" x14ac:dyDescent="0.2">
      <c r="A257">
        <v>30199</v>
      </c>
      <c r="B257">
        <v>65</v>
      </c>
      <c r="C257" t="s">
        <v>6</v>
      </c>
      <c r="D257" t="s">
        <v>917</v>
      </c>
      <c r="E257" s="3" t="s">
        <v>7</v>
      </c>
      <c r="F257">
        <f>IF(AND($F$15=Datos!$AI$5,Datos!$C$9=Datos!$AI$10),IF(A257&gt;30000,N257,ROUND(N257*Datos!$J$18,Dins)),IF(AND($F$15=Datos!$AI$5,Datos!$C$9=Datos!$AI$9),IF(A257&gt;30000,O257,ROUND(O257*Datos!$J$18,Dins)),IF(AND($F$15=Datos!$AI$6,Datos!$C$9=Datos!$AI$10),IF(A257&gt;30000,P257,ROUND(P257*Datos!$J$18,Dins)),IF(AND($F$15=Datos!$AI$6,Datos!$C$9=Datos!$AI$9),IF(A257&gt;30000,Q257,ROUND(Q257*Datos!$J$18,Dins))))))</f>
        <v>1.5</v>
      </c>
      <c r="G257">
        <v>0</v>
      </c>
      <c r="H257">
        <v>0</v>
      </c>
      <c r="I257">
        <v>0</v>
      </c>
      <c r="J257">
        <v>0</v>
      </c>
      <c r="N257">
        <v>1.77</v>
      </c>
      <c r="O257">
        <f t="shared" si="9"/>
        <v>1.5</v>
      </c>
      <c r="P257">
        <f t="shared" si="10"/>
        <v>0.47</v>
      </c>
      <c r="Q257">
        <f t="shared" si="11"/>
        <v>0.4</v>
      </c>
    </row>
    <row r="258" spans="1:17" x14ac:dyDescent="0.2">
      <c r="A258">
        <v>30200</v>
      </c>
      <c r="B258">
        <v>65</v>
      </c>
      <c r="C258" t="s">
        <v>6</v>
      </c>
      <c r="D258" t="s">
        <v>918</v>
      </c>
      <c r="E258" s="3" t="s">
        <v>7</v>
      </c>
      <c r="F258">
        <f>IF(AND($F$15=Datos!$AI$5,Datos!$C$9=Datos!$AI$10),IF(A258&gt;30000,N258,ROUND(N258*Datos!$J$18,Dins)),IF(AND($F$15=Datos!$AI$5,Datos!$C$9=Datos!$AI$9),IF(A258&gt;30000,O258,ROUND(O258*Datos!$J$18,Dins)),IF(AND($F$15=Datos!$AI$6,Datos!$C$9=Datos!$AI$10),IF(A258&gt;30000,P258,ROUND(P258*Datos!$J$18,Dins)),IF(AND($F$15=Datos!$AI$6,Datos!$C$9=Datos!$AI$9),IF(A258&gt;30000,Q258,ROUND(Q258*Datos!$J$18,Dins))))))</f>
        <v>1.2</v>
      </c>
      <c r="G258">
        <v>0</v>
      </c>
      <c r="H258">
        <v>0</v>
      </c>
      <c r="I258">
        <v>0</v>
      </c>
      <c r="J258">
        <v>0</v>
      </c>
      <c r="N258">
        <v>1.42</v>
      </c>
      <c r="O258">
        <f t="shared" si="9"/>
        <v>1.2</v>
      </c>
      <c r="P258">
        <f t="shared" si="10"/>
        <v>0.38</v>
      </c>
      <c r="Q258">
        <f t="shared" si="11"/>
        <v>0.32</v>
      </c>
    </row>
    <row r="259" spans="1:17" x14ac:dyDescent="0.2">
      <c r="A259">
        <v>30201</v>
      </c>
      <c r="B259">
        <v>72</v>
      </c>
      <c r="C259" t="s">
        <v>6</v>
      </c>
      <c r="D259" t="s">
        <v>919</v>
      </c>
      <c r="E259" s="3" t="s">
        <v>7</v>
      </c>
      <c r="F259">
        <f>IF(AND($F$15=Datos!$AI$5,Datos!$C$9=Datos!$AI$10),IF(A259&gt;30000,N259,ROUND(N259*Datos!$J$18,Dins)),IF(AND($F$15=Datos!$AI$5,Datos!$C$9=Datos!$AI$9),IF(A259&gt;30000,O259,ROUND(O259*Datos!$J$18,Dins)),IF(AND($F$15=Datos!$AI$6,Datos!$C$9=Datos!$AI$10),IF(A259&gt;30000,P259,ROUND(P259*Datos!$J$18,Dins)),IF(AND($F$15=Datos!$AI$6,Datos!$C$9=Datos!$AI$9),IF(A259&gt;30000,Q259,ROUND(Q259*Datos!$J$18,Dins))))))</f>
        <v>9.3000000000000007</v>
      </c>
      <c r="G259">
        <v>0</v>
      </c>
      <c r="H259">
        <v>0</v>
      </c>
      <c r="I259">
        <v>0</v>
      </c>
      <c r="J259">
        <v>0</v>
      </c>
      <c r="N259">
        <v>10.97</v>
      </c>
      <c r="O259">
        <f t="shared" si="9"/>
        <v>9.3000000000000007</v>
      </c>
      <c r="P259">
        <f t="shared" si="10"/>
        <v>2.93</v>
      </c>
      <c r="Q259">
        <f t="shared" si="11"/>
        <v>2.48</v>
      </c>
    </row>
    <row r="260" spans="1:17" x14ac:dyDescent="0.2">
      <c r="A260">
        <v>30202</v>
      </c>
      <c r="B260">
        <v>72</v>
      </c>
      <c r="C260" t="s">
        <v>6</v>
      </c>
      <c r="D260" t="s">
        <v>920</v>
      </c>
      <c r="E260" s="3" t="s">
        <v>7</v>
      </c>
      <c r="F260">
        <f>IF(AND($F$15=Datos!$AI$5,Datos!$C$9=Datos!$AI$10),IF(A260&gt;30000,N260,ROUND(N260*Datos!$J$18,Dins)),IF(AND($F$15=Datos!$AI$5,Datos!$C$9=Datos!$AI$9),IF(A260&gt;30000,O260,ROUND(O260*Datos!$J$18,Dins)),IF(AND($F$15=Datos!$AI$6,Datos!$C$9=Datos!$AI$10),IF(A260&gt;30000,P260,ROUND(P260*Datos!$J$18,Dins)),IF(AND($F$15=Datos!$AI$6,Datos!$C$9=Datos!$AI$9),IF(A260&gt;30000,Q260,ROUND(Q260*Datos!$J$18,Dins))))))</f>
        <v>0.9</v>
      </c>
      <c r="G260">
        <v>0</v>
      </c>
      <c r="H260">
        <v>0</v>
      </c>
      <c r="I260">
        <v>0</v>
      </c>
      <c r="J260">
        <v>0</v>
      </c>
      <c r="N260">
        <v>1.06</v>
      </c>
      <c r="O260">
        <f t="shared" si="9"/>
        <v>0.9</v>
      </c>
      <c r="P260">
        <f t="shared" si="10"/>
        <v>0.28000000000000003</v>
      </c>
      <c r="Q260">
        <f t="shared" si="11"/>
        <v>0.24</v>
      </c>
    </row>
    <row r="261" spans="1:17" x14ac:dyDescent="0.2">
      <c r="A261">
        <v>30203</v>
      </c>
      <c r="B261">
        <v>72</v>
      </c>
      <c r="C261" t="s">
        <v>6</v>
      </c>
      <c r="D261" t="s">
        <v>921</v>
      </c>
      <c r="E261" s="3" t="s">
        <v>7</v>
      </c>
      <c r="F261">
        <f>IF(AND($F$15=Datos!$AI$5,Datos!$C$9=Datos!$AI$10),IF(A261&gt;30000,N261,ROUND(N261*Datos!$J$18,Dins)),IF(AND($F$15=Datos!$AI$5,Datos!$C$9=Datos!$AI$9),IF(A261&gt;30000,O261,ROUND(O261*Datos!$J$18,Dins)),IF(AND($F$15=Datos!$AI$6,Datos!$C$9=Datos!$AI$10),IF(A261&gt;30000,P261,ROUND(P261*Datos!$J$18,Dins)),IF(AND($F$15=Datos!$AI$6,Datos!$C$9=Datos!$AI$9),IF(A261&gt;30000,Q261,ROUND(Q261*Datos!$J$18,Dins))))))</f>
        <v>1.3</v>
      </c>
      <c r="G261">
        <v>0</v>
      </c>
      <c r="H261">
        <v>0</v>
      </c>
      <c r="I261">
        <v>0</v>
      </c>
      <c r="J261">
        <v>0</v>
      </c>
      <c r="N261">
        <v>1.53</v>
      </c>
      <c r="O261">
        <f t="shared" si="9"/>
        <v>1.3</v>
      </c>
      <c r="P261">
        <f t="shared" si="10"/>
        <v>0.41</v>
      </c>
      <c r="Q261">
        <f t="shared" si="11"/>
        <v>0.35</v>
      </c>
    </row>
    <row r="262" spans="1:17" x14ac:dyDescent="0.2">
      <c r="A262">
        <v>30204</v>
      </c>
      <c r="B262">
        <v>72</v>
      </c>
      <c r="C262" t="s">
        <v>6</v>
      </c>
      <c r="D262" t="s">
        <v>922</v>
      </c>
      <c r="E262" s="3" t="s">
        <v>7</v>
      </c>
      <c r="F262">
        <f>IF(AND($F$15=Datos!$AI$5,Datos!$C$9=Datos!$AI$10),IF(A262&gt;30000,N262,ROUND(N262*Datos!$J$18,Dins)),IF(AND($F$15=Datos!$AI$5,Datos!$C$9=Datos!$AI$9),IF(A262&gt;30000,O262,ROUND(O262*Datos!$J$18,Dins)),IF(AND($F$15=Datos!$AI$6,Datos!$C$9=Datos!$AI$10),IF(A262&gt;30000,P262,ROUND(P262*Datos!$J$18,Dins)),IF(AND($F$15=Datos!$AI$6,Datos!$C$9=Datos!$AI$9),IF(A262&gt;30000,Q262,ROUND(Q262*Datos!$J$18,Dins))))))</f>
        <v>0.6</v>
      </c>
      <c r="G262">
        <v>0</v>
      </c>
      <c r="H262">
        <v>0</v>
      </c>
      <c r="I262">
        <v>0</v>
      </c>
      <c r="J262">
        <v>0</v>
      </c>
      <c r="N262">
        <v>0.71</v>
      </c>
      <c r="O262">
        <f t="shared" si="9"/>
        <v>0.6</v>
      </c>
      <c r="P262">
        <f t="shared" si="10"/>
        <v>0.19</v>
      </c>
      <c r="Q262">
        <f t="shared" si="11"/>
        <v>0.16</v>
      </c>
    </row>
    <row r="263" spans="1:17" x14ac:dyDescent="0.2">
      <c r="A263">
        <v>30205</v>
      </c>
      <c r="B263">
        <v>65</v>
      </c>
      <c r="C263" t="s">
        <v>6</v>
      </c>
      <c r="D263" t="s">
        <v>925</v>
      </c>
      <c r="E263" s="3" t="s">
        <v>7</v>
      </c>
      <c r="F263">
        <f>IF(AND($F$15=Datos!$AI$5,Datos!$C$9=Datos!$AI$10),IF(A263&gt;30000,N263,ROUND(N263*Datos!$J$18,Dins)),IF(AND($F$15=Datos!$AI$5,Datos!$C$9=Datos!$AI$9),IF(A263&gt;30000,O263,ROUND(O263*Datos!$J$18,Dins)),IF(AND($F$15=Datos!$AI$6,Datos!$C$9=Datos!$AI$10),IF(A263&gt;30000,P263,ROUND(P263*Datos!$J$18,Dins)),IF(AND($F$15=Datos!$AI$6,Datos!$C$9=Datos!$AI$9),IF(A263&gt;30000,Q263,ROUND(Q263*Datos!$J$18,Dins))))))</f>
        <v>2.2000000000000002</v>
      </c>
      <c r="G263">
        <v>0</v>
      </c>
      <c r="H263">
        <v>0</v>
      </c>
      <c r="I263">
        <v>0</v>
      </c>
      <c r="J263">
        <v>0</v>
      </c>
      <c r="N263">
        <v>2.6</v>
      </c>
      <c r="O263">
        <f t="shared" si="9"/>
        <v>2.2000000000000002</v>
      </c>
      <c r="P263">
        <f t="shared" si="10"/>
        <v>0.69</v>
      </c>
      <c r="Q263">
        <f t="shared" si="11"/>
        <v>0.57999999999999996</v>
      </c>
    </row>
    <row r="264" spans="1:17" x14ac:dyDescent="0.2">
      <c r="A264">
        <v>30206</v>
      </c>
      <c r="B264">
        <v>65</v>
      </c>
      <c r="C264" t="s">
        <v>6</v>
      </c>
      <c r="D264" t="s">
        <v>926</v>
      </c>
      <c r="E264" s="3" t="s">
        <v>7</v>
      </c>
      <c r="F264">
        <f>IF(AND($F$15=Datos!$AI$5,Datos!$C$9=Datos!$AI$10),IF(A264&gt;30000,N264,ROUND(N264*Datos!$J$18,Dins)),IF(AND($F$15=Datos!$AI$5,Datos!$C$9=Datos!$AI$9),IF(A264&gt;30000,O264,ROUND(O264*Datos!$J$18,Dins)),IF(AND($F$15=Datos!$AI$6,Datos!$C$9=Datos!$AI$10),IF(A264&gt;30000,P264,ROUND(P264*Datos!$J$18,Dins)),IF(AND($F$15=Datos!$AI$6,Datos!$C$9=Datos!$AI$9),IF(A264&gt;30000,Q264,ROUND(Q264*Datos!$J$18,Dins))))))</f>
        <v>1.5</v>
      </c>
      <c r="G264">
        <v>0</v>
      </c>
      <c r="H264">
        <v>0</v>
      </c>
      <c r="I264">
        <v>0</v>
      </c>
      <c r="J264">
        <v>0</v>
      </c>
      <c r="N264">
        <v>1.77</v>
      </c>
      <c r="O264">
        <f t="shared" si="9"/>
        <v>1.5</v>
      </c>
      <c r="P264">
        <f t="shared" si="10"/>
        <v>0.47</v>
      </c>
      <c r="Q264">
        <f t="shared" si="11"/>
        <v>0.4</v>
      </c>
    </row>
    <row r="265" spans="1:17" x14ac:dyDescent="0.2">
      <c r="A265">
        <v>30207</v>
      </c>
      <c r="B265">
        <v>72</v>
      </c>
      <c r="C265" t="s">
        <v>6</v>
      </c>
      <c r="D265" t="s">
        <v>927</v>
      </c>
      <c r="E265" s="3" t="s">
        <v>7</v>
      </c>
      <c r="F265">
        <f>IF(AND($F$15=Datos!$AI$5,Datos!$C$9=Datos!$AI$10),IF(A265&gt;30000,N265,ROUND(N265*Datos!$J$18,Dins)),IF(AND($F$15=Datos!$AI$5,Datos!$C$9=Datos!$AI$9),IF(A265&gt;30000,O265,ROUND(O265*Datos!$J$18,Dins)),IF(AND($F$15=Datos!$AI$6,Datos!$C$9=Datos!$AI$10),IF(A265&gt;30000,P265,ROUND(P265*Datos!$J$18,Dins)),IF(AND($F$15=Datos!$AI$6,Datos!$C$9=Datos!$AI$9),IF(A265&gt;30000,Q265,ROUND(Q265*Datos!$J$18,Dins))))))</f>
        <v>15</v>
      </c>
      <c r="G265">
        <v>0</v>
      </c>
      <c r="H265">
        <v>0</v>
      </c>
      <c r="I265">
        <v>0</v>
      </c>
      <c r="J265">
        <v>0</v>
      </c>
      <c r="N265">
        <v>17.7</v>
      </c>
      <c r="O265">
        <f t="shared" si="9"/>
        <v>15</v>
      </c>
      <c r="P265">
        <f t="shared" si="10"/>
        <v>4.72</v>
      </c>
      <c r="Q265">
        <f t="shared" si="11"/>
        <v>4</v>
      </c>
    </row>
    <row r="266" spans="1:17" x14ac:dyDescent="0.2">
      <c r="A266">
        <v>30208</v>
      </c>
      <c r="B266">
        <v>72</v>
      </c>
      <c r="C266" t="s">
        <v>6</v>
      </c>
      <c r="D266" t="s">
        <v>928</v>
      </c>
      <c r="E266" s="3" t="s">
        <v>7</v>
      </c>
      <c r="F266">
        <f>IF(AND($F$15=Datos!$AI$5,Datos!$C$9=Datos!$AI$10),IF(A266&gt;30000,N266,ROUND(N266*Datos!$J$18,Dins)),IF(AND($F$15=Datos!$AI$5,Datos!$C$9=Datos!$AI$9),IF(A266&gt;30000,O266,ROUND(O266*Datos!$J$18,Dins)),IF(AND($F$15=Datos!$AI$6,Datos!$C$9=Datos!$AI$10),IF(A266&gt;30000,P266,ROUND(P266*Datos!$J$18,Dins)),IF(AND($F$15=Datos!$AI$6,Datos!$C$9=Datos!$AI$9),IF(A266&gt;30000,Q266,ROUND(Q266*Datos!$J$18,Dins))))))</f>
        <v>1.7</v>
      </c>
      <c r="G266">
        <v>0</v>
      </c>
      <c r="H266">
        <v>0</v>
      </c>
      <c r="I266">
        <v>0</v>
      </c>
      <c r="J266">
        <v>0</v>
      </c>
      <c r="N266">
        <v>2.0099999999999998</v>
      </c>
      <c r="O266">
        <f t="shared" si="9"/>
        <v>1.7</v>
      </c>
      <c r="P266">
        <f t="shared" si="10"/>
        <v>0.54</v>
      </c>
      <c r="Q266">
        <f t="shared" si="11"/>
        <v>0.46</v>
      </c>
    </row>
    <row r="267" spans="1:17" x14ac:dyDescent="0.2">
      <c r="A267">
        <v>30209</v>
      </c>
      <c r="B267">
        <v>72</v>
      </c>
      <c r="C267" t="s">
        <v>6</v>
      </c>
      <c r="D267" t="s">
        <v>929</v>
      </c>
      <c r="E267" s="3" t="s">
        <v>7</v>
      </c>
      <c r="F267">
        <f>IF(AND($F$15=Datos!$AI$5,Datos!$C$9=Datos!$AI$10),IF(A267&gt;30000,N267,ROUND(N267*Datos!$J$18,Dins)),IF(AND($F$15=Datos!$AI$5,Datos!$C$9=Datos!$AI$9),IF(A267&gt;30000,O267,ROUND(O267*Datos!$J$18,Dins)),IF(AND($F$15=Datos!$AI$6,Datos!$C$9=Datos!$AI$10),IF(A267&gt;30000,P267,ROUND(P267*Datos!$J$18,Dins)),IF(AND($F$15=Datos!$AI$6,Datos!$C$9=Datos!$AI$9),IF(A267&gt;30000,Q267,ROUND(Q267*Datos!$J$18,Dins))))))</f>
        <v>2.5</v>
      </c>
      <c r="G267">
        <v>0</v>
      </c>
      <c r="H267">
        <v>0</v>
      </c>
      <c r="I267">
        <v>0</v>
      </c>
      <c r="J267">
        <v>0</v>
      </c>
      <c r="N267">
        <v>2.95</v>
      </c>
      <c r="O267">
        <f t="shared" si="9"/>
        <v>2.5</v>
      </c>
      <c r="P267">
        <f t="shared" si="10"/>
        <v>0.79</v>
      </c>
      <c r="Q267">
        <f t="shared" si="11"/>
        <v>0.67</v>
      </c>
    </row>
    <row r="268" spans="1:17" x14ac:dyDescent="0.2">
      <c r="A268">
        <v>30210</v>
      </c>
      <c r="B268">
        <v>72</v>
      </c>
      <c r="C268" t="s">
        <v>6</v>
      </c>
      <c r="D268" t="s">
        <v>930</v>
      </c>
      <c r="E268" s="3" t="s">
        <v>7</v>
      </c>
      <c r="F268">
        <f>IF(AND($F$15=Datos!$AI$5,Datos!$C$9=Datos!$AI$10),IF(A268&gt;30000,N268,ROUND(N268*Datos!$J$18,Dins)),IF(AND($F$15=Datos!$AI$5,Datos!$C$9=Datos!$AI$9),IF(A268&gt;30000,O268,ROUND(O268*Datos!$J$18,Dins)),IF(AND($F$15=Datos!$AI$6,Datos!$C$9=Datos!$AI$10),IF(A268&gt;30000,P268,ROUND(P268*Datos!$J$18,Dins)),IF(AND($F$15=Datos!$AI$6,Datos!$C$9=Datos!$AI$9),IF(A268&gt;30000,Q268,ROUND(Q268*Datos!$J$18,Dins))))))</f>
        <v>1.2</v>
      </c>
      <c r="G268">
        <v>0</v>
      </c>
      <c r="H268">
        <v>0</v>
      </c>
      <c r="I268">
        <v>0</v>
      </c>
      <c r="J268">
        <v>0</v>
      </c>
      <c r="N268">
        <v>1.42</v>
      </c>
      <c r="O268">
        <f t="shared" si="9"/>
        <v>1.2</v>
      </c>
      <c r="P268">
        <f t="shared" si="10"/>
        <v>0.38</v>
      </c>
      <c r="Q268">
        <f t="shared" si="11"/>
        <v>0.32</v>
      </c>
    </row>
    <row r="269" spans="1:17" x14ac:dyDescent="0.2">
      <c r="A269">
        <v>30211</v>
      </c>
      <c r="B269">
        <v>30</v>
      </c>
      <c r="C269" t="s">
        <v>6</v>
      </c>
      <c r="D269" t="s">
        <v>935</v>
      </c>
      <c r="E269" s="3" t="s">
        <v>206</v>
      </c>
      <c r="F269">
        <f>IF(AND($F$15=Datos!$AI$5,Datos!$C$9=Datos!$AI$10),IF(A269&gt;30000,N269,ROUND(N269*Datos!$J$18,Dins)),IF(AND($F$15=Datos!$AI$5,Datos!$C$9=Datos!$AI$9),IF(A269&gt;30000,O269,ROUND(O269*Datos!$J$18,Dins)),IF(AND($F$15=Datos!$AI$6,Datos!$C$9=Datos!$AI$10),IF(A269&gt;30000,P269,ROUND(P269*Datos!$J$18,Dins)),IF(AND($F$15=Datos!$AI$6,Datos!$C$9=Datos!$AI$9),IF(A269&gt;30000,Q269,ROUND(Q269*Datos!$J$18,Dins))))))</f>
        <v>116</v>
      </c>
      <c r="G269">
        <v>0</v>
      </c>
      <c r="H269">
        <v>0</v>
      </c>
      <c r="I269">
        <v>0</v>
      </c>
      <c r="J269">
        <v>0</v>
      </c>
      <c r="N269">
        <v>136.88</v>
      </c>
      <c r="O269">
        <f t="shared" si="9"/>
        <v>116</v>
      </c>
      <c r="P269">
        <f t="shared" si="10"/>
        <v>36.5</v>
      </c>
      <c r="Q269">
        <f t="shared" si="11"/>
        <v>30.93</v>
      </c>
    </row>
    <row r="270" spans="1:17" x14ac:dyDescent="0.2">
      <c r="A270">
        <v>30212</v>
      </c>
      <c r="B270">
        <v>39</v>
      </c>
      <c r="C270" t="s">
        <v>6</v>
      </c>
      <c r="D270" t="s">
        <v>936</v>
      </c>
      <c r="E270" s="3" t="s">
        <v>937</v>
      </c>
      <c r="F270">
        <f>IF(AND($F$15=Datos!$AI$5,Datos!$C$9=Datos!$AI$10),IF(A270&gt;30000,N270,ROUND(N270*Datos!$J$18,Dins)),IF(AND($F$15=Datos!$AI$5,Datos!$C$9=Datos!$AI$9),IF(A270&gt;30000,O270,ROUND(O270*Datos!$J$18,Dins)),IF(AND($F$15=Datos!$AI$6,Datos!$C$9=Datos!$AI$10),IF(A270&gt;30000,P270,ROUND(P270*Datos!$J$18,Dins)),IF(AND($F$15=Datos!$AI$6,Datos!$C$9=Datos!$AI$9),IF(A270&gt;30000,Q270,ROUND(Q270*Datos!$J$18,Dins))))))</f>
        <v>5.5</v>
      </c>
      <c r="G270">
        <v>0</v>
      </c>
      <c r="H270">
        <v>0</v>
      </c>
      <c r="I270">
        <v>0</v>
      </c>
      <c r="J270">
        <v>0</v>
      </c>
      <c r="N270">
        <v>6.49</v>
      </c>
      <c r="O270">
        <f t="shared" si="9"/>
        <v>5.5</v>
      </c>
      <c r="P270">
        <f t="shared" si="10"/>
        <v>1.73</v>
      </c>
      <c r="Q270">
        <f t="shared" si="11"/>
        <v>1.47</v>
      </c>
    </row>
    <row r="271" spans="1:17" x14ac:dyDescent="0.2">
      <c r="A271">
        <v>30213</v>
      </c>
      <c r="B271">
        <v>72</v>
      </c>
      <c r="C271" t="s">
        <v>6</v>
      </c>
      <c r="D271" t="s">
        <v>938</v>
      </c>
      <c r="E271" s="3" t="s">
        <v>7</v>
      </c>
      <c r="F271">
        <f>IF(AND($F$15=Datos!$AI$5,Datos!$C$9=Datos!$AI$10),IF(A271&gt;30000,N271,ROUND(N271*Datos!$J$18,Dins)),IF(AND($F$15=Datos!$AI$5,Datos!$C$9=Datos!$AI$9),IF(A271&gt;30000,O271,ROUND(O271*Datos!$J$18,Dins)),IF(AND($F$15=Datos!$AI$6,Datos!$C$9=Datos!$AI$10),IF(A271&gt;30000,P271,ROUND(P271*Datos!$J$18,Dins)),IF(AND($F$15=Datos!$AI$6,Datos!$C$9=Datos!$AI$9),IF(A271&gt;30000,Q271,ROUND(Q271*Datos!$J$18,Dins))))))</f>
        <v>9.3000000000000007</v>
      </c>
      <c r="G271">
        <v>0</v>
      </c>
      <c r="H271">
        <v>0</v>
      </c>
      <c r="I271">
        <v>0</v>
      </c>
      <c r="J271">
        <v>0</v>
      </c>
      <c r="N271">
        <v>10.97</v>
      </c>
      <c r="O271">
        <f t="shared" si="9"/>
        <v>9.3000000000000007</v>
      </c>
      <c r="P271">
        <f t="shared" si="10"/>
        <v>2.93</v>
      </c>
      <c r="Q271">
        <f t="shared" si="11"/>
        <v>2.48</v>
      </c>
    </row>
    <row r="272" spans="1:17" x14ac:dyDescent="0.2">
      <c r="A272">
        <v>30214</v>
      </c>
      <c r="B272">
        <v>72</v>
      </c>
      <c r="C272" t="s">
        <v>6</v>
      </c>
      <c r="D272" t="s">
        <v>941</v>
      </c>
      <c r="E272" s="3" t="s">
        <v>7</v>
      </c>
      <c r="F272">
        <f>IF(AND($F$15=Datos!$AI$5,Datos!$C$9=Datos!$AI$10),IF(A272&gt;30000,N272,ROUND(N272*Datos!$J$18,Dins)),IF(AND($F$15=Datos!$AI$5,Datos!$C$9=Datos!$AI$9),IF(A272&gt;30000,O272,ROUND(O272*Datos!$J$18,Dins)),IF(AND($F$15=Datos!$AI$6,Datos!$C$9=Datos!$AI$10),IF(A272&gt;30000,P272,ROUND(P272*Datos!$J$18,Dins)),IF(AND($F$15=Datos!$AI$6,Datos!$C$9=Datos!$AI$9),IF(A272&gt;30000,Q272,ROUND(Q272*Datos!$J$18,Dins))))))</f>
        <v>15</v>
      </c>
      <c r="G272">
        <v>0</v>
      </c>
      <c r="H272">
        <v>0</v>
      </c>
      <c r="I272">
        <v>0</v>
      </c>
      <c r="J272">
        <v>0</v>
      </c>
      <c r="N272">
        <v>17.7</v>
      </c>
      <c r="O272">
        <f t="shared" ref="O272:O335" si="12">IF(A272&gt;30000,ROUND(N272/$O$14,Dins),ROUND(N272,Dins))</f>
        <v>15</v>
      </c>
      <c r="P272">
        <f t="shared" ref="P272:P335" si="13">ROUND(N272/$P$14,Dins)</f>
        <v>4.72</v>
      </c>
      <c r="Q272">
        <f t="shared" ref="Q272:Q335" si="14">IF(A272&gt;30000,ROUND(P272/$Q$14,Dins),ROUND(P272,Dins))</f>
        <v>4</v>
      </c>
    </row>
    <row r="273" spans="1:17" x14ac:dyDescent="0.2">
      <c r="A273">
        <v>30215</v>
      </c>
      <c r="B273">
        <v>72</v>
      </c>
      <c r="C273" t="s">
        <v>6</v>
      </c>
      <c r="D273" t="s">
        <v>942</v>
      </c>
      <c r="E273" s="3" t="s">
        <v>174</v>
      </c>
      <c r="F273">
        <f>IF(AND($F$15=Datos!$AI$5,Datos!$C$9=Datos!$AI$10),IF(A273&gt;30000,N273,ROUND(N273*Datos!$J$18,Dins)),IF(AND($F$15=Datos!$AI$5,Datos!$C$9=Datos!$AI$9),IF(A273&gt;30000,O273,ROUND(O273*Datos!$J$18,Dins)),IF(AND($F$15=Datos!$AI$6,Datos!$C$9=Datos!$AI$10),IF(A273&gt;30000,P273,ROUND(P273*Datos!$J$18,Dins)),IF(AND($F$15=Datos!$AI$6,Datos!$C$9=Datos!$AI$9),IF(A273&gt;30000,Q273,ROUND(Q273*Datos!$J$18,Dins))))))</f>
        <v>1.7</v>
      </c>
      <c r="G273">
        <v>0</v>
      </c>
      <c r="H273">
        <v>0</v>
      </c>
      <c r="I273">
        <v>0</v>
      </c>
      <c r="J273">
        <v>0</v>
      </c>
      <c r="N273">
        <v>2.0099999999999998</v>
      </c>
      <c r="O273">
        <f t="shared" si="12"/>
        <v>1.7</v>
      </c>
      <c r="P273">
        <f t="shared" si="13"/>
        <v>0.54</v>
      </c>
      <c r="Q273">
        <f t="shared" si="14"/>
        <v>0.46</v>
      </c>
    </row>
    <row r="274" spans="1:17" x14ac:dyDescent="0.2">
      <c r="A274">
        <v>30216</v>
      </c>
      <c r="B274">
        <v>30</v>
      </c>
      <c r="C274" t="s">
        <v>6</v>
      </c>
      <c r="D274" t="s">
        <v>945</v>
      </c>
      <c r="E274" s="3" t="s">
        <v>206</v>
      </c>
      <c r="F274">
        <f>IF(AND($F$15=Datos!$AI$5,Datos!$C$9=Datos!$AI$10),IF(A274&gt;30000,N274,ROUND(N274*Datos!$J$18,Dins)),IF(AND($F$15=Datos!$AI$5,Datos!$C$9=Datos!$AI$9),IF(A274&gt;30000,O274,ROUND(O274*Datos!$J$18,Dins)),IF(AND($F$15=Datos!$AI$6,Datos!$C$9=Datos!$AI$10),IF(A274&gt;30000,P274,ROUND(P274*Datos!$J$18,Dins)),IF(AND($F$15=Datos!$AI$6,Datos!$C$9=Datos!$AI$9),IF(A274&gt;30000,Q274,ROUND(Q274*Datos!$J$18,Dins))))))</f>
        <v>116</v>
      </c>
      <c r="G274">
        <v>0</v>
      </c>
      <c r="H274">
        <v>0</v>
      </c>
      <c r="I274">
        <v>0</v>
      </c>
      <c r="J274">
        <v>0</v>
      </c>
      <c r="N274">
        <v>136.88</v>
      </c>
      <c r="O274">
        <f t="shared" si="12"/>
        <v>116</v>
      </c>
      <c r="P274">
        <f t="shared" si="13"/>
        <v>36.5</v>
      </c>
      <c r="Q274">
        <f t="shared" si="14"/>
        <v>30.93</v>
      </c>
    </row>
    <row r="275" spans="1:17" x14ac:dyDescent="0.2">
      <c r="A275">
        <v>30217</v>
      </c>
      <c r="B275">
        <v>72</v>
      </c>
      <c r="C275" t="s">
        <v>6</v>
      </c>
      <c r="D275" t="s">
        <v>946</v>
      </c>
      <c r="E275" s="3" t="s">
        <v>7</v>
      </c>
      <c r="F275">
        <f>IF(AND($F$15=Datos!$AI$5,Datos!$C$9=Datos!$AI$10),IF(A275&gt;30000,N275,ROUND(N275*Datos!$J$18,Dins)),IF(AND($F$15=Datos!$AI$5,Datos!$C$9=Datos!$AI$9),IF(A275&gt;30000,O275,ROUND(O275*Datos!$J$18,Dins)),IF(AND($F$15=Datos!$AI$6,Datos!$C$9=Datos!$AI$10),IF(A275&gt;30000,P275,ROUND(P275*Datos!$J$18,Dins)),IF(AND($F$15=Datos!$AI$6,Datos!$C$9=Datos!$AI$9),IF(A275&gt;30000,Q275,ROUND(Q275*Datos!$J$18,Dins))))))</f>
        <v>21.5</v>
      </c>
      <c r="G275">
        <v>0</v>
      </c>
      <c r="H275">
        <v>0</v>
      </c>
      <c r="I275">
        <v>0</v>
      </c>
      <c r="J275">
        <v>0</v>
      </c>
      <c r="N275">
        <v>25.37</v>
      </c>
      <c r="O275">
        <f t="shared" si="12"/>
        <v>21.5</v>
      </c>
      <c r="P275">
        <f t="shared" si="13"/>
        <v>6.77</v>
      </c>
      <c r="Q275">
        <f t="shared" si="14"/>
        <v>5.74</v>
      </c>
    </row>
    <row r="276" spans="1:17" x14ac:dyDescent="0.2">
      <c r="A276">
        <v>30218</v>
      </c>
      <c r="B276">
        <v>72</v>
      </c>
      <c r="C276" t="s">
        <v>6</v>
      </c>
      <c r="D276" t="s">
        <v>947</v>
      </c>
      <c r="E276" s="3" t="s">
        <v>7</v>
      </c>
      <c r="F276">
        <f>IF(AND($F$15=Datos!$AI$5,Datos!$C$9=Datos!$AI$10),IF(A276&gt;30000,N276,ROUND(N276*Datos!$J$18,Dins)),IF(AND($F$15=Datos!$AI$5,Datos!$C$9=Datos!$AI$9),IF(A276&gt;30000,O276,ROUND(O276*Datos!$J$18,Dins)),IF(AND($F$15=Datos!$AI$6,Datos!$C$9=Datos!$AI$10),IF(A276&gt;30000,P276,ROUND(P276*Datos!$J$18,Dins)),IF(AND($F$15=Datos!$AI$6,Datos!$C$9=Datos!$AI$9),IF(A276&gt;30000,Q276,ROUND(Q276*Datos!$J$18,Dins))))))</f>
        <v>3.5</v>
      </c>
      <c r="G276">
        <v>0</v>
      </c>
      <c r="H276">
        <v>0</v>
      </c>
      <c r="I276">
        <v>0</v>
      </c>
      <c r="J276">
        <v>0</v>
      </c>
      <c r="N276">
        <v>4.13</v>
      </c>
      <c r="O276">
        <f t="shared" si="12"/>
        <v>3.5</v>
      </c>
      <c r="P276">
        <f t="shared" si="13"/>
        <v>1.1000000000000001</v>
      </c>
      <c r="Q276">
        <f t="shared" si="14"/>
        <v>0.93</v>
      </c>
    </row>
    <row r="277" spans="1:17" x14ac:dyDescent="0.2">
      <c r="A277">
        <v>30219</v>
      </c>
      <c r="B277">
        <v>72</v>
      </c>
      <c r="C277" t="s">
        <v>6</v>
      </c>
      <c r="D277" t="s">
        <v>948</v>
      </c>
      <c r="E277" s="3" t="s">
        <v>174</v>
      </c>
      <c r="F277">
        <f>IF(AND($F$15=Datos!$AI$5,Datos!$C$9=Datos!$AI$10),IF(A277&gt;30000,N277,ROUND(N277*Datos!$J$18,Dins)),IF(AND($F$15=Datos!$AI$5,Datos!$C$9=Datos!$AI$9),IF(A277&gt;30000,O277,ROUND(O277*Datos!$J$18,Dins)),IF(AND($F$15=Datos!$AI$6,Datos!$C$9=Datos!$AI$10),IF(A277&gt;30000,P277,ROUND(P277*Datos!$J$18,Dins)),IF(AND($F$15=Datos!$AI$6,Datos!$C$9=Datos!$AI$9),IF(A277&gt;30000,Q277,ROUND(Q277*Datos!$J$18,Dins))))))</f>
        <v>2.7</v>
      </c>
      <c r="G277">
        <v>0</v>
      </c>
      <c r="H277">
        <v>0</v>
      </c>
      <c r="I277">
        <v>0</v>
      </c>
      <c r="J277">
        <v>0</v>
      </c>
      <c r="N277">
        <v>3.19</v>
      </c>
      <c r="O277">
        <f t="shared" si="12"/>
        <v>2.7</v>
      </c>
      <c r="P277">
        <f t="shared" si="13"/>
        <v>0.85</v>
      </c>
      <c r="Q277">
        <f t="shared" si="14"/>
        <v>0.72</v>
      </c>
    </row>
    <row r="278" spans="1:17" x14ac:dyDescent="0.2">
      <c r="A278">
        <v>30220</v>
      </c>
      <c r="B278">
        <v>72</v>
      </c>
      <c r="C278" t="s">
        <v>6</v>
      </c>
      <c r="D278" t="s">
        <v>951</v>
      </c>
      <c r="E278" s="3" t="s">
        <v>7</v>
      </c>
      <c r="F278">
        <f>IF(AND($F$15=Datos!$AI$5,Datos!$C$9=Datos!$AI$10),IF(A278&gt;30000,N278,ROUND(N278*Datos!$J$18,Dins)),IF(AND($F$15=Datos!$AI$5,Datos!$C$9=Datos!$AI$9),IF(A278&gt;30000,O278,ROUND(O278*Datos!$J$18,Dins)),IF(AND($F$15=Datos!$AI$6,Datos!$C$9=Datos!$AI$10),IF(A278&gt;30000,P278,ROUND(P278*Datos!$J$18,Dins)),IF(AND($F$15=Datos!$AI$6,Datos!$C$9=Datos!$AI$9),IF(A278&gt;30000,Q278,ROUND(Q278*Datos!$J$18,Dins))))))</f>
        <v>1.5</v>
      </c>
      <c r="G278">
        <v>0</v>
      </c>
      <c r="H278">
        <v>0</v>
      </c>
      <c r="I278">
        <v>0</v>
      </c>
      <c r="J278">
        <v>0</v>
      </c>
      <c r="N278">
        <v>1.77</v>
      </c>
      <c r="O278">
        <f t="shared" si="12"/>
        <v>1.5</v>
      </c>
      <c r="P278">
        <f t="shared" si="13"/>
        <v>0.47</v>
      </c>
      <c r="Q278">
        <f t="shared" si="14"/>
        <v>0.4</v>
      </c>
    </row>
    <row r="279" spans="1:17" x14ac:dyDescent="0.2">
      <c r="A279">
        <v>30221</v>
      </c>
      <c r="B279">
        <v>72</v>
      </c>
      <c r="C279" t="s">
        <v>6</v>
      </c>
      <c r="D279" t="s">
        <v>952</v>
      </c>
      <c r="E279" s="3" t="s">
        <v>7</v>
      </c>
      <c r="F279">
        <f>IF(AND($F$15=Datos!$AI$5,Datos!$C$9=Datos!$AI$10),IF(A279&gt;30000,N279,ROUND(N279*Datos!$J$18,Dins)),IF(AND($F$15=Datos!$AI$5,Datos!$C$9=Datos!$AI$9),IF(A279&gt;30000,O279,ROUND(O279*Datos!$J$18,Dins)),IF(AND($F$15=Datos!$AI$6,Datos!$C$9=Datos!$AI$10),IF(A279&gt;30000,P279,ROUND(P279*Datos!$J$18,Dins)),IF(AND($F$15=Datos!$AI$6,Datos!$C$9=Datos!$AI$9),IF(A279&gt;30000,Q279,ROUND(Q279*Datos!$J$18,Dins))))))</f>
        <v>3.5</v>
      </c>
      <c r="G279">
        <v>0</v>
      </c>
      <c r="H279">
        <v>0</v>
      </c>
      <c r="I279">
        <v>0</v>
      </c>
      <c r="J279">
        <v>0</v>
      </c>
      <c r="N279">
        <v>4.13</v>
      </c>
      <c r="O279">
        <f t="shared" si="12"/>
        <v>3.5</v>
      </c>
      <c r="P279">
        <f t="shared" si="13"/>
        <v>1.1000000000000001</v>
      </c>
      <c r="Q279">
        <f t="shared" si="14"/>
        <v>0.93</v>
      </c>
    </row>
    <row r="280" spans="1:17" x14ac:dyDescent="0.2">
      <c r="A280">
        <v>30222</v>
      </c>
      <c r="B280">
        <v>72</v>
      </c>
      <c r="C280" t="s">
        <v>6</v>
      </c>
      <c r="D280" t="s">
        <v>953</v>
      </c>
      <c r="E280" s="3" t="s">
        <v>7</v>
      </c>
      <c r="F280">
        <f>IF(AND($F$15=Datos!$AI$5,Datos!$C$9=Datos!$AI$10),IF(A280&gt;30000,N280,ROUND(N280*Datos!$J$18,Dins)),IF(AND($F$15=Datos!$AI$5,Datos!$C$9=Datos!$AI$9),IF(A280&gt;30000,O280,ROUND(O280*Datos!$J$18,Dins)),IF(AND($F$15=Datos!$AI$6,Datos!$C$9=Datos!$AI$10),IF(A280&gt;30000,P280,ROUND(P280*Datos!$J$18,Dins)),IF(AND($F$15=Datos!$AI$6,Datos!$C$9=Datos!$AI$9),IF(A280&gt;30000,Q280,ROUND(Q280*Datos!$J$18,Dins))))))</f>
        <v>3.5</v>
      </c>
      <c r="G280">
        <v>0</v>
      </c>
      <c r="H280">
        <v>0</v>
      </c>
      <c r="I280">
        <v>0</v>
      </c>
      <c r="J280">
        <v>0</v>
      </c>
      <c r="N280">
        <v>4.13</v>
      </c>
      <c r="O280">
        <f t="shared" si="12"/>
        <v>3.5</v>
      </c>
      <c r="P280">
        <f t="shared" si="13"/>
        <v>1.1000000000000001</v>
      </c>
      <c r="Q280">
        <f t="shared" si="14"/>
        <v>0.93</v>
      </c>
    </row>
    <row r="281" spans="1:17" x14ac:dyDescent="0.2">
      <c r="A281">
        <v>30223</v>
      </c>
      <c r="B281">
        <v>72</v>
      </c>
      <c r="C281" t="s">
        <v>6</v>
      </c>
      <c r="D281" t="s">
        <v>956</v>
      </c>
      <c r="E281" s="3" t="s">
        <v>7</v>
      </c>
      <c r="F281">
        <f>IF(AND($F$15=Datos!$AI$5,Datos!$C$9=Datos!$AI$10),IF(A281&gt;30000,N281,ROUND(N281*Datos!$J$18,Dins)),IF(AND($F$15=Datos!$AI$5,Datos!$C$9=Datos!$AI$9),IF(A281&gt;30000,O281,ROUND(O281*Datos!$J$18,Dins)),IF(AND($F$15=Datos!$AI$6,Datos!$C$9=Datos!$AI$10),IF(A281&gt;30000,P281,ROUND(P281*Datos!$J$18,Dins)),IF(AND($F$15=Datos!$AI$6,Datos!$C$9=Datos!$AI$9),IF(A281&gt;30000,Q281,ROUND(Q281*Datos!$J$18,Dins))))))</f>
        <v>30</v>
      </c>
      <c r="G281">
        <v>0</v>
      </c>
      <c r="H281">
        <v>0</v>
      </c>
      <c r="I281">
        <v>0</v>
      </c>
      <c r="J281">
        <v>0</v>
      </c>
      <c r="N281">
        <v>35.4</v>
      </c>
      <c r="O281">
        <f t="shared" si="12"/>
        <v>30</v>
      </c>
      <c r="P281">
        <f t="shared" si="13"/>
        <v>9.44</v>
      </c>
      <c r="Q281">
        <f t="shared" si="14"/>
        <v>8</v>
      </c>
    </row>
    <row r="282" spans="1:17" x14ac:dyDescent="0.2">
      <c r="A282">
        <v>30224</v>
      </c>
      <c r="B282">
        <v>72</v>
      </c>
      <c r="C282" t="s">
        <v>6</v>
      </c>
      <c r="D282" t="s">
        <v>957</v>
      </c>
      <c r="E282" s="3" t="s">
        <v>7</v>
      </c>
      <c r="F282">
        <f>IF(AND($F$15=Datos!$AI$5,Datos!$C$9=Datos!$AI$10),IF(A282&gt;30000,N282,ROUND(N282*Datos!$J$18,Dins)),IF(AND($F$15=Datos!$AI$5,Datos!$C$9=Datos!$AI$9),IF(A282&gt;30000,O282,ROUND(O282*Datos!$J$18,Dins)),IF(AND($F$15=Datos!$AI$6,Datos!$C$9=Datos!$AI$10),IF(A282&gt;30000,P282,ROUND(P282*Datos!$J$18,Dins)),IF(AND($F$15=Datos!$AI$6,Datos!$C$9=Datos!$AI$9),IF(A282&gt;30000,Q282,ROUND(Q282*Datos!$J$18,Dins))))))</f>
        <v>12.5</v>
      </c>
      <c r="G282">
        <v>0</v>
      </c>
      <c r="H282">
        <v>0</v>
      </c>
      <c r="I282">
        <v>0</v>
      </c>
      <c r="J282">
        <v>0</v>
      </c>
      <c r="N282">
        <v>14.75</v>
      </c>
      <c r="O282">
        <f t="shared" si="12"/>
        <v>12.5</v>
      </c>
      <c r="P282">
        <f t="shared" si="13"/>
        <v>3.93</v>
      </c>
      <c r="Q282">
        <f t="shared" si="14"/>
        <v>3.33</v>
      </c>
    </row>
    <row r="283" spans="1:17" x14ac:dyDescent="0.2">
      <c r="A283">
        <v>30225</v>
      </c>
      <c r="B283">
        <v>72</v>
      </c>
      <c r="C283" t="s">
        <v>6</v>
      </c>
      <c r="D283" t="s">
        <v>958</v>
      </c>
      <c r="E283" s="3" t="s">
        <v>174</v>
      </c>
      <c r="F283">
        <f>IF(AND($F$15=Datos!$AI$5,Datos!$C$9=Datos!$AI$10),IF(A283&gt;30000,N283,ROUND(N283*Datos!$J$18,Dins)),IF(AND($F$15=Datos!$AI$5,Datos!$C$9=Datos!$AI$9),IF(A283&gt;30000,O283,ROUND(O283*Datos!$J$18,Dins)),IF(AND($F$15=Datos!$AI$6,Datos!$C$9=Datos!$AI$10),IF(A283&gt;30000,P283,ROUND(P283*Datos!$J$18,Dins)),IF(AND($F$15=Datos!$AI$6,Datos!$C$9=Datos!$AI$9),IF(A283&gt;30000,Q283,ROUND(Q283*Datos!$J$18,Dins))))))</f>
        <v>9</v>
      </c>
      <c r="G283">
        <v>0</v>
      </c>
      <c r="H283">
        <v>0</v>
      </c>
      <c r="I283">
        <v>0</v>
      </c>
      <c r="J283">
        <v>0</v>
      </c>
      <c r="N283">
        <v>10.62</v>
      </c>
      <c r="O283">
        <f t="shared" si="12"/>
        <v>9</v>
      </c>
      <c r="P283">
        <f t="shared" si="13"/>
        <v>2.83</v>
      </c>
      <c r="Q283">
        <f t="shared" si="14"/>
        <v>2.4</v>
      </c>
    </row>
    <row r="284" spans="1:17" x14ac:dyDescent="0.2">
      <c r="A284">
        <v>80009</v>
      </c>
      <c r="B284">
        <v>39</v>
      </c>
      <c r="C284" t="s">
        <v>93</v>
      </c>
      <c r="D284" t="s">
        <v>961</v>
      </c>
      <c r="E284" s="3" t="s">
        <v>194</v>
      </c>
      <c r="F284">
        <f>IF(AND($F$15=Datos!$AI$5,Datos!$C$9=Datos!$AI$10),IF(A284&gt;30000,N284,ROUND(N284*Datos!$J$18,Dins)),IF(AND($F$15=Datos!$AI$5,Datos!$C$9=Datos!$AI$9),IF(A284&gt;30000,O284,ROUND(O284*Datos!$J$18,Dins)),IF(AND($F$15=Datos!$AI$6,Datos!$C$9=Datos!$AI$10),IF(A284&gt;30000,P284,ROUND(P284*Datos!$J$18,Dins)),IF(AND($F$15=Datos!$AI$6,Datos!$C$9=Datos!$AI$9),IF(A284&gt;30000,Q284,ROUND(Q284*Datos!$J$18,Dins))))))</f>
        <v>2.44</v>
      </c>
      <c r="G284">
        <v>0</v>
      </c>
      <c r="H284">
        <v>0</v>
      </c>
      <c r="I284">
        <v>0</v>
      </c>
      <c r="J284">
        <v>0</v>
      </c>
      <c r="N284">
        <v>2.88</v>
      </c>
      <c r="O284">
        <f t="shared" si="12"/>
        <v>2.44</v>
      </c>
      <c r="P284">
        <f t="shared" si="13"/>
        <v>0.77</v>
      </c>
      <c r="Q284">
        <f t="shared" si="14"/>
        <v>0.65</v>
      </c>
    </row>
    <row r="285" spans="1:17" x14ac:dyDescent="0.2">
      <c r="A285">
        <v>80010</v>
      </c>
      <c r="B285">
        <v>39</v>
      </c>
      <c r="C285" t="s">
        <v>93</v>
      </c>
      <c r="D285" t="s">
        <v>966</v>
      </c>
      <c r="E285" s="3" t="s">
        <v>194</v>
      </c>
      <c r="F285">
        <f>IF(AND($F$15=Datos!$AI$5,Datos!$C$9=Datos!$AI$10),IF(A285&gt;30000,N285,ROUND(N285*Datos!$J$18,Dins)),IF(AND($F$15=Datos!$AI$5,Datos!$C$9=Datos!$AI$9),IF(A285&gt;30000,O285,ROUND(O285*Datos!$J$18,Dins)),IF(AND($F$15=Datos!$AI$6,Datos!$C$9=Datos!$AI$10),IF(A285&gt;30000,P285,ROUND(P285*Datos!$J$18,Dins)),IF(AND($F$15=Datos!$AI$6,Datos!$C$9=Datos!$AI$9),IF(A285&gt;30000,Q285,ROUND(Q285*Datos!$J$18,Dins))))))</f>
        <v>16.87</v>
      </c>
      <c r="N285">
        <v>19.91</v>
      </c>
      <c r="O285">
        <f t="shared" si="12"/>
        <v>16.87</v>
      </c>
      <c r="P285">
        <f t="shared" si="13"/>
        <v>5.31</v>
      </c>
      <c r="Q285">
        <f t="shared" si="14"/>
        <v>4.5</v>
      </c>
    </row>
    <row r="286" spans="1:17" x14ac:dyDescent="0.2">
      <c r="A286">
        <v>30226</v>
      </c>
      <c r="B286">
        <v>39</v>
      </c>
      <c r="C286" t="s">
        <v>6</v>
      </c>
      <c r="D286" t="s">
        <v>969</v>
      </c>
      <c r="E286" s="3" t="s">
        <v>194</v>
      </c>
      <c r="F286">
        <f>IF(AND($F$15=Datos!$AI$5,Datos!$C$9=Datos!$AI$10),IF(A286&gt;30000,N286,ROUND(N286*Datos!$J$18,Dins)),IF(AND($F$15=Datos!$AI$5,Datos!$C$9=Datos!$AI$9),IF(A286&gt;30000,O286,ROUND(O286*Datos!$J$18,Dins)),IF(AND($F$15=Datos!$AI$6,Datos!$C$9=Datos!$AI$10),IF(A286&gt;30000,P286,ROUND(P286*Datos!$J$18,Dins)),IF(AND($F$15=Datos!$AI$6,Datos!$C$9=Datos!$AI$9),IF(A286&gt;30000,Q286,ROUND(Q286*Datos!$J$18,Dins))))))</f>
        <v>19.079999999999998</v>
      </c>
      <c r="G286">
        <v>0</v>
      </c>
      <c r="H286">
        <v>0</v>
      </c>
      <c r="I286">
        <v>0</v>
      </c>
      <c r="J286">
        <v>0</v>
      </c>
      <c r="N286">
        <v>22.51</v>
      </c>
      <c r="O286">
        <f t="shared" si="12"/>
        <v>19.079999999999998</v>
      </c>
      <c r="P286">
        <f t="shared" si="13"/>
        <v>6</v>
      </c>
      <c r="Q286">
        <f t="shared" si="14"/>
        <v>5.08</v>
      </c>
    </row>
    <row r="287" spans="1:17" x14ac:dyDescent="0.2">
      <c r="A287">
        <v>30227</v>
      </c>
      <c r="B287">
        <v>72</v>
      </c>
      <c r="C287" t="s">
        <v>6</v>
      </c>
      <c r="D287" t="s">
        <v>972</v>
      </c>
      <c r="E287" s="3" t="s">
        <v>194</v>
      </c>
      <c r="F287">
        <f>IF(AND($F$15=Datos!$AI$5,Datos!$C$9=Datos!$AI$10),IF(A287&gt;30000,N287,ROUND(N287*Datos!$J$18,Dins)),IF(AND($F$15=Datos!$AI$5,Datos!$C$9=Datos!$AI$9),IF(A287&gt;30000,O287,ROUND(O287*Datos!$J$18,Dins)),IF(AND($F$15=Datos!$AI$6,Datos!$C$9=Datos!$AI$10),IF(A287&gt;30000,P287,ROUND(P287*Datos!$J$18,Dins)),IF(AND($F$15=Datos!$AI$6,Datos!$C$9=Datos!$AI$9),IF(A287&gt;30000,Q287,ROUND(Q287*Datos!$J$18,Dins))))))</f>
        <v>3</v>
      </c>
      <c r="G287">
        <v>0</v>
      </c>
      <c r="H287">
        <v>0</v>
      </c>
      <c r="I287">
        <v>0</v>
      </c>
      <c r="J287">
        <v>0</v>
      </c>
      <c r="N287">
        <v>3.54</v>
      </c>
      <c r="O287">
        <f t="shared" si="12"/>
        <v>3</v>
      </c>
      <c r="P287">
        <f t="shared" si="13"/>
        <v>0.94</v>
      </c>
      <c r="Q287">
        <f t="shared" si="14"/>
        <v>0.8</v>
      </c>
    </row>
    <row r="288" spans="1:17" x14ac:dyDescent="0.2">
      <c r="A288">
        <v>30228</v>
      </c>
      <c r="B288">
        <v>72</v>
      </c>
      <c r="C288" t="s">
        <v>6</v>
      </c>
      <c r="D288" t="s">
        <v>973</v>
      </c>
      <c r="E288" s="3" t="s">
        <v>7</v>
      </c>
      <c r="F288">
        <f>IF(AND($F$15=Datos!$AI$5,Datos!$C$9=Datos!$AI$10),IF(A288&gt;30000,N288,ROUND(N288*Datos!$J$18,Dins)),IF(AND($F$15=Datos!$AI$5,Datos!$C$9=Datos!$AI$9),IF(A288&gt;30000,O288,ROUND(O288*Datos!$J$18,Dins)),IF(AND($F$15=Datos!$AI$6,Datos!$C$9=Datos!$AI$10),IF(A288&gt;30000,P288,ROUND(P288*Datos!$J$18,Dins)),IF(AND($F$15=Datos!$AI$6,Datos!$C$9=Datos!$AI$9),IF(A288&gt;30000,Q288,ROUND(Q288*Datos!$J$18,Dins))))))</f>
        <v>1.7</v>
      </c>
      <c r="G288">
        <v>0</v>
      </c>
      <c r="H288">
        <v>0</v>
      </c>
      <c r="I288">
        <v>0</v>
      </c>
      <c r="J288">
        <v>0</v>
      </c>
      <c r="N288">
        <v>2.0099999999999998</v>
      </c>
      <c r="O288">
        <f t="shared" si="12"/>
        <v>1.7</v>
      </c>
      <c r="P288">
        <f t="shared" si="13"/>
        <v>0.54</v>
      </c>
      <c r="Q288">
        <f t="shared" si="14"/>
        <v>0.46</v>
      </c>
    </row>
    <row r="289" spans="1:17" x14ac:dyDescent="0.2">
      <c r="A289">
        <v>30229</v>
      </c>
      <c r="B289">
        <v>72</v>
      </c>
      <c r="C289" t="s">
        <v>6</v>
      </c>
      <c r="D289" t="s">
        <v>974</v>
      </c>
      <c r="E289" s="3" t="s">
        <v>174</v>
      </c>
      <c r="F289">
        <f>IF(AND($F$15=Datos!$AI$5,Datos!$C$9=Datos!$AI$10),IF(A289&gt;30000,N289,ROUND(N289*Datos!$J$18,Dins)),IF(AND($F$15=Datos!$AI$5,Datos!$C$9=Datos!$AI$9),IF(A289&gt;30000,O289,ROUND(O289*Datos!$J$18,Dins)),IF(AND($F$15=Datos!$AI$6,Datos!$C$9=Datos!$AI$10),IF(A289&gt;30000,P289,ROUND(P289*Datos!$J$18,Dins)),IF(AND($F$15=Datos!$AI$6,Datos!$C$9=Datos!$AI$9),IF(A289&gt;30000,Q289,ROUND(Q289*Datos!$J$18,Dins))))))</f>
        <v>2.5</v>
      </c>
      <c r="G289">
        <v>0</v>
      </c>
      <c r="H289">
        <v>0</v>
      </c>
      <c r="I289">
        <v>0</v>
      </c>
      <c r="J289">
        <v>0</v>
      </c>
      <c r="N289">
        <v>2.95</v>
      </c>
      <c r="O289">
        <f t="shared" si="12"/>
        <v>2.5</v>
      </c>
      <c r="P289">
        <f t="shared" si="13"/>
        <v>0.79</v>
      </c>
      <c r="Q289">
        <f t="shared" si="14"/>
        <v>0.67</v>
      </c>
    </row>
    <row r="290" spans="1:17" x14ac:dyDescent="0.2">
      <c r="A290">
        <v>30230</v>
      </c>
      <c r="B290">
        <v>72</v>
      </c>
      <c r="C290" t="s">
        <v>6</v>
      </c>
      <c r="D290" t="s">
        <v>980</v>
      </c>
      <c r="E290" s="3" t="s">
        <v>7</v>
      </c>
      <c r="F290">
        <f>IF(AND($F$15=Datos!$AI$5,Datos!$C$9=Datos!$AI$10),IF(A290&gt;30000,N290,ROUND(N290*Datos!$J$18,Dins)),IF(AND($F$15=Datos!$AI$5,Datos!$C$9=Datos!$AI$9),IF(A290&gt;30000,O290,ROUND(O290*Datos!$J$18,Dins)),IF(AND($F$15=Datos!$AI$6,Datos!$C$9=Datos!$AI$10),IF(A290&gt;30000,P290,ROUND(P290*Datos!$J$18,Dins)),IF(AND($F$15=Datos!$AI$6,Datos!$C$9=Datos!$AI$9),IF(A290&gt;30000,Q290,ROUND(Q290*Datos!$J$18,Dins))))))</f>
        <v>30</v>
      </c>
      <c r="G290">
        <v>0</v>
      </c>
      <c r="H290">
        <v>0</v>
      </c>
      <c r="I290">
        <v>0</v>
      </c>
      <c r="J290">
        <v>0</v>
      </c>
      <c r="N290">
        <v>35.4</v>
      </c>
      <c r="O290">
        <f t="shared" si="12"/>
        <v>30</v>
      </c>
      <c r="P290">
        <f t="shared" si="13"/>
        <v>9.44</v>
      </c>
      <c r="Q290">
        <f t="shared" si="14"/>
        <v>8</v>
      </c>
    </row>
    <row r="291" spans="1:17" x14ac:dyDescent="0.2">
      <c r="A291">
        <v>30231</v>
      </c>
      <c r="B291">
        <v>65</v>
      </c>
      <c r="C291" t="s">
        <v>6</v>
      </c>
      <c r="D291" t="s">
        <v>986</v>
      </c>
      <c r="E291" s="3" t="s">
        <v>7</v>
      </c>
      <c r="F291">
        <f>IF(AND($F$15=Datos!$AI$5,Datos!$C$9=Datos!$AI$10),IF(A291&gt;30000,N291,ROUND(N291*Datos!$J$18,Dins)),IF(AND($F$15=Datos!$AI$5,Datos!$C$9=Datos!$AI$9),IF(A291&gt;30000,O291,ROUND(O291*Datos!$J$18,Dins)),IF(AND($F$15=Datos!$AI$6,Datos!$C$9=Datos!$AI$10),IF(A291&gt;30000,P291,ROUND(P291*Datos!$J$18,Dins)),IF(AND($F$15=Datos!$AI$6,Datos!$C$9=Datos!$AI$9),IF(A291&gt;30000,Q291,ROUND(Q291*Datos!$J$18,Dins))))))</f>
        <v>6.5</v>
      </c>
      <c r="G291">
        <v>0</v>
      </c>
      <c r="H291">
        <v>0</v>
      </c>
      <c r="I291">
        <v>0</v>
      </c>
      <c r="J291">
        <v>0</v>
      </c>
      <c r="N291">
        <v>7.67</v>
      </c>
      <c r="O291">
        <f t="shared" si="12"/>
        <v>6.5</v>
      </c>
      <c r="P291">
        <f t="shared" si="13"/>
        <v>2.0499999999999998</v>
      </c>
      <c r="Q291">
        <f t="shared" si="14"/>
        <v>1.74</v>
      </c>
    </row>
    <row r="292" spans="1:17" x14ac:dyDescent="0.2">
      <c r="A292">
        <v>30232</v>
      </c>
      <c r="B292">
        <v>65</v>
      </c>
      <c r="C292" t="s">
        <v>6</v>
      </c>
      <c r="D292" t="s">
        <v>987</v>
      </c>
      <c r="E292" s="3" t="s">
        <v>7</v>
      </c>
      <c r="F292">
        <f>IF(AND($F$15=Datos!$AI$5,Datos!$C$9=Datos!$AI$10),IF(A292&gt;30000,N292,ROUND(N292*Datos!$J$18,Dins)),IF(AND($F$15=Datos!$AI$5,Datos!$C$9=Datos!$AI$9),IF(A292&gt;30000,O292,ROUND(O292*Datos!$J$18,Dins)),IF(AND($F$15=Datos!$AI$6,Datos!$C$9=Datos!$AI$10),IF(A292&gt;30000,P292,ROUND(P292*Datos!$J$18,Dins)),IF(AND($F$15=Datos!$AI$6,Datos!$C$9=Datos!$AI$9),IF(A292&gt;30000,Q292,ROUND(Q292*Datos!$J$18,Dins))))))</f>
        <v>1.2</v>
      </c>
      <c r="G292">
        <v>0</v>
      </c>
      <c r="H292">
        <v>0</v>
      </c>
      <c r="I292">
        <v>0</v>
      </c>
      <c r="J292">
        <v>0</v>
      </c>
      <c r="N292">
        <v>1.42</v>
      </c>
      <c r="O292">
        <f t="shared" si="12"/>
        <v>1.2</v>
      </c>
      <c r="P292">
        <f t="shared" si="13"/>
        <v>0.38</v>
      </c>
      <c r="Q292">
        <f t="shared" si="14"/>
        <v>0.32</v>
      </c>
    </row>
    <row r="293" spans="1:17" x14ac:dyDescent="0.2">
      <c r="A293">
        <v>30233</v>
      </c>
      <c r="B293">
        <v>77</v>
      </c>
      <c r="C293" t="s">
        <v>6</v>
      </c>
      <c r="D293" t="s">
        <v>988</v>
      </c>
      <c r="E293" s="3" t="s">
        <v>7</v>
      </c>
      <c r="F293">
        <f>IF(AND($F$15=Datos!$AI$5,Datos!$C$9=Datos!$AI$10),IF(A293&gt;30000,N293,ROUND(N293*Datos!$J$18,Dins)),IF(AND($F$15=Datos!$AI$5,Datos!$C$9=Datos!$AI$9),IF(A293&gt;30000,O293,ROUND(O293*Datos!$J$18,Dins)),IF(AND($F$15=Datos!$AI$6,Datos!$C$9=Datos!$AI$10),IF(A293&gt;30000,P293,ROUND(P293*Datos!$J$18,Dins)),IF(AND($F$15=Datos!$AI$6,Datos!$C$9=Datos!$AI$9),IF(A293&gt;30000,Q293,ROUND(Q293*Datos!$J$18,Dins))))))</f>
        <v>17.5</v>
      </c>
      <c r="G293">
        <v>0</v>
      </c>
      <c r="H293">
        <v>0</v>
      </c>
      <c r="I293">
        <v>0</v>
      </c>
      <c r="J293">
        <v>0</v>
      </c>
      <c r="N293">
        <v>20.65</v>
      </c>
      <c r="O293">
        <f t="shared" si="12"/>
        <v>17.5</v>
      </c>
      <c r="P293">
        <f t="shared" si="13"/>
        <v>5.51</v>
      </c>
      <c r="Q293">
        <f t="shared" si="14"/>
        <v>4.67</v>
      </c>
    </row>
    <row r="294" spans="1:17" x14ac:dyDescent="0.2">
      <c r="A294">
        <v>30234</v>
      </c>
      <c r="B294">
        <v>65</v>
      </c>
      <c r="C294" t="s">
        <v>6</v>
      </c>
      <c r="D294" t="s">
        <v>991</v>
      </c>
      <c r="E294" s="3" t="s">
        <v>7</v>
      </c>
      <c r="F294">
        <f>IF(AND($F$15=Datos!$AI$5,Datos!$C$9=Datos!$AI$10),IF(A294&gt;30000,N294,ROUND(N294*Datos!$J$18,Dins)),IF(AND($F$15=Datos!$AI$5,Datos!$C$9=Datos!$AI$9),IF(A294&gt;30000,O294,ROUND(O294*Datos!$J$18,Dins)),IF(AND($F$15=Datos!$AI$6,Datos!$C$9=Datos!$AI$10),IF(A294&gt;30000,P294,ROUND(P294*Datos!$J$18,Dins)),IF(AND($F$15=Datos!$AI$6,Datos!$C$9=Datos!$AI$9),IF(A294&gt;30000,Q294,ROUND(Q294*Datos!$J$18,Dins))))))</f>
        <v>7.5</v>
      </c>
      <c r="G294">
        <v>0</v>
      </c>
      <c r="H294">
        <v>0</v>
      </c>
      <c r="I294">
        <v>0</v>
      </c>
      <c r="J294">
        <v>0</v>
      </c>
      <c r="N294">
        <v>8.85</v>
      </c>
      <c r="O294">
        <f t="shared" si="12"/>
        <v>7.5</v>
      </c>
      <c r="P294">
        <f t="shared" si="13"/>
        <v>2.36</v>
      </c>
      <c r="Q294">
        <f t="shared" si="14"/>
        <v>2</v>
      </c>
    </row>
    <row r="295" spans="1:17" x14ac:dyDescent="0.2">
      <c r="A295">
        <v>30235</v>
      </c>
      <c r="B295">
        <v>65</v>
      </c>
      <c r="C295" t="s">
        <v>6</v>
      </c>
      <c r="D295" t="s">
        <v>992</v>
      </c>
      <c r="E295" s="3" t="s">
        <v>7</v>
      </c>
      <c r="F295">
        <f>IF(AND($F$15=Datos!$AI$5,Datos!$C$9=Datos!$AI$10),IF(A295&gt;30000,N295,ROUND(N295*Datos!$J$18,Dins)),IF(AND($F$15=Datos!$AI$5,Datos!$C$9=Datos!$AI$9),IF(A295&gt;30000,O295,ROUND(O295*Datos!$J$18,Dins)),IF(AND($F$15=Datos!$AI$6,Datos!$C$9=Datos!$AI$10),IF(A295&gt;30000,P295,ROUND(P295*Datos!$J$18,Dins)),IF(AND($F$15=Datos!$AI$6,Datos!$C$9=Datos!$AI$9),IF(A295&gt;30000,Q295,ROUND(Q295*Datos!$J$18,Dins))))))</f>
        <v>2.2000000000000002</v>
      </c>
      <c r="G295">
        <v>0</v>
      </c>
      <c r="H295">
        <v>0</v>
      </c>
      <c r="I295">
        <v>0</v>
      </c>
      <c r="J295">
        <v>0</v>
      </c>
      <c r="N295">
        <v>2.6</v>
      </c>
      <c r="O295">
        <f t="shared" si="12"/>
        <v>2.2000000000000002</v>
      </c>
      <c r="P295">
        <f t="shared" si="13"/>
        <v>0.69</v>
      </c>
      <c r="Q295">
        <f t="shared" si="14"/>
        <v>0.57999999999999996</v>
      </c>
    </row>
    <row r="296" spans="1:17" x14ac:dyDescent="0.2">
      <c r="A296">
        <v>30236</v>
      </c>
      <c r="B296">
        <v>72</v>
      </c>
      <c r="C296" t="s">
        <v>6</v>
      </c>
      <c r="D296" t="s">
        <v>993</v>
      </c>
      <c r="E296" s="3" t="s">
        <v>174</v>
      </c>
      <c r="F296">
        <f>IF(AND($F$15=Datos!$AI$5,Datos!$C$9=Datos!$AI$10),IF(A296&gt;30000,N296,ROUND(N296*Datos!$J$18,Dins)),IF(AND($F$15=Datos!$AI$5,Datos!$C$9=Datos!$AI$9),IF(A296&gt;30000,O296,ROUND(O296*Datos!$J$18,Dins)),IF(AND($F$15=Datos!$AI$6,Datos!$C$9=Datos!$AI$10),IF(A296&gt;30000,P296,ROUND(P296*Datos!$J$18,Dins)),IF(AND($F$15=Datos!$AI$6,Datos!$C$9=Datos!$AI$9),IF(A296&gt;30000,Q296,ROUND(Q296*Datos!$J$18,Dins))))))</f>
        <v>1.2</v>
      </c>
      <c r="G296">
        <v>0</v>
      </c>
      <c r="H296">
        <v>0</v>
      </c>
      <c r="I296">
        <v>0</v>
      </c>
      <c r="J296">
        <v>0</v>
      </c>
      <c r="N296">
        <v>1.42</v>
      </c>
      <c r="O296">
        <f t="shared" si="12"/>
        <v>1.2</v>
      </c>
      <c r="P296">
        <f t="shared" si="13"/>
        <v>0.38</v>
      </c>
      <c r="Q296">
        <f t="shared" si="14"/>
        <v>0.32</v>
      </c>
    </row>
    <row r="297" spans="1:17" x14ac:dyDescent="0.2">
      <c r="A297">
        <v>30237</v>
      </c>
      <c r="B297">
        <v>77</v>
      </c>
      <c r="C297" t="s">
        <v>6</v>
      </c>
      <c r="D297" t="s">
        <v>994</v>
      </c>
      <c r="E297" s="3" t="s">
        <v>7</v>
      </c>
      <c r="F297">
        <f>IF(AND($F$15=Datos!$AI$5,Datos!$C$9=Datos!$AI$10),IF(A297&gt;30000,N297,ROUND(N297*Datos!$J$18,Dins)),IF(AND($F$15=Datos!$AI$5,Datos!$C$9=Datos!$AI$9),IF(A297&gt;30000,O297,ROUND(O297*Datos!$J$18,Dins)),IF(AND($F$15=Datos!$AI$6,Datos!$C$9=Datos!$AI$10),IF(A297&gt;30000,P297,ROUND(P297*Datos!$J$18,Dins)),IF(AND($F$15=Datos!$AI$6,Datos!$C$9=Datos!$AI$9),IF(A297&gt;30000,Q297,ROUND(Q297*Datos!$J$18,Dins))))))</f>
        <v>26.7</v>
      </c>
      <c r="G297">
        <v>0</v>
      </c>
      <c r="H297">
        <v>0</v>
      </c>
      <c r="I297">
        <v>0</v>
      </c>
      <c r="J297">
        <v>0</v>
      </c>
      <c r="N297">
        <v>31.51</v>
      </c>
      <c r="O297">
        <f t="shared" si="12"/>
        <v>26.7</v>
      </c>
      <c r="P297">
        <f t="shared" si="13"/>
        <v>8.4</v>
      </c>
      <c r="Q297">
        <f t="shared" si="14"/>
        <v>7.12</v>
      </c>
    </row>
    <row r="298" spans="1:17" x14ac:dyDescent="0.2">
      <c r="A298">
        <v>30238</v>
      </c>
      <c r="B298">
        <v>72</v>
      </c>
      <c r="C298" t="s">
        <v>6</v>
      </c>
      <c r="D298" t="s">
        <v>997</v>
      </c>
      <c r="E298" s="3" t="s">
        <v>7</v>
      </c>
      <c r="F298">
        <f>IF(AND($F$15=Datos!$AI$5,Datos!$C$9=Datos!$AI$10),IF(A298&gt;30000,N298,ROUND(N298*Datos!$J$18,Dins)),IF(AND($F$15=Datos!$AI$5,Datos!$C$9=Datos!$AI$9),IF(A298&gt;30000,O298,ROUND(O298*Datos!$J$18,Dins)),IF(AND($F$15=Datos!$AI$6,Datos!$C$9=Datos!$AI$10),IF(A298&gt;30000,P298,ROUND(P298*Datos!$J$18,Dins)),IF(AND($F$15=Datos!$AI$6,Datos!$C$9=Datos!$AI$9),IF(A298&gt;30000,Q298,ROUND(Q298*Datos!$J$18,Dins))))))</f>
        <v>1.3</v>
      </c>
      <c r="G298">
        <v>0</v>
      </c>
      <c r="H298">
        <v>0</v>
      </c>
      <c r="I298">
        <v>0</v>
      </c>
      <c r="J298">
        <v>0</v>
      </c>
      <c r="N298">
        <v>1.53</v>
      </c>
      <c r="O298">
        <f t="shared" si="12"/>
        <v>1.3</v>
      </c>
      <c r="P298">
        <f t="shared" si="13"/>
        <v>0.41</v>
      </c>
      <c r="Q298">
        <f t="shared" si="14"/>
        <v>0.35</v>
      </c>
    </row>
    <row r="299" spans="1:17" x14ac:dyDescent="0.2">
      <c r="A299">
        <v>30239</v>
      </c>
      <c r="B299">
        <v>65</v>
      </c>
      <c r="C299" t="s">
        <v>6</v>
      </c>
      <c r="D299" t="s">
        <v>998</v>
      </c>
      <c r="E299" s="3" t="s">
        <v>7</v>
      </c>
      <c r="F299">
        <f>IF(AND($F$15=Datos!$AI$5,Datos!$C$9=Datos!$AI$10),IF(A299&gt;30000,N299,ROUND(N299*Datos!$J$18,Dins)),IF(AND($F$15=Datos!$AI$5,Datos!$C$9=Datos!$AI$9),IF(A299&gt;30000,O299,ROUND(O299*Datos!$J$18,Dins)),IF(AND($F$15=Datos!$AI$6,Datos!$C$9=Datos!$AI$10),IF(A299&gt;30000,P299,ROUND(P299*Datos!$J$18,Dins)),IF(AND($F$15=Datos!$AI$6,Datos!$C$9=Datos!$AI$9),IF(A299&gt;30000,Q299,ROUND(Q299*Datos!$J$18,Dins))))))</f>
        <v>1.3</v>
      </c>
      <c r="G299">
        <v>0</v>
      </c>
      <c r="H299">
        <v>0</v>
      </c>
      <c r="I299">
        <v>0</v>
      </c>
      <c r="J299">
        <v>0</v>
      </c>
      <c r="N299">
        <v>1.53</v>
      </c>
      <c r="O299">
        <f t="shared" si="12"/>
        <v>1.3</v>
      </c>
      <c r="P299">
        <f t="shared" si="13"/>
        <v>0.41</v>
      </c>
      <c r="Q299">
        <f t="shared" si="14"/>
        <v>0.35</v>
      </c>
    </row>
    <row r="300" spans="1:17" x14ac:dyDescent="0.2">
      <c r="A300">
        <v>30240</v>
      </c>
      <c r="B300">
        <v>65</v>
      </c>
      <c r="C300" t="s">
        <v>6</v>
      </c>
      <c r="D300" t="s">
        <v>999</v>
      </c>
      <c r="E300" s="3" t="s">
        <v>7</v>
      </c>
      <c r="F300">
        <f>IF(AND($F$15=Datos!$AI$5,Datos!$C$9=Datos!$AI$10),IF(A300&gt;30000,N300,ROUND(N300*Datos!$J$18,Dins)),IF(AND($F$15=Datos!$AI$5,Datos!$C$9=Datos!$AI$9),IF(A300&gt;30000,O300,ROUND(O300*Datos!$J$18,Dins)),IF(AND($F$15=Datos!$AI$6,Datos!$C$9=Datos!$AI$10),IF(A300&gt;30000,P300,ROUND(P300*Datos!$J$18,Dins)),IF(AND($F$15=Datos!$AI$6,Datos!$C$9=Datos!$AI$9),IF(A300&gt;30000,Q300,ROUND(Q300*Datos!$J$18,Dins))))))</f>
        <v>1.3</v>
      </c>
      <c r="G300">
        <v>0</v>
      </c>
      <c r="H300">
        <v>0</v>
      </c>
      <c r="I300">
        <v>0</v>
      </c>
      <c r="J300">
        <v>0</v>
      </c>
      <c r="N300">
        <v>1.53</v>
      </c>
      <c r="O300">
        <f t="shared" si="12"/>
        <v>1.3</v>
      </c>
      <c r="P300">
        <f t="shared" si="13"/>
        <v>0.41</v>
      </c>
      <c r="Q300">
        <f t="shared" si="14"/>
        <v>0.35</v>
      </c>
    </row>
    <row r="301" spans="1:17" x14ac:dyDescent="0.2">
      <c r="A301">
        <v>30241</v>
      </c>
      <c r="B301">
        <v>77</v>
      </c>
      <c r="C301" t="s">
        <v>6</v>
      </c>
      <c r="D301" t="s">
        <v>1000</v>
      </c>
      <c r="E301" s="3" t="s">
        <v>7</v>
      </c>
      <c r="F301">
        <f>IF(AND($F$15=Datos!$AI$5,Datos!$C$9=Datos!$AI$10),IF(A301&gt;30000,N301,ROUND(N301*Datos!$J$18,Dins)),IF(AND($F$15=Datos!$AI$5,Datos!$C$9=Datos!$AI$9),IF(A301&gt;30000,O301,ROUND(O301*Datos!$J$18,Dins)),IF(AND($F$15=Datos!$AI$6,Datos!$C$9=Datos!$AI$10),IF(A301&gt;30000,P301,ROUND(P301*Datos!$J$18,Dins)),IF(AND($F$15=Datos!$AI$6,Datos!$C$9=Datos!$AI$9),IF(A301&gt;30000,Q301,ROUND(Q301*Datos!$J$18,Dins))))))</f>
        <v>1.3</v>
      </c>
      <c r="G301">
        <v>0</v>
      </c>
      <c r="H301">
        <v>0</v>
      </c>
      <c r="I301">
        <v>0</v>
      </c>
      <c r="J301">
        <v>0</v>
      </c>
      <c r="N301">
        <v>1.53</v>
      </c>
      <c r="O301">
        <f t="shared" si="12"/>
        <v>1.3</v>
      </c>
      <c r="P301">
        <f t="shared" si="13"/>
        <v>0.41</v>
      </c>
      <c r="Q301">
        <f t="shared" si="14"/>
        <v>0.35</v>
      </c>
    </row>
    <row r="302" spans="1:17" x14ac:dyDescent="0.2">
      <c r="A302">
        <v>30242</v>
      </c>
      <c r="B302">
        <v>72</v>
      </c>
      <c r="C302" t="s">
        <v>6</v>
      </c>
      <c r="D302" t="s">
        <v>1003</v>
      </c>
      <c r="E302" s="3" t="s">
        <v>7</v>
      </c>
      <c r="F302">
        <f>IF(AND($F$15=Datos!$AI$5,Datos!$C$9=Datos!$AI$10),IF(A302&gt;30000,N302,ROUND(N302*Datos!$J$18,Dins)),IF(AND($F$15=Datos!$AI$5,Datos!$C$9=Datos!$AI$9),IF(A302&gt;30000,O302,ROUND(O302*Datos!$J$18,Dins)),IF(AND($F$15=Datos!$AI$6,Datos!$C$9=Datos!$AI$10),IF(A302&gt;30000,P302,ROUND(P302*Datos!$J$18,Dins)),IF(AND($F$15=Datos!$AI$6,Datos!$C$9=Datos!$AI$9),IF(A302&gt;30000,Q302,ROUND(Q302*Datos!$J$18,Dins))))))</f>
        <v>3.5</v>
      </c>
      <c r="G302">
        <v>0</v>
      </c>
      <c r="H302">
        <v>0</v>
      </c>
      <c r="I302">
        <v>0</v>
      </c>
      <c r="J302">
        <v>0</v>
      </c>
      <c r="N302">
        <v>4.13</v>
      </c>
      <c r="O302">
        <f t="shared" si="12"/>
        <v>3.5</v>
      </c>
      <c r="P302">
        <f t="shared" si="13"/>
        <v>1.1000000000000001</v>
      </c>
      <c r="Q302">
        <f t="shared" si="14"/>
        <v>0.93</v>
      </c>
    </row>
    <row r="303" spans="1:17" x14ac:dyDescent="0.2">
      <c r="A303">
        <v>30243</v>
      </c>
      <c r="B303">
        <v>65</v>
      </c>
      <c r="C303" t="s">
        <v>6</v>
      </c>
      <c r="D303" t="s">
        <v>1004</v>
      </c>
      <c r="E303" s="3" t="s">
        <v>7</v>
      </c>
      <c r="F303">
        <f>IF(AND($F$15=Datos!$AI$5,Datos!$C$9=Datos!$AI$10),IF(A303&gt;30000,N303,ROUND(N303*Datos!$J$18,Dins)),IF(AND($F$15=Datos!$AI$5,Datos!$C$9=Datos!$AI$9),IF(A303&gt;30000,O303,ROUND(O303*Datos!$J$18,Dins)),IF(AND($F$15=Datos!$AI$6,Datos!$C$9=Datos!$AI$10),IF(A303&gt;30000,P303,ROUND(P303*Datos!$J$18,Dins)),IF(AND($F$15=Datos!$AI$6,Datos!$C$9=Datos!$AI$9),IF(A303&gt;30000,Q303,ROUND(Q303*Datos!$J$18,Dins))))))</f>
        <v>3.5</v>
      </c>
      <c r="G303">
        <v>0</v>
      </c>
      <c r="H303">
        <v>0</v>
      </c>
      <c r="I303">
        <v>0</v>
      </c>
      <c r="J303">
        <v>0</v>
      </c>
      <c r="N303">
        <v>4.13</v>
      </c>
      <c r="O303">
        <f t="shared" si="12"/>
        <v>3.5</v>
      </c>
      <c r="P303">
        <f t="shared" si="13"/>
        <v>1.1000000000000001</v>
      </c>
      <c r="Q303">
        <f t="shared" si="14"/>
        <v>0.93</v>
      </c>
    </row>
    <row r="304" spans="1:17" x14ac:dyDescent="0.2">
      <c r="A304">
        <v>30244</v>
      </c>
      <c r="B304">
        <v>65</v>
      </c>
      <c r="C304" t="s">
        <v>6</v>
      </c>
      <c r="D304" t="s">
        <v>1005</v>
      </c>
      <c r="E304" s="3" t="s">
        <v>7</v>
      </c>
      <c r="F304">
        <f>IF(AND($F$15=Datos!$AI$5,Datos!$C$9=Datos!$AI$10),IF(A304&gt;30000,N304,ROUND(N304*Datos!$J$18,Dins)),IF(AND($F$15=Datos!$AI$5,Datos!$C$9=Datos!$AI$9),IF(A304&gt;30000,O304,ROUND(O304*Datos!$J$18,Dins)),IF(AND($F$15=Datos!$AI$6,Datos!$C$9=Datos!$AI$10),IF(A304&gt;30000,P304,ROUND(P304*Datos!$J$18,Dins)),IF(AND($F$15=Datos!$AI$6,Datos!$C$9=Datos!$AI$9),IF(A304&gt;30000,Q304,ROUND(Q304*Datos!$J$18,Dins))))))</f>
        <v>3.5</v>
      </c>
      <c r="G304">
        <v>0</v>
      </c>
      <c r="H304">
        <v>0</v>
      </c>
      <c r="I304">
        <v>0</v>
      </c>
      <c r="J304">
        <v>0</v>
      </c>
      <c r="N304">
        <v>4.13</v>
      </c>
      <c r="O304">
        <f t="shared" si="12"/>
        <v>3.5</v>
      </c>
      <c r="P304">
        <f t="shared" si="13"/>
        <v>1.1000000000000001</v>
      </c>
      <c r="Q304">
        <f t="shared" si="14"/>
        <v>0.93</v>
      </c>
    </row>
    <row r="305" spans="1:17" x14ac:dyDescent="0.2">
      <c r="A305">
        <v>30245</v>
      </c>
      <c r="B305">
        <v>77</v>
      </c>
      <c r="C305" t="s">
        <v>6</v>
      </c>
      <c r="D305" t="s">
        <v>1006</v>
      </c>
      <c r="E305" s="3" t="s">
        <v>7</v>
      </c>
      <c r="F305">
        <f>IF(AND($F$15=Datos!$AI$5,Datos!$C$9=Datos!$AI$10),IF(A305&gt;30000,N305,ROUND(N305*Datos!$J$18,Dins)),IF(AND($F$15=Datos!$AI$5,Datos!$C$9=Datos!$AI$9),IF(A305&gt;30000,O305,ROUND(O305*Datos!$J$18,Dins)),IF(AND($F$15=Datos!$AI$6,Datos!$C$9=Datos!$AI$10),IF(A305&gt;30000,P305,ROUND(P305*Datos!$J$18,Dins)),IF(AND($F$15=Datos!$AI$6,Datos!$C$9=Datos!$AI$9),IF(A305&gt;30000,Q305,ROUND(Q305*Datos!$J$18,Dins))))))</f>
        <v>3.5</v>
      </c>
      <c r="G305">
        <v>0</v>
      </c>
      <c r="H305">
        <v>0</v>
      </c>
      <c r="I305">
        <v>0</v>
      </c>
      <c r="J305">
        <v>0</v>
      </c>
      <c r="N305">
        <v>4.13</v>
      </c>
      <c r="O305">
        <f t="shared" si="12"/>
        <v>3.5</v>
      </c>
      <c r="P305">
        <f t="shared" si="13"/>
        <v>1.1000000000000001</v>
      </c>
      <c r="Q305">
        <f t="shared" si="14"/>
        <v>0.93</v>
      </c>
    </row>
    <row r="306" spans="1:17" x14ac:dyDescent="0.2">
      <c r="A306">
        <v>30246</v>
      </c>
      <c r="B306">
        <v>65</v>
      </c>
      <c r="C306" t="s">
        <v>6</v>
      </c>
      <c r="D306" t="s">
        <v>1009</v>
      </c>
      <c r="E306" s="3" t="s">
        <v>7</v>
      </c>
      <c r="F306">
        <f>IF(AND($F$15=Datos!$AI$5,Datos!$C$9=Datos!$AI$10),IF(A306&gt;30000,N306,ROUND(N306*Datos!$J$18,Dins)),IF(AND($F$15=Datos!$AI$5,Datos!$C$9=Datos!$AI$9),IF(A306&gt;30000,O306,ROUND(O306*Datos!$J$18,Dins)),IF(AND($F$15=Datos!$AI$6,Datos!$C$9=Datos!$AI$10),IF(A306&gt;30000,P306,ROUND(P306*Datos!$J$18,Dins)),IF(AND($F$15=Datos!$AI$6,Datos!$C$9=Datos!$AI$9),IF(A306&gt;30000,Q306,ROUND(Q306*Datos!$J$18,Dins))))))</f>
        <v>35</v>
      </c>
      <c r="G306">
        <v>0</v>
      </c>
      <c r="H306">
        <v>0</v>
      </c>
      <c r="I306">
        <v>0</v>
      </c>
      <c r="J306">
        <v>0</v>
      </c>
      <c r="N306">
        <v>41.3</v>
      </c>
      <c r="O306">
        <f t="shared" si="12"/>
        <v>35</v>
      </c>
      <c r="P306">
        <f t="shared" si="13"/>
        <v>11.01</v>
      </c>
      <c r="Q306">
        <f t="shared" si="14"/>
        <v>9.33</v>
      </c>
    </row>
    <row r="307" spans="1:17" x14ac:dyDescent="0.2">
      <c r="A307">
        <v>30247</v>
      </c>
      <c r="B307">
        <v>65</v>
      </c>
      <c r="C307" t="s">
        <v>6</v>
      </c>
      <c r="D307" t="s">
        <v>1010</v>
      </c>
      <c r="E307" s="3" t="s">
        <v>174</v>
      </c>
      <c r="F307">
        <f>IF(AND($F$15=Datos!$AI$5,Datos!$C$9=Datos!$AI$10),IF(A307&gt;30000,N307,ROUND(N307*Datos!$J$18,Dins)),IF(AND($F$15=Datos!$AI$5,Datos!$C$9=Datos!$AI$9),IF(A307&gt;30000,O307,ROUND(O307*Datos!$J$18,Dins)),IF(AND($F$15=Datos!$AI$6,Datos!$C$9=Datos!$AI$10),IF(A307&gt;30000,P307,ROUND(P307*Datos!$J$18,Dins)),IF(AND($F$15=Datos!$AI$6,Datos!$C$9=Datos!$AI$9),IF(A307&gt;30000,Q307,ROUND(Q307*Datos!$J$18,Dins))))))</f>
        <v>6.5</v>
      </c>
      <c r="G307">
        <v>0</v>
      </c>
      <c r="H307">
        <v>0</v>
      </c>
      <c r="I307">
        <v>0</v>
      </c>
      <c r="J307">
        <v>0</v>
      </c>
      <c r="N307">
        <v>7.67</v>
      </c>
      <c r="O307">
        <f t="shared" si="12"/>
        <v>6.5</v>
      </c>
      <c r="P307">
        <f t="shared" si="13"/>
        <v>2.0499999999999998</v>
      </c>
      <c r="Q307">
        <f t="shared" si="14"/>
        <v>1.74</v>
      </c>
    </row>
    <row r="308" spans="1:17" x14ac:dyDescent="0.2">
      <c r="A308">
        <v>30248</v>
      </c>
      <c r="B308">
        <v>77</v>
      </c>
      <c r="C308" t="s">
        <v>6</v>
      </c>
      <c r="D308" t="s">
        <v>1011</v>
      </c>
      <c r="E308" s="3" t="s">
        <v>7</v>
      </c>
      <c r="F308">
        <f>IF(AND($F$15=Datos!$AI$5,Datos!$C$9=Datos!$AI$10),IF(A308&gt;30000,N308,ROUND(N308*Datos!$J$18,Dins)),IF(AND($F$15=Datos!$AI$5,Datos!$C$9=Datos!$AI$9),IF(A308&gt;30000,O308,ROUND(O308*Datos!$J$18,Dins)),IF(AND($F$15=Datos!$AI$6,Datos!$C$9=Datos!$AI$10),IF(A308&gt;30000,P308,ROUND(P308*Datos!$J$18,Dins)),IF(AND($F$15=Datos!$AI$6,Datos!$C$9=Datos!$AI$9),IF(A308&gt;30000,Q308,ROUND(Q308*Datos!$J$18,Dins))))))</f>
        <v>175</v>
      </c>
      <c r="G308">
        <v>0</v>
      </c>
      <c r="H308">
        <v>0</v>
      </c>
      <c r="I308">
        <v>0</v>
      </c>
      <c r="J308">
        <v>0</v>
      </c>
      <c r="N308">
        <v>206.5</v>
      </c>
      <c r="O308">
        <f t="shared" si="12"/>
        <v>175</v>
      </c>
      <c r="P308">
        <f t="shared" si="13"/>
        <v>55.07</v>
      </c>
      <c r="Q308">
        <f t="shared" si="14"/>
        <v>46.67</v>
      </c>
    </row>
    <row r="309" spans="1:17" x14ac:dyDescent="0.2">
      <c r="A309">
        <v>30249</v>
      </c>
      <c r="B309">
        <v>77</v>
      </c>
      <c r="C309" t="s">
        <v>6</v>
      </c>
      <c r="D309" t="s">
        <v>1014</v>
      </c>
      <c r="E309" s="3" t="s">
        <v>7</v>
      </c>
      <c r="F309">
        <f>IF(AND($F$15=Datos!$AI$5,Datos!$C$9=Datos!$AI$10),IF(A309&gt;30000,N309,ROUND(N309*Datos!$J$18,Dins)),IF(AND($F$15=Datos!$AI$5,Datos!$C$9=Datos!$AI$9),IF(A309&gt;30000,O309,ROUND(O309*Datos!$J$18,Dins)),IF(AND($F$15=Datos!$AI$6,Datos!$C$9=Datos!$AI$10),IF(A309&gt;30000,P309,ROUND(P309*Datos!$J$18,Dins)),IF(AND($F$15=Datos!$AI$6,Datos!$C$9=Datos!$AI$9),IF(A309&gt;30000,Q309,ROUND(Q309*Datos!$J$18,Dins))))))</f>
        <v>65</v>
      </c>
      <c r="G309">
        <v>0</v>
      </c>
      <c r="H309">
        <v>0</v>
      </c>
      <c r="I309">
        <v>0</v>
      </c>
      <c r="J309">
        <v>0</v>
      </c>
      <c r="N309">
        <v>76.7</v>
      </c>
      <c r="O309">
        <f t="shared" si="12"/>
        <v>65</v>
      </c>
      <c r="P309">
        <f t="shared" si="13"/>
        <v>20.45</v>
      </c>
      <c r="Q309">
        <f t="shared" si="14"/>
        <v>17.329999999999998</v>
      </c>
    </row>
    <row r="310" spans="1:17" x14ac:dyDescent="0.2">
      <c r="A310">
        <v>30250</v>
      </c>
      <c r="B310">
        <v>30</v>
      </c>
      <c r="C310" t="s">
        <v>6</v>
      </c>
      <c r="D310" t="s">
        <v>1017</v>
      </c>
      <c r="E310" s="3" t="s">
        <v>174</v>
      </c>
      <c r="F310">
        <f>IF(AND($F$15=Datos!$AI$5,Datos!$C$9=Datos!$AI$10),IF(A310&gt;30000,N310,ROUND(N310*Datos!$J$18,Dins)),IF(AND($F$15=Datos!$AI$5,Datos!$C$9=Datos!$AI$9),IF(A310&gt;30000,O310,ROUND(O310*Datos!$J$18,Dins)),IF(AND($F$15=Datos!$AI$6,Datos!$C$9=Datos!$AI$10),IF(A310&gt;30000,P310,ROUND(P310*Datos!$J$18,Dins)),IF(AND($F$15=Datos!$AI$6,Datos!$C$9=Datos!$AI$9),IF(A310&gt;30000,Q310,ROUND(Q310*Datos!$J$18,Dins))))))</f>
        <v>35</v>
      </c>
      <c r="G310">
        <v>0</v>
      </c>
      <c r="H310">
        <v>0</v>
      </c>
      <c r="I310">
        <v>0</v>
      </c>
      <c r="J310">
        <v>0</v>
      </c>
      <c r="N310">
        <v>41.3</v>
      </c>
      <c r="O310">
        <f t="shared" si="12"/>
        <v>35</v>
      </c>
      <c r="P310">
        <f t="shared" si="13"/>
        <v>11.01</v>
      </c>
      <c r="Q310">
        <f t="shared" si="14"/>
        <v>9.33</v>
      </c>
    </row>
    <row r="311" spans="1:17" x14ac:dyDescent="0.2">
      <c r="A311">
        <v>30251</v>
      </c>
      <c r="B311">
        <v>39</v>
      </c>
      <c r="C311" t="s">
        <v>6</v>
      </c>
      <c r="D311" t="s">
        <v>1019</v>
      </c>
      <c r="E311" s="3" t="s">
        <v>7</v>
      </c>
      <c r="F311">
        <f>IF(AND($F$15=Datos!$AI$5,Datos!$C$9=Datos!$AI$10),IF(A311&gt;30000,N311,ROUND(N311*Datos!$J$18,Dins)),IF(AND($F$15=Datos!$AI$5,Datos!$C$9=Datos!$AI$9),IF(A311&gt;30000,O311,ROUND(O311*Datos!$J$18,Dins)),IF(AND($F$15=Datos!$AI$6,Datos!$C$9=Datos!$AI$10),IF(A311&gt;30000,P311,ROUND(P311*Datos!$J$18,Dins)),IF(AND($F$15=Datos!$AI$6,Datos!$C$9=Datos!$AI$9),IF(A311&gt;30000,Q311,ROUND(Q311*Datos!$J$18,Dins))))))</f>
        <v>90.2</v>
      </c>
      <c r="G311">
        <v>0</v>
      </c>
      <c r="H311">
        <v>0</v>
      </c>
      <c r="I311">
        <v>0</v>
      </c>
      <c r="J311">
        <v>0</v>
      </c>
      <c r="N311">
        <v>106.44</v>
      </c>
      <c r="O311">
        <f t="shared" si="12"/>
        <v>90.2</v>
      </c>
      <c r="P311">
        <f t="shared" si="13"/>
        <v>28.38</v>
      </c>
      <c r="Q311">
        <f t="shared" si="14"/>
        <v>24.05</v>
      </c>
    </row>
    <row r="312" spans="1:17" x14ac:dyDescent="0.2">
      <c r="A312">
        <v>30252</v>
      </c>
      <c r="B312">
        <v>72</v>
      </c>
      <c r="C312" t="s">
        <v>6</v>
      </c>
      <c r="D312" t="s">
        <v>1020</v>
      </c>
      <c r="E312" s="3" t="s">
        <v>1021</v>
      </c>
      <c r="F312">
        <f>IF(AND($F$15=Datos!$AI$5,Datos!$C$9=Datos!$AI$10),IF(A312&gt;30000,N312,ROUND(N312*Datos!$J$18,Dins)),IF(AND($F$15=Datos!$AI$5,Datos!$C$9=Datos!$AI$9),IF(A312&gt;30000,O312,ROUND(O312*Datos!$J$18,Dins)),IF(AND($F$15=Datos!$AI$6,Datos!$C$9=Datos!$AI$10),IF(A312&gt;30000,P312,ROUND(P312*Datos!$J$18,Dins)),IF(AND($F$15=Datos!$AI$6,Datos!$C$9=Datos!$AI$9),IF(A312&gt;30000,Q312,ROUND(Q312*Datos!$J$18,Dins))))))</f>
        <v>35.200000000000003</v>
      </c>
      <c r="G312">
        <v>0</v>
      </c>
      <c r="H312">
        <v>0</v>
      </c>
      <c r="I312">
        <v>0</v>
      </c>
      <c r="J312">
        <v>0</v>
      </c>
      <c r="N312">
        <v>41.54</v>
      </c>
      <c r="O312">
        <f t="shared" si="12"/>
        <v>35.200000000000003</v>
      </c>
      <c r="P312">
        <f t="shared" si="13"/>
        <v>11.08</v>
      </c>
      <c r="Q312">
        <f t="shared" si="14"/>
        <v>9.39</v>
      </c>
    </row>
    <row r="313" spans="1:17" x14ac:dyDescent="0.2">
      <c r="A313">
        <v>30253</v>
      </c>
      <c r="B313">
        <v>39</v>
      </c>
      <c r="C313" t="s">
        <v>6</v>
      </c>
      <c r="D313" t="s">
        <v>1023</v>
      </c>
      <c r="E313" s="3" t="s">
        <v>7</v>
      </c>
      <c r="F313">
        <f>IF(AND($F$15=Datos!$AI$5,Datos!$C$9=Datos!$AI$10),IF(A313&gt;30000,N313,ROUND(N313*Datos!$J$18,Dins)),IF(AND($F$15=Datos!$AI$5,Datos!$C$9=Datos!$AI$9),IF(A313&gt;30000,O313,ROUND(O313*Datos!$J$18,Dins)),IF(AND($F$15=Datos!$AI$6,Datos!$C$9=Datos!$AI$10),IF(A313&gt;30000,P313,ROUND(P313*Datos!$J$18,Dins)),IF(AND($F$15=Datos!$AI$6,Datos!$C$9=Datos!$AI$9),IF(A313&gt;30000,Q313,ROUND(Q313*Datos!$J$18,Dins))))))</f>
        <v>145.30000000000001</v>
      </c>
      <c r="G313">
        <v>0</v>
      </c>
      <c r="H313">
        <v>0</v>
      </c>
      <c r="I313">
        <v>0</v>
      </c>
      <c r="J313">
        <v>0</v>
      </c>
      <c r="N313">
        <v>171.45</v>
      </c>
      <c r="O313">
        <f t="shared" si="12"/>
        <v>145.30000000000001</v>
      </c>
      <c r="P313">
        <f t="shared" si="13"/>
        <v>45.72</v>
      </c>
      <c r="Q313">
        <f t="shared" si="14"/>
        <v>38.75</v>
      </c>
    </row>
    <row r="314" spans="1:17" x14ac:dyDescent="0.2">
      <c r="A314">
        <v>30254</v>
      </c>
      <c r="B314">
        <v>72</v>
      </c>
      <c r="C314" t="s">
        <v>6</v>
      </c>
      <c r="D314" t="s">
        <v>1024</v>
      </c>
      <c r="E314" s="3" t="s">
        <v>1021</v>
      </c>
      <c r="F314">
        <f>IF(AND($F$15=Datos!$AI$5,Datos!$C$9=Datos!$AI$10),IF(A314&gt;30000,N314,ROUND(N314*Datos!$J$18,Dins)),IF(AND($F$15=Datos!$AI$5,Datos!$C$9=Datos!$AI$9),IF(A314&gt;30000,O314,ROUND(O314*Datos!$J$18,Dins)),IF(AND($F$15=Datos!$AI$6,Datos!$C$9=Datos!$AI$10),IF(A314&gt;30000,P314,ROUND(P314*Datos!$J$18,Dins)),IF(AND($F$15=Datos!$AI$6,Datos!$C$9=Datos!$AI$9),IF(A314&gt;30000,Q314,ROUND(Q314*Datos!$J$18,Dins))))))</f>
        <v>43.2</v>
      </c>
      <c r="G314">
        <v>0</v>
      </c>
      <c r="H314">
        <v>0</v>
      </c>
      <c r="I314">
        <v>0</v>
      </c>
      <c r="J314">
        <v>0</v>
      </c>
      <c r="N314">
        <v>50.98</v>
      </c>
      <c r="O314">
        <f t="shared" si="12"/>
        <v>43.2</v>
      </c>
      <c r="P314">
        <f t="shared" si="13"/>
        <v>13.59</v>
      </c>
      <c r="Q314">
        <f t="shared" si="14"/>
        <v>11.52</v>
      </c>
    </row>
    <row r="315" spans="1:17" x14ac:dyDescent="0.2">
      <c r="A315">
        <v>30255</v>
      </c>
      <c r="B315">
        <v>30</v>
      </c>
      <c r="C315" t="s">
        <v>6</v>
      </c>
      <c r="D315" t="s">
        <v>1027</v>
      </c>
      <c r="E315" s="3" t="s">
        <v>174</v>
      </c>
      <c r="F315">
        <f>IF(AND($F$15=Datos!$AI$5,Datos!$C$9=Datos!$AI$10),IF(A315&gt;30000,N315,ROUND(N315*Datos!$J$18,Dins)),IF(AND($F$15=Datos!$AI$5,Datos!$C$9=Datos!$AI$9),IF(A315&gt;30000,O315,ROUND(O315*Datos!$J$18,Dins)),IF(AND($F$15=Datos!$AI$6,Datos!$C$9=Datos!$AI$10),IF(A315&gt;30000,P315,ROUND(P315*Datos!$J$18,Dins)),IF(AND($F$15=Datos!$AI$6,Datos!$C$9=Datos!$AI$9),IF(A315&gt;30000,Q315,ROUND(Q315*Datos!$J$18,Dins))))))</f>
        <v>95.2</v>
      </c>
      <c r="G315">
        <v>0</v>
      </c>
      <c r="H315">
        <v>0</v>
      </c>
      <c r="I315">
        <v>0</v>
      </c>
      <c r="J315">
        <v>0</v>
      </c>
      <c r="N315">
        <v>112.34</v>
      </c>
      <c r="O315">
        <f t="shared" si="12"/>
        <v>95.2</v>
      </c>
      <c r="P315">
        <f t="shared" si="13"/>
        <v>29.96</v>
      </c>
      <c r="Q315">
        <f t="shared" si="14"/>
        <v>25.39</v>
      </c>
    </row>
    <row r="316" spans="1:17" x14ac:dyDescent="0.2">
      <c r="A316">
        <v>30256</v>
      </c>
      <c r="B316">
        <v>30</v>
      </c>
      <c r="C316" t="s">
        <v>6</v>
      </c>
      <c r="D316" t="s">
        <v>1034</v>
      </c>
      <c r="E316" s="3" t="s">
        <v>7</v>
      </c>
      <c r="F316">
        <f>IF(AND($F$15=Datos!$AI$5,Datos!$C$9=Datos!$AI$10),IF(A316&gt;30000,N316,ROUND(N316*Datos!$J$18,Dins)),IF(AND($F$15=Datos!$AI$5,Datos!$C$9=Datos!$AI$9),IF(A316&gt;30000,O316,ROUND(O316*Datos!$J$18,Dins)),IF(AND($F$15=Datos!$AI$6,Datos!$C$9=Datos!$AI$10),IF(A316&gt;30000,P316,ROUND(P316*Datos!$J$18,Dins)),IF(AND($F$15=Datos!$AI$6,Datos!$C$9=Datos!$AI$9),IF(A316&gt;30000,Q316,ROUND(Q316*Datos!$J$18,Dins))))))</f>
        <v>29</v>
      </c>
      <c r="G316">
        <v>0</v>
      </c>
      <c r="H316">
        <v>0</v>
      </c>
      <c r="I316">
        <v>0</v>
      </c>
      <c r="J316">
        <v>0</v>
      </c>
      <c r="N316">
        <v>34.22</v>
      </c>
      <c r="O316">
        <f t="shared" si="12"/>
        <v>29</v>
      </c>
      <c r="P316">
        <f t="shared" si="13"/>
        <v>9.1300000000000008</v>
      </c>
      <c r="Q316">
        <f t="shared" si="14"/>
        <v>7.74</v>
      </c>
    </row>
    <row r="317" spans="1:17" x14ac:dyDescent="0.2">
      <c r="A317">
        <v>30257</v>
      </c>
      <c r="B317">
        <v>72</v>
      </c>
      <c r="C317" t="s">
        <v>6</v>
      </c>
      <c r="D317" t="s">
        <v>1035</v>
      </c>
      <c r="E317" s="3" t="s">
        <v>7</v>
      </c>
      <c r="F317">
        <f>IF(AND($F$15=Datos!$AI$5,Datos!$C$9=Datos!$AI$10),IF(A317&gt;30000,N317,ROUND(N317*Datos!$J$18,Dins)),IF(AND($F$15=Datos!$AI$5,Datos!$C$9=Datos!$AI$9),IF(A317&gt;30000,O317,ROUND(O317*Datos!$J$18,Dins)),IF(AND($F$15=Datos!$AI$6,Datos!$C$9=Datos!$AI$10),IF(A317&gt;30000,P317,ROUND(P317*Datos!$J$18,Dins)),IF(AND($F$15=Datos!$AI$6,Datos!$C$9=Datos!$AI$9),IF(A317&gt;30000,Q317,ROUND(Q317*Datos!$J$18,Dins))))))</f>
        <v>19.2</v>
      </c>
      <c r="G317">
        <v>0</v>
      </c>
      <c r="H317">
        <v>0</v>
      </c>
      <c r="I317">
        <v>0</v>
      </c>
      <c r="J317">
        <v>0</v>
      </c>
      <c r="N317">
        <v>22.66</v>
      </c>
      <c r="O317">
        <f t="shared" si="12"/>
        <v>19.2</v>
      </c>
      <c r="P317">
        <f t="shared" si="13"/>
        <v>6.04</v>
      </c>
      <c r="Q317">
        <f t="shared" si="14"/>
        <v>5.12</v>
      </c>
    </row>
    <row r="318" spans="1:17" x14ac:dyDescent="0.2">
      <c r="A318">
        <v>30258</v>
      </c>
      <c r="B318">
        <v>72</v>
      </c>
      <c r="C318" t="s">
        <v>6</v>
      </c>
      <c r="D318" t="s">
        <v>1036</v>
      </c>
      <c r="E318" s="3" t="s">
        <v>7</v>
      </c>
      <c r="F318">
        <f>IF(AND($F$15=Datos!$AI$5,Datos!$C$9=Datos!$AI$10),IF(A318&gt;30000,N318,ROUND(N318*Datos!$J$18,Dins)),IF(AND($F$15=Datos!$AI$5,Datos!$C$9=Datos!$AI$9),IF(A318&gt;30000,O318,ROUND(O318*Datos!$J$18,Dins)),IF(AND($F$15=Datos!$AI$6,Datos!$C$9=Datos!$AI$10),IF(A318&gt;30000,P318,ROUND(P318*Datos!$J$18,Dins)),IF(AND($F$15=Datos!$AI$6,Datos!$C$9=Datos!$AI$9),IF(A318&gt;30000,Q318,ROUND(Q318*Datos!$J$18,Dins))))))</f>
        <v>0.4</v>
      </c>
      <c r="G318">
        <v>0</v>
      </c>
      <c r="H318">
        <v>0</v>
      </c>
      <c r="I318">
        <v>0</v>
      </c>
      <c r="J318">
        <v>0</v>
      </c>
      <c r="N318">
        <v>0.47</v>
      </c>
      <c r="O318">
        <f t="shared" si="12"/>
        <v>0.4</v>
      </c>
      <c r="P318">
        <f t="shared" si="13"/>
        <v>0.13</v>
      </c>
      <c r="Q318">
        <f t="shared" si="14"/>
        <v>0.11</v>
      </c>
    </row>
    <row r="319" spans="1:17" x14ac:dyDescent="0.2">
      <c r="A319">
        <v>30259</v>
      </c>
      <c r="B319">
        <v>72</v>
      </c>
      <c r="C319" t="s">
        <v>6</v>
      </c>
      <c r="D319" t="s">
        <v>1037</v>
      </c>
      <c r="E319" s="3" t="s">
        <v>7</v>
      </c>
      <c r="F319">
        <f>IF(AND($F$15=Datos!$AI$5,Datos!$C$9=Datos!$AI$10),IF(A319&gt;30000,N319,ROUND(N319*Datos!$J$18,Dins)),IF(AND($F$15=Datos!$AI$5,Datos!$C$9=Datos!$AI$9),IF(A319&gt;30000,O319,ROUND(O319*Datos!$J$18,Dins)),IF(AND($F$15=Datos!$AI$6,Datos!$C$9=Datos!$AI$10),IF(A319&gt;30000,P319,ROUND(P319*Datos!$J$18,Dins)),IF(AND($F$15=Datos!$AI$6,Datos!$C$9=Datos!$AI$9),IF(A319&gt;30000,Q319,ROUND(Q319*Datos!$J$18,Dins))))))</f>
        <v>0.6</v>
      </c>
      <c r="G319">
        <v>0</v>
      </c>
      <c r="H319">
        <v>0</v>
      </c>
      <c r="I319">
        <v>0</v>
      </c>
      <c r="J319">
        <v>0</v>
      </c>
      <c r="N319">
        <v>0.71</v>
      </c>
      <c r="O319">
        <f t="shared" si="12"/>
        <v>0.6</v>
      </c>
      <c r="P319">
        <f t="shared" si="13"/>
        <v>0.19</v>
      </c>
      <c r="Q319">
        <f t="shared" si="14"/>
        <v>0.16</v>
      </c>
    </row>
    <row r="320" spans="1:17" x14ac:dyDescent="0.2">
      <c r="A320">
        <v>30260</v>
      </c>
      <c r="B320">
        <v>72</v>
      </c>
      <c r="C320" t="s">
        <v>6</v>
      </c>
      <c r="D320" t="s">
        <v>1040</v>
      </c>
      <c r="E320" s="3" t="s">
        <v>7</v>
      </c>
      <c r="F320">
        <f>IF(AND($F$15=Datos!$AI$5,Datos!$C$9=Datos!$AI$10),IF(A320&gt;30000,N320,ROUND(N320*Datos!$J$18,Dins)),IF(AND($F$15=Datos!$AI$5,Datos!$C$9=Datos!$AI$9),IF(A320&gt;30000,O320,ROUND(O320*Datos!$J$18,Dins)),IF(AND($F$15=Datos!$AI$6,Datos!$C$9=Datos!$AI$10),IF(A320&gt;30000,P320,ROUND(P320*Datos!$J$18,Dins)),IF(AND($F$15=Datos!$AI$6,Datos!$C$9=Datos!$AI$9),IF(A320&gt;30000,Q320,ROUND(Q320*Datos!$J$18,Dins))))))</f>
        <v>1.5</v>
      </c>
      <c r="G320">
        <v>0</v>
      </c>
      <c r="H320">
        <v>0</v>
      </c>
      <c r="I320">
        <v>0</v>
      </c>
      <c r="J320">
        <v>0</v>
      </c>
      <c r="N320">
        <v>1.77</v>
      </c>
      <c r="O320">
        <f t="shared" si="12"/>
        <v>1.5</v>
      </c>
      <c r="P320">
        <f t="shared" si="13"/>
        <v>0.47</v>
      </c>
      <c r="Q320">
        <f t="shared" si="14"/>
        <v>0.4</v>
      </c>
    </row>
    <row r="321" spans="1:17" x14ac:dyDescent="0.2">
      <c r="A321">
        <v>30261</v>
      </c>
      <c r="B321">
        <v>72</v>
      </c>
      <c r="C321" t="s">
        <v>6</v>
      </c>
      <c r="D321" t="s">
        <v>1041</v>
      </c>
      <c r="E321" s="3" t="s">
        <v>7</v>
      </c>
      <c r="F321">
        <f>IF(AND($F$15=Datos!$AI$5,Datos!$C$9=Datos!$AI$10),IF(A321&gt;30000,N321,ROUND(N321*Datos!$J$18,Dins)),IF(AND($F$15=Datos!$AI$5,Datos!$C$9=Datos!$AI$9),IF(A321&gt;30000,O321,ROUND(O321*Datos!$J$18,Dins)),IF(AND($F$15=Datos!$AI$6,Datos!$C$9=Datos!$AI$10),IF(A321&gt;30000,P321,ROUND(P321*Datos!$J$18,Dins)),IF(AND($F$15=Datos!$AI$6,Datos!$C$9=Datos!$AI$9),IF(A321&gt;30000,Q321,ROUND(Q321*Datos!$J$18,Dins))))))</f>
        <v>1.5</v>
      </c>
      <c r="G321">
        <v>0</v>
      </c>
      <c r="H321">
        <v>0</v>
      </c>
      <c r="I321">
        <v>0</v>
      </c>
      <c r="J321">
        <v>0</v>
      </c>
      <c r="N321">
        <v>1.77</v>
      </c>
      <c r="O321">
        <f t="shared" si="12"/>
        <v>1.5</v>
      </c>
      <c r="P321">
        <f t="shared" si="13"/>
        <v>0.47</v>
      </c>
      <c r="Q321">
        <f t="shared" si="14"/>
        <v>0.4</v>
      </c>
    </row>
    <row r="322" spans="1:17" x14ac:dyDescent="0.2">
      <c r="A322">
        <v>30262</v>
      </c>
      <c r="B322">
        <v>72</v>
      </c>
      <c r="C322" t="s">
        <v>6</v>
      </c>
      <c r="D322" t="s">
        <v>1042</v>
      </c>
      <c r="E322" s="3" t="s">
        <v>7</v>
      </c>
      <c r="F322">
        <f>IF(AND($F$15=Datos!$AI$5,Datos!$C$9=Datos!$AI$10),IF(A322&gt;30000,N322,ROUND(N322*Datos!$J$18,Dins)),IF(AND($F$15=Datos!$AI$5,Datos!$C$9=Datos!$AI$9),IF(A322&gt;30000,O322,ROUND(O322*Datos!$J$18,Dins)),IF(AND($F$15=Datos!$AI$6,Datos!$C$9=Datos!$AI$10),IF(A322&gt;30000,P322,ROUND(P322*Datos!$J$18,Dins)),IF(AND($F$15=Datos!$AI$6,Datos!$C$9=Datos!$AI$9),IF(A322&gt;30000,Q322,ROUND(Q322*Datos!$J$18,Dins))))))</f>
        <v>1.5</v>
      </c>
      <c r="G322">
        <v>0</v>
      </c>
      <c r="H322">
        <v>0</v>
      </c>
      <c r="I322">
        <v>0</v>
      </c>
      <c r="J322">
        <v>0</v>
      </c>
      <c r="N322">
        <v>1.77</v>
      </c>
      <c r="O322">
        <f t="shared" si="12"/>
        <v>1.5</v>
      </c>
      <c r="P322">
        <f t="shared" si="13"/>
        <v>0.47</v>
      </c>
      <c r="Q322">
        <f t="shared" si="14"/>
        <v>0.4</v>
      </c>
    </row>
    <row r="323" spans="1:17" x14ac:dyDescent="0.2">
      <c r="A323">
        <v>30263</v>
      </c>
      <c r="B323">
        <v>72</v>
      </c>
      <c r="C323" t="s">
        <v>6</v>
      </c>
      <c r="D323" t="s">
        <v>1047</v>
      </c>
      <c r="E323" s="3" t="s">
        <v>7</v>
      </c>
      <c r="F323">
        <f>IF(AND($F$15=Datos!$AI$5,Datos!$C$9=Datos!$AI$10),IF(A323&gt;30000,N323,ROUND(N323*Datos!$J$18,Dins)),IF(AND($F$15=Datos!$AI$5,Datos!$C$9=Datos!$AI$9),IF(A323&gt;30000,O323,ROUND(O323*Datos!$J$18,Dins)),IF(AND($F$15=Datos!$AI$6,Datos!$C$9=Datos!$AI$10),IF(A323&gt;30000,P323,ROUND(P323*Datos!$J$18,Dins)),IF(AND($F$15=Datos!$AI$6,Datos!$C$9=Datos!$AI$9),IF(A323&gt;30000,Q323,ROUND(Q323*Datos!$J$18,Dins))))))</f>
        <v>0.65</v>
      </c>
      <c r="G323">
        <v>0</v>
      </c>
      <c r="H323">
        <v>0</v>
      </c>
      <c r="I323">
        <v>0</v>
      </c>
      <c r="J323">
        <v>0</v>
      </c>
      <c r="N323">
        <v>0.77</v>
      </c>
      <c r="O323">
        <f t="shared" si="12"/>
        <v>0.65</v>
      </c>
      <c r="P323">
        <f t="shared" si="13"/>
        <v>0.21</v>
      </c>
      <c r="Q323">
        <f t="shared" si="14"/>
        <v>0.18</v>
      </c>
    </row>
    <row r="324" spans="1:17" x14ac:dyDescent="0.2">
      <c r="A324">
        <v>30264</v>
      </c>
      <c r="B324">
        <v>72</v>
      </c>
      <c r="C324" t="s">
        <v>6</v>
      </c>
      <c r="D324" t="s">
        <v>1050</v>
      </c>
      <c r="E324" s="3" t="s">
        <v>7</v>
      </c>
      <c r="F324">
        <f>IF(AND($F$15=Datos!$AI$5,Datos!$C$9=Datos!$AI$10),IF(A324&gt;30000,N324,ROUND(N324*Datos!$J$18,Dins)),IF(AND($F$15=Datos!$AI$5,Datos!$C$9=Datos!$AI$9),IF(A324&gt;30000,O324,ROUND(O324*Datos!$J$18,Dins)),IF(AND($F$15=Datos!$AI$6,Datos!$C$9=Datos!$AI$10),IF(A324&gt;30000,P324,ROUND(P324*Datos!$J$18,Dins)),IF(AND($F$15=Datos!$AI$6,Datos!$C$9=Datos!$AI$9),IF(A324&gt;30000,Q324,ROUND(Q324*Datos!$J$18,Dins))))))</f>
        <v>1.5</v>
      </c>
      <c r="G324">
        <v>0</v>
      </c>
      <c r="H324">
        <v>0</v>
      </c>
      <c r="I324">
        <v>0</v>
      </c>
      <c r="J324">
        <v>0</v>
      </c>
      <c r="N324">
        <v>1.77</v>
      </c>
      <c r="O324">
        <f t="shared" si="12"/>
        <v>1.5</v>
      </c>
      <c r="P324">
        <f t="shared" si="13"/>
        <v>0.47</v>
      </c>
      <c r="Q324">
        <f t="shared" si="14"/>
        <v>0.4</v>
      </c>
    </row>
    <row r="325" spans="1:17" x14ac:dyDescent="0.2">
      <c r="A325">
        <v>30265</v>
      </c>
      <c r="B325">
        <v>30</v>
      </c>
      <c r="C325" t="s">
        <v>6</v>
      </c>
      <c r="D325" t="s">
        <v>1061</v>
      </c>
      <c r="E325" s="3" t="s">
        <v>7</v>
      </c>
      <c r="F325">
        <f>IF(AND($F$15=Datos!$AI$5,Datos!$C$9=Datos!$AI$10),IF(A325&gt;30000,N325,ROUND(N325*Datos!$J$18,Dins)),IF(AND($F$15=Datos!$AI$5,Datos!$C$9=Datos!$AI$9),IF(A325&gt;30000,O325,ROUND(O325*Datos!$J$18,Dins)),IF(AND($F$15=Datos!$AI$6,Datos!$C$9=Datos!$AI$10),IF(A325&gt;30000,P325,ROUND(P325*Datos!$J$18,Dins)),IF(AND($F$15=Datos!$AI$6,Datos!$C$9=Datos!$AI$9),IF(A325&gt;30000,Q325,ROUND(Q325*Datos!$J$18,Dins))))))</f>
        <v>30</v>
      </c>
      <c r="G325">
        <v>0</v>
      </c>
      <c r="H325">
        <v>0</v>
      </c>
      <c r="I325">
        <v>0</v>
      </c>
      <c r="J325">
        <v>0</v>
      </c>
      <c r="N325">
        <v>35.4</v>
      </c>
      <c r="O325">
        <f t="shared" si="12"/>
        <v>30</v>
      </c>
      <c r="P325">
        <f t="shared" si="13"/>
        <v>9.44</v>
      </c>
      <c r="Q325">
        <f t="shared" si="14"/>
        <v>8</v>
      </c>
    </row>
    <row r="326" spans="1:17" x14ac:dyDescent="0.2">
      <c r="A326">
        <v>30266</v>
      </c>
      <c r="B326">
        <v>72</v>
      </c>
      <c r="C326" t="s">
        <v>6</v>
      </c>
      <c r="D326" t="s">
        <v>1062</v>
      </c>
      <c r="E326" s="3" t="s">
        <v>194</v>
      </c>
      <c r="F326">
        <f>IF(AND($F$15=Datos!$AI$5,Datos!$C$9=Datos!$AI$10),IF(A326&gt;30000,N326,ROUND(N326*Datos!$J$18,Dins)),IF(AND($F$15=Datos!$AI$5,Datos!$C$9=Datos!$AI$9),IF(A326&gt;30000,O326,ROUND(O326*Datos!$J$18,Dins)),IF(AND($F$15=Datos!$AI$6,Datos!$C$9=Datos!$AI$10),IF(A326&gt;30000,P326,ROUND(P326*Datos!$J$18,Dins)),IF(AND($F$15=Datos!$AI$6,Datos!$C$9=Datos!$AI$9),IF(A326&gt;30000,Q326,ROUND(Q326*Datos!$J$18,Dins))))))</f>
        <v>2.5</v>
      </c>
      <c r="G326">
        <v>0</v>
      </c>
      <c r="H326">
        <v>0</v>
      </c>
      <c r="I326">
        <v>0</v>
      </c>
      <c r="J326">
        <v>0</v>
      </c>
      <c r="N326">
        <v>2.95</v>
      </c>
      <c r="O326">
        <f t="shared" si="12"/>
        <v>2.5</v>
      </c>
      <c r="P326">
        <f t="shared" si="13"/>
        <v>0.79</v>
      </c>
      <c r="Q326">
        <f t="shared" si="14"/>
        <v>0.67</v>
      </c>
    </row>
    <row r="327" spans="1:17" x14ac:dyDescent="0.2">
      <c r="A327">
        <v>30267</v>
      </c>
      <c r="B327">
        <v>72</v>
      </c>
      <c r="C327" t="s">
        <v>6</v>
      </c>
      <c r="D327" t="s">
        <v>1063</v>
      </c>
      <c r="E327" s="3" t="s">
        <v>7</v>
      </c>
      <c r="F327">
        <f>IF(AND($F$15=Datos!$AI$5,Datos!$C$9=Datos!$AI$10),IF(A327&gt;30000,N327,ROUND(N327*Datos!$J$18,Dins)),IF(AND($F$15=Datos!$AI$5,Datos!$C$9=Datos!$AI$9),IF(A327&gt;30000,O327,ROUND(O327*Datos!$J$18,Dins)),IF(AND($F$15=Datos!$AI$6,Datos!$C$9=Datos!$AI$10),IF(A327&gt;30000,P327,ROUND(P327*Datos!$J$18,Dins)),IF(AND($F$15=Datos!$AI$6,Datos!$C$9=Datos!$AI$9),IF(A327&gt;30000,Q327,ROUND(Q327*Datos!$J$18,Dins))))))</f>
        <v>1.1499999999999999</v>
      </c>
      <c r="G327">
        <v>0</v>
      </c>
      <c r="H327">
        <v>0</v>
      </c>
      <c r="I327">
        <v>0</v>
      </c>
      <c r="J327">
        <v>0</v>
      </c>
      <c r="N327">
        <v>1.36</v>
      </c>
      <c r="O327">
        <f t="shared" si="12"/>
        <v>1.1499999999999999</v>
      </c>
      <c r="P327">
        <f t="shared" si="13"/>
        <v>0.36</v>
      </c>
      <c r="Q327">
        <f t="shared" si="14"/>
        <v>0.31</v>
      </c>
    </row>
    <row r="328" spans="1:17" x14ac:dyDescent="0.2">
      <c r="A328">
        <v>30268</v>
      </c>
      <c r="B328">
        <v>72</v>
      </c>
      <c r="C328" t="s">
        <v>6</v>
      </c>
      <c r="D328" t="s">
        <v>1068</v>
      </c>
      <c r="E328" s="3" t="s">
        <v>194</v>
      </c>
      <c r="F328">
        <f>IF(AND($F$15=Datos!$AI$5,Datos!$C$9=Datos!$AI$10),IF(A328&gt;30000,N328,ROUND(N328*Datos!$J$18,Dins)),IF(AND($F$15=Datos!$AI$5,Datos!$C$9=Datos!$AI$9),IF(A328&gt;30000,O328,ROUND(O328*Datos!$J$18,Dins)),IF(AND($F$15=Datos!$AI$6,Datos!$C$9=Datos!$AI$10),IF(A328&gt;30000,P328,ROUND(P328*Datos!$J$18,Dins)),IF(AND($F$15=Datos!$AI$6,Datos!$C$9=Datos!$AI$9),IF(A328&gt;30000,Q328,ROUND(Q328*Datos!$J$18,Dins))))))</f>
        <v>2.5</v>
      </c>
      <c r="G328">
        <v>0</v>
      </c>
      <c r="H328">
        <v>0</v>
      </c>
      <c r="I328">
        <v>0</v>
      </c>
      <c r="J328">
        <v>0</v>
      </c>
      <c r="N328">
        <v>2.95</v>
      </c>
      <c r="O328">
        <f t="shared" si="12"/>
        <v>2.5</v>
      </c>
      <c r="P328">
        <f t="shared" si="13"/>
        <v>0.79</v>
      </c>
      <c r="Q328">
        <f t="shared" si="14"/>
        <v>0.67</v>
      </c>
    </row>
    <row r="329" spans="1:17" x14ac:dyDescent="0.2">
      <c r="A329">
        <v>30269</v>
      </c>
      <c r="B329">
        <v>72</v>
      </c>
      <c r="C329" t="s">
        <v>6</v>
      </c>
      <c r="D329" t="s">
        <v>1069</v>
      </c>
      <c r="E329" s="3" t="s">
        <v>174</v>
      </c>
      <c r="F329">
        <f>IF(AND($F$15=Datos!$AI$5,Datos!$C$9=Datos!$AI$10),IF(A329&gt;30000,N329,ROUND(N329*Datos!$J$18,Dins)),IF(AND($F$15=Datos!$AI$5,Datos!$C$9=Datos!$AI$9),IF(A329&gt;30000,O329,ROUND(O329*Datos!$J$18,Dins)),IF(AND($F$15=Datos!$AI$6,Datos!$C$9=Datos!$AI$10),IF(A329&gt;30000,P329,ROUND(P329*Datos!$J$18,Dins)),IF(AND($F$15=Datos!$AI$6,Datos!$C$9=Datos!$AI$9),IF(A329&gt;30000,Q329,ROUND(Q329*Datos!$J$18,Dins))))))</f>
        <v>1.6</v>
      </c>
      <c r="G329">
        <v>0</v>
      </c>
      <c r="H329">
        <v>0</v>
      </c>
      <c r="I329">
        <v>0</v>
      </c>
      <c r="J329">
        <v>0</v>
      </c>
      <c r="N329">
        <v>1.89</v>
      </c>
      <c r="O329">
        <f t="shared" si="12"/>
        <v>1.6</v>
      </c>
      <c r="P329">
        <f t="shared" si="13"/>
        <v>0.5</v>
      </c>
      <c r="Q329">
        <f t="shared" si="14"/>
        <v>0.42</v>
      </c>
    </row>
    <row r="330" spans="1:17" x14ac:dyDescent="0.2">
      <c r="A330">
        <v>60016</v>
      </c>
      <c r="B330">
        <v>49</v>
      </c>
      <c r="C330" t="s">
        <v>123</v>
      </c>
      <c r="D330" t="s">
        <v>1076</v>
      </c>
      <c r="E330" s="3" t="s">
        <v>213</v>
      </c>
      <c r="F330">
        <f>IF(AND($F$15=Datos!$AI$5,Datos!$C$9=Datos!$AI$10),IF(A330&gt;30000,N330,ROUND(N330*Datos!$J$18,Dins)),IF(AND($F$15=Datos!$AI$5,Datos!$C$9=Datos!$AI$9),IF(A330&gt;30000,O330,ROUND(O330*Datos!$J$18,Dins)),IF(AND($F$15=Datos!$AI$6,Datos!$C$9=Datos!$AI$10),IF(A330&gt;30000,P330,ROUND(P330*Datos!$J$18,Dins)),IF(AND($F$15=Datos!$AI$6,Datos!$C$9=Datos!$AI$9),IF(A330&gt;30000,Q330,ROUND(Q330*Datos!$J$18,Dins))))))</f>
        <v>10</v>
      </c>
      <c r="N330">
        <v>11.8</v>
      </c>
      <c r="O330">
        <f t="shared" si="12"/>
        <v>10</v>
      </c>
      <c r="P330">
        <f t="shared" si="13"/>
        <v>3.15</v>
      </c>
      <c r="Q330">
        <f t="shared" si="14"/>
        <v>2.67</v>
      </c>
    </row>
    <row r="331" spans="1:17" x14ac:dyDescent="0.2">
      <c r="A331">
        <v>30270</v>
      </c>
      <c r="B331">
        <v>72</v>
      </c>
      <c r="C331" t="s">
        <v>6</v>
      </c>
      <c r="D331" t="s">
        <v>1079</v>
      </c>
      <c r="E331" s="3" t="s">
        <v>7</v>
      </c>
      <c r="F331">
        <f>IF(AND($F$15=Datos!$AI$5,Datos!$C$9=Datos!$AI$10),IF(A331&gt;30000,N331,ROUND(N331*Datos!$J$18,Dins)),IF(AND($F$15=Datos!$AI$5,Datos!$C$9=Datos!$AI$9),IF(A331&gt;30000,O331,ROUND(O331*Datos!$J$18,Dins)),IF(AND($F$15=Datos!$AI$6,Datos!$C$9=Datos!$AI$10),IF(A331&gt;30000,P331,ROUND(P331*Datos!$J$18,Dins)),IF(AND($F$15=Datos!$AI$6,Datos!$C$9=Datos!$AI$9),IF(A331&gt;30000,Q331,ROUND(Q331*Datos!$J$18,Dins))))))</f>
        <v>12</v>
      </c>
      <c r="G331">
        <v>0</v>
      </c>
      <c r="H331">
        <v>0</v>
      </c>
      <c r="I331">
        <v>0</v>
      </c>
      <c r="J331">
        <v>0</v>
      </c>
      <c r="N331">
        <v>14.16</v>
      </c>
      <c r="O331">
        <f t="shared" si="12"/>
        <v>12</v>
      </c>
      <c r="P331">
        <f t="shared" si="13"/>
        <v>3.78</v>
      </c>
      <c r="Q331">
        <f t="shared" si="14"/>
        <v>3.2</v>
      </c>
    </row>
    <row r="332" spans="1:17" x14ac:dyDescent="0.2">
      <c r="A332">
        <v>30271</v>
      </c>
      <c r="B332">
        <v>72</v>
      </c>
      <c r="C332" t="s">
        <v>6</v>
      </c>
      <c r="D332" t="s">
        <v>1084</v>
      </c>
      <c r="E332" s="3" t="s">
        <v>7</v>
      </c>
      <c r="F332">
        <f>IF(AND($F$15=Datos!$AI$5,Datos!$C$9=Datos!$AI$10),IF(A332&gt;30000,N332,ROUND(N332*Datos!$J$18,Dins)),IF(AND($F$15=Datos!$AI$5,Datos!$C$9=Datos!$AI$9),IF(A332&gt;30000,O332,ROUND(O332*Datos!$J$18,Dins)),IF(AND($F$15=Datos!$AI$6,Datos!$C$9=Datos!$AI$10),IF(A332&gt;30000,P332,ROUND(P332*Datos!$J$18,Dins)),IF(AND($F$15=Datos!$AI$6,Datos!$C$9=Datos!$AI$9),IF(A332&gt;30000,Q332,ROUND(Q332*Datos!$J$18,Dins))))))</f>
        <v>8.3000000000000007</v>
      </c>
      <c r="G332">
        <v>0</v>
      </c>
      <c r="H332">
        <v>0</v>
      </c>
      <c r="I332">
        <v>0</v>
      </c>
      <c r="J332">
        <v>0</v>
      </c>
      <c r="N332">
        <v>9.7899999999999991</v>
      </c>
      <c r="O332">
        <f t="shared" si="12"/>
        <v>8.3000000000000007</v>
      </c>
      <c r="P332">
        <f t="shared" si="13"/>
        <v>2.61</v>
      </c>
      <c r="Q332">
        <f t="shared" si="14"/>
        <v>2.21</v>
      </c>
    </row>
    <row r="333" spans="1:17" x14ac:dyDescent="0.2">
      <c r="A333">
        <v>30272</v>
      </c>
      <c r="B333">
        <v>72</v>
      </c>
      <c r="C333" t="s">
        <v>6</v>
      </c>
      <c r="D333" t="s">
        <v>1091</v>
      </c>
      <c r="E333" s="3" t="s">
        <v>194</v>
      </c>
      <c r="F333">
        <f>IF(AND($F$15=Datos!$AI$5,Datos!$C$9=Datos!$AI$10),IF(A333&gt;30000,N333,ROUND(N333*Datos!$J$18,Dins)),IF(AND($F$15=Datos!$AI$5,Datos!$C$9=Datos!$AI$9),IF(A333&gt;30000,O333,ROUND(O333*Datos!$J$18,Dins)),IF(AND($F$15=Datos!$AI$6,Datos!$C$9=Datos!$AI$10),IF(A333&gt;30000,P333,ROUND(P333*Datos!$J$18,Dins)),IF(AND($F$15=Datos!$AI$6,Datos!$C$9=Datos!$AI$9),IF(A333&gt;30000,Q333,ROUND(Q333*Datos!$J$18,Dins))))))</f>
        <v>5.95</v>
      </c>
      <c r="G333">
        <v>0</v>
      </c>
      <c r="H333">
        <v>0</v>
      </c>
      <c r="I333">
        <v>0</v>
      </c>
      <c r="J333">
        <v>0</v>
      </c>
      <c r="N333">
        <v>7.02</v>
      </c>
      <c r="O333">
        <f t="shared" si="12"/>
        <v>5.95</v>
      </c>
      <c r="P333">
        <f t="shared" si="13"/>
        <v>1.87</v>
      </c>
      <c r="Q333">
        <f t="shared" si="14"/>
        <v>1.58</v>
      </c>
    </row>
    <row r="334" spans="1:17" x14ac:dyDescent="0.2">
      <c r="A334">
        <v>30273</v>
      </c>
      <c r="B334">
        <v>72</v>
      </c>
      <c r="C334" t="s">
        <v>6</v>
      </c>
      <c r="D334" t="s">
        <v>1092</v>
      </c>
      <c r="E334" s="3" t="s">
        <v>7</v>
      </c>
      <c r="F334">
        <f>IF(AND($F$15=Datos!$AI$5,Datos!$C$9=Datos!$AI$10),IF(A334&gt;30000,N334,ROUND(N334*Datos!$J$18,Dins)),IF(AND($F$15=Datos!$AI$5,Datos!$C$9=Datos!$AI$9),IF(A334&gt;30000,O334,ROUND(O334*Datos!$J$18,Dins)),IF(AND($F$15=Datos!$AI$6,Datos!$C$9=Datos!$AI$10),IF(A334&gt;30000,P334,ROUND(P334*Datos!$J$18,Dins)),IF(AND($F$15=Datos!$AI$6,Datos!$C$9=Datos!$AI$9),IF(A334&gt;30000,Q334,ROUND(Q334*Datos!$J$18,Dins))))))</f>
        <v>10.5</v>
      </c>
      <c r="G334">
        <v>0</v>
      </c>
      <c r="H334">
        <v>0</v>
      </c>
      <c r="I334">
        <v>0</v>
      </c>
      <c r="J334">
        <v>0</v>
      </c>
      <c r="N334">
        <v>12.39</v>
      </c>
      <c r="O334">
        <f t="shared" si="12"/>
        <v>10.5</v>
      </c>
      <c r="P334">
        <f t="shared" si="13"/>
        <v>3.3</v>
      </c>
      <c r="Q334">
        <f t="shared" si="14"/>
        <v>2.8</v>
      </c>
    </row>
    <row r="335" spans="1:17" x14ac:dyDescent="0.2">
      <c r="A335">
        <v>30274</v>
      </c>
      <c r="B335">
        <v>72</v>
      </c>
      <c r="C335" t="s">
        <v>6</v>
      </c>
      <c r="D335" t="s">
        <v>1093</v>
      </c>
      <c r="E335" s="3" t="s">
        <v>7</v>
      </c>
      <c r="F335">
        <f>IF(AND($F$15=Datos!$AI$5,Datos!$C$9=Datos!$AI$10),IF(A335&gt;30000,N335,ROUND(N335*Datos!$J$18,Dins)),IF(AND($F$15=Datos!$AI$5,Datos!$C$9=Datos!$AI$9),IF(A335&gt;30000,O335,ROUND(O335*Datos!$J$18,Dins)),IF(AND($F$15=Datos!$AI$6,Datos!$C$9=Datos!$AI$10),IF(A335&gt;30000,P335,ROUND(P335*Datos!$J$18,Dins)),IF(AND($F$15=Datos!$AI$6,Datos!$C$9=Datos!$AI$9),IF(A335&gt;30000,Q335,ROUND(Q335*Datos!$J$18,Dins))))))</f>
        <v>5.5</v>
      </c>
      <c r="G335">
        <v>0</v>
      </c>
      <c r="H335">
        <v>0</v>
      </c>
      <c r="I335">
        <v>0</v>
      </c>
      <c r="J335">
        <v>0</v>
      </c>
      <c r="N335">
        <v>6.49</v>
      </c>
      <c r="O335">
        <f t="shared" si="12"/>
        <v>5.5</v>
      </c>
      <c r="P335">
        <f t="shared" si="13"/>
        <v>1.73</v>
      </c>
      <c r="Q335">
        <f t="shared" si="14"/>
        <v>1.47</v>
      </c>
    </row>
    <row r="336" spans="1:17" x14ac:dyDescent="0.2">
      <c r="A336">
        <v>30275</v>
      </c>
      <c r="B336">
        <v>72</v>
      </c>
      <c r="C336" t="s">
        <v>6</v>
      </c>
      <c r="D336" t="s">
        <v>1094</v>
      </c>
      <c r="E336" s="3" t="s">
        <v>174</v>
      </c>
      <c r="F336">
        <f>IF(AND($F$15=Datos!$AI$5,Datos!$C$9=Datos!$AI$10),IF(A336&gt;30000,N336,ROUND(N336*Datos!$J$18,Dins)),IF(AND($F$15=Datos!$AI$5,Datos!$C$9=Datos!$AI$9),IF(A336&gt;30000,O336,ROUND(O336*Datos!$J$18,Dins)),IF(AND($F$15=Datos!$AI$6,Datos!$C$9=Datos!$AI$10),IF(A336&gt;30000,P336,ROUND(P336*Datos!$J$18,Dins)),IF(AND($F$15=Datos!$AI$6,Datos!$C$9=Datos!$AI$9),IF(A336&gt;30000,Q336,ROUND(Q336*Datos!$J$18,Dins))))))</f>
        <v>6.7</v>
      </c>
      <c r="G336">
        <v>0</v>
      </c>
      <c r="H336">
        <v>0</v>
      </c>
      <c r="I336">
        <v>0</v>
      </c>
      <c r="J336">
        <v>0</v>
      </c>
      <c r="N336">
        <v>7.91</v>
      </c>
      <c r="O336">
        <f t="shared" ref="O336:O399" si="15">IF(A336&gt;30000,ROUND(N336/$O$14,Dins),ROUND(N336,Dins))</f>
        <v>6.7</v>
      </c>
      <c r="P336">
        <f t="shared" ref="P336:P399" si="16">ROUND(N336/$P$14,Dins)</f>
        <v>2.11</v>
      </c>
      <c r="Q336">
        <f t="shared" ref="Q336:Q399" si="17">IF(A336&gt;30000,ROUND(P336/$Q$14,Dins),ROUND(P336,Dins))</f>
        <v>1.79</v>
      </c>
    </row>
    <row r="337" spans="1:17" x14ac:dyDescent="0.2">
      <c r="A337">
        <v>30276</v>
      </c>
      <c r="B337">
        <v>72</v>
      </c>
      <c r="C337" t="s">
        <v>6</v>
      </c>
      <c r="D337" t="s">
        <v>1095</v>
      </c>
      <c r="E337" s="3" t="s">
        <v>174</v>
      </c>
      <c r="F337">
        <f>IF(AND($F$15=Datos!$AI$5,Datos!$C$9=Datos!$AI$10),IF(A337&gt;30000,N337,ROUND(N337*Datos!$J$18,Dins)),IF(AND($F$15=Datos!$AI$5,Datos!$C$9=Datos!$AI$9),IF(A337&gt;30000,O337,ROUND(O337*Datos!$J$18,Dins)),IF(AND($F$15=Datos!$AI$6,Datos!$C$9=Datos!$AI$10),IF(A337&gt;30000,P337,ROUND(P337*Datos!$J$18,Dins)),IF(AND($F$15=Datos!$AI$6,Datos!$C$9=Datos!$AI$9),IF(A337&gt;30000,Q337,ROUND(Q337*Datos!$J$18,Dins))))))</f>
        <v>5.0999999999999996</v>
      </c>
      <c r="G337">
        <v>0</v>
      </c>
      <c r="H337">
        <v>0</v>
      </c>
      <c r="I337">
        <v>0</v>
      </c>
      <c r="J337">
        <v>0</v>
      </c>
      <c r="N337">
        <v>6.02</v>
      </c>
      <c r="O337">
        <f t="shared" si="15"/>
        <v>5.0999999999999996</v>
      </c>
      <c r="P337">
        <f t="shared" si="16"/>
        <v>1.61</v>
      </c>
      <c r="Q337">
        <f t="shared" si="17"/>
        <v>1.36</v>
      </c>
    </row>
    <row r="338" spans="1:17" x14ac:dyDescent="0.2">
      <c r="A338">
        <v>30277</v>
      </c>
      <c r="B338">
        <v>72</v>
      </c>
      <c r="C338" t="s">
        <v>6</v>
      </c>
      <c r="D338" t="s">
        <v>1098</v>
      </c>
      <c r="E338" s="3" t="s">
        <v>194</v>
      </c>
      <c r="F338">
        <f>IF(AND($F$15=Datos!$AI$5,Datos!$C$9=Datos!$AI$10),IF(A338&gt;30000,N338,ROUND(N338*Datos!$J$18,Dins)),IF(AND($F$15=Datos!$AI$5,Datos!$C$9=Datos!$AI$9),IF(A338&gt;30000,O338,ROUND(O338*Datos!$J$18,Dins)),IF(AND($F$15=Datos!$AI$6,Datos!$C$9=Datos!$AI$10),IF(A338&gt;30000,P338,ROUND(P338*Datos!$J$18,Dins)),IF(AND($F$15=Datos!$AI$6,Datos!$C$9=Datos!$AI$9),IF(A338&gt;30000,Q338,ROUND(Q338*Datos!$J$18,Dins))))))</f>
        <v>4</v>
      </c>
      <c r="G338">
        <v>0</v>
      </c>
      <c r="H338">
        <v>0</v>
      </c>
      <c r="I338">
        <v>0</v>
      </c>
      <c r="J338">
        <v>0</v>
      </c>
      <c r="N338">
        <v>4.72</v>
      </c>
      <c r="O338">
        <f t="shared" si="15"/>
        <v>4</v>
      </c>
      <c r="P338">
        <f t="shared" si="16"/>
        <v>1.26</v>
      </c>
      <c r="Q338">
        <f t="shared" si="17"/>
        <v>1.07</v>
      </c>
    </row>
    <row r="339" spans="1:17" x14ac:dyDescent="0.2">
      <c r="A339">
        <v>30278</v>
      </c>
      <c r="B339">
        <v>72</v>
      </c>
      <c r="C339" t="s">
        <v>6</v>
      </c>
      <c r="D339" t="s">
        <v>1099</v>
      </c>
      <c r="E339" s="3" t="s">
        <v>7</v>
      </c>
      <c r="F339">
        <f>IF(AND($F$15=Datos!$AI$5,Datos!$C$9=Datos!$AI$10),IF(A339&gt;30000,N339,ROUND(N339*Datos!$J$18,Dins)),IF(AND($F$15=Datos!$AI$5,Datos!$C$9=Datos!$AI$9),IF(A339&gt;30000,O339,ROUND(O339*Datos!$J$18,Dins)),IF(AND($F$15=Datos!$AI$6,Datos!$C$9=Datos!$AI$10),IF(A339&gt;30000,P339,ROUND(P339*Datos!$J$18,Dins)),IF(AND($F$15=Datos!$AI$6,Datos!$C$9=Datos!$AI$9),IF(A339&gt;30000,Q339,ROUND(Q339*Datos!$J$18,Dins))))))</f>
        <v>2.2000000000000002</v>
      </c>
      <c r="G339">
        <v>0</v>
      </c>
      <c r="H339">
        <v>0</v>
      </c>
      <c r="I339">
        <v>0</v>
      </c>
      <c r="J339">
        <v>0</v>
      </c>
      <c r="N339">
        <v>2.6</v>
      </c>
      <c r="O339">
        <f t="shared" si="15"/>
        <v>2.2000000000000002</v>
      </c>
      <c r="P339">
        <f t="shared" si="16"/>
        <v>0.69</v>
      </c>
      <c r="Q339">
        <f t="shared" si="17"/>
        <v>0.57999999999999996</v>
      </c>
    </row>
    <row r="340" spans="1:17" x14ac:dyDescent="0.2">
      <c r="A340">
        <v>30279</v>
      </c>
      <c r="B340">
        <v>72</v>
      </c>
      <c r="C340" t="s">
        <v>6</v>
      </c>
      <c r="D340" t="s">
        <v>1100</v>
      </c>
      <c r="E340" s="3" t="s">
        <v>174</v>
      </c>
      <c r="F340">
        <f>IF(AND($F$15=Datos!$AI$5,Datos!$C$9=Datos!$AI$10),IF(A340&gt;30000,N340,ROUND(N340*Datos!$J$18,Dins)),IF(AND($F$15=Datos!$AI$5,Datos!$C$9=Datos!$AI$9),IF(A340&gt;30000,O340,ROUND(O340*Datos!$J$18,Dins)),IF(AND($F$15=Datos!$AI$6,Datos!$C$9=Datos!$AI$10),IF(A340&gt;30000,P340,ROUND(P340*Datos!$J$18,Dins)),IF(AND($F$15=Datos!$AI$6,Datos!$C$9=Datos!$AI$9),IF(A340&gt;30000,Q340,ROUND(Q340*Datos!$J$18,Dins))))))</f>
        <v>5.5</v>
      </c>
      <c r="G340">
        <v>0</v>
      </c>
      <c r="H340">
        <v>0</v>
      </c>
      <c r="I340">
        <v>0</v>
      </c>
      <c r="J340">
        <v>0</v>
      </c>
      <c r="N340">
        <v>6.49</v>
      </c>
      <c r="O340">
        <f t="shared" si="15"/>
        <v>5.5</v>
      </c>
      <c r="P340">
        <f t="shared" si="16"/>
        <v>1.73</v>
      </c>
      <c r="Q340">
        <f t="shared" si="17"/>
        <v>1.47</v>
      </c>
    </row>
    <row r="341" spans="1:17" x14ac:dyDescent="0.2">
      <c r="A341">
        <v>30280</v>
      </c>
      <c r="B341">
        <v>72</v>
      </c>
      <c r="C341" t="s">
        <v>6</v>
      </c>
      <c r="D341" t="s">
        <v>1103</v>
      </c>
      <c r="E341" s="3" t="s">
        <v>7</v>
      </c>
      <c r="F341">
        <f>IF(AND($F$15=Datos!$AI$5,Datos!$C$9=Datos!$AI$10),IF(A341&gt;30000,N341,ROUND(N341*Datos!$J$18,Dins)),IF(AND($F$15=Datos!$AI$5,Datos!$C$9=Datos!$AI$9),IF(A341&gt;30000,O341,ROUND(O341*Datos!$J$18,Dins)),IF(AND($F$15=Datos!$AI$6,Datos!$C$9=Datos!$AI$10),IF(A341&gt;30000,P341,ROUND(P341*Datos!$J$18,Dins)),IF(AND($F$15=Datos!$AI$6,Datos!$C$9=Datos!$AI$9),IF(A341&gt;30000,Q341,ROUND(Q341*Datos!$J$18,Dins))))))</f>
        <v>1.3</v>
      </c>
      <c r="G341">
        <v>0</v>
      </c>
      <c r="H341">
        <v>0</v>
      </c>
      <c r="I341">
        <v>0</v>
      </c>
      <c r="J341">
        <v>0</v>
      </c>
      <c r="N341">
        <v>1.53</v>
      </c>
      <c r="O341">
        <f t="shared" si="15"/>
        <v>1.3</v>
      </c>
      <c r="P341">
        <f t="shared" si="16"/>
        <v>0.41</v>
      </c>
      <c r="Q341">
        <f t="shared" si="17"/>
        <v>0.35</v>
      </c>
    </row>
    <row r="342" spans="1:17" x14ac:dyDescent="0.2">
      <c r="A342">
        <v>30281</v>
      </c>
      <c r="B342">
        <v>72</v>
      </c>
      <c r="C342" t="s">
        <v>6</v>
      </c>
      <c r="D342" t="s">
        <v>1104</v>
      </c>
      <c r="E342" s="3" t="s">
        <v>7</v>
      </c>
      <c r="F342">
        <f>IF(AND($F$15=Datos!$AI$5,Datos!$C$9=Datos!$AI$10),IF(A342&gt;30000,N342,ROUND(N342*Datos!$J$18,Dins)),IF(AND($F$15=Datos!$AI$5,Datos!$C$9=Datos!$AI$9),IF(A342&gt;30000,O342,ROUND(O342*Datos!$J$18,Dins)),IF(AND($F$15=Datos!$AI$6,Datos!$C$9=Datos!$AI$10),IF(A342&gt;30000,P342,ROUND(P342*Datos!$J$18,Dins)),IF(AND($F$15=Datos!$AI$6,Datos!$C$9=Datos!$AI$9),IF(A342&gt;30000,Q342,ROUND(Q342*Datos!$J$18,Dins))))))</f>
        <v>3</v>
      </c>
      <c r="G342">
        <v>0</v>
      </c>
      <c r="H342">
        <v>0</v>
      </c>
      <c r="I342">
        <v>0</v>
      </c>
      <c r="J342">
        <v>0</v>
      </c>
      <c r="N342">
        <v>3.54</v>
      </c>
      <c r="O342">
        <f t="shared" si="15"/>
        <v>3</v>
      </c>
      <c r="P342">
        <f t="shared" si="16"/>
        <v>0.94</v>
      </c>
      <c r="Q342">
        <f t="shared" si="17"/>
        <v>0.8</v>
      </c>
    </row>
    <row r="343" spans="1:17" x14ac:dyDescent="0.2">
      <c r="A343">
        <v>30282</v>
      </c>
      <c r="B343">
        <v>72</v>
      </c>
      <c r="C343" t="s">
        <v>6</v>
      </c>
      <c r="D343" t="s">
        <v>1109</v>
      </c>
      <c r="E343" s="3" t="s">
        <v>7</v>
      </c>
      <c r="F343">
        <f>IF(AND($F$15=Datos!$AI$5,Datos!$C$9=Datos!$AI$10),IF(A343&gt;30000,N343,ROUND(N343*Datos!$J$18,Dins)),IF(AND($F$15=Datos!$AI$5,Datos!$C$9=Datos!$AI$9),IF(A343&gt;30000,O343,ROUND(O343*Datos!$J$18,Dins)),IF(AND($F$15=Datos!$AI$6,Datos!$C$9=Datos!$AI$10),IF(A343&gt;30000,P343,ROUND(P343*Datos!$J$18,Dins)),IF(AND($F$15=Datos!$AI$6,Datos!$C$9=Datos!$AI$9),IF(A343&gt;30000,Q343,ROUND(Q343*Datos!$J$18,Dins))))))</f>
        <v>7.6</v>
      </c>
      <c r="G343">
        <v>0</v>
      </c>
      <c r="H343">
        <v>0</v>
      </c>
      <c r="I343">
        <v>0</v>
      </c>
      <c r="J343">
        <v>0</v>
      </c>
      <c r="N343">
        <v>8.9700000000000006</v>
      </c>
      <c r="O343">
        <f t="shared" si="15"/>
        <v>7.6</v>
      </c>
      <c r="P343">
        <f t="shared" si="16"/>
        <v>2.39</v>
      </c>
      <c r="Q343">
        <f t="shared" si="17"/>
        <v>2.0299999999999998</v>
      </c>
    </row>
    <row r="344" spans="1:17" x14ac:dyDescent="0.2">
      <c r="A344">
        <v>30283</v>
      </c>
      <c r="B344">
        <v>72</v>
      </c>
      <c r="C344" t="s">
        <v>6</v>
      </c>
      <c r="D344" t="s">
        <v>1110</v>
      </c>
      <c r="E344" s="3" t="s">
        <v>194</v>
      </c>
      <c r="F344">
        <f>IF(AND($F$15=Datos!$AI$5,Datos!$C$9=Datos!$AI$10),IF(A344&gt;30000,N344,ROUND(N344*Datos!$J$18,Dins)),IF(AND($F$15=Datos!$AI$5,Datos!$C$9=Datos!$AI$9),IF(A344&gt;30000,O344,ROUND(O344*Datos!$J$18,Dins)),IF(AND($F$15=Datos!$AI$6,Datos!$C$9=Datos!$AI$10),IF(A344&gt;30000,P344,ROUND(P344*Datos!$J$18,Dins)),IF(AND($F$15=Datos!$AI$6,Datos!$C$9=Datos!$AI$9),IF(A344&gt;30000,Q344,ROUND(Q344*Datos!$J$18,Dins))))))</f>
        <v>5.2</v>
      </c>
      <c r="G344">
        <v>0</v>
      </c>
      <c r="H344">
        <v>0</v>
      </c>
      <c r="I344">
        <v>0</v>
      </c>
      <c r="J344">
        <v>0</v>
      </c>
      <c r="N344">
        <v>6.14</v>
      </c>
      <c r="O344">
        <f t="shared" si="15"/>
        <v>5.2</v>
      </c>
      <c r="P344">
        <f t="shared" si="16"/>
        <v>1.64</v>
      </c>
      <c r="Q344">
        <f t="shared" si="17"/>
        <v>1.39</v>
      </c>
    </row>
    <row r="345" spans="1:17" x14ac:dyDescent="0.2">
      <c r="A345">
        <v>30284</v>
      </c>
      <c r="B345">
        <v>72</v>
      </c>
      <c r="C345" t="s">
        <v>6</v>
      </c>
      <c r="D345" t="s">
        <v>1122</v>
      </c>
      <c r="E345" s="3" t="s">
        <v>7</v>
      </c>
      <c r="F345">
        <f>IF(AND($F$15=Datos!$AI$5,Datos!$C$9=Datos!$AI$10),IF(A345&gt;30000,N345,ROUND(N345*Datos!$J$18,Dins)),IF(AND($F$15=Datos!$AI$5,Datos!$C$9=Datos!$AI$9),IF(A345&gt;30000,O345,ROUND(O345*Datos!$J$18,Dins)),IF(AND($F$15=Datos!$AI$6,Datos!$C$9=Datos!$AI$10),IF(A345&gt;30000,P345,ROUND(P345*Datos!$J$18,Dins)),IF(AND($F$15=Datos!$AI$6,Datos!$C$9=Datos!$AI$9),IF(A345&gt;30000,Q345,ROUND(Q345*Datos!$J$18,Dins))))))</f>
        <v>19.5</v>
      </c>
      <c r="G345">
        <v>0</v>
      </c>
      <c r="H345">
        <v>0</v>
      </c>
      <c r="I345">
        <v>0</v>
      </c>
      <c r="J345">
        <v>0</v>
      </c>
      <c r="N345">
        <v>23.01</v>
      </c>
      <c r="O345">
        <f t="shared" si="15"/>
        <v>19.5</v>
      </c>
      <c r="P345">
        <f t="shared" si="16"/>
        <v>6.14</v>
      </c>
      <c r="Q345">
        <f t="shared" si="17"/>
        <v>5.2</v>
      </c>
    </row>
    <row r="346" spans="1:17" x14ac:dyDescent="0.2">
      <c r="A346">
        <v>30285</v>
      </c>
      <c r="B346">
        <v>2</v>
      </c>
      <c r="C346" t="s">
        <v>6</v>
      </c>
      <c r="D346" t="s">
        <v>1128</v>
      </c>
      <c r="E346" s="3" t="s">
        <v>174</v>
      </c>
      <c r="F346">
        <f>IF(AND($F$15=Datos!$AI$5,Datos!$C$9=Datos!$AI$10),IF(A346&gt;30000,N346,ROUND(N346*Datos!$J$18,Dins)),IF(AND($F$15=Datos!$AI$5,Datos!$C$9=Datos!$AI$9),IF(A346&gt;30000,O346,ROUND(O346*Datos!$J$18,Dins)),IF(AND($F$15=Datos!$AI$6,Datos!$C$9=Datos!$AI$10),IF(A346&gt;30000,P346,ROUND(P346*Datos!$J$18,Dins)),IF(AND($F$15=Datos!$AI$6,Datos!$C$9=Datos!$AI$9),IF(A346&gt;30000,Q346,ROUND(Q346*Datos!$J$18,Dins))))))</f>
        <v>3</v>
      </c>
      <c r="G346">
        <v>0</v>
      </c>
      <c r="H346">
        <v>0</v>
      </c>
      <c r="I346">
        <v>0</v>
      </c>
      <c r="J346">
        <v>0</v>
      </c>
      <c r="N346">
        <v>3.54</v>
      </c>
      <c r="O346">
        <f t="shared" si="15"/>
        <v>3</v>
      </c>
      <c r="P346">
        <f t="shared" si="16"/>
        <v>0.94</v>
      </c>
      <c r="Q346">
        <f t="shared" si="17"/>
        <v>0.8</v>
      </c>
    </row>
    <row r="347" spans="1:17" x14ac:dyDescent="0.2">
      <c r="A347">
        <v>30286</v>
      </c>
      <c r="B347">
        <v>39</v>
      </c>
      <c r="C347" t="s">
        <v>6</v>
      </c>
      <c r="D347" t="s">
        <v>1129</v>
      </c>
      <c r="E347" s="3" t="s">
        <v>174</v>
      </c>
      <c r="F347">
        <f>IF(AND($F$15=Datos!$AI$5,Datos!$C$9=Datos!$AI$10),IF(A347&gt;30000,N347,ROUND(N347*Datos!$J$18,Dins)),IF(AND($F$15=Datos!$AI$5,Datos!$C$9=Datos!$AI$9),IF(A347&gt;30000,O347,ROUND(O347*Datos!$J$18,Dins)),IF(AND($F$15=Datos!$AI$6,Datos!$C$9=Datos!$AI$10),IF(A347&gt;30000,P347,ROUND(P347*Datos!$J$18,Dins)),IF(AND($F$15=Datos!$AI$6,Datos!$C$9=Datos!$AI$9),IF(A347&gt;30000,Q347,ROUND(Q347*Datos!$J$18,Dins))))))</f>
        <v>30</v>
      </c>
      <c r="G347">
        <v>0</v>
      </c>
      <c r="H347">
        <v>0</v>
      </c>
      <c r="I347">
        <v>0</v>
      </c>
      <c r="J347">
        <v>0</v>
      </c>
      <c r="N347">
        <v>35.4</v>
      </c>
      <c r="O347">
        <f t="shared" si="15"/>
        <v>30</v>
      </c>
      <c r="P347">
        <f t="shared" si="16"/>
        <v>9.44</v>
      </c>
      <c r="Q347">
        <f t="shared" si="17"/>
        <v>8</v>
      </c>
    </row>
    <row r="348" spans="1:17" x14ac:dyDescent="0.2">
      <c r="A348">
        <v>30287</v>
      </c>
      <c r="B348">
        <v>72</v>
      </c>
      <c r="C348" t="s">
        <v>6</v>
      </c>
      <c r="D348" t="s">
        <v>1130</v>
      </c>
      <c r="E348" s="3" t="s">
        <v>7</v>
      </c>
      <c r="F348">
        <f>IF(AND($F$15=Datos!$AI$5,Datos!$C$9=Datos!$AI$10),IF(A348&gt;30000,N348,ROUND(N348*Datos!$J$18,Dins)),IF(AND($F$15=Datos!$AI$5,Datos!$C$9=Datos!$AI$9),IF(A348&gt;30000,O348,ROUND(O348*Datos!$J$18,Dins)),IF(AND($F$15=Datos!$AI$6,Datos!$C$9=Datos!$AI$10),IF(A348&gt;30000,P348,ROUND(P348*Datos!$J$18,Dins)),IF(AND($F$15=Datos!$AI$6,Datos!$C$9=Datos!$AI$9),IF(A348&gt;30000,Q348,ROUND(Q348*Datos!$J$18,Dins))))))</f>
        <v>28</v>
      </c>
      <c r="G348">
        <v>0</v>
      </c>
      <c r="H348">
        <v>0</v>
      </c>
      <c r="I348">
        <v>0</v>
      </c>
      <c r="J348">
        <v>0</v>
      </c>
      <c r="N348">
        <v>33.04</v>
      </c>
      <c r="O348">
        <f t="shared" si="15"/>
        <v>28</v>
      </c>
      <c r="P348">
        <f t="shared" si="16"/>
        <v>8.81</v>
      </c>
      <c r="Q348">
        <f t="shared" si="17"/>
        <v>7.47</v>
      </c>
    </row>
    <row r="349" spans="1:17" x14ac:dyDescent="0.2">
      <c r="A349">
        <v>30288</v>
      </c>
      <c r="B349">
        <v>39</v>
      </c>
      <c r="C349" t="s">
        <v>6</v>
      </c>
      <c r="D349" t="s">
        <v>1133</v>
      </c>
      <c r="E349" s="3" t="s">
        <v>174</v>
      </c>
      <c r="F349">
        <f>IF(AND($F$15=Datos!$AI$5,Datos!$C$9=Datos!$AI$10),IF(A349&gt;30000,N349,ROUND(N349*Datos!$J$18,Dins)),IF(AND($F$15=Datos!$AI$5,Datos!$C$9=Datos!$AI$9),IF(A349&gt;30000,O349,ROUND(O349*Datos!$J$18,Dins)),IF(AND($F$15=Datos!$AI$6,Datos!$C$9=Datos!$AI$10),IF(A349&gt;30000,P349,ROUND(P349*Datos!$J$18,Dins)),IF(AND($F$15=Datos!$AI$6,Datos!$C$9=Datos!$AI$9),IF(A349&gt;30000,Q349,ROUND(Q349*Datos!$J$18,Dins))))))</f>
        <v>25</v>
      </c>
      <c r="G349">
        <v>0</v>
      </c>
      <c r="H349">
        <v>0</v>
      </c>
      <c r="I349">
        <v>0</v>
      </c>
      <c r="J349">
        <v>0</v>
      </c>
      <c r="N349">
        <v>29.5</v>
      </c>
      <c r="O349">
        <f t="shared" si="15"/>
        <v>25</v>
      </c>
      <c r="P349">
        <f t="shared" si="16"/>
        <v>7.87</v>
      </c>
      <c r="Q349">
        <f t="shared" si="17"/>
        <v>6.67</v>
      </c>
    </row>
    <row r="350" spans="1:17" x14ac:dyDescent="0.2">
      <c r="A350">
        <v>30289</v>
      </c>
      <c r="B350">
        <v>72</v>
      </c>
      <c r="C350" t="s">
        <v>6</v>
      </c>
      <c r="D350" t="s">
        <v>1134</v>
      </c>
      <c r="E350" s="3" t="s">
        <v>7</v>
      </c>
      <c r="F350">
        <f>IF(AND($F$15=Datos!$AI$5,Datos!$C$9=Datos!$AI$10),IF(A350&gt;30000,N350,ROUND(N350*Datos!$J$18,Dins)),IF(AND($F$15=Datos!$AI$5,Datos!$C$9=Datos!$AI$9),IF(A350&gt;30000,O350,ROUND(O350*Datos!$J$18,Dins)),IF(AND($F$15=Datos!$AI$6,Datos!$C$9=Datos!$AI$10),IF(A350&gt;30000,P350,ROUND(P350*Datos!$J$18,Dins)),IF(AND($F$15=Datos!$AI$6,Datos!$C$9=Datos!$AI$9),IF(A350&gt;30000,Q350,ROUND(Q350*Datos!$J$18,Dins))))))</f>
        <v>20</v>
      </c>
      <c r="G350">
        <v>0</v>
      </c>
      <c r="H350">
        <v>0</v>
      </c>
      <c r="I350">
        <v>0</v>
      </c>
      <c r="J350">
        <v>0</v>
      </c>
      <c r="N350">
        <v>23.6</v>
      </c>
      <c r="O350">
        <f t="shared" si="15"/>
        <v>20</v>
      </c>
      <c r="P350">
        <f t="shared" si="16"/>
        <v>6.29</v>
      </c>
      <c r="Q350">
        <f t="shared" si="17"/>
        <v>5.33</v>
      </c>
    </row>
    <row r="351" spans="1:17" x14ac:dyDescent="0.2">
      <c r="A351">
        <v>30290</v>
      </c>
      <c r="B351">
        <v>39</v>
      </c>
      <c r="C351" t="s">
        <v>6</v>
      </c>
      <c r="D351" t="s">
        <v>1137</v>
      </c>
      <c r="E351" s="3" t="s">
        <v>174</v>
      </c>
      <c r="F351">
        <f>IF(AND($F$15=Datos!$AI$5,Datos!$C$9=Datos!$AI$10),IF(A351&gt;30000,N351,ROUND(N351*Datos!$J$18,Dins)),IF(AND($F$15=Datos!$AI$5,Datos!$C$9=Datos!$AI$9),IF(A351&gt;30000,O351,ROUND(O351*Datos!$J$18,Dins)),IF(AND($F$15=Datos!$AI$6,Datos!$C$9=Datos!$AI$10),IF(A351&gt;30000,P351,ROUND(P351*Datos!$J$18,Dins)),IF(AND($F$15=Datos!$AI$6,Datos!$C$9=Datos!$AI$9),IF(A351&gt;30000,Q351,ROUND(Q351*Datos!$J$18,Dins))))))</f>
        <v>25</v>
      </c>
      <c r="G351">
        <v>0</v>
      </c>
      <c r="H351">
        <v>0</v>
      </c>
      <c r="I351">
        <v>0</v>
      </c>
      <c r="J351">
        <v>0</v>
      </c>
      <c r="N351">
        <v>29.5</v>
      </c>
      <c r="O351">
        <f t="shared" si="15"/>
        <v>25</v>
      </c>
      <c r="P351">
        <f t="shared" si="16"/>
        <v>7.87</v>
      </c>
      <c r="Q351">
        <f t="shared" si="17"/>
        <v>6.67</v>
      </c>
    </row>
    <row r="352" spans="1:17" x14ac:dyDescent="0.2">
      <c r="A352">
        <v>30291</v>
      </c>
      <c r="B352">
        <v>72</v>
      </c>
      <c r="C352" t="s">
        <v>6</v>
      </c>
      <c r="D352" t="s">
        <v>1138</v>
      </c>
      <c r="E352" s="3" t="s">
        <v>7</v>
      </c>
      <c r="F352">
        <f>IF(AND($F$15=Datos!$AI$5,Datos!$C$9=Datos!$AI$10),IF(A352&gt;30000,N352,ROUND(N352*Datos!$J$18,Dins)),IF(AND($F$15=Datos!$AI$5,Datos!$C$9=Datos!$AI$9),IF(A352&gt;30000,O352,ROUND(O352*Datos!$J$18,Dins)),IF(AND($F$15=Datos!$AI$6,Datos!$C$9=Datos!$AI$10),IF(A352&gt;30000,P352,ROUND(P352*Datos!$J$18,Dins)),IF(AND($F$15=Datos!$AI$6,Datos!$C$9=Datos!$AI$9),IF(A352&gt;30000,Q352,ROUND(Q352*Datos!$J$18,Dins))))))</f>
        <v>15</v>
      </c>
      <c r="G352">
        <v>0</v>
      </c>
      <c r="H352">
        <v>0</v>
      </c>
      <c r="I352">
        <v>0</v>
      </c>
      <c r="J352">
        <v>0</v>
      </c>
      <c r="N352">
        <v>17.7</v>
      </c>
      <c r="O352">
        <f t="shared" si="15"/>
        <v>15</v>
      </c>
      <c r="P352">
        <f t="shared" si="16"/>
        <v>4.72</v>
      </c>
      <c r="Q352">
        <f t="shared" si="17"/>
        <v>4</v>
      </c>
    </row>
    <row r="353" spans="1:17" x14ac:dyDescent="0.2">
      <c r="A353">
        <v>30292</v>
      </c>
      <c r="B353">
        <v>72</v>
      </c>
      <c r="C353" t="s">
        <v>6</v>
      </c>
      <c r="D353" t="s">
        <v>1145</v>
      </c>
      <c r="E353" s="3" t="s">
        <v>7</v>
      </c>
      <c r="F353">
        <f>IF(AND($F$15=Datos!$AI$5,Datos!$C$9=Datos!$AI$10),IF(A353&gt;30000,N353,ROUND(N353*Datos!$J$18,Dins)),IF(AND($F$15=Datos!$AI$5,Datos!$C$9=Datos!$AI$9),IF(A353&gt;30000,O353,ROUND(O353*Datos!$J$18,Dins)),IF(AND($F$15=Datos!$AI$6,Datos!$C$9=Datos!$AI$10),IF(A353&gt;30000,P353,ROUND(P353*Datos!$J$18,Dins)),IF(AND($F$15=Datos!$AI$6,Datos!$C$9=Datos!$AI$9),IF(A353&gt;30000,Q353,ROUND(Q353*Datos!$J$18,Dins))))))</f>
        <v>2.5</v>
      </c>
      <c r="G353">
        <v>0</v>
      </c>
      <c r="H353">
        <v>0</v>
      </c>
      <c r="I353">
        <v>0</v>
      </c>
      <c r="J353">
        <v>0</v>
      </c>
      <c r="N353">
        <v>2.95</v>
      </c>
      <c r="O353">
        <f t="shared" si="15"/>
        <v>2.5</v>
      </c>
      <c r="P353">
        <f t="shared" si="16"/>
        <v>0.79</v>
      </c>
      <c r="Q353">
        <f t="shared" si="17"/>
        <v>0.67</v>
      </c>
    </row>
    <row r="354" spans="1:17" x14ac:dyDescent="0.2">
      <c r="A354">
        <v>30293</v>
      </c>
      <c r="B354">
        <v>30</v>
      </c>
      <c r="C354" t="s">
        <v>6</v>
      </c>
      <c r="D354" t="s">
        <v>1148</v>
      </c>
      <c r="E354" s="3" t="s">
        <v>174</v>
      </c>
      <c r="F354">
        <f>IF(AND($F$15=Datos!$AI$5,Datos!$C$9=Datos!$AI$10),IF(A354&gt;30000,N354,ROUND(N354*Datos!$J$18,Dins)),IF(AND($F$15=Datos!$AI$5,Datos!$C$9=Datos!$AI$9),IF(A354&gt;30000,O354,ROUND(O354*Datos!$J$18,Dins)),IF(AND($F$15=Datos!$AI$6,Datos!$C$9=Datos!$AI$10),IF(A354&gt;30000,P354,ROUND(P354*Datos!$J$18,Dins)),IF(AND($F$15=Datos!$AI$6,Datos!$C$9=Datos!$AI$9),IF(A354&gt;30000,Q354,ROUND(Q354*Datos!$J$18,Dins))))))</f>
        <v>13.5</v>
      </c>
      <c r="G354">
        <v>0</v>
      </c>
      <c r="H354">
        <v>0</v>
      </c>
      <c r="I354">
        <v>0</v>
      </c>
      <c r="J354">
        <v>0</v>
      </c>
      <c r="N354">
        <v>15.93</v>
      </c>
      <c r="O354">
        <f t="shared" si="15"/>
        <v>13.5</v>
      </c>
      <c r="P354">
        <f t="shared" si="16"/>
        <v>4.25</v>
      </c>
      <c r="Q354">
        <f t="shared" si="17"/>
        <v>3.6</v>
      </c>
    </row>
    <row r="355" spans="1:17" x14ac:dyDescent="0.2">
      <c r="A355">
        <v>30294</v>
      </c>
      <c r="B355">
        <v>30</v>
      </c>
      <c r="C355" t="s">
        <v>6</v>
      </c>
      <c r="D355" t="s">
        <v>1150</v>
      </c>
      <c r="E355" s="3" t="s">
        <v>7</v>
      </c>
      <c r="F355">
        <f>IF(AND($F$15=Datos!$AI$5,Datos!$C$9=Datos!$AI$10),IF(A355&gt;30000,N355,ROUND(N355*Datos!$J$18,Dins)),IF(AND($F$15=Datos!$AI$5,Datos!$C$9=Datos!$AI$9),IF(A355&gt;30000,O355,ROUND(O355*Datos!$J$18,Dins)),IF(AND($F$15=Datos!$AI$6,Datos!$C$9=Datos!$AI$10),IF(A355&gt;30000,P355,ROUND(P355*Datos!$J$18,Dins)),IF(AND($F$15=Datos!$AI$6,Datos!$C$9=Datos!$AI$9),IF(A355&gt;30000,Q355,ROUND(Q355*Datos!$J$18,Dins))))))</f>
        <v>7</v>
      </c>
      <c r="G355">
        <v>0</v>
      </c>
      <c r="H355">
        <v>0</v>
      </c>
      <c r="I355">
        <v>0</v>
      </c>
      <c r="J355">
        <v>0</v>
      </c>
      <c r="N355">
        <v>8.26</v>
      </c>
      <c r="O355">
        <f t="shared" si="15"/>
        <v>7</v>
      </c>
      <c r="P355">
        <f t="shared" si="16"/>
        <v>2.2000000000000002</v>
      </c>
      <c r="Q355">
        <f t="shared" si="17"/>
        <v>1.86</v>
      </c>
    </row>
    <row r="356" spans="1:17" x14ac:dyDescent="0.2">
      <c r="A356">
        <v>30295</v>
      </c>
      <c r="B356">
        <v>30</v>
      </c>
      <c r="C356" t="s">
        <v>6</v>
      </c>
      <c r="D356" t="s">
        <v>1152</v>
      </c>
      <c r="E356" s="3" t="s">
        <v>7</v>
      </c>
      <c r="F356">
        <f>IF(AND($F$15=Datos!$AI$5,Datos!$C$9=Datos!$AI$10),IF(A356&gt;30000,N356,ROUND(N356*Datos!$J$18,Dins)),IF(AND($F$15=Datos!$AI$5,Datos!$C$9=Datos!$AI$9),IF(A356&gt;30000,O356,ROUND(O356*Datos!$J$18,Dins)),IF(AND($F$15=Datos!$AI$6,Datos!$C$9=Datos!$AI$10),IF(A356&gt;30000,P356,ROUND(P356*Datos!$J$18,Dins)),IF(AND($F$15=Datos!$AI$6,Datos!$C$9=Datos!$AI$9),IF(A356&gt;30000,Q356,ROUND(Q356*Datos!$J$18,Dins))))))</f>
        <v>4</v>
      </c>
      <c r="G356">
        <v>0</v>
      </c>
      <c r="H356">
        <v>0</v>
      </c>
      <c r="I356">
        <v>0</v>
      </c>
      <c r="J356">
        <v>0</v>
      </c>
      <c r="N356">
        <v>4.72</v>
      </c>
      <c r="O356">
        <f t="shared" si="15"/>
        <v>4</v>
      </c>
      <c r="P356">
        <f t="shared" si="16"/>
        <v>1.26</v>
      </c>
      <c r="Q356">
        <f t="shared" si="17"/>
        <v>1.07</v>
      </c>
    </row>
    <row r="357" spans="1:17" x14ac:dyDescent="0.2">
      <c r="A357">
        <v>30296</v>
      </c>
      <c r="B357">
        <v>30</v>
      </c>
      <c r="C357" t="s">
        <v>6</v>
      </c>
      <c r="D357" t="s">
        <v>1155</v>
      </c>
      <c r="E357" s="3" t="s">
        <v>7</v>
      </c>
      <c r="F357">
        <f>IF(AND($F$15=Datos!$AI$5,Datos!$C$9=Datos!$AI$10),IF(A357&gt;30000,N357,ROUND(N357*Datos!$J$18,Dins)),IF(AND($F$15=Datos!$AI$5,Datos!$C$9=Datos!$AI$9),IF(A357&gt;30000,O357,ROUND(O357*Datos!$J$18,Dins)),IF(AND($F$15=Datos!$AI$6,Datos!$C$9=Datos!$AI$10),IF(A357&gt;30000,P357,ROUND(P357*Datos!$J$18,Dins)),IF(AND($F$15=Datos!$AI$6,Datos!$C$9=Datos!$AI$9),IF(A357&gt;30000,Q357,ROUND(Q357*Datos!$J$18,Dins))))))</f>
        <v>7</v>
      </c>
      <c r="G357">
        <v>0</v>
      </c>
      <c r="H357">
        <v>0</v>
      </c>
      <c r="I357">
        <v>0</v>
      </c>
      <c r="J357">
        <v>0</v>
      </c>
      <c r="N357">
        <v>8.26</v>
      </c>
      <c r="O357">
        <f t="shared" si="15"/>
        <v>7</v>
      </c>
      <c r="P357">
        <f t="shared" si="16"/>
        <v>2.2000000000000002</v>
      </c>
      <c r="Q357">
        <f t="shared" si="17"/>
        <v>1.86</v>
      </c>
    </row>
    <row r="358" spans="1:17" x14ac:dyDescent="0.2">
      <c r="A358">
        <v>30297</v>
      </c>
      <c r="B358">
        <v>30</v>
      </c>
      <c r="C358" t="s">
        <v>6</v>
      </c>
      <c r="D358" t="s">
        <v>1158</v>
      </c>
      <c r="E358" s="3" t="s">
        <v>7</v>
      </c>
      <c r="F358">
        <f>IF(AND($F$15=Datos!$AI$5,Datos!$C$9=Datos!$AI$10),IF(A358&gt;30000,N358,ROUND(N358*Datos!$J$18,Dins)),IF(AND($F$15=Datos!$AI$5,Datos!$C$9=Datos!$AI$9),IF(A358&gt;30000,O358,ROUND(O358*Datos!$J$18,Dins)),IF(AND($F$15=Datos!$AI$6,Datos!$C$9=Datos!$AI$10),IF(A358&gt;30000,P358,ROUND(P358*Datos!$J$18,Dins)),IF(AND($F$15=Datos!$AI$6,Datos!$C$9=Datos!$AI$9),IF(A358&gt;30000,Q358,ROUND(Q358*Datos!$J$18,Dins))))))</f>
        <v>4</v>
      </c>
      <c r="G358">
        <v>0</v>
      </c>
      <c r="H358">
        <v>0</v>
      </c>
      <c r="I358">
        <v>0</v>
      </c>
      <c r="J358">
        <v>0</v>
      </c>
      <c r="N358">
        <v>4.72</v>
      </c>
      <c r="O358">
        <f t="shared" si="15"/>
        <v>4</v>
      </c>
      <c r="P358">
        <f t="shared" si="16"/>
        <v>1.26</v>
      </c>
      <c r="Q358">
        <f t="shared" si="17"/>
        <v>1.07</v>
      </c>
    </row>
    <row r="359" spans="1:17" x14ac:dyDescent="0.2">
      <c r="A359">
        <v>30298</v>
      </c>
      <c r="B359">
        <v>26</v>
      </c>
      <c r="C359" t="s">
        <v>6</v>
      </c>
      <c r="D359" t="s">
        <v>1162</v>
      </c>
      <c r="E359" s="3" t="s">
        <v>174</v>
      </c>
      <c r="F359">
        <f>IF(AND($F$15=Datos!$AI$5,Datos!$C$9=Datos!$AI$10),IF(A359&gt;30000,N359,ROUND(N359*Datos!$J$18,Dins)),IF(AND($F$15=Datos!$AI$5,Datos!$C$9=Datos!$AI$9),IF(A359&gt;30000,O359,ROUND(O359*Datos!$J$18,Dins)),IF(AND($F$15=Datos!$AI$6,Datos!$C$9=Datos!$AI$10),IF(A359&gt;30000,P359,ROUND(P359*Datos!$J$18,Dins)),IF(AND($F$15=Datos!$AI$6,Datos!$C$9=Datos!$AI$9),IF(A359&gt;30000,Q359,ROUND(Q359*Datos!$J$18,Dins))))))</f>
        <v>150</v>
      </c>
      <c r="G359">
        <v>0</v>
      </c>
      <c r="H359">
        <v>0</v>
      </c>
      <c r="I359">
        <v>0</v>
      </c>
      <c r="J359">
        <v>0</v>
      </c>
      <c r="N359">
        <v>177</v>
      </c>
      <c r="O359">
        <f t="shared" si="15"/>
        <v>150</v>
      </c>
      <c r="P359">
        <f t="shared" si="16"/>
        <v>47.2</v>
      </c>
      <c r="Q359">
        <f t="shared" si="17"/>
        <v>40</v>
      </c>
    </row>
    <row r="360" spans="1:17" x14ac:dyDescent="0.2">
      <c r="A360">
        <v>30299</v>
      </c>
      <c r="B360">
        <v>65</v>
      </c>
      <c r="C360" t="s">
        <v>6</v>
      </c>
      <c r="D360" t="s">
        <v>1163</v>
      </c>
      <c r="E360" s="3" t="s">
        <v>174</v>
      </c>
      <c r="F360">
        <f>IF(AND($F$15=Datos!$AI$5,Datos!$C$9=Datos!$AI$10),IF(A360&gt;30000,N360,ROUND(N360*Datos!$J$18,Dins)),IF(AND($F$15=Datos!$AI$5,Datos!$C$9=Datos!$AI$9),IF(A360&gt;30000,O360,ROUND(O360*Datos!$J$18,Dins)),IF(AND($F$15=Datos!$AI$6,Datos!$C$9=Datos!$AI$10),IF(A360&gt;30000,P360,ROUND(P360*Datos!$J$18,Dins)),IF(AND($F$15=Datos!$AI$6,Datos!$C$9=Datos!$AI$9),IF(A360&gt;30000,Q360,ROUND(Q360*Datos!$J$18,Dins))))))</f>
        <v>45</v>
      </c>
      <c r="G360">
        <v>0</v>
      </c>
      <c r="H360">
        <v>0</v>
      </c>
      <c r="I360">
        <v>0</v>
      </c>
      <c r="J360">
        <v>0</v>
      </c>
      <c r="N360">
        <v>53.1</v>
      </c>
      <c r="O360">
        <f t="shared" si="15"/>
        <v>45</v>
      </c>
      <c r="P360">
        <f t="shared" si="16"/>
        <v>14.16</v>
      </c>
      <c r="Q360">
        <f t="shared" si="17"/>
        <v>12</v>
      </c>
    </row>
    <row r="361" spans="1:17" x14ac:dyDescent="0.2">
      <c r="A361">
        <v>30300</v>
      </c>
      <c r="B361">
        <v>3</v>
      </c>
      <c r="C361" t="s">
        <v>6</v>
      </c>
      <c r="D361" t="s">
        <v>1170</v>
      </c>
      <c r="E361" s="3" t="s">
        <v>33</v>
      </c>
      <c r="F361">
        <f>IF(AND($F$15=Datos!$AI$5,Datos!$C$9=Datos!$AI$10),IF(A361&gt;30000,N361,ROUND(N361*Datos!$J$18,Dins)),IF(AND($F$15=Datos!$AI$5,Datos!$C$9=Datos!$AI$9),IF(A361&gt;30000,O361,ROUND(O361*Datos!$J$18,Dins)),IF(AND($F$15=Datos!$AI$6,Datos!$C$9=Datos!$AI$10),IF(A361&gt;30000,P361,ROUND(P361*Datos!$J$18,Dins)),IF(AND($F$15=Datos!$AI$6,Datos!$C$9=Datos!$AI$9),IF(A361&gt;30000,Q361,ROUND(Q361*Datos!$J$18,Dins))))))</f>
        <v>2.38</v>
      </c>
      <c r="G361">
        <v>0</v>
      </c>
      <c r="H361">
        <v>0</v>
      </c>
      <c r="I361">
        <v>0</v>
      </c>
      <c r="J361">
        <v>0</v>
      </c>
      <c r="N361">
        <v>2.81</v>
      </c>
      <c r="O361">
        <f t="shared" si="15"/>
        <v>2.38</v>
      </c>
      <c r="P361">
        <f t="shared" si="16"/>
        <v>0.75</v>
      </c>
      <c r="Q361">
        <f t="shared" si="17"/>
        <v>0.64</v>
      </c>
    </row>
    <row r="362" spans="1:17" x14ac:dyDescent="0.2">
      <c r="A362">
        <v>30301</v>
      </c>
      <c r="B362">
        <v>72</v>
      </c>
      <c r="C362" t="s">
        <v>6</v>
      </c>
      <c r="D362" t="s">
        <v>1186</v>
      </c>
      <c r="E362" s="3" t="s">
        <v>174</v>
      </c>
      <c r="F362">
        <f>IF(AND($F$15=Datos!$AI$5,Datos!$C$9=Datos!$AI$10),IF(A362&gt;30000,N362,ROUND(N362*Datos!$J$18,Dins)),IF(AND($F$15=Datos!$AI$5,Datos!$C$9=Datos!$AI$9),IF(A362&gt;30000,O362,ROUND(O362*Datos!$J$18,Dins)),IF(AND($F$15=Datos!$AI$6,Datos!$C$9=Datos!$AI$10),IF(A362&gt;30000,P362,ROUND(P362*Datos!$J$18,Dins)),IF(AND($F$15=Datos!$AI$6,Datos!$C$9=Datos!$AI$9),IF(A362&gt;30000,Q362,ROUND(Q362*Datos!$J$18,Dins))))))</f>
        <v>4.25</v>
      </c>
      <c r="G362">
        <v>0</v>
      </c>
      <c r="H362">
        <v>0</v>
      </c>
      <c r="I362">
        <v>0</v>
      </c>
      <c r="J362">
        <v>0</v>
      </c>
      <c r="N362">
        <v>5.01</v>
      </c>
      <c r="O362">
        <f t="shared" si="15"/>
        <v>4.25</v>
      </c>
      <c r="P362">
        <f t="shared" si="16"/>
        <v>1.34</v>
      </c>
      <c r="Q362">
        <f t="shared" si="17"/>
        <v>1.1399999999999999</v>
      </c>
    </row>
    <row r="363" spans="1:17" x14ac:dyDescent="0.2">
      <c r="A363">
        <v>30302</v>
      </c>
      <c r="B363">
        <v>72</v>
      </c>
      <c r="C363" t="s">
        <v>6</v>
      </c>
      <c r="D363" t="s">
        <v>1189</v>
      </c>
      <c r="E363" s="3" t="s">
        <v>7</v>
      </c>
      <c r="F363">
        <f>IF(AND($F$15=Datos!$AI$5,Datos!$C$9=Datos!$AI$10),IF(A363&gt;30000,N363,ROUND(N363*Datos!$J$18,Dins)),IF(AND($F$15=Datos!$AI$5,Datos!$C$9=Datos!$AI$9),IF(A363&gt;30000,O363,ROUND(O363*Datos!$J$18,Dins)),IF(AND($F$15=Datos!$AI$6,Datos!$C$9=Datos!$AI$10),IF(A363&gt;30000,P363,ROUND(P363*Datos!$J$18,Dins)),IF(AND($F$15=Datos!$AI$6,Datos!$C$9=Datos!$AI$9),IF(A363&gt;30000,Q363,ROUND(Q363*Datos!$J$18,Dins))))))</f>
        <v>7.5</v>
      </c>
      <c r="G363">
        <v>0</v>
      </c>
      <c r="H363">
        <v>0</v>
      </c>
      <c r="I363">
        <v>0</v>
      </c>
      <c r="J363">
        <v>0</v>
      </c>
      <c r="N363">
        <v>8.85</v>
      </c>
      <c r="O363">
        <f t="shared" si="15"/>
        <v>7.5</v>
      </c>
      <c r="P363">
        <f t="shared" si="16"/>
        <v>2.36</v>
      </c>
      <c r="Q363">
        <f t="shared" si="17"/>
        <v>2</v>
      </c>
    </row>
    <row r="364" spans="1:17" x14ac:dyDescent="0.2">
      <c r="A364">
        <v>30303</v>
      </c>
      <c r="B364">
        <v>72</v>
      </c>
      <c r="C364" t="s">
        <v>6</v>
      </c>
      <c r="D364" t="s">
        <v>1192</v>
      </c>
      <c r="E364" s="3" t="s">
        <v>7</v>
      </c>
      <c r="F364">
        <f>IF(AND($F$15=Datos!$AI$5,Datos!$C$9=Datos!$AI$10),IF(A364&gt;30000,N364,ROUND(N364*Datos!$J$18,Dins)),IF(AND($F$15=Datos!$AI$5,Datos!$C$9=Datos!$AI$9),IF(A364&gt;30000,O364,ROUND(O364*Datos!$J$18,Dins)),IF(AND($F$15=Datos!$AI$6,Datos!$C$9=Datos!$AI$10),IF(A364&gt;30000,P364,ROUND(P364*Datos!$J$18,Dins)),IF(AND($F$15=Datos!$AI$6,Datos!$C$9=Datos!$AI$9),IF(A364&gt;30000,Q364,ROUND(Q364*Datos!$J$18,Dins))))))</f>
        <v>3.4</v>
      </c>
      <c r="G364">
        <v>0</v>
      </c>
      <c r="H364">
        <v>0</v>
      </c>
      <c r="I364">
        <v>0</v>
      </c>
      <c r="J364">
        <v>0</v>
      </c>
      <c r="N364">
        <v>4.01</v>
      </c>
      <c r="O364">
        <f t="shared" si="15"/>
        <v>3.4</v>
      </c>
      <c r="P364">
        <f t="shared" si="16"/>
        <v>1.07</v>
      </c>
      <c r="Q364">
        <f t="shared" si="17"/>
        <v>0.91</v>
      </c>
    </row>
    <row r="365" spans="1:17" x14ac:dyDescent="0.2">
      <c r="A365">
        <v>30304</v>
      </c>
      <c r="B365">
        <v>7</v>
      </c>
      <c r="C365" t="s">
        <v>6</v>
      </c>
      <c r="D365" t="s">
        <v>1201</v>
      </c>
      <c r="E365" s="3" t="s">
        <v>194</v>
      </c>
      <c r="F365">
        <f>IF(AND($F$15=Datos!$AI$5,Datos!$C$9=Datos!$AI$10),IF(A365&gt;30000,N365,ROUND(N365*Datos!$J$18,Dins)),IF(AND($F$15=Datos!$AI$5,Datos!$C$9=Datos!$AI$9),IF(A365&gt;30000,O365,ROUND(O365*Datos!$J$18,Dins)),IF(AND($F$15=Datos!$AI$6,Datos!$C$9=Datos!$AI$10),IF(A365&gt;30000,P365,ROUND(P365*Datos!$J$18,Dins)),IF(AND($F$15=Datos!$AI$6,Datos!$C$9=Datos!$AI$9),IF(A365&gt;30000,Q365,ROUND(Q365*Datos!$J$18,Dins))))))</f>
        <v>2.33</v>
      </c>
      <c r="G365">
        <v>0</v>
      </c>
      <c r="H365">
        <v>0</v>
      </c>
      <c r="I365">
        <v>0</v>
      </c>
      <c r="J365">
        <v>0</v>
      </c>
      <c r="N365">
        <v>2.75</v>
      </c>
      <c r="O365">
        <f t="shared" si="15"/>
        <v>2.33</v>
      </c>
      <c r="P365">
        <f t="shared" si="16"/>
        <v>0.73</v>
      </c>
      <c r="Q365">
        <f t="shared" si="17"/>
        <v>0.62</v>
      </c>
    </row>
    <row r="366" spans="1:17" x14ac:dyDescent="0.2">
      <c r="A366">
        <v>30305</v>
      </c>
      <c r="B366">
        <v>30</v>
      </c>
      <c r="C366" t="s">
        <v>6</v>
      </c>
      <c r="D366" t="s">
        <v>1202</v>
      </c>
      <c r="E366" s="3" t="s">
        <v>286</v>
      </c>
      <c r="F366">
        <f>IF(AND($F$15=Datos!$AI$5,Datos!$C$9=Datos!$AI$10),IF(A366&gt;30000,N366,ROUND(N366*Datos!$J$18,Dins)),IF(AND($F$15=Datos!$AI$5,Datos!$C$9=Datos!$AI$9),IF(A366&gt;30000,O366,ROUND(O366*Datos!$J$18,Dins)),IF(AND($F$15=Datos!$AI$6,Datos!$C$9=Datos!$AI$10),IF(A366&gt;30000,P366,ROUND(P366*Datos!$J$18,Dins)),IF(AND($F$15=Datos!$AI$6,Datos!$C$9=Datos!$AI$9),IF(A366&gt;30000,Q366,ROUND(Q366*Datos!$J$18,Dins))))))</f>
        <v>8</v>
      </c>
      <c r="G366">
        <v>0</v>
      </c>
      <c r="H366">
        <v>0</v>
      </c>
      <c r="I366">
        <v>0</v>
      </c>
      <c r="J366">
        <v>0</v>
      </c>
      <c r="N366">
        <v>9.44</v>
      </c>
      <c r="O366">
        <f t="shared" si="15"/>
        <v>8</v>
      </c>
      <c r="P366">
        <f t="shared" si="16"/>
        <v>2.52</v>
      </c>
      <c r="Q366">
        <f t="shared" si="17"/>
        <v>2.14</v>
      </c>
    </row>
    <row r="367" spans="1:17" x14ac:dyDescent="0.2">
      <c r="A367">
        <v>30306</v>
      </c>
      <c r="B367">
        <v>7</v>
      </c>
      <c r="C367" t="s">
        <v>6</v>
      </c>
      <c r="D367" t="s">
        <v>1205</v>
      </c>
      <c r="E367" s="3" t="s">
        <v>194</v>
      </c>
      <c r="F367">
        <f>IF(AND($F$15=Datos!$AI$5,Datos!$C$9=Datos!$AI$10),IF(A367&gt;30000,N367,ROUND(N367*Datos!$J$18,Dins)),IF(AND($F$15=Datos!$AI$5,Datos!$C$9=Datos!$AI$9),IF(A367&gt;30000,O367,ROUND(O367*Datos!$J$18,Dins)),IF(AND($F$15=Datos!$AI$6,Datos!$C$9=Datos!$AI$10),IF(A367&gt;30000,P367,ROUND(P367*Datos!$J$18,Dins)),IF(AND($F$15=Datos!$AI$6,Datos!$C$9=Datos!$AI$9),IF(A367&gt;30000,Q367,ROUND(Q367*Datos!$J$18,Dins))))))</f>
        <v>5.68</v>
      </c>
      <c r="G367">
        <v>0</v>
      </c>
      <c r="H367">
        <v>0</v>
      </c>
      <c r="I367">
        <v>0</v>
      </c>
      <c r="J367">
        <v>0</v>
      </c>
      <c r="N367">
        <v>6.7</v>
      </c>
      <c r="O367">
        <f t="shared" si="15"/>
        <v>5.68</v>
      </c>
      <c r="P367">
        <f t="shared" si="16"/>
        <v>1.79</v>
      </c>
      <c r="Q367">
        <f t="shared" si="17"/>
        <v>1.52</v>
      </c>
    </row>
    <row r="368" spans="1:17" x14ac:dyDescent="0.2">
      <c r="A368">
        <v>30307</v>
      </c>
      <c r="B368">
        <v>7</v>
      </c>
      <c r="C368" t="s">
        <v>6</v>
      </c>
      <c r="D368" t="s">
        <v>1206</v>
      </c>
      <c r="E368" s="3" t="s">
        <v>194</v>
      </c>
      <c r="F368">
        <f>IF(AND($F$15=Datos!$AI$5,Datos!$C$9=Datos!$AI$10),IF(A368&gt;30000,N368,ROUND(N368*Datos!$J$18,Dins)),IF(AND($F$15=Datos!$AI$5,Datos!$C$9=Datos!$AI$9),IF(A368&gt;30000,O368,ROUND(O368*Datos!$J$18,Dins)),IF(AND($F$15=Datos!$AI$6,Datos!$C$9=Datos!$AI$10),IF(A368&gt;30000,P368,ROUND(P368*Datos!$J$18,Dins)),IF(AND($F$15=Datos!$AI$6,Datos!$C$9=Datos!$AI$9),IF(A368&gt;30000,Q368,ROUND(Q368*Datos!$J$18,Dins))))))</f>
        <v>8.85</v>
      </c>
      <c r="G368">
        <v>0</v>
      </c>
      <c r="H368">
        <v>0</v>
      </c>
      <c r="I368">
        <v>0</v>
      </c>
      <c r="J368">
        <v>0</v>
      </c>
      <c r="N368">
        <v>10.44</v>
      </c>
      <c r="O368">
        <f t="shared" si="15"/>
        <v>8.85</v>
      </c>
      <c r="P368">
        <f t="shared" si="16"/>
        <v>2.78</v>
      </c>
      <c r="Q368">
        <f t="shared" si="17"/>
        <v>2.36</v>
      </c>
    </row>
    <row r="369" spans="1:17" x14ac:dyDescent="0.2">
      <c r="A369">
        <v>30308</v>
      </c>
      <c r="B369">
        <v>7</v>
      </c>
      <c r="C369" t="s">
        <v>6</v>
      </c>
      <c r="D369" t="s">
        <v>1211</v>
      </c>
      <c r="E369" s="3" t="s">
        <v>194</v>
      </c>
      <c r="F369">
        <f>IF(AND($F$15=Datos!$AI$5,Datos!$C$9=Datos!$AI$10),IF(A369&gt;30000,N369,ROUND(N369*Datos!$J$18,Dins)),IF(AND($F$15=Datos!$AI$5,Datos!$C$9=Datos!$AI$9),IF(A369&gt;30000,O369,ROUND(O369*Datos!$J$18,Dins)),IF(AND($F$15=Datos!$AI$6,Datos!$C$9=Datos!$AI$10),IF(A369&gt;30000,P369,ROUND(P369*Datos!$J$18,Dins)),IF(AND($F$15=Datos!$AI$6,Datos!$C$9=Datos!$AI$9),IF(A369&gt;30000,Q369,ROUND(Q369*Datos!$J$18,Dins))))))</f>
        <v>1.54</v>
      </c>
      <c r="G369">
        <v>0</v>
      </c>
      <c r="H369">
        <v>0</v>
      </c>
      <c r="I369">
        <v>0</v>
      </c>
      <c r="J369">
        <v>0</v>
      </c>
      <c r="N369">
        <v>1.82</v>
      </c>
      <c r="O369">
        <f t="shared" si="15"/>
        <v>1.54</v>
      </c>
      <c r="P369">
        <f t="shared" si="16"/>
        <v>0.49</v>
      </c>
      <c r="Q369">
        <f t="shared" si="17"/>
        <v>0.42</v>
      </c>
    </row>
    <row r="370" spans="1:17" x14ac:dyDescent="0.2">
      <c r="A370">
        <v>30309</v>
      </c>
      <c r="B370">
        <v>7</v>
      </c>
      <c r="C370" t="s">
        <v>6</v>
      </c>
      <c r="D370" t="s">
        <v>1214</v>
      </c>
      <c r="E370" s="3" t="s">
        <v>194</v>
      </c>
      <c r="F370">
        <f>IF(AND($F$15=Datos!$AI$5,Datos!$C$9=Datos!$AI$10),IF(A370&gt;30000,N370,ROUND(N370*Datos!$J$18,Dins)),IF(AND($F$15=Datos!$AI$5,Datos!$C$9=Datos!$AI$9),IF(A370&gt;30000,O370,ROUND(O370*Datos!$J$18,Dins)),IF(AND($F$15=Datos!$AI$6,Datos!$C$9=Datos!$AI$10),IF(A370&gt;30000,P370,ROUND(P370*Datos!$J$18,Dins)),IF(AND($F$15=Datos!$AI$6,Datos!$C$9=Datos!$AI$9),IF(A370&gt;30000,Q370,ROUND(Q370*Datos!$J$18,Dins))))))</f>
        <v>3.8</v>
      </c>
      <c r="G370">
        <v>0</v>
      </c>
      <c r="H370">
        <v>0</v>
      </c>
      <c r="I370">
        <v>0</v>
      </c>
      <c r="J370">
        <v>0</v>
      </c>
      <c r="N370">
        <v>4.4800000000000004</v>
      </c>
      <c r="O370">
        <f t="shared" si="15"/>
        <v>3.8</v>
      </c>
      <c r="P370">
        <f t="shared" si="16"/>
        <v>1.19</v>
      </c>
      <c r="Q370">
        <f t="shared" si="17"/>
        <v>1.01</v>
      </c>
    </row>
    <row r="371" spans="1:17" x14ac:dyDescent="0.2">
      <c r="A371">
        <v>30310</v>
      </c>
      <c r="B371">
        <v>73</v>
      </c>
      <c r="C371" t="s">
        <v>6</v>
      </c>
      <c r="D371" t="s">
        <v>1221</v>
      </c>
      <c r="E371" s="3" t="s">
        <v>7</v>
      </c>
      <c r="F371">
        <f>IF(AND($F$15=Datos!$AI$5,Datos!$C$9=Datos!$AI$10),IF(A371&gt;30000,N371,ROUND(N371*Datos!$J$18,Dins)),IF(AND($F$15=Datos!$AI$5,Datos!$C$9=Datos!$AI$9),IF(A371&gt;30000,O371,ROUND(O371*Datos!$J$18,Dins)),IF(AND($F$15=Datos!$AI$6,Datos!$C$9=Datos!$AI$10),IF(A371&gt;30000,P371,ROUND(P371*Datos!$J$18,Dins)),IF(AND($F$15=Datos!$AI$6,Datos!$C$9=Datos!$AI$9),IF(A371&gt;30000,Q371,ROUND(Q371*Datos!$J$18,Dins))))))</f>
        <v>3.8</v>
      </c>
      <c r="G371">
        <v>0</v>
      </c>
      <c r="H371">
        <v>0</v>
      </c>
      <c r="I371">
        <v>0</v>
      </c>
      <c r="J371">
        <v>0</v>
      </c>
      <c r="N371">
        <v>4.4800000000000004</v>
      </c>
      <c r="O371">
        <f t="shared" si="15"/>
        <v>3.8</v>
      </c>
      <c r="P371">
        <f t="shared" si="16"/>
        <v>1.19</v>
      </c>
      <c r="Q371">
        <f t="shared" si="17"/>
        <v>1.01</v>
      </c>
    </row>
    <row r="372" spans="1:17" x14ac:dyDescent="0.2">
      <c r="A372">
        <v>30311</v>
      </c>
      <c r="B372">
        <v>73</v>
      </c>
      <c r="C372" t="s">
        <v>6</v>
      </c>
      <c r="D372" t="s">
        <v>1222</v>
      </c>
      <c r="E372" s="3" t="s">
        <v>7</v>
      </c>
      <c r="F372">
        <f>IF(AND($F$15=Datos!$AI$5,Datos!$C$9=Datos!$AI$10),IF(A372&gt;30000,N372,ROUND(N372*Datos!$J$18,Dins)),IF(AND($F$15=Datos!$AI$5,Datos!$C$9=Datos!$AI$9),IF(A372&gt;30000,O372,ROUND(O372*Datos!$J$18,Dins)),IF(AND($F$15=Datos!$AI$6,Datos!$C$9=Datos!$AI$10),IF(A372&gt;30000,P372,ROUND(P372*Datos!$J$18,Dins)),IF(AND($F$15=Datos!$AI$6,Datos!$C$9=Datos!$AI$9),IF(A372&gt;30000,Q372,ROUND(Q372*Datos!$J$18,Dins))))))</f>
        <v>0.3</v>
      </c>
      <c r="G372">
        <v>0</v>
      </c>
      <c r="H372">
        <v>0</v>
      </c>
      <c r="I372">
        <v>0</v>
      </c>
      <c r="J372">
        <v>0</v>
      </c>
      <c r="N372">
        <v>0.35</v>
      </c>
      <c r="O372">
        <f t="shared" si="15"/>
        <v>0.3</v>
      </c>
      <c r="P372">
        <f t="shared" si="16"/>
        <v>0.09</v>
      </c>
      <c r="Q372">
        <f t="shared" si="17"/>
        <v>0.08</v>
      </c>
    </row>
    <row r="373" spans="1:17" x14ac:dyDescent="0.2">
      <c r="A373">
        <v>30312</v>
      </c>
      <c r="B373">
        <v>72</v>
      </c>
      <c r="C373" t="s">
        <v>6</v>
      </c>
      <c r="D373" t="s">
        <v>1223</v>
      </c>
      <c r="E373" s="3" t="s">
        <v>7</v>
      </c>
      <c r="F373">
        <f>IF(AND($F$15=Datos!$AI$5,Datos!$C$9=Datos!$AI$10),IF(A373&gt;30000,N373,ROUND(N373*Datos!$J$18,Dins)),IF(AND($F$15=Datos!$AI$5,Datos!$C$9=Datos!$AI$9),IF(A373&gt;30000,O373,ROUND(O373*Datos!$J$18,Dins)),IF(AND($F$15=Datos!$AI$6,Datos!$C$9=Datos!$AI$10),IF(A373&gt;30000,P373,ROUND(P373*Datos!$J$18,Dins)),IF(AND($F$15=Datos!$AI$6,Datos!$C$9=Datos!$AI$9),IF(A373&gt;30000,Q373,ROUND(Q373*Datos!$J$18,Dins))))))</f>
        <v>0.6</v>
      </c>
      <c r="G373">
        <v>0</v>
      </c>
      <c r="H373">
        <v>0</v>
      </c>
      <c r="I373">
        <v>0</v>
      </c>
      <c r="J373">
        <v>0</v>
      </c>
      <c r="N373">
        <v>0.71</v>
      </c>
      <c r="O373">
        <f t="shared" si="15"/>
        <v>0.6</v>
      </c>
      <c r="P373">
        <f t="shared" si="16"/>
        <v>0.19</v>
      </c>
      <c r="Q373">
        <f t="shared" si="17"/>
        <v>0.16</v>
      </c>
    </row>
    <row r="374" spans="1:17" x14ac:dyDescent="0.2">
      <c r="A374">
        <v>30313</v>
      </c>
      <c r="B374">
        <v>73</v>
      </c>
      <c r="C374" t="s">
        <v>6</v>
      </c>
      <c r="D374" t="s">
        <v>1224</v>
      </c>
      <c r="E374" s="3" t="s">
        <v>7</v>
      </c>
      <c r="F374">
        <f>IF(AND($F$15=Datos!$AI$5,Datos!$C$9=Datos!$AI$10),IF(A374&gt;30000,N374,ROUND(N374*Datos!$J$18,Dins)),IF(AND($F$15=Datos!$AI$5,Datos!$C$9=Datos!$AI$9),IF(A374&gt;30000,O374,ROUND(O374*Datos!$J$18,Dins)),IF(AND($F$15=Datos!$AI$6,Datos!$C$9=Datos!$AI$10),IF(A374&gt;30000,P374,ROUND(P374*Datos!$J$18,Dins)),IF(AND($F$15=Datos!$AI$6,Datos!$C$9=Datos!$AI$9),IF(A374&gt;30000,Q374,ROUND(Q374*Datos!$J$18,Dins))))))</f>
        <v>0.81</v>
      </c>
      <c r="G374">
        <v>0</v>
      </c>
      <c r="H374">
        <v>0</v>
      </c>
      <c r="I374">
        <v>0</v>
      </c>
      <c r="J374">
        <v>0</v>
      </c>
      <c r="N374">
        <v>0.96</v>
      </c>
      <c r="O374">
        <f t="shared" si="15"/>
        <v>0.81</v>
      </c>
      <c r="P374">
        <f t="shared" si="16"/>
        <v>0.26</v>
      </c>
      <c r="Q374">
        <f t="shared" si="17"/>
        <v>0.22</v>
      </c>
    </row>
    <row r="375" spans="1:17" x14ac:dyDescent="0.2">
      <c r="A375">
        <v>30314</v>
      </c>
      <c r="B375">
        <v>73</v>
      </c>
      <c r="C375" t="s">
        <v>6</v>
      </c>
      <c r="D375" t="s">
        <v>1229</v>
      </c>
      <c r="E375" s="3" t="s">
        <v>7</v>
      </c>
      <c r="F375">
        <f>IF(AND($F$15=Datos!$AI$5,Datos!$C$9=Datos!$AI$10),IF(A375&gt;30000,N375,ROUND(N375*Datos!$J$18,Dins)),IF(AND($F$15=Datos!$AI$5,Datos!$C$9=Datos!$AI$9),IF(A375&gt;30000,O375,ROUND(O375*Datos!$J$18,Dins)),IF(AND($F$15=Datos!$AI$6,Datos!$C$9=Datos!$AI$10),IF(A375&gt;30000,P375,ROUND(P375*Datos!$J$18,Dins)),IF(AND($F$15=Datos!$AI$6,Datos!$C$9=Datos!$AI$9),IF(A375&gt;30000,Q375,ROUND(Q375*Datos!$J$18,Dins))))))</f>
        <v>1.5</v>
      </c>
      <c r="G375">
        <v>0</v>
      </c>
      <c r="H375">
        <v>0</v>
      </c>
      <c r="I375">
        <v>0</v>
      </c>
      <c r="J375">
        <v>0</v>
      </c>
      <c r="N375">
        <v>1.77</v>
      </c>
      <c r="O375">
        <f t="shared" si="15"/>
        <v>1.5</v>
      </c>
      <c r="P375">
        <f t="shared" si="16"/>
        <v>0.47</v>
      </c>
      <c r="Q375">
        <f t="shared" si="17"/>
        <v>0.4</v>
      </c>
    </row>
    <row r="376" spans="1:17" x14ac:dyDescent="0.2">
      <c r="A376">
        <v>30315</v>
      </c>
      <c r="B376">
        <v>73</v>
      </c>
      <c r="C376" t="s">
        <v>6</v>
      </c>
      <c r="D376" t="s">
        <v>1230</v>
      </c>
      <c r="E376" s="3" t="s">
        <v>7</v>
      </c>
      <c r="F376">
        <f>IF(AND($F$15=Datos!$AI$5,Datos!$C$9=Datos!$AI$10),IF(A376&gt;30000,N376,ROUND(N376*Datos!$J$18,Dins)),IF(AND($F$15=Datos!$AI$5,Datos!$C$9=Datos!$AI$9),IF(A376&gt;30000,O376,ROUND(O376*Datos!$J$18,Dins)),IF(AND($F$15=Datos!$AI$6,Datos!$C$9=Datos!$AI$10),IF(A376&gt;30000,P376,ROUND(P376*Datos!$J$18,Dins)),IF(AND($F$15=Datos!$AI$6,Datos!$C$9=Datos!$AI$9),IF(A376&gt;30000,Q376,ROUND(Q376*Datos!$J$18,Dins))))))</f>
        <v>5.9</v>
      </c>
      <c r="G376">
        <v>0</v>
      </c>
      <c r="H376">
        <v>0</v>
      </c>
      <c r="I376">
        <v>0</v>
      </c>
      <c r="J376">
        <v>0</v>
      </c>
      <c r="N376">
        <v>6.96</v>
      </c>
      <c r="O376">
        <f t="shared" si="15"/>
        <v>5.9</v>
      </c>
      <c r="P376">
        <f t="shared" si="16"/>
        <v>1.86</v>
      </c>
      <c r="Q376">
        <f t="shared" si="17"/>
        <v>1.58</v>
      </c>
    </row>
    <row r="377" spans="1:17" x14ac:dyDescent="0.2">
      <c r="A377">
        <v>30316</v>
      </c>
      <c r="B377">
        <v>72</v>
      </c>
      <c r="C377" t="s">
        <v>6</v>
      </c>
      <c r="D377" t="s">
        <v>1231</v>
      </c>
      <c r="E377" s="3" t="s">
        <v>7</v>
      </c>
      <c r="F377">
        <f>IF(AND($F$15=Datos!$AI$5,Datos!$C$9=Datos!$AI$10),IF(A377&gt;30000,N377,ROUND(N377*Datos!$J$18,Dins)),IF(AND($F$15=Datos!$AI$5,Datos!$C$9=Datos!$AI$9),IF(A377&gt;30000,O377,ROUND(O377*Datos!$J$18,Dins)),IF(AND($F$15=Datos!$AI$6,Datos!$C$9=Datos!$AI$10),IF(A377&gt;30000,P377,ROUND(P377*Datos!$J$18,Dins)),IF(AND($F$15=Datos!$AI$6,Datos!$C$9=Datos!$AI$9),IF(A377&gt;30000,Q377,ROUND(Q377*Datos!$J$18,Dins))))))</f>
        <v>1</v>
      </c>
      <c r="G377">
        <v>0</v>
      </c>
      <c r="H377">
        <v>0</v>
      </c>
      <c r="I377">
        <v>0</v>
      </c>
      <c r="J377">
        <v>0</v>
      </c>
      <c r="N377">
        <v>1.18</v>
      </c>
      <c r="O377">
        <f t="shared" si="15"/>
        <v>1</v>
      </c>
      <c r="P377">
        <f t="shared" si="16"/>
        <v>0.31</v>
      </c>
      <c r="Q377">
        <f t="shared" si="17"/>
        <v>0.26</v>
      </c>
    </row>
    <row r="378" spans="1:17" x14ac:dyDescent="0.2">
      <c r="A378">
        <v>30317</v>
      </c>
      <c r="B378">
        <v>73</v>
      </c>
      <c r="C378" t="s">
        <v>6</v>
      </c>
      <c r="D378" t="s">
        <v>1232</v>
      </c>
      <c r="E378" s="3" t="s">
        <v>7</v>
      </c>
      <c r="F378">
        <f>IF(AND($F$15=Datos!$AI$5,Datos!$C$9=Datos!$AI$10),IF(A378&gt;30000,N378,ROUND(N378*Datos!$J$18,Dins)),IF(AND($F$15=Datos!$AI$5,Datos!$C$9=Datos!$AI$9),IF(A378&gt;30000,O378,ROUND(O378*Datos!$J$18,Dins)),IF(AND($F$15=Datos!$AI$6,Datos!$C$9=Datos!$AI$10),IF(A378&gt;30000,P378,ROUND(P378*Datos!$J$18,Dins)),IF(AND($F$15=Datos!$AI$6,Datos!$C$9=Datos!$AI$9),IF(A378&gt;30000,Q378,ROUND(Q378*Datos!$J$18,Dins))))))</f>
        <v>1.2</v>
      </c>
      <c r="G378">
        <v>0</v>
      </c>
      <c r="H378">
        <v>0</v>
      </c>
      <c r="I378">
        <v>0</v>
      </c>
      <c r="J378">
        <v>0</v>
      </c>
      <c r="N378">
        <v>1.42</v>
      </c>
      <c r="O378">
        <f t="shared" si="15"/>
        <v>1.2</v>
      </c>
      <c r="P378">
        <f t="shared" si="16"/>
        <v>0.38</v>
      </c>
      <c r="Q378">
        <f t="shared" si="17"/>
        <v>0.32</v>
      </c>
    </row>
    <row r="379" spans="1:17" x14ac:dyDescent="0.2">
      <c r="A379">
        <v>30318</v>
      </c>
      <c r="B379">
        <v>73</v>
      </c>
      <c r="C379" t="s">
        <v>6</v>
      </c>
      <c r="D379" t="s">
        <v>1235</v>
      </c>
      <c r="E379" s="3" t="s">
        <v>7</v>
      </c>
      <c r="F379">
        <f>IF(AND($F$15=Datos!$AI$5,Datos!$C$9=Datos!$AI$10),IF(A379&gt;30000,N379,ROUND(N379*Datos!$J$18,Dins)),IF(AND($F$15=Datos!$AI$5,Datos!$C$9=Datos!$AI$9),IF(A379&gt;30000,O379,ROUND(O379*Datos!$J$18,Dins)),IF(AND($F$15=Datos!$AI$6,Datos!$C$9=Datos!$AI$10),IF(A379&gt;30000,P379,ROUND(P379*Datos!$J$18,Dins)),IF(AND($F$15=Datos!$AI$6,Datos!$C$9=Datos!$AI$9),IF(A379&gt;30000,Q379,ROUND(Q379*Datos!$J$18,Dins))))))</f>
        <v>2.2000000000000002</v>
      </c>
      <c r="G379">
        <v>0</v>
      </c>
      <c r="H379">
        <v>0</v>
      </c>
      <c r="I379">
        <v>0</v>
      </c>
      <c r="J379">
        <v>0</v>
      </c>
      <c r="N379">
        <v>2.6</v>
      </c>
      <c r="O379">
        <f t="shared" si="15"/>
        <v>2.2000000000000002</v>
      </c>
      <c r="P379">
        <f t="shared" si="16"/>
        <v>0.69</v>
      </c>
      <c r="Q379">
        <f t="shared" si="17"/>
        <v>0.57999999999999996</v>
      </c>
    </row>
    <row r="380" spans="1:17" x14ac:dyDescent="0.2">
      <c r="A380">
        <v>30319</v>
      </c>
      <c r="B380">
        <v>73</v>
      </c>
      <c r="C380" t="s">
        <v>6</v>
      </c>
      <c r="D380" t="s">
        <v>1236</v>
      </c>
      <c r="E380" s="3" t="s">
        <v>7</v>
      </c>
      <c r="F380">
        <f>IF(AND($F$15=Datos!$AI$5,Datos!$C$9=Datos!$AI$10),IF(A380&gt;30000,N380,ROUND(N380*Datos!$J$18,Dins)),IF(AND($F$15=Datos!$AI$5,Datos!$C$9=Datos!$AI$9),IF(A380&gt;30000,O380,ROUND(O380*Datos!$J$18,Dins)),IF(AND($F$15=Datos!$AI$6,Datos!$C$9=Datos!$AI$10),IF(A380&gt;30000,P380,ROUND(P380*Datos!$J$18,Dins)),IF(AND($F$15=Datos!$AI$6,Datos!$C$9=Datos!$AI$9),IF(A380&gt;30000,Q380,ROUND(Q380*Datos!$J$18,Dins))))))</f>
        <v>0.5</v>
      </c>
      <c r="G380">
        <v>0</v>
      </c>
      <c r="H380">
        <v>0</v>
      </c>
      <c r="I380">
        <v>0</v>
      </c>
      <c r="J380">
        <v>0</v>
      </c>
      <c r="N380">
        <v>0.59</v>
      </c>
      <c r="O380">
        <f t="shared" si="15"/>
        <v>0.5</v>
      </c>
      <c r="P380">
        <f t="shared" si="16"/>
        <v>0.16</v>
      </c>
      <c r="Q380">
        <f t="shared" si="17"/>
        <v>0.14000000000000001</v>
      </c>
    </row>
    <row r="381" spans="1:17" x14ac:dyDescent="0.2">
      <c r="A381">
        <v>30320</v>
      </c>
      <c r="B381">
        <v>72</v>
      </c>
      <c r="C381" t="s">
        <v>6</v>
      </c>
      <c r="D381" t="s">
        <v>1237</v>
      </c>
      <c r="E381" s="3" t="s">
        <v>7</v>
      </c>
      <c r="F381">
        <f>IF(AND($F$15=Datos!$AI$5,Datos!$C$9=Datos!$AI$10),IF(A381&gt;30000,N381,ROUND(N381*Datos!$J$18,Dins)),IF(AND($F$15=Datos!$AI$5,Datos!$C$9=Datos!$AI$9),IF(A381&gt;30000,O381,ROUND(O381*Datos!$J$18,Dins)),IF(AND($F$15=Datos!$AI$6,Datos!$C$9=Datos!$AI$10),IF(A381&gt;30000,P381,ROUND(P381*Datos!$J$18,Dins)),IF(AND($F$15=Datos!$AI$6,Datos!$C$9=Datos!$AI$9),IF(A381&gt;30000,Q381,ROUND(Q381*Datos!$J$18,Dins))))))</f>
        <v>0.4</v>
      </c>
      <c r="G381">
        <v>0</v>
      </c>
      <c r="H381">
        <v>0</v>
      </c>
      <c r="I381">
        <v>0</v>
      </c>
      <c r="J381">
        <v>0</v>
      </c>
      <c r="N381">
        <v>0.47</v>
      </c>
      <c r="O381">
        <f t="shared" si="15"/>
        <v>0.4</v>
      </c>
      <c r="P381">
        <f t="shared" si="16"/>
        <v>0.13</v>
      </c>
      <c r="Q381">
        <f t="shared" si="17"/>
        <v>0.11</v>
      </c>
    </row>
    <row r="382" spans="1:17" x14ac:dyDescent="0.2">
      <c r="A382">
        <v>30321</v>
      </c>
      <c r="B382">
        <v>73</v>
      </c>
      <c r="C382" t="s">
        <v>6</v>
      </c>
      <c r="D382" t="s">
        <v>1238</v>
      </c>
      <c r="E382" s="3" t="s">
        <v>7</v>
      </c>
      <c r="F382">
        <f>IF(AND($F$15=Datos!$AI$5,Datos!$C$9=Datos!$AI$10),IF(A382&gt;30000,N382,ROUND(N382*Datos!$J$18,Dins)),IF(AND($F$15=Datos!$AI$5,Datos!$C$9=Datos!$AI$9),IF(A382&gt;30000,O382,ROUND(O382*Datos!$J$18,Dins)),IF(AND($F$15=Datos!$AI$6,Datos!$C$9=Datos!$AI$10),IF(A382&gt;30000,P382,ROUND(P382*Datos!$J$18,Dins)),IF(AND($F$15=Datos!$AI$6,Datos!$C$9=Datos!$AI$9),IF(A382&gt;30000,Q382,ROUND(Q382*Datos!$J$18,Dins))))))</f>
        <v>0.4</v>
      </c>
      <c r="G382">
        <v>0</v>
      </c>
      <c r="H382">
        <v>0</v>
      </c>
      <c r="I382">
        <v>0</v>
      </c>
      <c r="J382">
        <v>0</v>
      </c>
      <c r="N382">
        <v>0.47</v>
      </c>
      <c r="O382">
        <f t="shared" si="15"/>
        <v>0.4</v>
      </c>
      <c r="P382">
        <f t="shared" si="16"/>
        <v>0.13</v>
      </c>
      <c r="Q382">
        <f t="shared" si="17"/>
        <v>0.11</v>
      </c>
    </row>
    <row r="383" spans="1:17" x14ac:dyDescent="0.2">
      <c r="A383">
        <v>30322</v>
      </c>
      <c r="B383">
        <v>12</v>
      </c>
      <c r="C383" t="s">
        <v>6</v>
      </c>
      <c r="D383" t="s">
        <v>1243</v>
      </c>
      <c r="E383" s="3" t="s">
        <v>7</v>
      </c>
      <c r="F383">
        <f>IF(AND($F$15=Datos!$AI$5,Datos!$C$9=Datos!$AI$10),IF(A383&gt;30000,N383,ROUND(N383*Datos!$J$18,Dins)),IF(AND($F$15=Datos!$AI$5,Datos!$C$9=Datos!$AI$9),IF(A383&gt;30000,O383,ROUND(O383*Datos!$J$18,Dins)),IF(AND($F$15=Datos!$AI$6,Datos!$C$9=Datos!$AI$10),IF(A383&gt;30000,P383,ROUND(P383*Datos!$J$18,Dins)),IF(AND($F$15=Datos!$AI$6,Datos!$C$9=Datos!$AI$9),IF(A383&gt;30000,Q383,ROUND(Q383*Datos!$J$18,Dins))))))</f>
        <v>9.5</v>
      </c>
      <c r="G383">
        <v>0</v>
      </c>
      <c r="H383">
        <v>0</v>
      </c>
      <c r="I383">
        <v>0</v>
      </c>
      <c r="J383">
        <v>0</v>
      </c>
      <c r="N383">
        <v>11.21</v>
      </c>
      <c r="O383">
        <f t="shared" si="15"/>
        <v>9.5</v>
      </c>
      <c r="P383">
        <f t="shared" si="16"/>
        <v>2.99</v>
      </c>
      <c r="Q383">
        <f t="shared" si="17"/>
        <v>2.5299999999999998</v>
      </c>
    </row>
    <row r="384" spans="1:17" x14ac:dyDescent="0.2">
      <c r="A384">
        <v>30323</v>
      </c>
      <c r="B384">
        <v>12</v>
      </c>
      <c r="C384" t="s">
        <v>6</v>
      </c>
      <c r="D384" t="s">
        <v>1246</v>
      </c>
      <c r="E384" s="3" t="s">
        <v>7</v>
      </c>
      <c r="F384">
        <f>IF(AND($F$15=Datos!$AI$5,Datos!$C$9=Datos!$AI$10),IF(A384&gt;30000,N384,ROUND(N384*Datos!$J$18,Dins)),IF(AND($F$15=Datos!$AI$5,Datos!$C$9=Datos!$AI$9),IF(A384&gt;30000,O384,ROUND(O384*Datos!$J$18,Dins)),IF(AND($F$15=Datos!$AI$6,Datos!$C$9=Datos!$AI$10),IF(A384&gt;30000,P384,ROUND(P384*Datos!$J$18,Dins)),IF(AND($F$15=Datos!$AI$6,Datos!$C$9=Datos!$AI$9),IF(A384&gt;30000,Q384,ROUND(Q384*Datos!$J$18,Dins))))))</f>
        <v>11.8</v>
      </c>
      <c r="G384">
        <v>0</v>
      </c>
      <c r="H384">
        <v>0</v>
      </c>
      <c r="I384">
        <v>0</v>
      </c>
      <c r="J384">
        <v>0</v>
      </c>
      <c r="N384">
        <v>13.92</v>
      </c>
      <c r="O384">
        <f t="shared" si="15"/>
        <v>11.8</v>
      </c>
      <c r="P384">
        <f t="shared" si="16"/>
        <v>3.71</v>
      </c>
      <c r="Q384">
        <f t="shared" si="17"/>
        <v>3.14</v>
      </c>
    </row>
    <row r="385" spans="1:17" x14ac:dyDescent="0.2">
      <c r="A385">
        <v>30324</v>
      </c>
      <c r="B385">
        <v>12</v>
      </c>
      <c r="C385" t="s">
        <v>6</v>
      </c>
      <c r="D385" t="s">
        <v>1249</v>
      </c>
      <c r="E385" s="3" t="s">
        <v>7</v>
      </c>
      <c r="F385">
        <f>IF(AND($F$15=Datos!$AI$5,Datos!$C$9=Datos!$AI$10),IF(A385&gt;30000,N385,ROUND(N385*Datos!$J$18,Dins)),IF(AND($F$15=Datos!$AI$5,Datos!$C$9=Datos!$AI$9),IF(A385&gt;30000,O385,ROUND(O385*Datos!$J$18,Dins)),IF(AND($F$15=Datos!$AI$6,Datos!$C$9=Datos!$AI$10),IF(A385&gt;30000,P385,ROUND(P385*Datos!$J$18,Dins)),IF(AND($F$15=Datos!$AI$6,Datos!$C$9=Datos!$AI$9),IF(A385&gt;30000,Q385,ROUND(Q385*Datos!$J$18,Dins))))))</f>
        <v>43.5</v>
      </c>
      <c r="G385">
        <v>0</v>
      </c>
      <c r="H385">
        <v>0</v>
      </c>
      <c r="I385">
        <v>0</v>
      </c>
      <c r="J385">
        <v>0</v>
      </c>
      <c r="N385">
        <v>51.33</v>
      </c>
      <c r="O385">
        <f t="shared" si="15"/>
        <v>43.5</v>
      </c>
      <c r="P385">
        <f t="shared" si="16"/>
        <v>13.69</v>
      </c>
      <c r="Q385">
        <f t="shared" si="17"/>
        <v>11.6</v>
      </c>
    </row>
    <row r="386" spans="1:17" x14ac:dyDescent="0.2">
      <c r="A386">
        <v>30325</v>
      </c>
      <c r="B386">
        <v>12</v>
      </c>
      <c r="C386" t="s">
        <v>6</v>
      </c>
      <c r="D386" t="s">
        <v>1252</v>
      </c>
      <c r="E386" s="3" t="s">
        <v>7</v>
      </c>
      <c r="F386">
        <f>IF(AND($F$15=Datos!$AI$5,Datos!$C$9=Datos!$AI$10),IF(A386&gt;30000,N386,ROUND(N386*Datos!$J$18,Dins)),IF(AND($F$15=Datos!$AI$5,Datos!$C$9=Datos!$AI$9),IF(A386&gt;30000,O386,ROUND(O386*Datos!$J$18,Dins)),IF(AND($F$15=Datos!$AI$6,Datos!$C$9=Datos!$AI$10),IF(A386&gt;30000,P386,ROUND(P386*Datos!$J$18,Dins)),IF(AND($F$15=Datos!$AI$6,Datos!$C$9=Datos!$AI$9),IF(A386&gt;30000,Q386,ROUND(Q386*Datos!$J$18,Dins))))))</f>
        <v>55</v>
      </c>
      <c r="G386">
        <v>0</v>
      </c>
      <c r="H386">
        <v>0</v>
      </c>
      <c r="I386">
        <v>0</v>
      </c>
      <c r="J386">
        <v>0</v>
      </c>
      <c r="N386">
        <v>64.900000000000006</v>
      </c>
      <c r="O386">
        <f t="shared" si="15"/>
        <v>55</v>
      </c>
      <c r="P386">
        <f t="shared" si="16"/>
        <v>17.309999999999999</v>
      </c>
      <c r="Q386">
        <f t="shared" si="17"/>
        <v>14.67</v>
      </c>
    </row>
    <row r="387" spans="1:17" x14ac:dyDescent="0.2">
      <c r="A387">
        <v>30326</v>
      </c>
      <c r="B387">
        <v>12</v>
      </c>
      <c r="C387" t="s">
        <v>6</v>
      </c>
      <c r="D387" t="s">
        <v>1255</v>
      </c>
      <c r="E387" s="3" t="s">
        <v>7</v>
      </c>
      <c r="F387">
        <f>IF(AND($F$15=Datos!$AI$5,Datos!$C$9=Datos!$AI$10),IF(A387&gt;30000,N387,ROUND(N387*Datos!$J$18,Dins)),IF(AND($F$15=Datos!$AI$5,Datos!$C$9=Datos!$AI$9),IF(A387&gt;30000,O387,ROUND(O387*Datos!$J$18,Dins)),IF(AND($F$15=Datos!$AI$6,Datos!$C$9=Datos!$AI$10),IF(A387&gt;30000,P387,ROUND(P387*Datos!$J$18,Dins)),IF(AND($F$15=Datos!$AI$6,Datos!$C$9=Datos!$AI$9),IF(A387&gt;30000,Q387,ROUND(Q387*Datos!$J$18,Dins))))))</f>
        <v>118.5</v>
      </c>
      <c r="G387">
        <v>0</v>
      </c>
      <c r="H387">
        <v>0</v>
      </c>
      <c r="I387">
        <v>0</v>
      </c>
      <c r="J387">
        <v>0</v>
      </c>
      <c r="N387">
        <v>139.83000000000001</v>
      </c>
      <c r="O387">
        <f t="shared" si="15"/>
        <v>118.5</v>
      </c>
      <c r="P387">
        <f t="shared" si="16"/>
        <v>37.29</v>
      </c>
      <c r="Q387">
        <f t="shared" si="17"/>
        <v>31.6</v>
      </c>
    </row>
    <row r="388" spans="1:17" x14ac:dyDescent="0.2">
      <c r="A388">
        <v>30327</v>
      </c>
      <c r="B388">
        <v>30</v>
      </c>
      <c r="C388" t="s">
        <v>6</v>
      </c>
      <c r="D388" t="s">
        <v>1260</v>
      </c>
      <c r="E388" s="3" t="s">
        <v>7</v>
      </c>
      <c r="F388">
        <f>IF(AND($F$15=Datos!$AI$5,Datos!$C$9=Datos!$AI$10),IF(A388&gt;30000,N388,ROUND(N388*Datos!$J$18,Dins)),IF(AND($F$15=Datos!$AI$5,Datos!$C$9=Datos!$AI$9),IF(A388&gt;30000,O388,ROUND(O388*Datos!$J$18,Dins)),IF(AND($F$15=Datos!$AI$6,Datos!$C$9=Datos!$AI$10),IF(A388&gt;30000,P388,ROUND(P388*Datos!$J$18,Dins)),IF(AND($F$15=Datos!$AI$6,Datos!$C$9=Datos!$AI$9),IF(A388&gt;30000,Q388,ROUND(Q388*Datos!$J$18,Dins))))))</f>
        <v>352</v>
      </c>
      <c r="G388">
        <v>0</v>
      </c>
      <c r="H388">
        <v>0</v>
      </c>
      <c r="I388">
        <v>0</v>
      </c>
      <c r="J388">
        <v>0</v>
      </c>
      <c r="N388">
        <v>415.36</v>
      </c>
      <c r="O388">
        <f t="shared" si="15"/>
        <v>352</v>
      </c>
      <c r="P388">
        <f t="shared" si="16"/>
        <v>110.76</v>
      </c>
      <c r="Q388">
        <f t="shared" si="17"/>
        <v>93.86</v>
      </c>
    </row>
    <row r="389" spans="1:17" x14ac:dyDescent="0.2">
      <c r="A389">
        <v>30328</v>
      </c>
      <c r="B389">
        <v>12</v>
      </c>
      <c r="C389" t="s">
        <v>6</v>
      </c>
      <c r="D389" t="s">
        <v>1261</v>
      </c>
      <c r="E389" s="3" t="s">
        <v>7</v>
      </c>
      <c r="F389">
        <f>IF(AND($F$15=Datos!$AI$5,Datos!$C$9=Datos!$AI$10),IF(A389&gt;30000,N389,ROUND(N389*Datos!$J$18,Dins)),IF(AND($F$15=Datos!$AI$5,Datos!$C$9=Datos!$AI$9),IF(A389&gt;30000,O389,ROUND(O389*Datos!$J$18,Dins)),IF(AND($F$15=Datos!$AI$6,Datos!$C$9=Datos!$AI$10),IF(A389&gt;30000,P389,ROUND(P389*Datos!$J$18,Dins)),IF(AND($F$15=Datos!$AI$6,Datos!$C$9=Datos!$AI$9),IF(A389&gt;30000,Q389,ROUND(Q389*Datos!$J$18,Dins))))))</f>
        <v>29.5</v>
      </c>
      <c r="G389">
        <v>0</v>
      </c>
      <c r="H389">
        <v>0</v>
      </c>
      <c r="I389">
        <v>0</v>
      </c>
      <c r="J389">
        <v>0</v>
      </c>
      <c r="N389">
        <v>34.81</v>
      </c>
      <c r="O389">
        <f t="shared" si="15"/>
        <v>29.5</v>
      </c>
      <c r="P389">
        <f t="shared" si="16"/>
        <v>9.2799999999999994</v>
      </c>
      <c r="Q389">
        <f t="shared" si="17"/>
        <v>7.86</v>
      </c>
    </row>
    <row r="390" spans="1:17" x14ac:dyDescent="0.2">
      <c r="A390">
        <v>30329</v>
      </c>
      <c r="B390">
        <v>12</v>
      </c>
      <c r="C390" t="s">
        <v>6</v>
      </c>
      <c r="D390" t="s">
        <v>1262</v>
      </c>
      <c r="E390" s="3" t="s">
        <v>7</v>
      </c>
      <c r="F390">
        <f>IF(AND($F$15=Datos!$AI$5,Datos!$C$9=Datos!$AI$10),IF(A390&gt;30000,N390,ROUND(N390*Datos!$J$18,Dins)),IF(AND($F$15=Datos!$AI$5,Datos!$C$9=Datos!$AI$9),IF(A390&gt;30000,O390,ROUND(O390*Datos!$J$18,Dins)),IF(AND($F$15=Datos!$AI$6,Datos!$C$9=Datos!$AI$10),IF(A390&gt;30000,P390,ROUND(P390*Datos!$J$18,Dins)),IF(AND($F$15=Datos!$AI$6,Datos!$C$9=Datos!$AI$9),IF(A390&gt;30000,Q390,ROUND(Q390*Datos!$J$18,Dins))))))</f>
        <v>29.5</v>
      </c>
      <c r="G390">
        <v>0</v>
      </c>
      <c r="H390">
        <v>0</v>
      </c>
      <c r="I390">
        <v>0</v>
      </c>
      <c r="J390">
        <v>0</v>
      </c>
      <c r="N390">
        <v>34.81</v>
      </c>
      <c r="O390">
        <f t="shared" si="15"/>
        <v>29.5</v>
      </c>
      <c r="P390">
        <f t="shared" si="16"/>
        <v>9.2799999999999994</v>
      </c>
      <c r="Q390">
        <f t="shared" si="17"/>
        <v>7.86</v>
      </c>
    </row>
    <row r="391" spans="1:17" x14ac:dyDescent="0.2">
      <c r="A391">
        <v>30330</v>
      </c>
      <c r="B391">
        <v>12</v>
      </c>
      <c r="C391" t="s">
        <v>6</v>
      </c>
      <c r="D391" t="s">
        <v>1263</v>
      </c>
      <c r="E391" s="3" t="s">
        <v>7</v>
      </c>
      <c r="F391">
        <f>IF(AND($F$15=Datos!$AI$5,Datos!$C$9=Datos!$AI$10),IF(A391&gt;30000,N391,ROUND(N391*Datos!$J$18,Dins)),IF(AND($F$15=Datos!$AI$5,Datos!$C$9=Datos!$AI$9),IF(A391&gt;30000,O391,ROUND(O391*Datos!$J$18,Dins)),IF(AND($F$15=Datos!$AI$6,Datos!$C$9=Datos!$AI$10),IF(A391&gt;30000,P391,ROUND(P391*Datos!$J$18,Dins)),IF(AND($F$15=Datos!$AI$6,Datos!$C$9=Datos!$AI$9),IF(A391&gt;30000,Q391,ROUND(Q391*Datos!$J$18,Dins))))))</f>
        <v>32</v>
      </c>
      <c r="G391">
        <v>0</v>
      </c>
      <c r="H391">
        <v>0</v>
      </c>
      <c r="I391">
        <v>0</v>
      </c>
      <c r="J391">
        <v>0</v>
      </c>
      <c r="N391">
        <v>37.76</v>
      </c>
      <c r="O391">
        <f t="shared" si="15"/>
        <v>32</v>
      </c>
      <c r="P391">
        <f t="shared" si="16"/>
        <v>10.07</v>
      </c>
      <c r="Q391">
        <f t="shared" si="17"/>
        <v>8.5299999999999994</v>
      </c>
    </row>
    <row r="392" spans="1:17" x14ac:dyDescent="0.2">
      <c r="A392">
        <v>30331</v>
      </c>
      <c r="B392">
        <v>12</v>
      </c>
      <c r="C392" t="s">
        <v>6</v>
      </c>
      <c r="D392" t="s">
        <v>1264</v>
      </c>
      <c r="E392" s="3" t="s">
        <v>7</v>
      </c>
      <c r="F392">
        <f>IF(AND($F$15=Datos!$AI$5,Datos!$C$9=Datos!$AI$10),IF(A392&gt;30000,N392,ROUND(N392*Datos!$J$18,Dins)),IF(AND($F$15=Datos!$AI$5,Datos!$C$9=Datos!$AI$9),IF(A392&gt;30000,O392,ROUND(O392*Datos!$J$18,Dins)),IF(AND($F$15=Datos!$AI$6,Datos!$C$9=Datos!$AI$10),IF(A392&gt;30000,P392,ROUND(P392*Datos!$J$18,Dins)),IF(AND($F$15=Datos!$AI$6,Datos!$C$9=Datos!$AI$9),IF(A392&gt;30000,Q392,ROUND(Q392*Datos!$J$18,Dins))))))</f>
        <v>38.5</v>
      </c>
      <c r="G392">
        <v>0</v>
      </c>
      <c r="H392">
        <v>0</v>
      </c>
      <c r="I392">
        <v>0</v>
      </c>
      <c r="J392">
        <v>0</v>
      </c>
      <c r="N392">
        <v>45.43</v>
      </c>
      <c r="O392">
        <f t="shared" si="15"/>
        <v>38.5</v>
      </c>
      <c r="P392">
        <f t="shared" si="16"/>
        <v>12.11</v>
      </c>
      <c r="Q392">
        <f t="shared" si="17"/>
        <v>10.26</v>
      </c>
    </row>
    <row r="393" spans="1:17" x14ac:dyDescent="0.2">
      <c r="A393">
        <v>30332</v>
      </c>
      <c r="B393">
        <v>12</v>
      </c>
      <c r="C393" t="s">
        <v>6</v>
      </c>
      <c r="D393" t="s">
        <v>1265</v>
      </c>
      <c r="E393" s="3" t="s">
        <v>7</v>
      </c>
      <c r="F393">
        <f>IF(AND($F$15=Datos!$AI$5,Datos!$C$9=Datos!$AI$10),IF(A393&gt;30000,N393,ROUND(N393*Datos!$J$18,Dins)),IF(AND($F$15=Datos!$AI$5,Datos!$C$9=Datos!$AI$9),IF(A393&gt;30000,O393,ROUND(O393*Datos!$J$18,Dins)),IF(AND($F$15=Datos!$AI$6,Datos!$C$9=Datos!$AI$10),IF(A393&gt;30000,P393,ROUND(P393*Datos!$J$18,Dins)),IF(AND($F$15=Datos!$AI$6,Datos!$C$9=Datos!$AI$9),IF(A393&gt;30000,Q393,ROUND(Q393*Datos!$J$18,Dins))))))</f>
        <v>87</v>
      </c>
      <c r="G393">
        <v>0</v>
      </c>
      <c r="H393">
        <v>0</v>
      </c>
      <c r="I393">
        <v>0</v>
      </c>
      <c r="J393">
        <v>0</v>
      </c>
      <c r="N393">
        <v>102.66</v>
      </c>
      <c r="O393">
        <f t="shared" si="15"/>
        <v>87</v>
      </c>
      <c r="P393">
        <f t="shared" si="16"/>
        <v>27.38</v>
      </c>
      <c r="Q393">
        <f t="shared" si="17"/>
        <v>23.2</v>
      </c>
    </row>
    <row r="394" spans="1:17" x14ac:dyDescent="0.2">
      <c r="A394">
        <v>30333</v>
      </c>
      <c r="B394">
        <v>12</v>
      </c>
      <c r="C394" t="s">
        <v>6</v>
      </c>
      <c r="D394" t="s">
        <v>1266</v>
      </c>
      <c r="E394" s="3" t="s">
        <v>7</v>
      </c>
      <c r="F394">
        <f>IF(AND($F$15=Datos!$AI$5,Datos!$C$9=Datos!$AI$10),IF(A394&gt;30000,N394,ROUND(N394*Datos!$J$18,Dins)),IF(AND($F$15=Datos!$AI$5,Datos!$C$9=Datos!$AI$9),IF(A394&gt;30000,O394,ROUND(O394*Datos!$J$18,Dins)),IF(AND($F$15=Datos!$AI$6,Datos!$C$9=Datos!$AI$10),IF(A394&gt;30000,P394,ROUND(P394*Datos!$J$18,Dins)),IF(AND($F$15=Datos!$AI$6,Datos!$C$9=Datos!$AI$9),IF(A394&gt;30000,Q394,ROUND(Q394*Datos!$J$18,Dins))))))</f>
        <v>90</v>
      </c>
      <c r="G394">
        <v>0</v>
      </c>
      <c r="H394">
        <v>0</v>
      </c>
      <c r="I394">
        <v>0</v>
      </c>
      <c r="J394">
        <v>0</v>
      </c>
      <c r="N394">
        <v>106.2</v>
      </c>
      <c r="O394">
        <f t="shared" si="15"/>
        <v>90</v>
      </c>
      <c r="P394">
        <f t="shared" si="16"/>
        <v>28.32</v>
      </c>
      <c r="Q394">
        <f t="shared" si="17"/>
        <v>24</v>
      </c>
    </row>
    <row r="395" spans="1:17" x14ac:dyDescent="0.2">
      <c r="A395">
        <v>30334</v>
      </c>
      <c r="B395">
        <v>12</v>
      </c>
      <c r="C395" t="s">
        <v>6</v>
      </c>
      <c r="D395" t="s">
        <v>1267</v>
      </c>
      <c r="E395" s="3" t="s">
        <v>7</v>
      </c>
      <c r="F395">
        <f>IF(AND($F$15=Datos!$AI$5,Datos!$C$9=Datos!$AI$10),IF(A395&gt;30000,N395,ROUND(N395*Datos!$J$18,Dins)),IF(AND($F$15=Datos!$AI$5,Datos!$C$9=Datos!$AI$9),IF(A395&gt;30000,O395,ROUND(O395*Datos!$J$18,Dins)),IF(AND($F$15=Datos!$AI$6,Datos!$C$9=Datos!$AI$10),IF(A395&gt;30000,P395,ROUND(P395*Datos!$J$18,Dins)),IF(AND($F$15=Datos!$AI$6,Datos!$C$9=Datos!$AI$9),IF(A395&gt;30000,Q395,ROUND(Q395*Datos!$J$18,Dins))))))</f>
        <v>400</v>
      </c>
      <c r="G395">
        <v>0</v>
      </c>
      <c r="H395">
        <v>0</v>
      </c>
      <c r="I395">
        <v>0</v>
      </c>
      <c r="J395">
        <v>0</v>
      </c>
      <c r="N395">
        <v>472</v>
      </c>
      <c r="O395">
        <f t="shared" si="15"/>
        <v>400</v>
      </c>
      <c r="P395">
        <f t="shared" si="16"/>
        <v>125.87</v>
      </c>
      <c r="Q395">
        <f t="shared" si="17"/>
        <v>106.67</v>
      </c>
    </row>
    <row r="396" spans="1:17" x14ac:dyDescent="0.2">
      <c r="A396">
        <v>30335</v>
      </c>
      <c r="B396">
        <v>30</v>
      </c>
      <c r="C396" t="s">
        <v>6</v>
      </c>
      <c r="D396" t="s">
        <v>1268</v>
      </c>
      <c r="E396" s="3" t="s">
        <v>174</v>
      </c>
      <c r="F396">
        <f>IF(AND($F$15=Datos!$AI$5,Datos!$C$9=Datos!$AI$10),IF(A396&gt;30000,N396,ROUND(N396*Datos!$J$18,Dins)),IF(AND($F$15=Datos!$AI$5,Datos!$C$9=Datos!$AI$9),IF(A396&gt;30000,O396,ROUND(O396*Datos!$J$18,Dins)),IF(AND($F$15=Datos!$AI$6,Datos!$C$9=Datos!$AI$10),IF(A396&gt;30000,P396,ROUND(P396*Datos!$J$18,Dins)),IF(AND($F$15=Datos!$AI$6,Datos!$C$9=Datos!$AI$9),IF(A396&gt;30000,Q396,ROUND(Q396*Datos!$J$18,Dins))))))</f>
        <v>85</v>
      </c>
      <c r="G396">
        <v>0</v>
      </c>
      <c r="H396">
        <v>0</v>
      </c>
      <c r="I396">
        <v>0</v>
      </c>
      <c r="J396">
        <v>0</v>
      </c>
      <c r="N396">
        <v>100.3</v>
      </c>
      <c r="O396">
        <f t="shared" si="15"/>
        <v>85</v>
      </c>
      <c r="P396">
        <f t="shared" si="16"/>
        <v>26.75</v>
      </c>
      <c r="Q396">
        <f t="shared" si="17"/>
        <v>22.67</v>
      </c>
    </row>
    <row r="397" spans="1:17" x14ac:dyDescent="0.2">
      <c r="A397">
        <v>30336</v>
      </c>
      <c r="B397">
        <v>12</v>
      </c>
      <c r="C397" t="s">
        <v>6</v>
      </c>
      <c r="D397" t="s">
        <v>1269</v>
      </c>
      <c r="E397" s="3" t="s">
        <v>174</v>
      </c>
      <c r="F397">
        <f>IF(AND($F$15=Datos!$AI$5,Datos!$C$9=Datos!$AI$10),IF(A397&gt;30000,N397,ROUND(N397*Datos!$J$18,Dins)),IF(AND($F$15=Datos!$AI$5,Datos!$C$9=Datos!$AI$9),IF(A397&gt;30000,O397,ROUND(O397*Datos!$J$18,Dins)),IF(AND($F$15=Datos!$AI$6,Datos!$C$9=Datos!$AI$10),IF(A397&gt;30000,P397,ROUND(P397*Datos!$J$18,Dins)),IF(AND($F$15=Datos!$AI$6,Datos!$C$9=Datos!$AI$9),IF(A397&gt;30000,Q397,ROUND(Q397*Datos!$J$18,Dins))))))</f>
        <v>133</v>
      </c>
      <c r="G397">
        <v>0</v>
      </c>
      <c r="H397">
        <v>0</v>
      </c>
      <c r="I397">
        <v>0</v>
      </c>
      <c r="J397">
        <v>0</v>
      </c>
      <c r="N397">
        <v>156.94</v>
      </c>
      <c r="O397">
        <f t="shared" si="15"/>
        <v>133</v>
      </c>
      <c r="P397">
        <f t="shared" si="16"/>
        <v>41.85</v>
      </c>
      <c r="Q397">
        <f t="shared" si="17"/>
        <v>35.47</v>
      </c>
    </row>
    <row r="398" spans="1:17" x14ac:dyDescent="0.2">
      <c r="A398">
        <v>30337</v>
      </c>
      <c r="B398">
        <v>12</v>
      </c>
      <c r="C398" t="s">
        <v>6</v>
      </c>
      <c r="D398" t="s">
        <v>1270</v>
      </c>
      <c r="E398" s="3" t="s">
        <v>174</v>
      </c>
      <c r="F398">
        <f>IF(AND($F$15=Datos!$AI$5,Datos!$C$9=Datos!$AI$10),IF(A398&gt;30000,N398,ROUND(N398*Datos!$J$18,Dins)),IF(AND($F$15=Datos!$AI$5,Datos!$C$9=Datos!$AI$9),IF(A398&gt;30000,O398,ROUND(O398*Datos!$J$18,Dins)),IF(AND($F$15=Datos!$AI$6,Datos!$C$9=Datos!$AI$10),IF(A398&gt;30000,P398,ROUND(P398*Datos!$J$18,Dins)),IF(AND($F$15=Datos!$AI$6,Datos!$C$9=Datos!$AI$9),IF(A398&gt;30000,Q398,ROUND(Q398*Datos!$J$18,Dins))))))</f>
        <v>237.5</v>
      </c>
      <c r="G398">
        <v>0</v>
      </c>
      <c r="H398">
        <v>0</v>
      </c>
      <c r="I398">
        <v>0</v>
      </c>
      <c r="J398">
        <v>0</v>
      </c>
      <c r="N398">
        <v>280.25</v>
      </c>
      <c r="O398">
        <f t="shared" si="15"/>
        <v>237.5</v>
      </c>
      <c r="P398">
        <f t="shared" si="16"/>
        <v>74.73</v>
      </c>
      <c r="Q398">
        <f t="shared" si="17"/>
        <v>63.33</v>
      </c>
    </row>
    <row r="399" spans="1:17" x14ac:dyDescent="0.2">
      <c r="A399">
        <v>30338</v>
      </c>
      <c r="B399">
        <v>30</v>
      </c>
      <c r="C399" t="s">
        <v>6</v>
      </c>
      <c r="D399" t="s">
        <v>1273</v>
      </c>
      <c r="E399" s="3" t="s">
        <v>7</v>
      </c>
      <c r="F399">
        <f>IF(AND($F$15=Datos!$AI$5,Datos!$C$9=Datos!$AI$10),IF(A399&gt;30000,N399,ROUND(N399*Datos!$J$18,Dins)),IF(AND($F$15=Datos!$AI$5,Datos!$C$9=Datos!$AI$9),IF(A399&gt;30000,O399,ROUND(O399*Datos!$J$18,Dins)),IF(AND($F$15=Datos!$AI$6,Datos!$C$9=Datos!$AI$10),IF(A399&gt;30000,P399,ROUND(P399*Datos!$J$18,Dins)),IF(AND($F$15=Datos!$AI$6,Datos!$C$9=Datos!$AI$9),IF(A399&gt;30000,Q399,ROUND(Q399*Datos!$J$18,Dins))))))</f>
        <v>155.19999999999999</v>
      </c>
      <c r="G399">
        <v>0</v>
      </c>
      <c r="H399">
        <v>0</v>
      </c>
      <c r="I399">
        <v>0</v>
      </c>
      <c r="J399">
        <v>0</v>
      </c>
      <c r="N399">
        <v>183.14</v>
      </c>
      <c r="O399">
        <f t="shared" si="15"/>
        <v>155.19999999999999</v>
      </c>
      <c r="P399">
        <f t="shared" si="16"/>
        <v>48.84</v>
      </c>
      <c r="Q399">
        <f t="shared" si="17"/>
        <v>41.39</v>
      </c>
    </row>
    <row r="400" spans="1:17" x14ac:dyDescent="0.2">
      <c r="A400">
        <v>30339</v>
      </c>
      <c r="B400">
        <v>30</v>
      </c>
      <c r="C400" t="s">
        <v>6</v>
      </c>
      <c r="D400" t="s">
        <v>1276</v>
      </c>
      <c r="E400" s="3" t="s">
        <v>7</v>
      </c>
      <c r="F400">
        <f>IF(AND($F$15=Datos!$AI$5,Datos!$C$9=Datos!$AI$10),IF(A400&gt;30000,N400,ROUND(N400*Datos!$J$18,Dins)),IF(AND($F$15=Datos!$AI$5,Datos!$C$9=Datos!$AI$9),IF(A400&gt;30000,O400,ROUND(O400*Datos!$J$18,Dins)),IF(AND($F$15=Datos!$AI$6,Datos!$C$9=Datos!$AI$10),IF(A400&gt;30000,P400,ROUND(P400*Datos!$J$18,Dins)),IF(AND($F$15=Datos!$AI$6,Datos!$C$9=Datos!$AI$9),IF(A400&gt;30000,Q400,ROUND(Q400*Datos!$J$18,Dins))))))</f>
        <v>40</v>
      </c>
      <c r="G400">
        <v>0</v>
      </c>
      <c r="H400">
        <v>0</v>
      </c>
      <c r="I400">
        <v>0</v>
      </c>
      <c r="J400">
        <v>0</v>
      </c>
      <c r="N400">
        <v>47.2</v>
      </c>
      <c r="O400">
        <f t="shared" ref="O400:O463" si="18">IF(A400&gt;30000,ROUND(N400/$O$14,Dins),ROUND(N400,Dins))</f>
        <v>40</v>
      </c>
      <c r="P400">
        <f t="shared" ref="P400:P463" si="19">ROUND(N400/$P$14,Dins)</f>
        <v>12.59</v>
      </c>
      <c r="Q400">
        <f t="shared" ref="Q400:Q463" si="20">IF(A400&gt;30000,ROUND(P400/$Q$14,Dins),ROUND(P400,Dins))</f>
        <v>10.67</v>
      </c>
    </row>
    <row r="401" spans="1:17" x14ac:dyDescent="0.2">
      <c r="A401">
        <v>30340</v>
      </c>
      <c r="B401">
        <v>12</v>
      </c>
      <c r="C401" t="s">
        <v>6</v>
      </c>
      <c r="D401" t="s">
        <v>1277</v>
      </c>
      <c r="E401" s="3" t="s">
        <v>174</v>
      </c>
      <c r="F401">
        <f>IF(AND($F$15=Datos!$AI$5,Datos!$C$9=Datos!$AI$10),IF(A401&gt;30000,N401,ROUND(N401*Datos!$J$18,Dins)),IF(AND($F$15=Datos!$AI$5,Datos!$C$9=Datos!$AI$9),IF(A401&gt;30000,O401,ROUND(O401*Datos!$J$18,Dins)),IF(AND($F$15=Datos!$AI$6,Datos!$C$9=Datos!$AI$10),IF(A401&gt;30000,P401,ROUND(P401*Datos!$J$18,Dins)),IF(AND($F$15=Datos!$AI$6,Datos!$C$9=Datos!$AI$9),IF(A401&gt;30000,Q401,ROUND(Q401*Datos!$J$18,Dins))))))</f>
        <v>29.5</v>
      </c>
      <c r="G401">
        <v>0</v>
      </c>
      <c r="H401">
        <v>0</v>
      </c>
      <c r="I401">
        <v>0</v>
      </c>
      <c r="J401">
        <v>0</v>
      </c>
      <c r="N401">
        <v>34.81</v>
      </c>
      <c r="O401">
        <f t="shared" si="18"/>
        <v>29.5</v>
      </c>
      <c r="P401">
        <f t="shared" si="19"/>
        <v>9.2799999999999994</v>
      </c>
      <c r="Q401">
        <f t="shared" si="20"/>
        <v>7.86</v>
      </c>
    </row>
    <row r="402" spans="1:17" x14ac:dyDescent="0.2">
      <c r="A402">
        <v>30341</v>
      </c>
      <c r="B402">
        <v>12</v>
      </c>
      <c r="C402" t="s">
        <v>6</v>
      </c>
      <c r="D402" t="s">
        <v>1278</v>
      </c>
      <c r="E402" s="3" t="s">
        <v>174</v>
      </c>
      <c r="F402">
        <f>IF(AND($F$15=Datos!$AI$5,Datos!$C$9=Datos!$AI$10),IF(A402&gt;30000,N402,ROUND(N402*Datos!$J$18,Dins)),IF(AND($F$15=Datos!$AI$5,Datos!$C$9=Datos!$AI$9),IF(A402&gt;30000,O402,ROUND(O402*Datos!$J$18,Dins)),IF(AND($F$15=Datos!$AI$6,Datos!$C$9=Datos!$AI$10),IF(A402&gt;30000,P402,ROUND(P402*Datos!$J$18,Dins)),IF(AND($F$15=Datos!$AI$6,Datos!$C$9=Datos!$AI$9),IF(A402&gt;30000,Q402,ROUND(Q402*Datos!$J$18,Dins))))))</f>
        <v>29.5</v>
      </c>
      <c r="G402">
        <v>0</v>
      </c>
      <c r="H402">
        <v>0</v>
      </c>
      <c r="I402">
        <v>0</v>
      </c>
      <c r="J402">
        <v>0</v>
      </c>
      <c r="N402">
        <v>34.81</v>
      </c>
      <c r="O402">
        <f t="shared" si="18"/>
        <v>29.5</v>
      </c>
      <c r="P402">
        <f t="shared" si="19"/>
        <v>9.2799999999999994</v>
      </c>
      <c r="Q402">
        <f t="shared" si="20"/>
        <v>7.86</v>
      </c>
    </row>
    <row r="403" spans="1:17" x14ac:dyDescent="0.2">
      <c r="A403">
        <v>30342</v>
      </c>
      <c r="B403">
        <v>12</v>
      </c>
      <c r="C403" t="s">
        <v>6</v>
      </c>
      <c r="D403" t="s">
        <v>1279</v>
      </c>
      <c r="E403" s="3" t="s">
        <v>174</v>
      </c>
      <c r="F403">
        <f>IF(AND($F$15=Datos!$AI$5,Datos!$C$9=Datos!$AI$10),IF(A403&gt;30000,N403,ROUND(N403*Datos!$J$18,Dins)),IF(AND($F$15=Datos!$AI$5,Datos!$C$9=Datos!$AI$9),IF(A403&gt;30000,O403,ROUND(O403*Datos!$J$18,Dins)),IF(AND($F$15=Datos!$AI$6,Datos!$C$9=Datos!$AI$10),IF(A403&gt;30000,P403,ROUND(P403*Datos!$J$18,Dins)),IF(AND($F$15=Datos!$AI$6,Datos!$C$9=Datos!$AI$9),IF(A403&gt;30000,Q403,ROUND(Q403*Datos!$J$18,Dins))))))</f>
        <v>29.5</v>
      </c>
      <c r="G403">
        <v>0</v>
      </c>
      <c r="H403">
        <v>0</v>
      </c>
      <c r="I403">
        <v>0</v>
      </c>
      <c r="J403">
        <v>0</v>
      </c>
      <c r="N403">
        <v>34.81</v>
      </c>
      <c r="O403">
        <f t="shared" si="18"/>
        <v>29.5</v>
      </c>
      <c r="P403">
        <f t="shared" si="19"/>
        <v>9.2799999999999994</v>
      </c>
      <c r="Q403">
        <f t="shared" si="20"/>
        <v>7.86</v>
      </c>
    </row>
    <row r="404" spans="1:17" x14ac:dyDescent="0.2">
      <c r="A404">
        <v>30343</v>
      </c>
      <c r="B404">
        <v>12</v>
      </c>
      <c r="C404" t="s">
        <v>6</v>
      </c>
      <c r="D404" t="s">
        <v>1280</v>
      </c>
      <c r="E404" s="3" t="s">
        <v>174</v>
      </c>
      <c r="F404">
        <f>IF(AND($F$15=Datos!$AI$5,Datos!$C$9=Datos!$AI$10),IF(A404&gt;30000,N404,ROUND(N404*Datos!$J$18,Dins)),IF(AND($F$15=Datos!$AI$5,Datos!$C$9=Datos!$AI$9),IF(A404&gt;30000,O404,ROUND(O404*Datos!$J$18,Dins)),IF(AND($F$15=Datos!$AI$6,Datos!$C$9=Datos!$AI$10),IF(A404&gt;30000,P404,ROUND(P404*Datos!$J$18,Dins)),IF(AND($F$15=Datos!$AI$6,Datos!$C$9=Datos!$AI$9),IF(A404&gt;30000,Q404,ROUND(Q404*Datos!$J$18,Dins))))))</f>
        <v>29.5</v>
      </c>
      <c r="G404">
        <v>0</v>
      </c>
      <c r="H404">
        <v>0</v>
      </c>
      <c r="I404">
        <v>0</v>
      </c>
      <c r="J404">
        <v>0</v>
      </c>
      <c r="N404">
        <v>34.81</v>
      </c>
      <c r="O404">
        <f t="shared" si="18"/>
        <v>29.5</v>
      </c>
      <c r="P404">
        <f t="shared" si="19"/>
        <v>9.2799999999999994</v>
      </c>
      <c r="Q404">
        <f t="shared" si="20"/>
        <v>7.86</v>
      </c>
    </row>
    <row r="405" spans="1:17" x14ac:dyDescent="0.2">
      <c r="A405">
        <v>30344</v>
      </c>
      <c r="B405">
        <v>30</v>
      </c>
      <c r="C405" t="s">
        <v>6</v>
      </c>
      <c r="D405" t="s">
        <v>1281</v>
      </c>
      <c r="E405" s="3" t="s">
        <v>7</v>
      </c>
      <c r="F405">
        <f>IF(AND($F$15=Datos!$AI$5,Datos!$C$9=Datos!$AI$10),IF(A405&gt;30000,N405,ROUND(N405*Datos!$J$18,Dins)),IF(AND($F$15=Datos!$AI$5,Datos!$C$9=Datos!$AI$9),IF(A405&gt;30000,O405,ROUND(O405*Datos!$J$18,Dins)),IF(AND($F$15=Datos!$AI$6,Datos!$C$9=Datos!$AI$10),IF(A405&gt;30000,P405,ROUND(P405*Datos!$J$18,Dins)),IF(AND($F$15=Datos!$AI$6,Datos!$C$9=Datos!$AI$9),IF(A405&gt;30000,Q405,ROUND(Q405*Datos!$J$18,Dins))))))</f>
        <v>40.5</v>
      </c>
      <c r="G405">
        <v>0</v>
      </c>
      <c r="H405">
        <v>0</v>
      </c>
      <c r="I405">
        <v>0</v>
      </c>
      <c r="J405">
        <v>0</v>
      </c>
      <c r="N405">
        <v>47.79</v>
      </c>
      <c r="O405">
        <f t="shared" si="18"/>
        <v>40.5</v>
      </c>
      <c r="P405">
        <f t="shared" si="19"/>
        <v>12.74</v>
      </c>
      <c r="Q405">
        <f t="shared" si="20"/>
        <v>10.8</v>
      </c>
    </row>
    <row r="406" spans="1:17" x14ac:dyDescent="0.2">
      <c r="A406">
        <v>30345</v>
      </c>
      <c r="B406">
        <v>17</v>
      </c>
      <c r="C406" t="s">
        <v>6</v>
      </c>
      <c r="D406" t="s">
        <v>1286</v>
      </c>
      <c r="E406" s="3" t="s">
        <v>7</v>
      </c>
      <c r="F406">
        <f>IF(AND($F$15=Datos!$AI$5,Datos!$C$9=Datos!$AI$10),IF(A406&gt;30000,N406,ROUND(N406*Datos!$J$18,Dins)),IF(AND($F$15=Datos!$AI$5,Datos!$C$9=Datos!$AI$9),IF(A406&gt;30000,O406,ROUND(O406*Datos!$J$18,Dins)),IF(AND($F$15=Datos!$AI$6,Datos!$C$9=Datos!$AI$10),IF(A406&gt;30000,P406,ROUND(P406*Datos!$J$18,Dins)),IF(AND($F$15=Datos!$AI$6,Datos!$C$9=Datos!$AI$9),IF(A406&gt;30000,Q406,ROUND(Q406*Datos!$J$18,Dins))))))</f>
        <v>0.98</v>
      </c>
      <c r="G406">
        <v>0</v>
      </c>
      <c r="H406">
        <v>0</v>
      </c>
      <c r="I406">
        <v>0</v>
      </c>
      <c r="J406">
        <v>0</v>
      </c>
      <c r="N406">
        <v>1.1599999999999999</v>
      </c>
      <c r="O406">
        <f t="shared" si="18"/>
        <v>0.98</v>
      </c>
      <c r="P406">
        <f t="shared" si="19"/>
        <v>0.31</v>
      </c>
      <c r="Q406">
        <f t="shared" si="20"/>
        <v>0.26</v>
      </c>
    </row>
    <row r="407" spans="1:17" x14ac:dyDescent="0.2">
      <c r="A407">
        <v>30346</v>
      </c>
      <c r="B407">
        <v>30</v>
      </c>
      <c r="C407" t="s">
        <v>6</v>
      </c>
      <c r="D407" t="s">
        <v>1291</v>
      </c>
      <c r="E407" s="3" t="s">
        <v>7</v>
      </c>
      <c r="F407">
        <f>IF(AND($F$15=Datos!$AI$5,Datos!$C$9=Datos!$AI$10),IF(A407&gt;30000,N407,ROUND(N407*Datos!$J$18,Dins)),IF(AND($F$15=Datos!$AI$5,Datos!$C$9=Datos!$AI$9),IF(A407&gt;30000,O407,ROUND(O407*Datos!$J$18,Dins)),IF(AND($F$15=Datos!$AI$6,Datos!$C$9=Datos!$AI$10),IF(A407&gt;30000,P407,ROUND(P407*Datos!$J$18,Dins)),IF(AND($F$15=Datos!$AI$6,Datos!$C$9=Datos!$AI$9),IF(A407&gt;30000,Q407,ROUND(Q407*Datos!$J$18,Dins))))))</f>
        <v>35</v>
      </c>
      <c r="G407">
        <v>0</v>
      </c>
      <c r="H407">
        <v>0</v>
      </c>
      <c r="I407">
        <v>0</v>
      </c>
      <c r="J407">
        <v>0</v>
      </c>
      <c r="N407">
        <v>41.3</v>
      </c>
      <c r="O407">
        <f t="shared" si="18"/>
        <v>35</v>
      </c>
      <c r="P407">
        <f t="shared" si="19"/>
        <v>11.01</v>
      </c>
      <c r="Q407">
        <f t="shared" si="20"/>
        <v>9.33</v>
      </c>
    </row>
    <row r="408" spans="1:17" x14ac:dyDescent="0.2">
      <c r="A408">
        <v>30347</v>
      </c>
      <c r="B408">
        <v>30</v>
      </c>
      <c r="C408" t="s">
        <v>6</v>
      </c>
      <c r="D408" t="s">
        <v>1292</v>
      </c>
      <c r="E408" s="3" t="s">
        <v>194</v>
      </c>
      <c r="F408">
        <f>IF(AND($F$15=Datos!$AI$5,Datos!$C$9=Datos!$AI$10),IF(A408&gt;30000,N408,ROUND(N408*Datos!$J$18,Dins)),IF(AND($F$15=Datos!$AI$5,Datos!$C$9=Datos!$AI$9),IF(A408&gt;30000,O408,ROUND(O408*Datos!$J$18,Dins)),IF(AND($F$15=Datos!$AI$6,Datos!$C$9=Datos!$AI$10),IF(A408&gt;30000,P408,ROUND(P408*Datos!$J$18,Dins)),IF(AND($F$15=Datos!$AI$6,Datos!$C$9=Datos!$AI$9),IF(A408&gt;30000,Q408,ROUND(Q408*Datos!$J$18,Dins))))))</f>
        <v>7.5</v>
      </c>
      <c r="G408">
        <v>0</v>
      </c>
      <c r="H408">
        <v>0</v>
      </c>
      <c r="I408">
        <v>0</v>
      </c>
      <c r="J408">
        <v>0</v>
      </c>
      <c r="N408">
        <v>8.85</v>
      </c>
      <c r="O408">
        <f t="shared" si="18"/>
        <v>7.5</v>
      </c>
      <c r="P408">
        <f t="shared" si="19"/>
        <v>2.36</v>
      </c>
      <c r="Q408">
        <f t="shared" si="20"/>
        <v>2</v>
      </c>
    </row>
    <row r="409" spans="1:17" x14ac:dyDescent="0.2">
      <c r="A409">
        <v>30348</v>
      </c>
      <c r="B409">
        <v>30</v>
      </c>
      <c r="C409" t="s">
        <v>6</v>
      </c>
      <c r="D409" t="s">
        <v>1293</v>
      </c>
      <c r="E409" s="3" t="s">
        <v>194</v>
      </c>
      <c r="F409">
        <f>IF(AND($F$15=Datos!$AI$5,Datos!$C$9=Datos!$AI$10),IF(A409&gt;30000,N409,ROUND(N409*Datos!$J$18,Dins)),IF(AND($F$15=Datos!$AI$5,Datos!$C$9=Datos!$AI$9),IF(A409&gt;30000,O409,ROUND(O409*Datos!$J$18,Dins)),IF(AND($F$15=Datos!$AI$6,Datos!$C$9=Datos!$AI$10),IF(A409&gt;30000,P409,ROUND(P409*Datos!$J$18,Dins)),IF(AND($F$15=Datos!$AI$6,Datos!$C$9=Datos!$AI$9),IF(A409&gt;30000,Q409,ROUND(Q409*Datos!$J$18,Dins))))))</f>
        <v>15</v>
      </c>
      <c r="G409">
        <v>0</v>
      </c>
      <c r="H409">
        <v>0</v>
      </c>
      <c r="I409">
        <v>0</v>
      </c>
      <c r="J409">
        <v>0</v>
      </c>
      <c r="N409">
        <v>17.7</v>
      </c>
      <c r="O409">
        <f t="shared" si="18"/>
        <v>15</v>
      </c>
      <c r="P409">
        <f t="shared" si="19"/>
        <v>4.72</v>
      </c>
      <c r="Q409">
        <f t="shared" si="20"/>
        <v>4</v>
      </c>
    </row>
    <row r="410" spans="1:17" x14ac:dyDescent="0.2">
      <c r="A410">
        <v>30349</v>
      </c>
      <c r="B410">
        <v>31</v>
      </c>
      <c r="C410" t="s">
        <v>6</v>
      </c>
      <c r="D410" t="s">
        <v>1294</v>
      </c>
      <c r="E410" s="3" t="s">
        <v>7</v>
      </c>
      <c r="F410">
        <f>IF(AND($F$15=Datos!$AI$5,Datos!$C$9=Datos!$AI$10),IF(A410&gt;30000,N410,ROUND(N410*Datos!$J$18,Dins)),IF(AND($F$15=Datos!$AI$5,Datos!$C$9=Datos!$AI$9),IF(A410&gt;30000,O410,ROUND(O410*Datos!$J$18,Dins)),IF(AND($F$15=Datos!$AI$6,Datos!$C$9=Datos!$AI$10),IF(A410&gt;30000,P410,ROUND(P410*Datos!$J$18,Dins)),IF(AND($F$15=Datos!$AI$6,Datos!$C$9=Datos!$AI$9),IF(A410&gt;30000,Q410,ROUND(Q410*Datos!$J$18,Dins))))))</f>
        <v>26.5</v>
      </c>
      <c r="G410">
        <v>0</v>
      </c>
      <c r="H410">
        <v>0</v>
      </c>
      <c r="I410">
        <v>0</v>
      </c>
      <c r="J410">
        <v>0</v>
      </c>
      <c r="N410">
        <v>31.27</v>
      </c>
      <c r="O410">
        <f t="shared" si="18"/>
        <v>26.5</v>
      </c>
      <c r="P410">
        <f t="shared" si="19"/>
        <v>8.34</v>
      </c>
      <c r="Q410">
        <f t="shared" si="20"/>
        <v>7.07</v>
      </c>
    </row>
    <row r="411" spans="1:17" x14ac:dyDescent="0.2">
      <c r="A411">
        <v>30350</v>
      </c>
      <c r="B411">
        <v>30</v>
      </c>
      <c r="C411" t="s">
        <v>6</v>
      </c>
      <c r="D411" t="s">
        <v>1295</v>
      </c>
      <c r="E411" s="3" t="s">
        <v>174</v>
      </c>
      <c r="F411">
        <f>IF(AND($F$15=Datos!$AI$5,Datos!$C$9=Datos!$AI$10),IF(A411&gt;30000,N411,ROUND(N411*Datos!$J$18,Dins)),IF(AND($F$15=Datos!$AI$5,Datos!$C$9=Datos!$AI$9),IF(A411&gt;30000,O411,ROUND(O411*Datos!$J$18,Dins)),IF(AND($F$15=Datos!$AI$6,Datos!$C$9=Datos!$AI$10),IF(A411&gt;30000,P411,ROUND(P411*Datos!$J$18,Dins)),IF(AND($F$15=Datos!$AI$6,Datos!$C$9=Datos!$AI$9),IF(A411&gt;30000,Q411,ROUND(Q411*Datos!$J$18,Dins))))))</f>
        <v>105</v>
      </c>
      <c r="G411">
        <v>0</v>
      </c>
      <c r="H411">
        <v>0</v>
      </c>
      <c r="I411">
        <v>0</v>
      </c>
      <c r="J411">
        <v>0</v>
      </c>
      <c r="N411">
        <v>123.9</v>
      </c>
      <c r="O411">
        <f t="shared" si="18"/>
        <v>105</v>
      </c>
      <c r="P411">
        <f t="shared" si="19"/>
        <v>33.04</v>
      </c>
      <c r="Q411">
        <f t="shared" si="20"/>
        <v>28</v>
      </c>
    </row>
    <row r="412" spans="1:17" x14ac:dyDescent="0.2">
      <c r="A412">
        <v>30351</v>
      </c>
      <c r="B412">
        <v>4</v>
      </c>
      <c r="C412" t="s">
        <v>6</v>
      </c>
      <c r="D412" t="s">
        <v>1296</v>
      </c>
      <c r="E412" s="3" t="s">
        <v>34</v>
      </c>
      <c r="F412">
        <f>IF(AND($F$15=Datos!$AI$5,Datos!$C$9=Datos!$AI$10),IF(A412&gt;30000,N412,ROUND(N412*Datos!$J$18,Dins)),IF(AND($F$15=Datos!$AI$5,Datos!$C$9=Datos!$AI$9),IF(A412&gt;30000,O412,ROUND(O412*Datos!$J$18,Dins)),IF(AND($F$15=Datos!$AI$6,Datos!$C$9=Datos!$AI$10),IF(A412&gt;30000,P412,ROUND(P412*Datos!$J$18,Dins)),IF(AND($F$15=Datos!$AI$6,Datos!$C$9=Datos!$AI$9),IF(A412&gt;30000,Q412,ROUND(Q412*Datos!$J$18,Dins))))))</f>
        <v>100</v>
      </c>
      <c r="G412">
        <v>0</v>
      </c>
      <c r="H412">
        <v>0</v>
      </c>
      <c r="I412">
        <v>0</v>
      </c>
      <c r="J412">
        <v>0</v>
      </c>
      <c r="N412">
        <v>118</v>
      </c>
      <c r="O412">
        <f t="shared" si="18"/>
        <v>100</v>
      </c>
      <c r="P412">
        <f t="shared" si="19"/>
        <v>31.47</v>
      </c>
      <c r="Q412">
        <f t="shared" si="20"/>
        <v>26.67</v>
      </c>
    </row>
    <row r="413" spans="1:17" x14ac:dyDescent="0.2">
      <c r="A413">
        <v>30352</v>
      </c>
      <c r="B413">
        <v>72</v>
      </c>
      <c r="C413" t="s">
        <v>6</v>
      </c>
      <c r="D413" t="s">
        <v>1297</v>
      </c>
      <c r="E413" s="3" t="s">
        <v>194</v>
      </c>
      <c r="F413">
        <f>IF(AND($F$15=Datos!$AI$5,Datos!$C$9=Datos!$AI$10),IF(A413&gt;30000,N413,ROUND(N413*Datos!$J$18,Dins)),IF(AND($F$15=Datos!$AI$5,Datos!$C$9=Datos!$AI$9),IF(A413&gt;30000,O413,ROUND(O413*Datos!$J$18,Dins)),IF(AND($F$15=Datos!$AI$6,Datos!$C$9=Datos!$AI$10),IF(A413&gt;30000,P413,ROUND(P413*Datos!$J$18,Dins)),IF(AND($F$15=Datos!$AI$6,Datos!$C$9=Datos!$AI$9),IF(A413&gt;30000,Q413,ROUND(Q413*Datos!$J$18,Dins))))))</f>
        <v>1.65</v>
      </c>
      <c r="G413">
        <v>0</v>
      </c>
      <c r="H413">
        <v>0</v>
      </c>
      <c r="I413">
        <v>0</v>
      </c>
      <c r="J413">
        <v>0</v>
      </c>
      <c r="N413">
        <v>1.95</v>
      </c>
      <c r="O413">
        <f t="shared" si="18"/>
        <v>1.65</v>
      </c>
      <c r="P413">
        <f t="shared" si="19"/>
        <v>0.52</v>
      </c>
      <c r="Q413">
        <f t="shared" si="20"/>
        <v>0.44</v>
      </c>
    </row>
    <row r="414" spans="1:17" x14ac:dyDescent="0.2">
      <c r="A414">
        <v>30353</v>
      </c>
      <c r="B414">
        <v>73</v>
      </c>
      <c r="C414" t="s">
        <v>6</v>
      </c>
      <c r="D414" t="s">
        <v>1298</v>
      </c>
      <c r="E414" s="3" t="s">
        <v>174</v>
      </c>
      <c r="F414">
        <f>IF(AND($F$15=Datos!$AI$5,Datos!$C$9=Datos!$AI$10),IF(A414&gt;30000,N414,ROUND(N414*Datos!$J$18,Dins)),IF(AND($F$15=Datos!$AI$5,Datos!$C$9=Datos!$AI$9),IF(A414&gt;30000,O414,ROUND(O414*Datos!$J$18,Dins)),IF(AND($F$15=Datos!$AI$6,Datos!$C$9=Datos!$AI$10),IF(A414&gt;30000,P414,ROUND(P414*Datos!$J$18,Dins)),IF(AND($F$15=Datos!$AI$6,Datos!$C$9=Datos!$AI$9),IF(A414&gt;30000,Q414,ROUND(Q414*Datos!$J$18,Dins))))))</f>
        <v>1.1000000000000001</v>
      </c>
      <c r="G414">
        <v>0</v>
      </c>
      <c r="H414">
        <v>0</v>
      </c>
      <c r="I414">
        <v>0</v>
      </c>
      <c r="J414">
        <v>0</v>
      </c>
      <c r="N414">
        <v>1.3</v>
      </c>
      <c r="O414">
        <f t="shared" si="18"/>
        <v>1.1000000000000001</v>
      </c>
      <c r="P414">
        <f t="shared" si="19"/>
        <v>0.35</v>
      </c>
      <c r="Q414">
        <f t="shared" si="20"/>
        <v>0.3</v>
      </c>
    </row>
    <row r="415" spans="1:17" x14ac:dyDescent="0.2">
      <c r="A415">
        <v>30354</v>
      </c>
      <c r="B415">
        <v>12</v>
      </c>
      <c r="C415" t="s">
        <v>6</v>
      </c>
      <c r="D415" t="s">
        <v>1305</v>
      </c>
      <c r="E415" s="3" t="s">
        <v>7</v>
      </c>
      <c r="F415">
        <f>IF(AND($F$15=Datos!$AI$5,Datos!$C$9=Datos!$AI$10),IF(A415&gt;30000,N415,ROUND(N415*Datos!$J$18,Dins)),IF(AND($F$15=Datos!$AI$5,Datos!$C$9=Datos!$AI$9),IF(A415&gt;30000,O415,ROUND(O415*Datos!$J$18,Dins)),IF(AND($F$15=Datos!$AI$6,Datos!$C$9=Datos!$AI$10),IF(A415&gt;30000,P415,ROUND(P415*Datos!$J$18,Dins)),IF(AND($F$15=Datos!$AI$6,Datos!$C$9=Datos!$AI$9),IF(A415&gt;30000,Q415,ROUND(Q415*Datos!$J$18,Dins))))))</f>
        <v>0.85</v>
      </c>
      <c r="G415">
        <v>0</v>
      </c>
      <c r="H415">
        <v>0</v>
      </c>
      <c r="I415">
        <v>0</v>
      </c>
      <c r="J415">
        <v>0</v>
      </c>
      <c r="N415">
        <v>1</v>
      </c>
      <c r="O415">
        <f t="shared" si="18"/>
        <v>0.85</v>
      </c>
      <c r="P415">
        <f t="shared" si="19"/>
        <v>0.27</v>
      </c>
      <c r="Q415">
        <f t="shared" si="20"/>
        <v>0.23</v>
      </c>
    </row>
    <row r="416" spans="1:17" x14ac:dyDescent="0.2">
      <c r="A416">
        <v>30355</v>
      </c>
      <c r="B416">
        <v>73</v>
      </c>
      <c r="C416" t="s">
        <v>6</v>
      </c>
      <c r="D416" t="s">
        <v>1306</v>
      </c>
      <c r="E416" s="3" t="s">
        <v>7</v>
      </c>
      <c r="F416">
        <f>IF(AND($F$15=Datos!$AI$5,Datos!$C$9=Datos!$AI$10),IF(A416&gt;30000,N416,ROUND(N416*Datos!$J$18,Dins)),IF(AND($F$15=Datos!$AI$5,Datos!$C$9=Datos!$AI$9),IF(A416&gt;30000,O416,ROUND(O416*Datos!$J$18,Dins)),IF(AND($F$15=Datos!$AI$6,Datos!$C$9=Datos!$AI$10),IF(A416&gt;30000,P416,ROUND(P416*Datos!$J$18,Dins)),IF(AND($F$15=Datos!$AI$6,Datos!$C$9=Datos!$AI$9),IF(A416&gt;30000,Q416,ROUND(Q416*Datos!$J$18,Dins))))))</f>
        <v>0.3</v>
      </c>
      <c r="G416">
        <v>0</v>
      </c>
      <c r="H416">
        <v>0</v>
      </c>
      <c r="I416">
        <v>0</v>
      </c>
      <c r="J416">
        <v>0</v>
      </c>
      <c r="N416">
        <v>0.35</v>
      </c>
      <c r="O416">
        <f t="shared" si="18"/>
        <v>0.3</v>
      </c>
      <c r="P416">
        <f t="shared" si="19"/>
        <v>0.09</v>
      </c>
      <c r="Q416">
        <f t="shared" si="20"/>
        <v>0.08</v>
      </c>
    </row>
    <row r="417" spans="1:17" x14ac:dyDescent="0.2">
      <c r="A417">
        <v>30356</v>
      </c>
      <c r="B417">
        <v>73</v>
      </c>
      <c r="C417" t="s">
        <v>6</v>
      </c>
      <c r="D417" t="s">
        <v>1307</v>
      </c>
      <c r="E417" s="3" t="s">
        <v>7</v>
      </c>
      <c r="F417">
        <f>IF(AND($F$15=Datos!$AI$5,Datos!$C$9=Datos!$AI$10),IF(A417&gt;30000,N417,ROUND(N417*Datos!$J$18,Dins)),IF(AND($F$15=Datos!$AI$5,Datos!$C$9=Datos!$AI$9),IF(A417&gt;30000,O417,ROUND(O417*Datos!$J$18,Dins)),IF(AND($F$15=Datos!$AI$6,Datos!$C$9=Datos!$AI$10),IF(A417&gt;30000,P417,ROUND(P417*Datos!$J$18,Dins)),IF(AND($F$15=Datos!$AI$6,Datos!$C$9=Datos!$AI$9),IF(A417&gt;30000,Q417,ROUND(Q417*Datos!$J$18,Dins))))))</f>
        <v>0.3</v>
      </c>
      <c r="G417">
        <v>0</v>
      </c>
      <c r="H417">
        <v>0</v>
      </c>
      <c r="I417">
        <v>0</v>
      </c>
      <c r="J417">
        <v>0</v>
      </c>
      <c r="N417">
        <v>0.35</v>
      </c>
      <c r="O417">
        <f t="shared" si="18"/>
        <v>0.3</v>
      </c>
      <c r="P417">
        <f t="shared" si="19"/>
        <v>0.09</v>
      </c>
      <c r="Q417">
        <f t="shared" si="20"/>
        <v>0.08</v>
      </c>
    </row>
    <row r="418" spans="1:17" x14ac:dyDescent="0.2">
      <c r="A418">
        <v>30357</v>
      </c>
      <c r="B418">
        <v>12</v>
      </c>
      <c r="C418" t="s">
        <v>6</v>
      </c>
      <c r="D418" t="s">
        <v>1310</v>
      </c>
      <c r="E418" s="3" t="s">
        <v>7</v>
      </c>
      <c r="F418">
        <f>IF(AND($F$15=Datos!$AI$5,Datos!$C$9=Datos!$AI$10),IF(A418&gt;30000,N418,ROUND(N418*Datos!$J$18,Dins)),IF(AND($F$15=Datos!$AI$5,Datos!$C$9=Datos!$AI$9),IF(A418&gt;30000,O418,ROUND(O418*Datos!$J$18,Dins)),IF(AND($F$15=Datos!$AI$6,Datos!$C$9=Datos!$AI$10),IF(A418&gt;30000,P418,ROUND(P418*Datos!$J$18,Dins)),IF(AND($F$15=Datos!$AI$6,Datos!$C$9=Datos!$AI$9),IF(A418&gt;30000,Q418,ROUND(Q418*Datos!$J$18,Dins))))))</f>
        <v>0.85</v>
      </c>
      <c r="G418">
        <v>0</v>
      </c>
      <c r="H418">
        <v>0</v>
      </c>
      <c r="I418">
        <v>0</v>
      </c>
      <c r="J418">
        <v>0</v>
      </c>
      <c r="N418">
        <v>1</v>
      </c>
      <c r="O418">
        <f t="shared" si="18"/>
        <v>0.85</v>
      </c>
      <c r="P418">
        <f t="shared" si="19"/>
        <v>0.27</v>
      </c>
      <c r="Q418">
        <f t="shared" si="20"/>
        <v>0.23</v>
      </c>
    </row>
    <row r="419" spans="1:17" x14ac:dyDescent="0.2">
      <c r="A419">
        <v>30358</v>
      </c>
      <c r="B419">
        <v>12</v>
      </c>
      <c r="C419" t="s">
        <v>6</v>
      </c>
      <c r="D419" t="s">
        <v>1315</v>
      </c>
      <c r="E419" s="3" t="s">
        <v>7</v>
      </c>
      <c r="F419">
        <f>IF(AND($F$15=Datos!$AI$5,Datos!$C$9=Datos!$AI$10),IF(A419&gt;30000,N419,ROUND(N419*Datos!$J$18,Dins)),IF(AND($F$15=Datos!$AI$5,Datos!$C$9=Datos!$AI$9),IF(A419&gt;30000,O419,ROUND(O419*Datos!$J$18,Dins)),IF(AND($F$15=Datos!$AI$6,Datos!$C$9=Datos!$AI$10),IF(A419&gt;30000,P419,ROUND(P419*Datos!$J$18,Dins)),IF(AND($F$15=Datos!$AI$6,Datos!$C$9=Datos!$AI$9),IF(A419&gt;30000,Q419,ROUND(Q419*Datos!$J$18,Dins))))))</f>
        <v>3.3</v>
      </c>
      <c r="G419">
        <v>0</v>
      </c>
      <c r="H419">
        <v>0</v>
      </c>
      <c r="I419">
        <v>0</v>
      </c>
      <c r="J419">
        <v>0</v>
      </c>
      <c r="N419">
        <v>3.89</v>
      </c>
      <c r="O419">
        <f t="shared" si="18"/>
        <v>3.3</v>
      </c>
      <c r="P419">
        <f t="shared" si="19"/>
        <v>1.04</v>
      </c>
      <c r="Q419">
        <f t="shared" si="20"/>
        <v>0.88</v>
      </c>
    </row>
    <row r="420" spans="1:17" x14ac:dyDescent="0.2">
      <c r="A420">
        <v>30359</v>
      </c>
      <c r="B420">
        <v>7</v>
      </c>
      <c r="C420" t="s">
        <v>6</v>
      </c>
      <c r="D420" t="s">
        <v>1336</v>
      </c>
      <c r="E420" s="3" t="s">
        <v>194</v>
      </c>
      <c r="F420">
        <f>IF(AND($F$15=Datos!$AI$5,Datos!$C$9=Datos!$AI$10),IF(A420&gt;30000,N420,ROUND(N420*Datos!$J$18,Dins)),IF(AND($F$15=Datos!$AI$5,Datos!$C$9=Datos!$AI$9),IF(A420&gt;30000,O420,ROUND(O420*Datos!$J$18,Dins)),IF(AND($F$15=Datos!$AI$6,Datos!$C$9=Datos!$AI$10),IF(A420&gt;30000,P420,ROUND(P420*Datos!$J$18,Dins)),IF(AND($F$15=Datos!$AI$6,Datos!$C$9=Datos!$AI$9),IF(A420&gt;30000,Q420,ROUND(Q420*Datos!$J$18,Dins))))))</f>
        <v>1.01</v>
      </c>
      <c r="G420">
        <v>0</v>
      </c>
      <c r="H420">
        <v>0</v>
      </c>
      <c r="I420">
        <v>0</v>
      </c>
      <c r="J420">
        <v>0</v>
      </c>
      <c r="N420">
        <v>1.19</v>
      </c>
      <c r="O420">
        <f t="shared" si="18"/>
        <v>1.01</v>
      </c>
      <c r="P420">
        <f t="shared" si="19"/>
        <v>0.32</v>
      </c>
      <c r="Q420">
        <f t="shared" si="20"/>
        <v>0.27</v>
      </c>
    </row>
    <row r="421" spans="1:17" x14ac:dyDescent="0.2">
      <c r="A421">
        <v>30360</v>
      </c>
      <c r="B421">
        <v>12</v>
      </c>
      <c r="C421" t="s">
        <v>6</v>
      </c>
      <c r="D421" t="s">
        <v>1344</v>
      </c>
      <c r="E421" s="3" t="s">
        <v>7</v>
      </c>
      <c r="F421">
        <f>IF(AND($F$15=Datos!$AI$5,Datos!$C$9=Datos!$AI$10),IF(A421&gt;30000,N421,ROUND(N421*Datos!$J$18,Dins)),IF(AND($F$15=Datos!$AI$5,Datos!$C$9=Datos!$AI$9),IF(A421&gt;30000,O421,ROUND(O421*Datos!$J$18,Dins)),IF(AND($F$15=Datos!$AI$6,Datos!$C$9=Datos!$AI$10),IF(A421&gt;30000,P421,ROUND(P421*Datos!$J$18,Dins)),IF(AND($F$15=Datos!$AI$6,Datos!$C$9=Datos!$AI$9),IF(A421&gt;30000,Q421,ROUND(Q421*Datos!$J$18,Dins))))))</f>
        <v>3.8</v>
      </c>
      <c r="G421">
        <v>0</v>
      </c>
      <c r="H421">
        <v>0</v>
      </c>
      <c r="I421">
        <v>0</v>
      </c>
      <c r="J421">
        <v>0</v>
      </c>
      <c r="N421">
        <v>4.4800000000000004</v>
      </c>
      <c r="O421">
        <f t="shared" si="18"/>
        <v>3.8</v>
      </c>
      <c r="P421">
        <f t="shared" si="19"/>
        <v>1.19</v>
      </c>
      <c r="Q421">
        <f t="shared" si="20"/>
        <v>1.01</v>
      </c>
    </row>
    <row r="422" spans="1:17" x14ac:dyDescent="0.2">
      <c r="A422">
        <v>30361</v>
      </c>
      <c r="B422">
        <v>12</v>
      </c>
      <c r="C422" t="s">
        <v>6</v>
      </c>
      <c r="D422" t="s">
        <v>1350</v>
      </c>
      <c r="E422" s="3" t="s">
        <v>7</v>
      </c>
      <c r="F422">
        <f>IF(AND($F$15=Datos!$AI$5,Datos!$C$9=Datos!$AI$10),IF(A422&gt;30000,N422,ROUND(N422*Datos!$J$18,Dins)),IF(AND($F$15=Datos!$AI$5,Datos!$C$9=Datos!$AI$9),IF(A422&gt;30000,O422,ROUND(O422*Datos!$J$18,Dins)),IF(AND($F$15=Datos!$AI$6,Datos!$C$9=Datos!$AI$10),IF(A422&gt;30000,P422,ROUND(P422*Datos!$J$18,Dins)),IF(AND($F$15=Datos!$AI$6,Datos!$C$9=Datos!$AI$9),IF(A422&gt;30000,Q422,ROUND(Q422*Datos!$J$18,Dins))))))</f>
        <v>2.1</v>
      </c>
      <c r="G422">
        <v>0</v>
      </c>
      <c r="H422">
        <v>0</v>
      </c>
      <c r="I422">
        <v>0</v>
      </c>
      <c r="J422">
        <v>0</v>
      </c>
      <c r="N422">
        <v>2.48</v>
      </c>
      <c r="O422">
        <f t="shared" si="18"/>
        <v>2.1</v>
      </c>
      <c r="P422">
        <f t="shared" si="19"/>
        <v>0.66</v>
      </c>
      <c r="Q422">
        <f t="shared" si="20"/>
        <v>0.56000000000000005</v>
      </c>
    </row>
    <row r="423" spans="1:17" x14ac:dyDescent="0.2">
      <c r="A423">
        <v>30362</v>
      </c>
      <c r="B423">
        <v>12</v>
      </c>
      <c r="C423" t="s">
        <v>6</v>
      </c>
      <c r="D423" t="s">
        <v>1353</v>
      </c>
      <c r="E423" s="3" t="s">
        <v>7</v>
      </c>
      <c r="F423">
        <f>IF(AND($F$15=Datos!$AI$5,Datos!$C$9=Datos!$AI$10),IF(A423&gt;30000,N423,ROUND(N423*Datos!$J$18,Dins)),IF(AND($F$15=Datos!$AI$5,Datos!$C$9=Datos!$AI$9),IF(A423&gt;30000,O423,ROUND(O423*Datos!$J$18,Dins)),IF(AND($F$15=Datos!$AI$6,Datos!$C$9=Datos!$AI$10),IF(A423&gt;30000,P423,ROUND(P423*Datos!$J$18,Dins)),IF(AND($F$15=Datos!$AI$6,Datos!$C$9=Datos!$AI$9),IF(A423&gt;30000,Q423,ROUND(Q423*Datos!$J$18,Dins))))))</f>
        <v>2.95</v>
      </c>
      <c r="G423">
        <v>0</v>
      </c>
      <c r="H423">
        <v>0</v>
      </c>
      <c r="I423">
        <v>0</v>
      </c>
      <c r="J423">
        <v>0</v>
      </c>
      <c r="N423">
        <v>3.48</v>
      </c>
      <c r="O423">
        <f t="shared" si="18"/>
        <v>2.95</v>
      </c>
      <c r="P423">
        <f t="shared" si="19"/>
        <v>0.93</v>
      </c>
      <c r="Q423">
        <f t="shared" si="20"/>
        <v>0.79</v>
      </c>
    </row>
    <row r="424" spans="1:17" x14ac:dyDescent="0.2">
      <c r="A424">
        <v>30363</v>
      </c>
      <c r="B424">
        <v>12</v>
      </c>
      <c r="C424" t="s">
        <v>6</v>
      </c>
      <c r="D424" t="s">
        <v>1356</v>
      </c>
      <c r="E424" s="3" t="s">
        <v>7</v>
      </c>
      <c r="F424">
        <f>IF(AND($F$15=Datos!$AI$5,Datos!$C$9=Datos!$AI$10),IF(A424&gt;30000,N424,ROUND(N424*Datos!$J$18,Dins)),IF(AND($F$15=Datos!$AI$5,Datos!$C$9=Datos!$AI$9),IF(A424&gt;30000,O424,ROUND(O424*Datos!$J$18,Dins)),IF(AND($F$15=Datos!$AI$6,Datos!$C$9=Datos!$AI$10),IF(A424&gt;30000,P424,ROUND(P424*Datos!$J$18,Dins)),IF(AND($F$15=Datos!$AI$6,Datos!$C$9=Datos!$AI$9),IF(A424&gt;30000,Q424,ROUND(Q424*Datos!$J$18,Dins))))))</f>
        <v>4.75</v>
      </c>
      <c r="G424">
        <v>0</v>
      </c>
      <c r="H424">
        <v>0</v>
      </c>
      <c r="I424">
        <v>0</v>
      </c>
      <c r="J424">
        <v>0</v>
      </c>
      <c r="N424">
        <v>5.6</v>
      </c>
      <c r="O424">
        <f t="shared" si="18"/>
        <v>4.75</v>
      </c>
      <c r="P424">
        <f t="shared" si="19"/>
        <v>1.49</v>
      </c>
      <c r="Q424">
        <f t="shared" si="20"/>
        <v>1.26</v>
      </c>
    </row>
    <row r="425" spans="1:17" x14ac:dyDescent="0.2">
      <c r="A425">
        <v>30364</v>
      </c>
      <c r="B425">
        <v>12</v>
      </c>
      <c r="C425" t="s">
        <v>6</v>
      </c>
      <c r="D425" t="s">
        <v>1359</v>
      </c>
      <c r="E425" s="3" t="s">
        <v>7</v>
      </c>
      <c r="F425">
        <f>IF(AND($F$15=Datos!$AI$5,Datos!$C$9=Datos!$AI$10),IF(A425&gt;30000,N425,ROUND(N425*Datos!$J$18,Dins)),IF(AND($F$15=Datos!$AI$5,Datos!$C$9=Datos!$AI$9),IF(A425&gt;30000,O425,ROUND(O425*Datos!$J$18,Dins)),IF(AND($F$15=Datos!$AI$6,Datos!$C$9=Datos!$AI$10),IF(A425&gt;30000,P425,ROUND(P425*Datos!$J$18,Dins)),IF(AND($F$15=Datos!$AI$6,Datos!$C$9=Datos!$AI$9),IF(A425&gt;30000,Q425,ROUND(Q425*Datos!$J$18,Dins))))))</f>
        <v>2.8</v>
      </c>
      <c r="G425">
        <v>0</v>
      </c>
      <c r="H425">
        <v>0</v>
      </c>
      <c r="I425">
        <v>0</v>
      </c>
      <c r="J425">
        <v>0</v>
      </c>
      <c r="N425">
        <v>3.3</v>
      </c>
      <c r="O425">
        <f t="shared" si="18"/>
        <v>2.8</v>
      </c>
      <c r="P425">
        <f t="shared" si="19"/>
        <v>0.88</v>
      </c>
      <c r="Q425">
        <f t="shared" si="20"/>
        <v>0.75</v>
      </c>
    </row>
    <row r="426" spans="1:17" x14ac:dyDescent="0.2">
      <c r="A426">
        <v>30365</v>
      </c>
      <c r="B426">
        <v>12</v>
      </c>
      <c r="C426" t="s">
        <v>6</v>
      </c>
      <c r="D426" t="s">
        <v>1362</v>
      </c>
      <c r="E426" s="3" t="s">
        <v>7</v>
      </c>
      <c r="F426">
        <f>IF(AND($F$15=Datos!$AI$5,Datos!$C$9=Datos!$AI$10),IF(A426&gt;30000,N426,ROUND(N426*Datos!$J$18,Dins)),IF(AND($F$15=Datos!$AI$5,Datos!$C$9=Datos!$AI$9),IF(A426&gt;30000,O426,ROUND(O426*Datos!$J$18,Dins)),IF(AND($F$15=Datos!$AI$6,Datos!$C$9=Datos!$AI$10),IF(A426&gt;30000,P426,ROUND(P426*Datos!$J$18,Dins)),IF(AND($F$15=Datos!$AI$6,Datos!$C$9=Datos!$AI$9),IF(A426&gt;30000,Q426,ROUND(Q426*Datos!$J$18,Dins))))))</f>
        <v>5.4</v>
      </c>
      <c r="G426">
        <v>0</v>
      </c>
      <c r="H426">
        <v>0</v>
      </c>
      <c r="I426">
        <v>0</v>
      </c>
      <c r="J426">
        <v>0</v>
      </c>
      <c r="N426">
        <v>6.37</v>
      </c>
      <c r="O426">
        <f t="shared" si="18"/>
        <v>5.4</v>
      </c>
      <c r="P426">
        <f t="shared" si="19"/>
        <v>1.7</v>
      </c>
      <c r="Q426">
        <f t="shared" si="20"/>
        <v>1.44</v>
      </c>
    </row>
    <row r="427" spans="1:17" x14ac:dyDescent="0.2">
      <c r="A427">
        <v>30366</v>
      </c>
      <c r="B427">
        <v>12</v>
      </c>
      <c r="C427" t="s">
        <v>6</v>
      </c>
      <c r="D427" t="s">
        <v>1365</v>
      </c>
      <c r="E427" s="3" t="s">
        <v>7</v>
      </c>
      <c r="F427">
        <f>IF(AND($F$15=Datos!$AI$5,Datos!$C$9=Datos!$AI$10),IF(A427&gt;30000,N427,ROUND(N427*Datos!$J$18,Dins)),IF(AND($F$15=Datos!$AI$5,Datos!$C$9=Datos!$AI$9),IF(A427&gt;30000,O427,ROUND(O427*Datos!$J$18,Dins)),IF(AND($F$15=Datos!$AI$6,Datos!$C$9=Datos!$AI$10),IF(A427&gt;30000,P427,ROUND(P427*Datos!$J$18,Dins)),IF(AND($F$15=Datos!$AI$6,Datos!$C$9=Datos!$AI$9),IF(A427&gt;30000,Q427,ROUND(Q427*Datos!$J$18,Dins))))))</f>
        <v>3.75</v>
      </c>
      <c r="G427">
        <v>0</v>
      </c>
      <c r="H427">
        <v>0</v>
      </c>
      <c r="I427">
        <v>0</v>
      </c>
      <c r="J427">
        <v>0</v>
      </c>
      <c r="N427">
        <v>4.42</v>
      </c>
      <c r="O427">
        <f t="shared" si="18"/>
        <v>3.75</v>
      </c>
      <c r="P427">
        <f t="shared" si="19"/>
        <v>1.18</v>
      </c>
      <c r="Q427">
        <f t="shared" si="20"/>
        <v>1</v>
      </c>
    </row>
    <row r="428" spans="1:17" x14ac:dyDescent="0.2">
      <c r="A428">
        <v>30367</v>
      </c>
      <c r="B428">
        <v>12</v>
      </c>
      <c r="C428" t="s">
        <v>6</v>
      </c>
      <c r="D428" t="s">
        <v>1370</v>
      </c>
      <c r="E428" s="3" t="s">
        <v>174</v>
      </c>
      <c r="F428">
        <f>IF(AND($F$15=Datos!$AI$5,Datos!$C$9=Datos!$AI$10),IF(A428&gt;30000,N428,ROUND(N428*Datos!$J$18,Dins)),IF(AND($F$15=Datos!$AI$5,Datos!$C$9=Datos!$AI$9),IF(A428&gt;30000,O428,ROUND(O428*Datos!$J$18,Dins)),IF(AND($F$15=Datos!$AI$6,Datos!$C$9=Datos!$AI$10),IF(A428&gt;30000,P428,ROUND(P428*Datos!$J$18,Dins)),IF(AND($F$15=Datos!$AI$6,Datos!$C$9=Datos!$AI$9),IF(A428&gt;30000,Q428,ROUND(Q428*Datos!$J$18,Dins))))))</f>
        <v>0.8</v>
      </c>
      <c r="G428">
        <v>0</v>
      </c>
      <c r="H428">
        <v>0</v>
      </c>
      <c r="I428">
        <v>0</v>
      </c>
      <c r="J428">
        <v>0</v>
      </c>
      <c r="N428">
        <v>0.94</v>
      </c>
      <c r="O428">
        <f t="shared" si="18"/>
        <v>0.8</v>
      </c>
      <c r="P428">
        <f t="shared" si="19"/>
        <v>0.25</v>
      </c>
      <c r="Q428">
        <f t="shared" si="20"/>
        <v>0.21</v>
      </c>
    </row>
    <row r="429" spans="1:17" x14ac:dyDescent="0.2">
      <c r="A429">
        <v>30368</v>
      </c>
      <c r="B429">
        <v>30</v>
      </c>
      <c r="C429" t="s">
        <v>6</v>
      </c>
      <c r="D429" t="s">
        <v>1371</v>
      </c>
      <c r="E429" s="3" t="s">
        <v>7</v>
      </c>
      <c r="F429">
        <f>IF(AND($F$15=Datos!$AI$5,Datos!$C$9=Datos!$AI$10),IF(A429&gt;30000,N429,ROUND(N429*Datos!$J$18,Dins)),IF(AND($F$15=Datos!$AI$5,Datos!$C$9=Datos!$AI$9),IF(A429&gt;30000,O429,ROUND(O429*Datos!$J$18,Dins)),IF(AND($F$15=Datos!$AI$6,Datos!$C$9=Datos!$AI$10),IF(A429&gt;30000,P429,ROUND(P429*Datos!$J$18,Dins)),IF(AND($F$15=Datos!$AI$6,Datos!$C$9=Datos!$AI$9),IF(A429&gt;30000,Q429,ROUND(Q429*Datos!$J$18,Dins))))))</f>
        <v>2.9</v>
      </c>
      <c r="G429">
        <v>0</v>
      </c>
      <c r="H429">
        <v>0</v>
      </c>
      <c r="I429">
        <v>0</v>
      </c>
      <c r="J429">
        <v>0</v>
      </c>
      <c r="N429">
        <v>3.42</v>
      </c>
      <c r="O429">
        <f t="shared" si="18"/>
        <v>2.9</v>
      </c>
      <c r="P429">
        <f t="shared" si="19"/>
        <v>0.91</v>
      </c>
      <c r="Q429">
        <f t="shared" si="20"/>
        <v>0.77</v>
      </c>
    </row>
    <row r="430" spans="1:17" x14ac:dyDescent="0.2">
      <c r="A430">
        <v>30369</v>
      </c>
      <c r="B430">
        <v>11</v>
      </c>
      <c r="C430" t="s">
        <v>6</v>
      </c>
      <c r="D430" t="s">
        <v>1374</v>
      </c>
      <c r="E430" s="3" t="s">
        <v>174</v>
      </c>
      <c r="F430">
        <f>IF(AND($F$15=Datos!$AI$5,Datos!$C$9=Datos!$AI$10),IF(A430&gt;30000,N430,ROUND(N430*Datos!$J$18,Dins)),IF(AND($F$15=Datos!$AI$5,Datos!$C$9=Datos!$AI$9),IF(A430&gt;30000,O430,ROUND(O430*Datos!$J$18,Dins)),IF(AND($F$15=Datos!$AI$6,Datos!$C$9=Datos!$AI$10),IF(A430&gt;30000,P430,ROUND(P430*Datos!$J$18,Dins)),IF(AND($F$15=Datos!$AI$6,Datos!$C$9=Datos!$AI$9),IF(A430&gt;30000,Q430,ROUND(Q430*Datos!$J$18,Dins))))))</f>
        <v>75</v>
      </c>
      <c r="G430">
        <v>0</v>
      </c>
      <c r="H430">
        <v>0</v>
      </c>
      <c r="I430">
        <v>0</v>
      </c>
      <c r="J430">
        <v>0</v>
      </c>
      <c r="N430">
        <v>88.5</v>
      </c>
      <c r="O430">
        <f t="shared" si="18"/>
        <v>75</v>
      </c>
      <c r="P430">
        <f t="shared" si="19"/>
        <v>23.6</v>
      </c>
      <c r="Q430">
        <f t="shared" si="20"/>
        <v>20</v>
      </c>
    </row>
    <row r="431" spans="1:17" x14ac:dyDescent="0.2">
      <c r="A431">
        <v>30370</v>
      </c>
      <c r="B431">
        <v>30</v>
      </c>
      <c r="C431" t="s">
        <v>6</v>
      </c>
      <c r="D431" t="s">
        <v>1376</v>
      </c>
      <c r="E431" s="3" t="s">
        <v>7</v>
      </c>
      <c r="F431">
        <f>IF(AND($F$15=Datos!$AI$5,Datos!$C$9=Datos!$AI$10),IF(A431&gt;30000,N431,ROUND(N431*Datos!$J$18,Dins)),IF(AND($F$15=Datos!$AI$5,Datos!$C$9=Datos!$AI$9),IF(A431&gt;30000,O431,ROUND(O431*Datos!$J$18,Dins)),IF(AND($F$15=Datos!$AI$6,Datos!$C$9=Datos!$AI$10),IF(A431&gt;30000,P431,ROUND(P431*Datos!$J$18,Dins)),IF(AND($F$15=Datos!$AI$6,Datos!$C$9=Datos!$AI$9),IF(A431&gt;30000,Q431,ROUND(Q431*Datos!$J$18,Dins))))))</f>
        <v>25</v>
      </c>
      <c r="G431">
        <v>0</v>
      </c>
      <c r="H431">
        <v>0</v>
      </c>
      <c r="I431">
        <v>0</v>
      </c>
      <c r="J431">
        <v>0</v>
      </c>
      <c r="N431">
        <v>29.5</v>
      </c>
      <c r="O431">
        <f t="shared" si="18"/>
        <v>25</v>
      </c>
      <c r="P431">
        <f t="shared" si="19"/>
        <v>7.87</v>
      </c>
      <c r="Q431">
        <f t="shared" si="20"/>
        <v>6.67</v>
      </c>
    </row>
    <row r="432" spans="1:17" x14ac:dyDescent="0.2">
      <c r="A432">
        <v>30371</v>
      </c>
      <c r="B432">
        <v>30</v>
      </c>
      <c r="C432" t="s">
        <v>6</v>
      </c>
      <c r="D432" t="s">
        <v>1378</v>
      </c>
      <c r="E432" s="3" t="s">
        <v>7</v>
      </c>
      <c r="F432">
        <f>IF(AND($F$15=Datos!$AI$5,Datos!$C$9=Datos!$AI$10),IF(A432&gt;30000,N432,ROUND(N432*Datos!$J$18,Dins)),IF(AND($F$15=Datos!$AI$5,Datos!$C$9=Datos!$AI$9),IF(A432&gt;30000,O432,ROUND(O432*Datos!$J$18,Dins)),IF(AND($F$15=Datos!$AI$6,Datos!$C$9=Datos!$AI$10),IF(A432&gt;30000,P432,ROUND(P432*Datos!$J$18,Dins)),IF(AND($F$15=Datos!$AI$6,Datos!$C$9=Datos!$AI$9),IF(A432&gt;30000,Q432,ROUND(Q432*Datos!$J$18,Dins))))))</f>
        <v>45</v>
      </c>
      <c r="G432">
        <v>0</v>
      </c>
      <c r="H432">
        <v>0</v>
      </c>
      <c r="I432">
        <v>0</v>
      </c>
      <c r="J432">
        <v>0</v>
      </c>
      <c r="N432">
        <v>53.1</v>
      </c>
      <c r="O432">
        <f t="shared" si="18"/>
        <v>45</v>
      </c>
      <c r="P432">
        <f t="shared" si="19"/>
        <v>14.16</v>
      </c>
      <c r="Q432">
        <f t="shared" si="20"/>
        <v>12</v>
      </c>
    </row>
    <row r="433" spans="1:17" x14ac:dyDescent="0.2">
      <c r="A433">
        <v>30372</v>
      </c>
      <c r="B433">
        <v>12</v>
      </c>
      <c r="C433" t="s">
        <v>6</v>
      </c>
      <c r="D433" t="s">
        <v>1380</v>
      </c>
      <c r="E433" s="3" t="s">
        <v>7</v>
      </c>
      <c r="F433">
        <f>IF(AND($F$15=Datos!$AI$5,Datos!$C$9=Datos!$AI$10),IF(A433&gt;30000,N433,ROUND(N433*Datos!$J$18,Dins)),IF(AND($F$15=Datos!$AI$5,Datos!$C$9=Datos!$AI$9),IF(A433&gt;30000,O433,ROUND(O433*Datos!$J$18,Dins)),IF(AND($F$15=Datos!$AI$6,Datos!$C$9=Datos!$AI$10),IF(A433&gt;30000,P433,ROUND(P433*Datos!$J$18,Dins)),IF(AND($F$15=Datos!$AI$6,Datos!$C$9=Datos!$AI$9),IF(A433&gt;30000,Q433,ROUND(Q433*Datos!$J$18,Dins))))))</f>
        <v>59.5</v>
      </c>
      <c r="G433">
        <v>0</v>
      </c>
      <c r="H433">
        <v>0</v>
      </c>
      <c r="I433">
        <v>0</v>
      </c>
      <c r="J433">
        <v>0</v>
      </c>
      <c r="N433">
        <v>70.209999999999994</v>
      </c>
      <c r="O433">
        <f t="shared" si="18"/>
        <v>59.5</v>
      </c>
      <c r="P433">
        <f t="shared" si="19"/>
        <v>18.72</v>
      </c>
      <c r="Q433">
        <f t="shared" si="20"/>
        <v>15.86</v>
      </c>
    </row>
    <row r="434" spans="1:17" x14ac:dyDescent="0.2">
      <c r="A434">
        <v>30373</v>
      </c>
      <c r="B434">
        <v>30</v>
      </c>
      <c r="C434" t="s">
        <v>6</v>
      </c>
      <c r="D434" t="s">
        <v>1388</v>
      </c>
      <c r="E434" s="3" t="s">
        <v>7</v>
      </c>
      <c r="F434">
        <f>IF(AND($F$15=Datos!$AI$5,Datos!$C$9=Datos!$AI$10),IF(A434&gt;30000,N434,ROUND(N434*Datos!$J$18,Dins)),IF(AND($F$15=Datos!$AI$5,Datos!$C$9=Datos!$AI$9),IF(A434&gt;30000,O434,ROUND(O434*Datos!$J$18,Dins)),IF(AND($F$15=Datos!$AI$6,Datos!$C$9=Datos!$AI$10),IF(A434&gt;30000,P434,ROUND(P434*Datos!$J$18,Dins)),IF(AND($F$15=Datos!$AI$6,Datos!$C$9=Datos!$AI$9),IF(A434&gt;30000,Q434,ROUND(Q434*Datos!$J$18,Dins))))))</f>
        <v>550</v>
      </c>
      <c r="G434">
        <v>0</v>
      </c>
      <c r="H434">
        <v>0</v>
      </c>
      <c r="I434">
        <v>0</v>
      </c>
      <c r="J434">
        <v>0</v>
      </c>
      <c r="N434">
        <v>649</v>
      </c>
      <c r="O434">
        <f t="shared" si="18"/>
        <v>550</v>
      </c>
      <c r="P434">
        <f t="shared" si="19"/>
        <v>173.07</v>
      </c>
      <c r="Q434">
        <f t="shared" si="20"/>
        <v>146.66999999999999</v>
      </c>
    </row>
    <row r="435" spans="1:17" x14ac:dyDescent="0.2">
      <c r="A435">
        <v>30374</v>
      </c>
      <c r="B435">
        <v>30</v>
      </c>
      <c r="C435" t="s">
        <v>6</v>
      </c>
      <c r="D435" t="s">
        <v>1389</v>
      </c>
      <c r="E435" s="3" t="s">
        <v>7</v>
      </c>
      <c r="F435">
        <f>IF(AND($F$15=Datos!$AI$5,Datos!$C$9=Datos!$AI$10),IF(A435&gt;30000,N435,ROUND(N435*Datos!$J$18,Dins)),IF(AND($F$15=Datos!$AI$5,Datos!$C$9=Datos!$AI$9),IF(A435&gt;30000,O435,ROUND(O435*Datos!$J$18,Dins)),IF(AND($F$15=Datos!$AI$6,Datos!$C$9=Datos!$AI$10),IF(A435&gt;30000,P435,ROUND(P435*Datos!$J$18,Dins)),IF(AND($F$15=Datos!$AI$6,Datos!$C$9=Datos!$AI$9),IF(A435&gt;30000,Q435,ROUND(Q435*Datos!$J$18,Dins))))))</f>
        <v>47.5</v>
      </c>
      <c r="G435">
        <v>0</v>
      </c>
      <c r="H435">
        <v>0</v>
      </c>
      <c r="I435">
        <v>0</v>
      </c>
      <c r="J435">
        <v>0</v>
      </c>
      <c r="N435">
        <v>56.05</v>
      </c>
      <c r="O435">
        <f t="shared" si="18"/>
        <v>47.5</v>
      </c>
      <c r="P435">
        <f t="shared" si="19"/>
        <v>14.95</v>
      </c>
      <c r="Q435">
        <f t="shared" si="20"/>
        <v>12.67</v>
      </c>
    </row>
    <row r="436" spans="1:17" x14ac:dyDescent="0.2">
      <c r="A436">
        <v>30375</v>
      </c>
      <c r="B436">
        <v>65</v>
      </c>
      <c r="C436" t="s">
        <v>6</v>
      </c>
      <c r="D436" t="s">
        <v>1390</v>
      </c>
      <c r="E436" s="3" t="s">
        <v>7</v>
      </c>
      <c r="F436">
        <f>IF(AND($F$15=Datos!$AI$5,Datos!$C$9=Datos!$AI$10),IF(A436&gt;30000,N436,ROUND(N436*Datos!$J$18,Dins)),IF(AND($F$15=Datos!$AI$5,Datos!$C$9=Datos!$AI$9),IF(A436&gt;30000,O436,ROUND(O436*Datos!$J$18,Dins)),IF(AND($F$15=Datos!$AI$6,Datos!$C$9=Datos!$AI$10),IF(A436&gt;30000,P436,ROUND(P436*Datos!$J$18,Dins)),IF(AND($F$15=Datos!$AI$6,Datos!$C$9=Datos!$AI$9),IF(A436&gt;30000,Q436,ROUND(Q436*Datos!$J$18,Dins))))))</f>
        <v>10.5</v>
      </c>
      <c r="G436">
        <v>0</v>
      </c>
      <c r="H436">
        <v>0</v>
      </c>
      <c r="I436">
        <v>0</v>
      </c>
      <c r="J436">
        <v>0</v>
      </c>
      <c r="N436">
        <v>12.39</v>
      </c>
      <c r="O436">
        <f t="shared" si="18"/>
        <v>10.5</v>
      </c>
      <c r="P436">
        <f t="shared" si="19"/>
        <v>3.3</v>
      </c>
      <c r="Q436">
        <f t="shared" si="20"/>
        <v>2.8</v>
      </c>
    </row>
    <row r="437" spans="1:17" x14ac:dyDescent="0.2">
      <c r="A437">
        <v>30376</v>
      </c>
      <c r="B437">
        <v>65</v>
      </c>
      <c r="C437" t="s">
        <v>6</v>
      </c>
      <c r="D437" t="s">
        <v>1391</v>
      </c>
      <c r="E437" s="3" t="s">
        <v>7</v>
      </c>
      <c r="F437">
        <f>IF(AND($F$15=Datos!$AI$5,Datos!$C$9=Datos!$AI$10),IF(A437&gt;30000,N437,ROUND(N437*Datos!$J$18,Dins)),IF(AND($F$15=Datos!$AI$5,Datos!$C$9=Datos!$AI$9),IF(A437&gt;30000,O437,ROUND(O437*Datos!$J$18,Dins)),IF(AND($F$15=Datos!$AI$6,Datos!$C$9=Datos!$AI$10),IF(A437&gt;30000,P437,ROUND(P437*Datos!$J$18,Dins)),IF(AND($F$15=Datos!$AI$6,Datos!$C$9=Datos!$AI$9),IF(A437&gt;30000,Q437,ROUND(Q437*Datos!$J$18,Dins))))))</f>
        <v>15.3</v>
      </c>
      <c r="G437">
        <v>0</v>
      </c>
      <c r="H437">
        <v>0</v>
      </c>
      <c r="I437">
        <v>0</v>
      </c>
      <c r="J437">
        <v>0</v>
      </c>
      <c r="N437">
        <v>18.05</v>
      </c>
      <c r="O437">
        <f t="shared" si="18"/>
        <v>15.3</v>
      </c>
      <c r="P437">
        <f t="shared" si="19"/>
        <v>4.8099999999999996</v>
      </c>
      <c r="Q437">
        <f t="shared" si="20"/>
        <v>4.08</v>
      </c>
    </row>
    <row r="438" spans="1:17" x14ac:dyDescent="0.2">
      <c r="A438">
        <v>30377</v>
      </c>
      <c r="B438">
        <v>65</v>
      </c>
      <c r="C438" t="s">
        <v>6</v>
      </c>
      <c r="D438" t="s">
        <v>1392</v>
      </c>
      <c r="E438" s="3" t="s">
        <v>7</v>
      </c>
      <c r="F438">
        <f>IF(AND($F$15=Datos!$AI$5,Datos!$C$9=Datos!$AI$10),IF(A438&gt;30000,N438,ROUND(N438*Datos!$J$18,Dins)),IF(AND($F$15=Datos!$AI$5,Datos!$C$9=Datos!$AI$9),IF(A438&gt;30000,O438,ROUND(O438*Datos!$J$18,Dins)),IF(AND($F$15=Datos!$AI$6,Datos!$C$9=Datos!$AI$10),IF(A438&gt;30000,P438,ROUND(P438*Datos!$J$18,Dins)),IF(AND($F$15=Datos!$AI$6,Datos!$C$9=Datos!$AI$9),IF(A438&gt;30000,Q438,ROUND(Q438*Datos!$J$18,Dins))))))</f>
        <v>15.2</v>
      </c>
      <c r="G438">
        <v>0</v>
      </c>
      <c r="H438">
        <v>0</v>
      </c>
      <c r="I438">
        <v>0</v>
      </c>
      <c r="J438">
        <v>0</v>
      </c>
      <c r="N438">
        <v>17.940000000000001</v>
      </c>
      <c r="O438">
        <f t="shared" si="18"/>
        <v>15.2</v>
      </c>
      <c r="P438">
        <f t="shared" si="19"/>
        <v>4.78</v>
      </c>
      <c r="Q438">
        <f t="shared" si="20"/>
        <v>4.05</v>
      </c>
    </row>
    <row r="439" spans="1:17" x14ac:dyDescent="0.2">
      <c r="A439">
        <v>30378</v>
      </c>
      <c r="B439">
        <v>65</v>
      </c>
      <c r="C439" t="s">
        <v>6</v>
      </c>
      <c r="D439" t="s">
        <v>1393</v>
      </c>
      <c r="E439" s="3" t="s">
        <v>7</v>
      </c>
      <c r="F439">
        <f>IF(AND($F$15=Datos!$AI$5,Datos!$C$9=Datos!$AI$10),IF(A439&gt;30000,N439,ROUND(N439*Datos!$J$18,Dins)),IF(AND($F$15=Datos!$AI$5,Datos!$C$9=Datos!$AI$9),IF(A439&gt;30000,O439,ROUND(O439*Datos!$J$18,Dins)),IF(AND($F$15=Datos!$AI$6,Datos!$C$9=Datos!$AI$10),IF(A439&gt;30000,P439,ROUND(P439*Datos!$J$18,Dins)),IF(AND($F$15=Datos!$AI$6,Datos!$C$9=Datos!$AI$9),IF(A439&gt;30000,Q439,ROUND(Q439*Datos!$J$18,Dins))))))</f>
        <v>19.899999999999999</v>
      </c>
      <c r="G439">
        <v>0</v>
      </c>
      <c r="H439">
        <v>0</v>
      </c>
      <c r="I439">
        <v>0</v>
      </c>
      <c r="J439">
        <v>0</v>
      </c>
      <c r="N439">
        <v>23.48</v>
      </c>
      <c r="O439">
        <f t="shared" si="18"/>
        <v>19.899999999999999</v>
      </c>
      <c r="P439">
        <f t="shared" si="19"/>
        <v>6.26</v>
      </c>
      <c r="Q439">
        <f t="shared" si="20"/>
        <v>5.31</v>
      </c>
    </row>
    <row r="440" spans="1:17" x14ac:dyDescent="0.2">
      <c r="A440">
        <v>30379</v>
      </c>
      <c r="B440">
        <v>26</v>
      </c>
      <c r="C440" t="s">
        <v>6</v>
      </c>
      <c r="D440" t="s">
        <v>1394</v>
      </c>
      <c r="E440" s="3" t="s">
        <v>7</v>
      </c>
      <c r="F440">
        <f>IF(AND($F$15=Datos!$AI$5,Datos!$C$9=Datos!$AI$10),IF(A440&gt;30000,N440,ROUND(N440*Datos!$J$18,Dins)),IF(AND($F$15=Datos!$AI$5,Datos!$C$9=Datos!$AI$9),IF(A440&gt;30000,O440,ROUND(O440*Datos!$J$18,Dins)),IF(AND($F$15=Datos!$AI$6,Datos!$C$9=Datos!$AI$10),IF(A440&gt;30000,P440,ROUND(P440*Datos!$J$18,Dins)),IF(AND($F$15=Datos!$AI$6,Datos!$C$9=Datos!$AI$9),IF(A440&gt;30000,Q440,ROUND(Q440*Datos!$J$18,Dins))))))</f>
        <v>9.5</v>
      </c>
      <c r="G440">
        <v>0</v>
      </c>
      <c r="H440">
        <v>0</v>
      </c>
      <c r="I440">
        <v>0</v>
      </c>
      <c r="J440">
        <v>0</v>
      </c>
      <c r="N440">
        <v>11.21</v>
      </c>
      <c r="O440">
        <f t="shared" si="18"/>
        <v>9.5</v>
      </c>
      <c r="P440">
        <f t="shared" si="19"/>
        <v>2.99</v>
      </c>
      <c r="Q440">
        <f t="shared" si="20"/>
        <v>2.5299999999999998</v>
      </c>
    </row>
    <row r="441" spans="1:17" x14ac:dyDescent="0.2">
      <c r="A441">
        <v>30380</v>
      </c>
      <c r="B441">
        <v>26</v>
      </c>
      <c r="C441" t="s">
        <v>6</v>
      </c>
      <c r="D441" t="s">
        <v>1395</v>
      </c>
      <c r="E441" s="3" t="s">
        <v>7</v>
      </c>
      <c r="F441">
        <f>IF(AND($F$15=Datos!$AI$5,Datos!$C$9=Datos!$AI$10),IF(A441&gt;30000,N441,ROUND(N441*Datos!$J$18,Dins)),IF(AND($F$15=Datos!$AI$5,Datos!$C$9=Datos!$AI$9),IF(A441&gt;30000,O441,ROUND(O441*Datos!$J$18,Dins)),IF(AND($F$15=Datos!$AI$6,Datos!$C$9=Datos!$AI$10),IF(A441&gt;30000,P441,ROUND(P441*Datos!$J$18,Dins)),IF(AND($F$15=Datos!$AI$6,Datos!$C$9=Datos!$AI$9),IF(A441&gt;30000,Q441,ROUND(Q441*Datos!$J$18,Dins))))))</f>
        <v>14.7</v>
      </c>
      <c r="G441">
        <v>0</v>
      </c>
      <c r="H441">
        <v>0</v>
      </c>
      <c r="I441">
        <v>0</v>
      </c>
      <c r="J441">
        <v>0</v>
      </c>
      <c r="N441">
        <v>17.350000000000001</v>
      </c>
      <c r="O441">
        <f t="shared" si="18"/>
        <v>14.7</v>
      </c>
      <c r="P441">
        <f t="shared" si="19"/>
        <v>4.63</v>
      </c>
      <c r="Q441">
        <f t="shared" si="20"/>
        <v>3.92</v>
      </c>
    </row>
    <row r="442" spans="1:17" x14ac:dyDescent="0.2">
      <c r="A442">
        <v>30381</v>
      </c>
      <c r="B442">
        <v>65</v>
      </c>
      <c r="C442" t="s">
        <v>6</v>
      </c>
      <c r="D442" t="s">
        <v>1396</v>
      </c>
      <c r="E442" s="3" t="s">
        <v>7</v>
      </c>
      <c r="F442">
        <f>IF(AND($F$15=Datos!$AI$5,Datos!$C$9=Datos!$AI$10),IF(A442&gt;30000,N442,ROUND(N442*Datos!$J$18,Dins)),IF(AND($F$15=Datos!$AI$5,Datos!$C$9=Datos!$AI$9),IF(A442&gt;30000,O442,ROUND(O442*Datos!$J$18,Dins)),IF(AND($F$15=Datos!$AI$6,Datos!$C$9=Datos!$AI$10),IF(A442&gt;30000,P442,ROUND(P442*Datos!$J$18,Dins)),IF(AND($F$15=Datos!$AI$6,Datos!$C$9=Datos!$AI$9),IF(A442&gt;30000,Q442,ROUND(Q442*Datos!$J$18,Dins))))))</f>
        <v>12.9</v>
      </c>
      <c r="G442">
        <v>0</v>
      </c>
      <c r="H442">
        <v>0</v>
      </c>
      <c r="I442">
        <v>0</v>
      </c>
      <c r="J442">
        <v>0</v>
      </c>
      <c r="N442">
        <v>15.22</v>
      </c>
      <c r="O442">
        <f t="shared" si="18"/>
        <v>12.9</v>
      </c>
      <c r="P442">
        <f t="shared" si="19"/>
        <v>4.0599999999999996</v>
      </c>
      <c r="Q442">
        <f t="shared" si="20"/>
        <v>3.44</v>
      </c>
    </row>
    <row r="443" spans="1:17" x14ac:dyDescent="0.2">
      <c r="A443">
        <v>30382</v>
      </c>
      <c r="B443">
        <v>65</v>
      </c>
      <c r="C443" t="s">
        <v>6</v>
      </c>
      <c r="D443" t="s">
        <v>1397</v>
      </c>
      <c r="E443" s="3" t="s">
        <v>7</v>
      </c>
      <c r="F443">
        <f>IF(AND($F$15=Datos!$AI$5,Datos!$C$9=Datos!$AI$10),IF(A443&gt;30000,N443,ROUND(N443*Datos!$J$18,Dins)),IF(AND($F$15=Datos!$AI$5,Datos!$C$9=Datos!$AI$9),IF(A443&gt;30000,O443,ROUND(O443*Datos!$J$18,Dins)),IF(AND($F$15=Datos!$AI$6,Datos!$C$9=Datos!$AI$10),IF(A443&gt;30000,P443,ROUND(P443*Datos!$J$18,Dins)),IF(AND($F$15=Datos!$AI$6,Datos!$C$9=Datos!$AI$9),IF(A443&gt;30000,Q443,ROUND(Q443*Datos!$J$18,Dins))))))</f>
        <v>15.3</v>
      </c>
      <c r="G443">
        <v>0</v>
      </c>
      <c r="H443">
        <v>0</v>
      </c>
      <c r="I443">
        <v>0</v>
      </c>
      <c r="J443">
        <v>0</v>
      </c>
      <c r="N443">
        <v>18.05</v>
      </c>
      <c r="O443">
        <f t="shared" si="18"/>
        <v>15.3</v>
      </c>
      <c r="P443">
        <f t="shared" si="19"/>
        <v>4.8099999999999996</v>
      </c>
      <c r="Q443">
        <f t="shared" si="20"/>
        <v>4.08</v>
      </c>
    </row>
    <row r="444" spans="1:17" x14ac:dyDescent="0.2">
      <c r="A444">
        <v>30383</v>
      </c>
      <c r="B444">
        <v>65</v>
      </c>
      <c r="C444" t="s">
        <v>6</v>
      </c>
      <c r="D444" t="s">
        <v>1398</v>
      </c>
      <c r="E444" s="3" t="s">
        <v>7</v>
      </c>
      <c r="F444">
        <f>IF(AND($F$15=Datos!$AI$5,Datos!$C$9=Datos!$AI$10),IF(A444&gt;30000,N444,ROUND(N444*Datos!$J$18,Dins)),IF(AND($F$15=Datos!$AI$5,Datos!$C$9=Datos!$AI$9),IF(A444&gt;30000,O444,ROUND(O444*Datos!$J$18,Dins)),IF(AND($F$15=Datos!$AI$6,Datos!$C$9=Datos!$AI$10),IF(A444&gt;30000,P444,ROUND(P444*Datos!$J$18,Dins)),IF(AND($F$15=Datos!$AI$6,Datos!$C$9=Datos!$AI$9),IF(A444&gt;30000,Q444,ROUND(Q444*Datos!$J$18,Dins))))))</f>
        <v>7.5</v>
      </c>
      <c r="G444">
        <v>0</v>
      </c>
      <c r="H444">
        <v>0</v>
      </c>
      <c r="I444">
        <v>0</v>
      </c>
      <c r="J444">
        <v>0</v>
      </c>
      <c r="N444">
        <v>8.85</v>
      </c>
      <c r="O444">
        <f t="shared" si="18"/>
        <v>7.5</v>
      </c>
      <c r="P444">
        <f t="shared" si="19"/>
        <v>2.36</v>
      </c>
      <c r="Q444">
        <f t="shared" si="20"/>
        <v>2</v>
      </c>
    </row>
    <row r="445" spans="1:17" x14ac:dyDescent="0.2">
      <c r="A445">
        <v>30384</v>
      </c>
      <c r="B445">
        <v>65</v>
      </c>
      <c r="C445" t="s">
        <v>6</v>
      </c>
      <c r="D445" t="s">
        <v>1399</v>
      </c>
      <c r="E445" s="3" t="s">
        <v>174</v>
      </c>
      <c r="F445">
        <f>IF(AND($F$15=Datos!$AI$5,Datos!$C$9=Datos!$AI$10),IF(A445&gt;30000,N445,ROUND(N445*Datos!$J$18,Dins)),IF(AND($F$15=Datos!$AI$5,Datos!$C$9=Datos!$AI$9),IF(A445&gt;30000,O445,ROUND(O445*Datos!$J$18,Dins)),IF(AND($F$15=Datos!$AI$6,Datos!$C$9=Datos!$AI$10),IF(A445&gt;30000,P445,ROUND(P445*Datos!$J$18,Dins)),IF(AND($F$15=Datos!$AI$6,Datos!$C$9=Datos!$AI$9),IF(A445&gt;30000,Q445,ROUND(Q445*Datos!$J$18,Dins))))))</f>
        <v>15</v>
      </c>
      <c r="G445">
        <v>0</v>
      </c>
      <c r="H445">
        <v>0</v>
      </c>
      <c r="I445">
        <v>0</v>
      </c>
      <c r="J445">
        <v>0</v>
      </c>
      <c r="N445">
        <v>17.7</v>
      </c>
      <c r="O445">
        <f t="shared" si="18"/>
        <v>15</v>
      </c>
      <c r="P445">
        <f t="shared" si="19"/>
        <v>4.72</v>
      </c>
      <c r="Q445">
        <f t="shared" si="20"/>
        <v>4</v>
      </c>
    </row>
    <row r="446" spans="1:17" x14ac:dyDescent="0.2">
      <c r="A446">
        <v>30385</v>
      </c>
      <c r="B446">
        <v>65</v>
      </c>
      <c r="C446" t="s">
        <v>6</v>
      </c>
      <c r="D446" t="s">
        <v>1400</v>
      </c>
      <c r="E446" s="3" t="s">
        <v>174</v>
      </c>
      <c r="F446">
        <f>IF(AND($F$15=Datos!$AI$5,Datos!$C$9=Datos!$AI$10),IF(A446&gt;30000,N446,ROUND(N446*Datos!$J$18,Dins)),IF(AND($F$15=Datos!$AI$5,Datos!$C$9=Datos!$AI$9),IF(A446&gt;30000,O446,ROUND(O446*Datos!$J$18,Dins)),IF(AND($F$15=Datos!$AI$6,Datos!$C$9=Datos!$AI$10),IF(A446&gt;30000,P446,ROUND(P446*Datos!$J$18,Dins)),IF(AND($F$15=Datos!$AI$6,Datos!$C$9=Datos!$AI$9),IF(A446&gt;30000,Q446,ROUND(Q446*Datos!$J$18,Dins))))))</f>
        <v>14.5</v>
      </c>
      <c r="G446">
        <v>0</v>
      </c>
      <c r="H446">
        <v>0</v>
      </c>
      <c r="I446">
        <v>0</v>
      </c>
      <c r="J446">
        <v>0</v>
      </c>
      <c r="N446">
        <v>17.11</v>
      </c>
      <c r="O446">
        <f t="shared" si="18"/>
        <v>14.5</v>
      </c>
      <c r="P446">
        <f t="shared" si="19"/>
        <v>4.5599999999999996</v>
      </c>
      <c r="Q446">
        <f t="shared" si="20"/>
        <v>3.86</v>
      </c>
    </row>
    <row r="447" spans="1:17" x14ac:dyDescent="0.2">
      <c r="A447">
        <v>30386</v>
      </c>
      <c r="B447">
        <v>72</v>
      </c>
      <c r="C447" t="s">
        <v>6</v>
      </c>
      <c r="D447" t="s">
        <v>1401</v>
      </c>
      <c r="E447" s="3" t="s">
        <v>7</v>
      </c>
      <c r="F447">
        <f>IF(AND($F$15=Datos!$AI$5,Datos!$C$9=Datos!$AI$10),IF(A447&gt;30000,N447,ROUND(N447*Datos!$J$18,Dins)),IF(AND($F$15=Datos!$AI$5,Datos!$C$9=Datos!$AI$9),IF(A447&gt;30000,O447,ROUND(O447*Datos!$J$18,Dins)),IF(AND($F$15=Datos!$AI$6,Datos!$C$9=Datos!$AI$10),IF(A447&gt;30000,P447,ROUND(P447*Datos!$J$18,Dins)),IF(AND($F$15=Datos!$AI$6,Datos!$C$9=Datos!$AI$9),IF(A447&gt;30000,Q447,ROUND(Q447*Datos!$J$18,Dins))))))</f>
        <v>135</v>
      </c>
      <c r="G447">
        <v>0</v>
      </c>
      <c r="H447">
        <v>0</v>
      </c>
      <c r="I447">
        <v>0</v>
      </c>
      <c r="J447">
        <v>0</v>
      </c>
      <c r="N447">
        <v>159.30000000000001</v>
      </c>
      <c r="O447">
        <f t="shared" si="18"/>
        <v>135</v>
      </c>
      <c r="P447">
        <f t="shared" si="19"/>
        <v>42.48</v>
      </c>
      <c r="Q447">
        <f t="shared" si="20"/>
        <v>36</v>
      </c>
    </row>
    <row r="448" spans="1:17" x14ac:dyDescent="0.2">
      <c r="A448">
        <v>30387</v>
      </c>
      <c r="B448">
        <v>72</v>
      </c>
      <c r="C448" t="s">
        <v>6</v>
      </c>
      <c r="D448" t="s">
        <v>1402</v>
      </c>
      <c r="E448" s="3" t="s">
        <v>7</v>
      </c>
      <c r="F448">
        <f>IF(AND($F$15=Datos!$AI$5,Datos!$C$9=Datos!$AI$10),IF(A448&gt;30000,N448,ROUND(N448*Datos!$J$18,Dins)),IF(AND($F$15=Datos!$AI$5,Datos!$C$9=Datos!$AI$9),IF(A448&gt;30000,O448,ROUND(O448*Datos!$J$18,Dins)),IF(AND($F$15=Datos!$AI$6,Datos!$C$9=Datos!$AI$10),IF(A448&gt;30000,P448,ROUND(P448*Datos!$J$18,Dins)),IF(AND($F$15=Datos!$AI$6,Datos!$C$9=Datos!$AI$9),IF(A448&gt;30000,Q448,ROUND(Q448*Datos!$J$18,Dins))))))</f>
        <v>16.5</v>
      </c>
      <c r="G448">
        <v>0</v>
      </c>
      <c r="H448">
        <v>0</v>
      </c>
      <c r="I448">
        <v>0</v>
      </c>
      <c r="J448">
        <v>0</v>
      </c>
      <c r="N448">
        <v>19.47</v>
      </c>
      <c r="O448">
        <f t="shared" si="18"/>
        <v>16.5</v>
      </c>
      <c r="P448">
        <f t="shared" si="19"/>
        <v>5.19</v>
      </c>
      <c r="Q448">
        <f t="shared" si="20"/>
        <v>4.4000000000000004</v>
      </c>
    </row>
    <row r="449" spans="1:17" x14ac:dyDescent="0.2">
      <c r="A449">
        <v>30388</v>
      </c>
      <c r="B449">
        <v>72</v>
      </c>
      <c r="C449" t="s">
        <v>6</v>
      </c>
      <c r="D449" t="s">
        <v>1403</v>
      </c>
      <c r="E449" s="3" t="s">
        <v>7</v>
      </c>
      <c r="F449">
        <f>IF(AND($F$15=Datos!$AI$5,Datos!$C$9=Datos!$AI$10),IF(A449&gt;30000,N449,ROUND(N449*Datos!$J$18,Dins)),IF(AND($F$15=Datos!$AI$5,Datos!$C$9=Datos!$AI$9),IF(A449&gt;30000,O449,ROUND(O449*Datos!$J$18,Dins)),IF(AND($F$15=Datos!$AI$6,Datos!$C$9=Datos!$AI$10),IF(A449&gt;30000,P449,ROUND(P449*Datos!$J$18,Dins)),IF(AND($F$15=Datos!$AI$6,Datos!$C$9=Datos!$AI$9),IF(A449&gt;30000,Q449,ROUND(Q449*Datos!$J$18,Dins))))))</f>
        <v>6.5</v>
      </c>
      <c r="G449">
        <v>0</v>
      </c>
      <c r="H449">
        <v>0</v>
      </c>
      <c r="I449">
        <v>0</v>
      </c>
      <c r="J449">
        <v>0</v>
      </c>
      <c r="N449">
        <v>7.67</v>
      </c>
      <c r="O449">
        <f t="shared" si="18"/>
        <v>6.5</v>
      </c>
      <c r="P449">
        <f t="shared" si="19"/>
        <v>2.0499999999999998</v>
      </c>
      <c r="Q449">
        <f t="shared" si="20"/>
        <v>1.74</v>
      </c>
    </row>
    <row r="450" spans="1:17" x14ac:dyDescent="0.2">
      <c r="A450">
        <v>30389</v>
      </c>
      <c r="B450">
        <v>72</v>
      </c>
      <c r="C450" t="s">
        <v>6</v>
      </c>
      <c r="D450" t="s">
        <v>1404</v>
      </c>
      <c r="E450" s="3" t="s">
        <v>7</v>
      </c>
      <c r="F450">
        <f>IF(AND($F$15=Datos!$AI$5,Datos!$C$9=Datos!$AI$10),IF(A450&gt;30000,N450,ROUND(N450*Datos!$J$18,Dins)),IF(AND($F$15=Datos!$AI$5,Datos!$C$9=Datos!$AI$9),IF(A450&gt;30000,O450,ROUND(O450*Datos!$J$18,Dins)),IF(AND($F$15=Datos!$AI$6,Datos!$C$9=Datos!$AI$10),IF(A450&gt;30000,P450,ROUND(P450*Datos!$J$18,Dins)),IF(AND($F$15=Datos!$AI$6,Datos!$C$9=Datos!$AI$9),IF(A450&gt;30000,Q450,ROUND(Q450*Datos!$J$18,Dins))))))</f>
        <v>3.5</v>
      </c>
      <c r="G450">
        <v>0</v>
      </c>
      <c r="H450">
        <v>0</v>
      </c>
      <c r="I450">
        <v>0</v>
      </c>
      <c r="J450">
        <v>0</v>
      </c>
      <c r="N450">
        <v>4.13</v>
      </c>
      <c r="O450">
        <f t="shared" si="18"/>
        <v>3.5</v>
      </c>
      <c r="P450">
        <f t="shared" si="19"/>
        <v>1.1000000000000001</v>
      </c>
      <c r="Q450">
        <f t="shared" si="20"/>
        <v>0.93</v>
      </c>
    </row>
    <row r="451" spans="1:17" x14ac:dyDescent="0.2">
      <c r="A451">
        <v>30390</v>
      </c>
      <c r="B451">
        <v>77</v>
      </c>
      <c r="C451" t="s">
        <v>6</v>
      </c>
      <c r="D451" t="s">
        <v>1405</v>
      </c>
      <c r="E451" s="3" t="s">
        <v>7</v>
      </c>
      <c r="F451">
        <f>IF(AND($F$15=Datos!$AI$5,Datos!$C$9=Datos!$AI$10),IF(A451&gt;30000,N451,ROUND(N451*Datos!$J$18,Dins)),IF(AND($F$15=Datos!$AI$5,Datos!$C$9=Datos!$AI$9),IF(A451&gt;30000,O451,ROUND(O451*Datos!$J$18,Dins)),IF(AND($F$15=Datos!$AI$6,Datos!$C$9=Datos!$AI$10),IF(A451&gt;30000,P451,ROUND(P451*Datos!$J$18,Dins)),IF(AND($F$15=Datos!$AI$6,Datos!$C$9=Datos!$AI$9),IF(A451&gt;30000,Q451,ROUND(Q451*Datos!$J$18,Dins))))))</f>
        <v>199</v>
      </c>
      <c r="G451">
        <v>0</v>
      </c>
      <c r="H451">
        <v>0</v>
      </c>
      <c r="I451">
        <v>0</v>
      </c>
      <c r="J451">
        <v>0</v>
      </c>
      <c r="N451">
        <v>234.82</v>
      </c>
      <c r="O451">
        <f t="shared" si="18"/>
        <v>199</v>
      </c>
      <c r="P451">
        <f t="shared" si="19"/>
        <v>62.62</v>
      </c>
      <c r="Q451">
        <f t="shared" si="20"/>
        <v>53.07</v>
      </c>
    </row>
    <row r="452" spans="1:17" x14ac:dyDescent="0.2">
      <c r="A452">
        <v>30391</v>
      </c>
      <c r="B452">
        <v>77</v>
      </c>
      <c r="C452" t="s">
        <v>6</v>
      </c>
      <c r="D452" t="s">
        <v>1406</v>
      </c>
      <c r="E452" s="3" t="s">
        <v>7</v>
      </c>
      <c r="F452">
        <f>IF(AND($F$15=Datos!$AI$5,Datos!$C$9=Datos!$AI$10),IF(A452&gt;30000,N452,ROUND(N452*Datos!$J$18,Dins)),IF(AND($F$15=Datos!$AI$5,Datos!$C$9=Datos!$AI$9),IF(A452&gt;30000,O452,ROUND(O452*Datos!$J$18,Dins)),IF(AND($F$15=Datos!$AI$6,Datos!$C$9=Datos!$AI$10),IF(A452&gt;30000,P452,ROUND(P452*Datos!$J$18,Dins)),IF(AND($F$15=Datos!$AI$6,Datos!$C$9=Datos!$AI$9),IF(A452&gt;30000,Q452,ROUND(Q452*Datos!$J$18,Dins))))))</f>
        <v>225</v>
      </c>
      <c r="G452">
        <v>0</v>
      </c>
      <c r="H452">
        <v>0</v>
      </c>
      <c r="I452">
        <v>0</v>
      </c>
      <c r="J452">
        <v>0</v>
      </c>
      <c r="N452">
        <v>265.5</v>
      </c>
      <c r="O452">
        <f t="shared" si="18"/>
        <v>225</v>
      </c>
      <c r="P452">
        <f t="shared" si="19"/>
        <v>70.8</v>
      </c>
      <c r="Q452">
        <f t="shared" si="20"/>
        <v>60</v>
      </c>
    </row>
    <row r="453" spans="1:17" x14ac:dyDescent="0.2">
      <c r="A453">
        <v>30392</v>
      </c>
      <c r="B453">
        <v>77</v>
      </c>
      <c r="C453" t="s">
        <v>6</v>
      </c>
      <c r="D453" t="s">
        <v>1407</v>
      </c>
      <c r="E453" s="3" t="s">
        <v>7</v>
      </c>
      <c r="F453">
        <f>IF(AND($F$15=Datos!$AI$5,Datos!$C$9=Datos!$AI$10),IF(A453&gt;30000,N453,ROUND(N453*Datos!$J$18,Dins)),IF(AND($F$15=Datos!$AI$5,Datos!$C$9=Datos!$AI$9),IF(A453&gt;30000,O453,ROUND(O453*Datos!$J$18,Dins)),IF(AND($F$15=Datos!$AI$6,Datos!$C$9=Datos!$AI$10),IF(A453&gt;30000,P453,ROUND(P453*Datos!$J$18,Dins)),IF(AND($F$15=Datos!$AI$6,Datos!$C$9=Datos!$AI$9),IF(A453&gt;30000,Q453,ROUND(Q453*Datos!$J$18,Dins))))))</f>
        <v>196</v>
      </c>
      <c r="G453">
        <v>0</v>
      </c>
      <c r="H453">
        <v>0</v>
      </c>
      <c r="I453">
        <v>0</v>
      </c>
      <c r="J453">
        <v>0</v>
      </c>
      <c r="N453">
        <v>231.28</v>
      </c>
      <c r="O453">
        <f t="shared" si="18"/>
        <v>196</v>
      </c>
      <c r="P453">
        <f t="shared" si="19"/>
        <v>61.67</v>
      </c>
      <c r="Q453">
        <f t="shared" si="20"/>
        <v>52.26</v>
      </c>
    </row>
    <row r="454" spans="1:17" x14ac:dyDescent="0.2">
      <c r="A454">
        <v>30393</v>
      </c>
      <c r="B454">
        <v>77</v>
      </c>
      <c r="C454" t="s">
        <v>6</v>
      </c>
      <c r="D454" t="s">
        <v>1408</v>
      </c>
      <c r="E454" s="3" t="s">
        <v>7</v>
      </c>
      <c r="F454">
        <f>IF(AND($F$15=Datos!$AI$5,Datos!$C$9=Datos!$AI$10),IF(A454&gt;30000,N454,ROUND(N454*Datos!$J$18,Dins)),IF(AND($F$15=Datos!$AI$5,Datos!$C$9=Datos!$AI$9),IF(A454&gt;30000,O454,ROUND(O454*Datos!$J$18,Dins)),IF(AND($F$15=Datos!$AI$6,Datos!$C$9=Datos!$AI$10),IF(A454&gt;30000,P454,ROUND(P454*Datos!$J$18,Dins)),IF(AND($F$15=Datos!$AI$6,Datos!$C$9=Datos!$AI$9),IF(A454&gt;30000,Q454,ROUND(Q454*Datos!$J$18,Dins))))))</f>
        <v>220</v>
      </c>
      <c r="G454">
        <v>0</v>
      </c>
      <c r="H454">
        <v>0</v>
      </c>
      <c r="I454">
        <v>0</v>
      </c>
      <c r="J454">
        <v>0</v>
      </c>
      <c r="N454">
        <v>259.60000000000002</v>
      </c>
      <c r="O454">
        <f t="shared" si="18"/>
        <v>220</v>
      </c>
      <c r="P454">
        <f t="shared" si="19"/>
        <v>69.23</v>
      </c>
      <c r="Q454">
        <f t="shared" si="20"/>
        <v>58.67</v>
      </c>
    </row>
    <row r="455" spans="1:17" x14ac:dyDescent="0.2">
      <c r="A455">
        <v>77512</v>
      </c>
      <c r="B455">
        <v>49</v>
      </c>
      <c r="C455" t="s">
        <v>280</v>
      </c>
      <c r="D455" t="s">
        <v>1409</v>
      </c>
      <c r="E455" s="3" t="s">
        <v>7</v>
      </c>
      <c r="F455">
        <f>IF(AND($F$15=Datos!$AI$5,Datos!$C$9=Datos!$AI$10),IF(A455&gt;30000,N455,ROUND(N455*Datos!$J$18,Dins)),IF(AND($F$15=Datos!$AI$5,Datos!$C$9=Datos!$AI$9),IF(A455&gt;30000,O455,ROUND(O455*Datos!$J$18,Dins)),IF(AND($F$15=Datos!$AI$6,Datos!$C$9=Datos!$AI$10),IF(A455&gt;30000,P455,ROUND(P455*Datos!$J$18,Dins)),IF(AND($F$15=Datos!$AI$6,Datos!$C$9=Datos!$AI$9),IF(A455&gt;30000,Q455,ROUND(Q455*Datos!$J$18,Dins))))))</f>
        <v>1900</v>
      </c>
      <c r="G455">
        <v>0</v>
      </c>
      <c r="H455">
        <v>0</v>
      </c>
      <c r="I455">
        <v>0</v>
      </c>
      <c r="J455">
        <v>0</v>
      </c>
      <c r="N455">
        <v>2242</v>
      </c>
      <c r="O455">
        <f t="shared" si="18"/>
        <v>1900</v>
      </c>
      <c r="P455">
        <f t="shared" si="19"/>
        <v>597.87</v>
      </c>
      <c r="Q455">
        <f t="shared" si="20"/>
        <v>506.67</v>
      </c>
    </row>
    <row r="456" spans="1:17" x14ac:dyDescent="0.2">
      <c r="A456">
        <v>30394</v>
      </c>
      <c r="B456">
        <v>30</v>
      </c>
      <c r="C456" t="s">
        <v>6</v>
      </c>
      <c r="D456" t="s">
        <v>1414</v>
      </c>
      <c r="E456" s="3" t="s">
        <v>7</v>
      </c>
      <c r="F456">
        <f>IF(AND($F$15=Datos!$AI$5,Datos!$C$9=Datos!$AI$10),IF(A456&gt;30000,N456,ROUND(N456*Datos!$J$18,Dins)),IF(AND($F$15=Datos!$AI$5,Datos!$C$9=Datos!$AI$9),IF(A456&gt;30000,O456,ROUND(O456*Datos!$J$18,Dins)),IF(AND($F$15=Datos!$AI$6,Datos!$C$9=Datos!$AI$10),IF(A456&gt;30000,P456,ROUND(P456*Datos!$J$18,Dins)),IF(AND($F$15=Datos!$AI$6,Datos!$C$9=Datos!$AI$9),IF(A456&gt;30000,Q456,ROUND(Q456*Datos!$J$18,Dins))))))</f>
        <v>350</v>
      </c>
      <c r="G456">
        <v>0</v>
      </c>
      <c r="H456">
        <v>0</v>
      </c>
      <c r="I456">
        <v>0</v>
      </c>
      <c r="J456">
        <v>0</v>
      </c>
      <c r="N456">
        <v>413</v>
      </c>
      <c r="O456">
        <f t="shared" si="18"/>
        <v>350</v>
      </c>
      <c r="P456">
        <f t="shared" si="19"/>
        <v>110.13</v>
      </c>
      <c r="Q456">
        <f t="shared" si="20"/>
        <v>93.33</v>
      </c>
    </row>
    <row r="457" spans="1:17" x14ac:dyDescent="0.2">
      <c r="A457">
        <v>30395</v>
      </c>
      <c r="B457">
        <v>65</v>
      </c>
      <c r="C457" t="s">
        <v>6</v>
      </c>
      <c r="D457" t="s">
        <v>1415</v>
      </c>
      <c r="E457" s="3" t="s">
        <v>7</v>
      </c>
      <c r="F457">
        <f>IF(AND($F$15=Datos!$AI$5,Datos!$C$9=Datos!$AI$10),IF(A457&gt;30000,N457,ROUND(N457*Datos!$J$18,Dins)),IF(AND($F$15=Datos!$AI$5,Datos!$C$9=Datos!$AI$9),IF(A457&gt;30000,O457,ROUND(O457*Datos!$J$18,Dins)),IF(AND($F$15=Datos!$AI$6,Datos!$C$9=Datos!$AI$10),IF(A457&gt;30000,P457,ROUND(P457*Datos!$J$18,Dins)),IF(AND($F$15=Datos!$AI$6,Datos!$C$9=Datos!$AI$9),IF(A457&gt;30000,Q457,ROUND(Q457*Datos!$J$18,Dins))))))</f>
        <v>10</v>
      </c>
      <c r="G457">
        <v>0</v>
      </c>
      <c r="H457">
        <v>0</v>
      </c>
      <c r="I457">
        <v>0</v>
      </c>
      <c r="J457">
        <v>0</v>
      </c>
      <c r="N457">
        <v>11.8</v>
      </c>
      <c r="O457">
        <f t="shared" si="18"/>
        <v>10</v>
      </c>
      <c r="P457">
        <f t="shared" si="19"/>
        <v>3.15</v>
      </c>
      <c r="Q457">
        <f t="shared" si="20"/>
        <v>2.67</v>
      </c>
    </row>
    <row r="458" spans="1:17" x14ac:dyDescent="0.2">
      <c r="A458">
        <v>30396</v>
      </c>
      <c r="B458">
        <v>26</v>
      </c>
      <c r="C458" t="s">
        <v>6</v>
      </c>
      <c r="D458" t="s">
        <v>1416</v>
      </c>
      <c r="E458" s="3" t="s">
        <v>7</v>
      </c>
      <c r="F458">
        <f>IF(AND($F$15=Datos!$AI$5,Datos!$C$9=Datos!$AI$10),IF(A458&gt;30000,N458,ROUND(N458*Datos!$J$18,Dins)),IF(AND($F$15=Datos!$AI$5,Datos!$C$9=Datos!$AI$9),IF(A458&gt;30000,O458,ROUND(O458*Datos!$J$18,Dins)),IF(AND($F$15=Datos!$AI$6,Datos!$C$9=Datos!$AI$10),IF(A458&gt;30000,P458,ROUND(P458*Datos!$J$18,Dins)),IF(AND($F$15=Datos!$AI$6,Datos!$C$9=Datos!$AI$9),IF(A458&gt;30000,Q458,ROUND(Q458*Datos!$J$18,Dins))))))</f>
        <v>5</v>
      </c>
      <c r="G458">
        <v>0</v>
      </c>
      <c r="H458">
        <v>0</v>
      </c>
      <c r="I458">
        <v>0</v>
      </c>
      <c r="J458">
        <v>0</v>
      </c>
      <c r="N458">
        <v>5.9</v>
      </c>
      <c r="O458">
        <f t="shared" si="18"/>
        <v>5</v>
      </c>
      <c r="P458">
        <f t="shared" si="19"/>
        <v>1.57</v>
      </c>
      <c r="Q458">
        <f t="shared" si="20"/>
        <v>1.33</v>
      </c>
    </row>
    <row r="459" spans="1:17" x14ac:dyDescent="0.2">
      <c r="A459">
        <v>30397</v>
      </c>
      <c r="B459">
        <v>65</v>
      </c>
      <c r="C459" t="s">
        <v>6</v>
      </c>
      <c r="D459" t="s">
        <v>1417</v>
      </c>
      <c r="E459" s="3" t="s">
        <v>7</v>
      </c>
      <c r="F459">
        <f>IF(AND($F$15=Datos!$AI$5,Datos!$C$9=Datos!$AI$10),IF(A459&gt;30000,N459,ROUND(N459*Datos!$J$18,Dins)),IF(AND($F$15=Datos!$AI$5,Datos!$C$9=Datos!$AI$9),IF(A459&gt;30000,O459,ROUND(O459*Datos!$J$18,Dins)),IF(AND($F$15=Datos!$AI$6,Datos!$C$9=Datos!$AI$10),IF(A459&gt;30000,P459,ROUND(P459*Datos!$J$18,Dins)),IF(AND($F$15=Datos!$AI$6,Datos!$C$9=Datos!$AI$9),IF(A459&gt;30000,Q459,ROUND(Q459*Datos!$J$18,Dins))))))</f>
        <v>19</v>
      </c>
      <c r="G459">
        <v>0</v>
      </c>
      <c r="H459">
        <v>0</v>
      </c>
      <c r="I459">
        <v>0</v>
      </c>
      <c r="J459">
        <v>0</v>
      </c>
      <c r="N459">
        <v>22.42</v>
      </c>
      <c r="O459">
        <f t="shared" si="18"/>
        <v>19</v>
      </c>
      <c r="P459">
        <f t="shared" si="19"/>
        <v>5.98</v>
      </c>
      <c r="Q459">
        <f t="shared" si="20"/>
        <v>5.07</v>
      </c>
    </row>
    <row r="460" spans="1:17" x14ac:dyDescent="0.2">
      <c r="A460">
        <v>30398</v>
      </c>
      <c r="B460">
        <v>65</v>
      </c>
      <c r="C460" t="s">
        <v>6</v>
      </c>
      <c r="D460" t="s">
        <v>1418</v>
      </c>
      <c r="E460" s="3" t="s">
        <v>174</v>
      </c>
      <c r="F460">
        <f>IF(AND($F$15=Datos!$AI$5,Datos!$C$9=Datos!$AI$10),IF(A460&gt;30000,N460,ROUND(N460*Datos!$J$18,Dins)),IF(AND($F$15=Datos!$AI$5,Datos!$C$9=Datos!$AI$9),IF(A460&gt;30000,O460,ROUND(O460*Datos!$J$18,Dins)),IF(AND($F$15=Datos!$AI$6,Datos!$C$9=Datos!$AI$10),IF(A460&gt;30000,P460,ROUND(P460*Datos!$J$18,Dins)),IF(AND($F$15=Datos!$AI$6,Datos!$C$9=Datos!$AI$9),IF(A460&gt;30000,Q460,ROUND(Q460*Datos!$J$18,Dins))))))</f>
        <v>5</v>
      </c>
      <c r="G460">
        <v>0</v>
      </c>
      <c r="H460">
        <v>0</v>
      </c>
      <c r="I460">
        <v>0</v>
      </c>
      <c r="J460">
        <v>0</v>
      </c>
      <c r="N460">
        <v>5.9</v>
      </c>
      <c r="O460">
        <f t="shared" si="18"/>
        <v>5</v>
      </c>
      <c r="P460">
        <f t="shared" si="19"/>
        <v>1.57</v>
      </c>
      <c r="Q460">
        <f t="shared" si="20"/>
        <v>1.33</v>
      </c>
    </row>
    <row r="461" spans="1:17" x14ac:dyDescent="0.2">
      <c r="A461">
        <v>30399</v>
      </c>
      <c r="B461">
        <v>65</v>
      </c>
      <c r="C461" t="s">
        <v>6</v>
      </c>
      <c r="D461" t="s">
        <v>1419</v>
      </c>
      <c r="E461" s="3" t="s">
        <v>174</v>
      </c>
      <c r="F461">
        <f>IF(AND($F$15=Datos!$AI$5,Datos!$C$9=Datos!$AI$10),IF(A461&gt;30000,N461,ROUND(N461*Datos!$J$18,Dins)),IF(AND($F$15=Datos!$AI$5,Datos!$C$9=Datos!$AI$9),IF(A461&gt;30000,O461,ROUND(O461*Datos!$J$18,Dins)),IF(AND($F$15=Datos!$AI$6,Datos!$C$9=Datos!$AI$10),IF(A461&gt;30000,P461,ROUND(P461*Datos!$J$18,Dins)),IF(AND($F$15=Datos!$AI$6,Datos!$C$9=Datos!$AI$9),IF(A461&gt;30000,Q461,ROUND(Q461*Datos!$J$18,Dins))))))</f>
        <v>5</v>
      </c>
      <c r="G461">
        <v>0</v>
      </c>
      <c r="H461">
        <v>0</v>
      </c>
      <c r="I461">
        <v>0</v>
      </c>
      <c r="J461">
        <v>0</v>
      </c>
      <c r="N461">
        <v>5.9</v>
      </c>
      <c r="O461">
        <f t="shared" si="18"/>
        <v>5</v>
      </c>
      <c r="P461">
        <f t="shared" si="19"/>
        <v>1.57</v>
      </c>
      <c r="Q461">
        <f t="shared" si="20"/>
        <v>1.33</v>
      </c>
    </row>
    <row r="462" spans="1:17" x14ac:dyDescent="0.2">
      <c r="A462">
        <v>30400</v>
      </c>
      <c r="B462">
        <v>65</v>
      </c>
      <c r="C462" t="s">
        <v>6</v>
      </c>
      <c r="D462" t="s">
        <v>1420</v>
      </c>
      <c r="E462" s="3" t="s">
        <v>174</v>
      </c>
      <c r="F462">
        <f>IF(AND($F$15=Datos!$AI$5,Datos!$C$9=Datos!$AI$10),IF(A462&gt;30000,N462,ROUND(N462*Datos!$J$18,Dins)),IF(AND($F$15=Datos!$AI$5,Datos!$C$9=Datos!$AI$9),IF(A462&gt;30000,O462,ROUND(O462*Datos!$J$18,Dins)),IF(AND($F$15=Datos!$AI$6,Datos!$C$9=Datos!$AI$10),IF(A462&gt;30000,P462,ROUND(P462*Datos!$J$18,Dins)),IF(AND($F$15=Datos!$AI$6,Datos!$C$9=Datos!$AI$9),IF(A462&gt;30000,Q462,ROUND(Q462*Datos!$J$18,Dins))))))</f>
        <v>4</v>
      </c>
      <c r="G462">
        <v>0</v>
      </c>
      <c r="H462">
        <v>0</v>
      </c>
      <c r="I462">
        <v>0</v>
      </c>
      <c r="J462">
        <v>0</v>
      </c>
      <c r="N462">
        <v>4.72</v>
      </c>
      <c r="O462">
        <f t="shared" si="18"/>
        <v>4</v>
      </c>
      <c r="P462">
        <f t="shared" si="19"/>
        <v>1.26</v>
      </c>
      <c r="Q462">
        <f t="shared" si="20"/>
        <v>1.07</v>
      </c>
    </row>
    <row r="463" spans="1:17" x14ac:dyDescent="0.2">
      <c r="A463">
        <v>30401</v>
      </c>
      <c r="B463">
        <v>65</v>
      </c>
      <c r="C463" t="s">
        <v>6</v>
      </c>
      <c r="D463" t="s">
        <v>1421</v>
      </c>
      <c r="E463" s="3" t="s">
        <v>174</v>
      </c>
      <c r="F463">
        <f>IF(AND($F$15=Datos!$AI$5,Datos!$C$9=Datos!$AI$10),IF(A463&gt;30000,N463,ROUND(N463*Datos!$J$18,Dins)),IF(AND($F$15=Datos!$AI$5,Datos!$C$9=Datos!$AI$9),IF(A463&gt;30000,O463,ROUND(O463*Datos!$J$18,Dins)),IF(AND($F$15=Datos!$AI$6,Datos!$C$9=Datos!$AI$10),IF(A463&gt;30000,P463,ROUND(P463*Datos!$J$18,Dins)),IF(AND($F$15=Datos!$AI$6,Datos!$C$9=Datos!$AI$9),IF(A463&gt;30000,Q463,ROUND(Q463*Datos!$J$18,Dins))))))</f>
        <v>4.5</v>
      </c>
      <c r="G463">
        <v>0</v>
      </c>
      <c r="H463">
        <v>0</v>
      </c>
      <c r="I463">
        <v>0</v>
      </c>
      <c r="J463">
        <v>0</v>
      </c>
      <c r="N463">
        <v>5.31</v>
      </c>
      <c r="O463">
        <f t="shared" si="18"/>
        <v>4.5</v>
      </c>
      <c r="P463">
        <f t="shared" si="19"/>
        <v>1.42</v>
      </c>
      <c r="Q463">
        <f t="shared" si="20"/>
        <v>1.2</v>
      </c>
    </row>
    <row r="464" spans="1:17" x14ac:dyDescent="0.2">
      <c r="A464">
        <v>30402</v>
      </c>
      <c r="B464">
        <v>72</v>
      </c>
      <c r="C464" t="s">
        <v>6</v>
      </c>
      <c r="D464" t="s">
        <v>1422</v>
      </c>
      <c r="E464" s="3" t="s">
        <v>7</v>
      </c>
      <c r="F464">
        <f>IF(AND($F$15=Datos!$AI$5,Datos!$C$9=Datos!$AI$10),IF(A464&gt;30000,N464,ROUND(N464*Datos!$J$18,Dins)),IF(AND($F$15=Datos!$AI$5,Datos!$C$9=Datos!$AI$9),IF(A464&gt;30000,O464,ROUND(O464*Datos!$J$18,Dins)),IF(AND($F$15=Datos!$AI$6,Datos!$C$9=Datos!$AI$10),IF(A464&gt;30000,P464,ROUND(P464*Datos!$J$18,Dins)),IF(AND($F$15=Datos!$AI$6,Datos!$C$9=Datos!$AI$9),IF(A464&gt;30000,Q464,ROUND(Q464*Datos!$J$18,Dins))))))</f>
        <v>29.5</v>
      </c>
      <c r="G464">
        <v>0</v>
      </c>
      <c r="H464">
        <v>0</v>
      </c>
      <c r="I464">
        <v>0</v>
      </c>
      <c r="J464">
        <v>0</v>
      </c>
      <c r="N464">
        <v>34.81</v>
      </c>
      <c r="O464">
        <f t="shared" ref="O464:O492" si="21">IF(A464&gt;30000,ROUND(N464/$O$14,Dins),ROUND(N464,Dins))</f>
        <v>29.5</v>
      </c>
      <c r="P464">
        <f t="shared" ref="P464:P492" si="22">ROUND(N464/$P$14,Dins)</f>
        <v>9.2799999999999994</v>
      </c>
      <c r="Q464">
        <f t="shared" ref="Q464:Q492" si="23">IF(A464&gt;30000,ROUND(P464/$Q$14,Dins),ROUND(P464,Dins))</f>
        <v>7.86</v>
      </c>
    </row>
    <row r="465" spans="1:17" x14ac:dyDescent="0.2">
      <c r="A465">
        <v>30403</v>
      </c>
      <c r="B465">
        <v>72</v>
      </c>
      <c r="C465" t="s">
        <v>6</v>
      </c>
      <c r="D465" t="s">
        <v>1423</v>
      </c>
      <c r="E465" s="3" t="s">
        <v>7</v>
      </c>
      <c r="F465">
        <f>IF(AND($F$15=Datos!$AI$5,Datos!$C$9=Datos!$AI$10),IF(A465&gt;30000,N465,ROUND(N465*Datos!$J$18,Dins)),IF(AND($F$15=Datos!$AI$5,Datos!$C$9=Datos!$AI$9),IF(A465&gt;30000,O465,ROUND(O465*Datos!$J$18,Dins)),IF(AND($F$15=Datos!$AI$6,Datos!$C$9=Datos!$AI$10),IF(A465&gt;30000,P465,ROUND(P465*Datos!$J$18,Dins)),IF(AND($F$15=Datos!$AI$6,Datos!$C$9=Datos!$AI$9),IF(A465&gt;30000,Q465,ROUND(Q465*Datos!$J$18,Dins))))))</f>
        <v>3</v>
      </c>
      <c r="G465">
        <v>0</v>
      </c>
      <c r="H465">
        <v>0</v>
      </c>
      <c r="I465">
        <v>0</v>
      </c>
      <c r="J465">
        <v>0</v>
      </c>
      <c r="N465">
        <v>3.54</v>
      </c>
      <c r="O465">
        <f t="shared" si="21"/>
        <v>3</v>
      </c>
      <c r="P465">
        <f t="shared" si="22"/>
        <v>0.94</v>
      </c>
      <c r="Q465">
        <f t="shared" si="23"/>
        <v>0.8</v>
      </c>
    </row>
    <row r="466" spans="1:17" x14ac:dyDescent="0.2">
      <c r="A466">
        <v>30404</v>
      </c>
      <c r="B466">
        <v>77</v>
      </c>
      <c r="C466" t="s">
        <v>6</v>
      </c>
      <c r="D466" t="s">
        <v>1424</v>
      </c>
      <c r="E466" s="3" t="s">
        <v>7</v>
      </c>
      <c r="F466">
        <f>IF(AND($F$15=Datos!$AI$5,Datos!$C$9=Datos!$AI$10),IF(A466&gt;30000,N466,ROUND(N466*Datos!$J$18,Dins)),IF(AND($F$15=Datos!$AI$5,Datos!$C$9=Datos!$AI$9),IF(A466&gt;30000,O466,ROUND(O466*Datos!$J$18,Dins)),IF(AND($F$15=Datos!$AI$6,Datos!$C$9=Datos!$AI$10),IF(A466&gt;30000,P466,ROUND(P466*Datos!$J$18,Dins)),IF(AND($F$15=Datos!$AI$6,Datos!$C$9=Datos!$AI$9),IF(A466&gt;30000,Q466,ROUND(Q466*Datos!$J$18,Dins))))))</f>
        <v>43.7</v>
      </c>
      <c r="G466">
        <v>0</v>
      </c>
      <c r="H466">
        <v>0</v>
      </c>
      <c r="I466">
        <v>0</v>
      </c>
      <c r="J466">
        <v>0</v>
      </c>
      <c r="N466">
        <v>51.57</v>
      </c>
      <c r="O466">
        <f t="shared" si="21"/>
        <v>43.7</v>
      </c>
      <c r="P466">
        <f t="shared" si="22"/>
        <v>13.75</v>
      </c>
      <c r="Q466">
        <f t="shared" si="23"/>
        <v>11.65</v>
      </c>
    </row>
    <row r="467" spans="1:17" x14ac:dyDescent="0.2">
      <c r="A467">
        <v>30405</v>
      </c>
      <c r="B467">
        <v>77</v>
      </c>
      <c r="C467" t="s">
        <v>6</v>
      </c>
      <c r="D467" t="s">
        <v>1425</v>
      </c>
      <c r="E467" s="3" t="s">
        <v>7</v>
      </c>
      <c r="F467">
        <f>IF(AND($F$15=Datos!$AI$5,Datos!$C$9=Datos!$AI$10),IF(A467&gt;30000,N467,ROUND(N467*Datos!$J$18,Dins)),IF(AND($F$15=Datos!$AI$5,Datos!$C$9=Datos!$AI$9),IF(A467&gt;30000,O467,ROUND(O467*Datos!$J$18,Dins)),IF(AND($F$15=Datos!$AI$6,Datos!$C$9=Datos!$AI$10),IF(A467&gt;30000,P467,ROUND(P467*Datos!$J$18,Dins)),IF(AND($F$15=Datos!$AI$6,Datos!$C$9=Datos!$AI$9),IF(A467&gt;30000,Q467,ROUND(Q467*Datos!$J$18,Dins))))))</f>
        <v>150</v>
      </c>
      <c r="G467">
        <v>0</v>
      </c>
      <c r="H467">
        <v>0</v>
      </c>
      <c r="I467">
        <v>0</v>
      </c>
      <c r="J467">
        <v>0</v>
      </c>
      <c r="N467">
        <v>177</v>
      </c>
      <c r="O467">
        <f t="shared" si="21"/>
        <v>150</v>
      </c>
      <c r="P467">
        <f t="shared" si="22"/>
        <v>47.2</v>
      </c>
      <c r="Q467">
        <f t="shared" si="23"/>
        <v>40</v>
      </c>
    </row>
    <row r="468" spans="1:17" x14ac:dyDescent="0.2">
      <c r="A468">
        <v>30406</v>
      </c>
      <c r="B468">
        <v>77</v>
      </c>
      <c r="C468" t="s">
        <v>6</v>
      </c>
      <c r="D468" t="s">
        <v>1426</v>
      </c>
      <c r="E468" s="3" t="s">
        <v>7</v>
      </c>
      <c r="F468">
        <f>IF(AND($F$15=Datos!$AI$5,Datos!$C$9=Datos!$AI$10),IF(A468&gt;30000,N468,ROUND(N468*Datos!$J$18,Dins)),IF(AND($F$15=Datos!$AI$5,Datos!$C$9=Datos!$AI$9),IF(A468&gt;30000,O468,ROUND(O468*Datos!$J$18,Dins)),IF(AND($F$15=Datos!$AI$6,Datos!$C$9=Datos!$AI$10),IF(A468&gt;30000,P468,ROUND(P468*Datos!$J$18,Dins)),IF(AND($F$15=Datos!$AI$6,Datos!$C$9=Datos!$AI$9),IF(A468&gt;30000,Q468,ROUND(Q468*Datos!$J$18,Dins))))))</f>
        <v>160</v>
      </c>
      <c r="G468">
        <v>0</v>
      </c>
      <c r="H468">
        <v>0</v>
      </c>
      <c r="I468">
        <v>0</v>
      </c>
      <c r="J468">
        <v>0</v>
      </c>
      <c r="N468">
        <v>188.8</v>
      </c>
      <c r="O468">
        <f t="shared" si="21"/>
        <v>160</v>
      </c>
      <c r="P468">
        <f t="shared" si="22"/>
        <v>50.35</v>
      </c>
      <c r="Q468">
        <f t="shared" si="23"/>
        <v>42.67</v>
      </c>
    </row>
    <row r="469" spans="1:17" x14ac:dyDescent="0.2">
      <c r="A469">
        <v>77513</v>
      </c>
      <c r="B469">
        <v>49</v>
      </c>
      <c r="C469" t="s">
        <v>280</v>
      </c>
      <c r="D469" t="s">
        <v>1427</v>
      </c>
      <c r="E469" s="3" t="s">
        <v>7</v>
      </c>
      <c r="F469">
        <f>IF(AND($F$15=Datos!$AI$5,Datos!$C$9=Datos!$AI$10),IF(A469&gt;30000,N469,ROUND(N469*Datos!$J$18,Dins)),IF(AND($F$15=Datos!$AI$5,Datos!$C$9=Datos!$AI$9),IF(A469&gt;30000,O469,ROUND(O469*Datos!$J$18,Dins)),IF(AND($F$15=Datos!$AI$6,Datos!$C$9=Datos!$AI$10),IF(A469&gt;30000,P469,ROUND(P469*Datos!$J$18,Dins)),IF(AND($F$15=Datos!$AI$6,Datos!$C$9=Datos!$AI$9),IF(A469&gt;30000,Q469,ROUND(Q469*Datos!$J$18,Dins))))))</f>
        <v>1500</v>
      </c>
      <c r="G469">
        <v>0</v>
      </c>
      <c r="H469">
        <v>0</v>
      </c>
      <c r="I469">
        <v>0</v>
      </c>
      <c r="J469">
        <v>0</v>
      </c>
      <c r="N469">
        <v>1770</v>
      </c>
      <c r="O469">
        <f t="shared" si="21"/>
        <v>1500</v>
      </c>
      <c r="P469">
        <f t="shared" si="22"/>
        <v>472</v>
      </c>
      <c r="Q469">
        <f t="shared" si="23"/>
        <v>400</v>
      </c>
    </row>
    <row r="470" spans="1:17" x14ac:dyDescent="0.2">
      <c r="A470">
        <v>30407</v>
      </c>
      <c r="B470">
        <v>30</v>
      </c>
      <c r="C470" t="s">
        <v>6</v>
      </c>
      <c r="D470" t="s">
        <v>1431</v>
      </c>
      <c r="E470" s="3" t="s">
        <v>168</v>
      </c>
      <c r="F470">
        <f>IF(AND($F$15=Datos!$AI$5,Datos!$C$9=Datos!$AI$10),IF(A470&gt;30000,N470,ROUND(N470*Datos!$J$18,Dins)),IF(AND($F$15=Datos!$AI$5,Datos!$C$9=Datos!$AI$9),IF(A470&gt;30000,O470,ROUND(O470*Datos!$J$18,Dins)),IF(AND($F$15=Datos!$AI$6,Datos!$C$9=Datos!$AI$10),IF(A470&gt;30000,P470,ROUND(P470*Datos!$J$18,Dins)),IF(AND($F$15=Datos!$AI$6,Datos!$C$9=Datos!$AI$9),IF(A470&gt;30000,Q470,ROUND(Q470*Datos!$J$18,Dins))))))</f>
        <v>4500</v>
      </c>
      <c r="G470">
        <v>0</v>
      </c>
      <c r="H470">
        <v>0</v>
      </c>
      <c r="I470">
        <v>0</v>
      </c>
      <c r="J470">
        <v>0</v>
      </c>
      <c r="N470">
        <v>5310</v>
      </c>
      <c r="O470">
        <f t="shared" si="21"/>
        <v>4500</v>
      </c>
      <c r="P470">
        <f t="shared" si="22"/>
        <v>1416</v>
      </c>
      <c r="Q470">
        <f t="shared" si="23"/>
        <v>1200</v>
      </c>
    </row>
    <row r="471" spans="1:17" x14ac:dyDescent="0.2">
      <c r="A471">
        <v>30408</v>
      </c>
      <c r="B471">
        <v>30</v>
      </c>
      <c r="C471" t="s">
        <v>6</v>
      </c>
      <c r="D471" t="s">
        <v>1436</v>
      </c>
      <c r="E471" s="3" t="s">
        <v>194</v>
      </c>
      <c r="F471">
        <f>IF(AND($F$15=Datos!$AI$5,Datos!$C$9=Datos!$AI$10),IF(A471&gt;30000,N471,ROUND(N471*Datos!$J$18,Dins)),IF(AND($F$15=Datos!$AI$5,Datos!$C$9=Datos!$AI$9),IF(A471&gt;30000,O471,ROUND(O471*Datos!$J$18,Dins)),IF(AND($F$15=Datos!$AI$6,Datos!$C$9=Datos!$AI$10),IF(A471&gt;30000,P471,ROUND(P471*Datos!$J$18,Dins)),IF(AND($F$15=Datos!$AI$6,Datos!$C$9=Datos!$AI$9),IF(A471&gt;30000,Q471,ROUND(Q471*Datos!$J$18,Dins))))))</f>
        <v>46.6</v>
      </c>
      <c r="G471">
        <v>0</v>
      </c>
      <c r="H471">
        <v>0</v>
      </c>
      <c r="I471">
        <v>0</v>
      </c>
      <c r="J471">
        <v>0</v>
      </c>
      <c r="N471">
        <v>54.99</v>
      </c>
      <c r="O471">
        <f t="shared" si="21"/>
        <v>46.6</v>
      </c>
      <c r="P471">
        <f t="shared" si="22"/>
        <v>14.66</v>
      </c>
      <c r="Q471">
        <f t="shared" si="23"/>
        <v>12.42</v>
      </c>
    </row>
    <row r="472" spans="1:17" x14ac:dyDescent="0.2">
      <c r="A472">
        <v>30409</v>
      </c>
      <c r="B472">
        <v>49</v>
      </c>
      <c r="C472" t="s">
        <v>6</v>
      </c>
      <c r="D472" t="s">
        <v>1437</v>
      </c>
      <c r="E472" s="3" t="s">
        <v>1387</v>
      </c>
      <c r="F472">
        <f>IF(AND($F$15=Datos!$AI$5,Datos!$C$9=Datos!$AI$10),IF(A472&gt;30000,N472,ROUND(N472*Datos!$J$18,Dins)),IF(AND($F$15=Datos!$AI$5,Datos!$C$9=Datos!$AI$9),IF(A472&gt;30000,O472,ROUND(O472*Datos!$J$18,Dins)),IF(AND($F$15=Datos!$AI$6,Datos!$C$9=Datos!$AI$10),IF(A472&gt;30000,P472,ROUND(P472*Datos!$J$18,Dins)),IF(AND($F$15=Datos!$AI$6,Datos!$C$9=Datos!$AI$9),IF(A472&gt;30000,Q472,ROUND(Q472*Datos!$J$18,Dins))))))</f>
        <v>510</v>
      </c>
      <c r="G472">
        <v>0</v>
      </c>
      <c r="H472">
        <v>0</v>
      </c>
      <c r="I472">
        <v>0</v>
      </c>
      <c r="J472">
        <v>0</v>
      </c>
      <c r="N472">
        <v>601.79999999999995</v>
      </c>
      <c r="O472">
        <f t="shared" si="21"/>
        <v>510</v>
      </c>
      <c r="P472">
        <f t="shared" si="22"/>
        <v>160.47999999999999</v>
      </c>
      <c r="Q472">
        <f t="shared" si="23"/>
        <v>136</v>
      </c>
    </row>
    <row r="473" spans="1:17" x14ac:dyDescent="0.2">
      <c r="A473">
        <v>30410</v>
      </c>
      <c r="B473">
        <v>12</v>
      </c>
      <c r="C473" t="s">
        <v>6</v>
      </c>
      <c r="D473" t="s">
        <v>1442</v>
      </c>
      <c r="E473" s="3" t="s">
        <v>7</v>
      </c>
      <c r="F473">
        <f>IF(AND($F$15=Datos!$AI$5,Datos!$C$9=Datos!$AI$10),IF(A473&gt;30000,N473,ROUND(N473*Datos!$J$18,Dins)),IF(AND($F$15=Datos!$AI$5,Datos!$C$9=Datos!$AI$9),IF(A473&gt;30000,O473,ROUND(O473*Datos!$J$18,Dins)),IF(AND($F$15=Datos!$AI$6,Datos!$C$9=Datos!$AI$10),IF(A473&gt;30000,P473,ROUND(P473*Datos!$J$18,Dins)),IF(AND($F$15=Datos!$AI$6,Datos!$C$9=Datos!$AI$9),IF(A473&gt;30000,Q473,ROUND(Q473*Datos!$J$18,Dins))))))</f>
        <v>0.9</v>
      </c>
      <c r="G473">
        <v>0</v>
      </c>
      <c r="H473">
        <v>0</v>
      </c>
      <c r="I473">
        <v>0</v>
      </c>
      <c r="J473">
        <v>0</v>
      </c>
      <c r="N473">
        <v>1.06</v>
      </c>
      <c r="O473">
        <f t="shared" si="21"/>
        <v>0.9</v>
      </c>
      <c r="P473">
        <f t="shared" si="22"/>
        <v>0.28000000000000003</v>
      </c>
      <c r="Q473">
        <f t="shared" si="23"/>
        <v>0.24</v>
      </c>
    </row>
    <row r="474" spans="1:17" x14ac:dyDescent="0.2">
      <c r="A474">
        <v>30411</v>
      </c>
      <c r="B474">
        <v>12</v>
      </c>
      <c r="C474" t="s">
        <v>6</v>
      </c>
      <c r="D474" t="s">
        <v>1449</v>
      </c>
      <c r="E474" s="3" t="s">
        <v>7</v>
      </c>
      <c r="F474">
        <f>IF(AND($F$15=Datos!$AI$5,Datos!$C$9=Datos!$AI$10),IF(A474&gt;30000,N474,ROUND(N474*Datos!$J$18,Dins)),IF(AND($F$15=Datos!$AI$5,Datos!$C$9=Datos!$AI$9),IF(A474&gt;30000,O474,ROUND(O474*Datos!$J$18,Dins)),IF(AND($F$15=Datos!$AI$6,Datos!$C$9=Datos!$AI$10),IF(A474&gt;30000,P474,ROUND(P474*Datos!$J$18,Dins)),IF(AND($F$15=Datos!$AI$6,Datos!$C$9=Datos!$AI$9),IF(A474&gt;30000,Q474,ROUND(Q474*Datos!$J$18,Dins))))))</f>
        <v>6</v>
      </c>
      <c r="G474">
        <v>0</v>
      </c>
      <c r="H474">
        <v>0</v>
      </c>
      <c r="I474">
        <v>0</v>
      </c>
      <c r="J474">
        <v>0</v>
      </c>
      <c r="N474">
        <v>7.08</v>
      </c>
      <c r="O474">
        <f t="shared" si="21"/>
        <v>6</v>
      </c>
      <c r="P474">
        <f t="shared" si="22"/>
        <v>1.89</v>
      </c>
      <c r="Q474">
        <f t="shared" si="23"/>
        <v>1.6</v>
      </c>
    </row>
    <row r="475" spans="1:17" x14ac:dyDescent="0.2">
      <c r="A475">
        <v>30412</v>
      </c>
      <c r="B475">
        <v>39</v>
      </c>
      <c r="C475" t="s">
        <v>6</v>
      </c>
      <c r="D475" t="s">
        <v>1461</v>
      </c>
      <c r="E475" s="3" t="s">
        <v>7</v>
      </c>
      <c r="F475">
        <f>IF(AND($F$15=Datos!$AI$5,Datos!$C$9=Datos!$AI$10),IF(A475&gt;30000,N475,ROUND(N475*Datos!$J$18,Dins)),IF(AND($F$15=Datos!$AI$5,Datos!$C$9=Datos!$AI$9),IF(A475&gt;30000,O475,ROUND(O475*Datos!$J$18,Dins)),IF(AND($F$15=Datos!$AI$6,Datos!$C$9=Datos!$AI$10),IF(A475&gt;30000,P475,ROUND(P475*Datos!$J$18,Dins)),IF(AND($F$15=Datos!$AI$6,Datos!$C$9=Datos!$AI$9),IF(A475&gt;30000,Q475,ROUND(Q475*Datos!$J$18,Dins))))))</f>
        <v>3.7</v>
      </c>
      <c r="G475">
        <v>0</v>
      </c>
      <c r="H475">
        <v>0</v>
      </c>
      <c r="I475">
        <v>0</v>
      </c>
      <c r="J475">
        <v>0</v>
      </c>
      <c r="N475">
        <v>4.37</v>
      </c>
      <c r="O475">
        <f t="shared" si="21"/>
        <v>3.7</v>
      </c>
      <c r="P475">
        <f t="shared" si="22"/>
        <v>1.17</v>
      </c>
      <c r="Q475">
        <f t="shared" si="23"/>
        <v>0.99</v>
      </c>
    </row>
    <row r="476" spans="1:17" x14ac:dyDescent="0.2">
      <c r="A476">
        <v>30413</v>
      </c>
      <c r="B476">
        <v>39</v>
      </c>
      <c r="C476" t="s">
        <v>6</v>
      </c>
      <c r="D476" t="s">
        <v>1466</v>
      </c>
      <c r="E476" s="3" t="s">
        <v>7</v>
      </c>
      <c r="F476">
        <f>IF(AND($F$15=Datos!$AI$5,Datos!$C$9=Datos!$AI$10),IF(A476&gt;30000,N476,ROUND(N476*Datos!$J$18,Dins)),IF(AND($F$15=Datos!$AI$5,Datos!$C$9=Datos!$AI$9),IF(A476&gt;30000,O476,ROUND(O476*Datos!$J$18,Dins)),IF(AND($F$15=Datos!$AI$6,Datos!$C$9=Datos!$AI$10),IF(A476&gt;30000,P476,ROUND(P476*Datos!$J$18,Dins)),IF(AND($F$15=Datos!$AI$6,Datos!$C$9=Datos!$AI$9),IF(A476&gt;30000,Q476,ROUND(Q476*Datos!$J$18,Dins))))))</f>
        <v>3.7</v>
      </c>
      <c r="G476">
        <v>0</v>
      </c>
      <c r="H476">
        <v>0</v>
      </c>
      <c r="I476">
        <v>0</v>
      </c>
      <c r="J476">
        <v>0</v>
      </c>
      <c r="N476">
        <v>4.37</v>
      </c>
      <c r="O476">
        <f t="shared" si="21"/>
        <v>3.7</v>
      </c>
      <c r="P476">
        <f t="shared" si="22"/>
        <v>1.17</v>
      </c>
      <c r="Q476">
        <f t="shared" si="23"/>
        <v>0.99</v>
      </c>
    </row>
    <row r="477" spans="1:17" x14ac:dyDescent="0.2">
      <c r="A477">
        <v>30414</v>
      </c>
      <c r="B477">
        <v>30</v>
      </c>
      <c r="C477" t="s">
        <v>6</v>
      </c>
      <c r="D477" t="s">
        <v>1477</v>
      </c>
      <c r="E477" s="3" t="s">
        <v>7</v>
      </c>
      <c r="F477">
        <f>IF(AND($F$15=Datos!$AI$5,Datos!$C$9=Datos!$AI$10),IF(A477&gt;30000,N477,ROUND(N477*Datos!$J$18,Dins)),IF(AND($F$15=Datos!$AI$5,Datos!$C$9=Datos!$AI$9),IF(A477&gt;30000,O477,ROUND(O477*Datos!$J$18,Dins)),IF(AND($F$15=Datos!$AI$6,Datos!$C$9=Datos!$AI$10),IF(A477&gt;30000,P477,ROUND(P477*Datos!$J$18,Dins)),IF(AND($F$15=Datos!$AI$6,Datos!$C$9=Datos!$AI$9),IF(A477&gt;30000,Q477,ROUND(Q477*Datos!$J$18,Dins))))))</f>
        <v>2</v>
      </c>
      <c r="G477">
        <v>0</v>
      </c>
      <c r="H477">
        <v>0</v>
      </c>
      <c r="I477">
        <v>0</v>
      </c>
      <c r="J477">
        <v>0</v>
      </c>
      <c r="N477">
        <v>2.36</v>
      </c>
      <c r="O477">
        <f t="shared" si="21"/>
        <v>2</v>
      </c>
      <c r="P477">
        <f t="shared" si="22"/>
        <v>0.63</v>
      </c>
      <c r="Q477">
        <f t="shared" si="23"/>
        <v>0.53</v>
      </c>
    </row>
    <row r="478" spans="1:17" x14ac:dyDescent="0.2">
      <c r="A478">
        <v>30415</v>
      </c>
      <c r="B478">
        <v>73</v>
      </c>
      <c r="C478" t="s">
        <v>6</v>
      </c>
      <c r="D478" t="s">
        <v>1484</v>
      </c>
      <c r="E478" s="3" t="s">
        <v>7</v>
      </c>
      <c r="F478">
        <f>IF(AND($F$15=Datos!$AI$5,Datos!$C$9=Datos!$AI$10),IF(A478&gt;30000,N478,ROUND(N478*Datos!$J$18,Dins)),IF(AND($F$15=Datos!$AI$5,Datos!$C$9=Datos!$AI$9),IF(A478&gt;30000,O478,ROUND(O478*Datos!$J$18,Dins)),IF(AND($F$15=Datos!$AI$6,Datos!$C$9=Datos!$AI$10),IF(A478&gt;30000,P478,ROUND(P478*Datos!$J$18,Dins)),IF(AND($F$15=Datos!$AI$6,Datos!$C$9=Datos!$AI$9),IF(A478&gt;30000,Q478,ROUND(Q478*Datos!$J$18,Dins))))))</f>
        <v>9.8000000000000007</v>
      </c>
      <c r="G478">
        <v>0</v>
      </c>
      <c r="H478">
        <v>0</v>
      </c>
      <c r="I478">
        <v>0</v>
      </c>
      <c r="J478">
        <v>0</v>
      </c>
      <c r="N478">
        <v>11.56</v>
      </c>
      <c r="O478">
        <f t="shared" si="21"/>
        <v>9.8000000000000007</v>
      </c>
      <c r="P478">
        <f t="shared" si="22"/>
        <v>3.08</v>
      </c>
      <c r="Q478">
        <f t="shared" si="23"/>
        <v>2.61</v>
      </c>
    </row>
    <row r="479" spans="1:17" x14ac:dyDescent="0.2">
      <c r="A479">
        <v>30416</v>
      </c>
      <c r="B479">
        <v>73</v>
      </c>
      <c r="C479" t="s">
        <v>6</v>
      </c>
      <c r="D479" t="s">
        <v>1485</v>
      </c>
      <c r="E479" s="3" t="s">
        <v>7</v>
      </c>
      <c r="F479">
        <f>IF(AND($F$15=Datos!$AI$5,Datos!$C$9=Datos!$AI$10),IF(A479&gt;30000,N479,ROUND(N479*Datos!$J$18,Dins)),IF(AND($F$15=Datos!$AI$5,Datos!$C$9=Datos!$AI$9),IF(A479&gt;30000,O479,ROUND(O479*Datos!$J$18,Dins)),IF(AND($F$15=Datos!$AI$6,Datos!$C$9=Datos!$AI$10),IF(A479&gt;30000,P479,ROUND(P479*Datos!$J$18,Dins)),IF(AND($F$15=Datos!$AI$6,Datos!$C$9=Datos!$AI$9),IF(A479&gt;30000,Q479,ROUND(Q479*Datos!$J$18,Dins))))))</f>
        <v>3</v>
      </c>
      <c r="G479">
        <v>0</v>
      </c>
      <c r="H479">
        <v>0</v>
      </c>
      <c r="I479">
        <v>0</v>
      </c>
      <c r="J479">
        <v>0</v>
      </c>
      <c r="N479">
        <v>3.54</v>
      </c>
      <c r="O479">
        <f t="shared" si="21"/>
        <v>3</v>
      </c>
      <c r="P479">
        <f t="shared" si="22"/>
        <v>0.94</v>
      </c>
      <c r="Q479">
        <f t="shared" si="23"/>
        <v>0.8</v>
      </c>
    </row>
    <row r="480" spans="1:17" x14ac:dyDescent="0.2">
      <c r="A480">
        <v>30417</v>
      </c>
      <c r="B480">
        <v>72</v>
      </c>
      <c r="C480" t="s">
        <v>6</v>
      </c>
      <c r="D480" t="s">
        <v>1486</v>
      </c>
      <c r="E480" s="3" t="s">
        <v>7</v>
      </c>
      <c r="F480">
        <f>IF(AND($F$15=Datos!$AI$5,Datos!$C$9=Datos!$AI$10),IF(A480&gt;30000,N480,ROUND(N480*Datos!$J$18,Dins)),IF(AND($F$15=Datos!$AI$5,Datos!$C$9=Datos!$AI$9),IF(A480&gt;30000,O480,ROUND(O480*Datos!$J$18,Dins)),IF(AND($F$15=Datos!$AI$6,Datos!$C$9=Datos!$AI$10),IF(A480&gt;30000,P480,ROUND(P480*Datos!$J$18,Dins)),IF(AND($F$15=Datos!$AI$6,Datos!$C$9=Datos!$AI$9),IF(A480&gt;30000,Q480,ROUND(Q480*Datos!$J$18,Dins))))))</f>
        <v>1.6</v>
      </c>
      <c r="G480">
        <v>0</v>
      </c>
      <c r="H480">
        <v>0</v>
      </c>
      <c r="I480">
        <v>0</v>
      </c>
      <c r="J480">
        <v>0</v>
      </c>
      <c r="N480">
        <v>1.89</v>
      </c>
      <c r="O480">
        <f t="shared" si="21"/>
        <v>1.6</v>
      </c>
      <c r="P480">
        <f t="shared" si="22"/>
        <v>0.5</v>
      </c>
      <c r="Q480">
        <f t="shared" si="23"/>
        <v>0.42</v>
      </c>
    </row>
    <row r="481" spans="1:17" x14ac:dyDescent="0.2">
      <c r="A481">
        <v>30418</v>
      </c>
      <c r="B481">
        <v>73</v>
      </c>
      <c r="C481" t="s">
        <v>6</v>
      </c>
      <c r="D481" t="s">
        <v>1487</v>
      </c>
      <c r="E481" s="3" t="s">
        <v>7</v>
      </c>
      <c r="F481">
        <f>IF(AND($F$15=Datos!$AI$5,Datos!$C$9=Datos!$AI$10),IF(A481&gt;30000,N481,ROUND(N481*Datos!$J$18,Dins)),IF(AND($F$15=Datos!$AI$5,Datos!$C$9=Datos!$AI$9),IF(A481&gt;30000,O481,ROUND(O481*Datos!$J$18,Dins)),IF(AND($F$15=Datos!$AI$6,Datos!$C$9=Datos!$AI$10),IF(A481&gt;30000,P481,ROUND(P481*Datos!$J$18,Dins)),IF(AND($F$15=Datos!$AI$6,Datos!$C$9=Datos!$AI$9),IF(A481&gt;30000,Q481,ROUND(Q481*Datos!$J$18,Dins))))))</f>
        <v>1.5</v>
      </c>
      <c r="G481">
        <v>0</v>
      </c>
      <c r="H481">
        <v>0</v>
      </c>
      <c r="I481">
        <v>0</v>
      </c>
      <c r="J481">
        <v>0</v>
      </c>
      <c r="N481">
        <v>1.77</v>
      </c>
      <c r="O481">
        <f t="shared" si="21"/>
        <v>1.5</v>
      </c>
      <c r="P481">
        <f t="shared" si="22"/>
        <v>0.47</v>
      </c>
      <c r="Q481">
        <f t="shared" si="23"/>
        <v>0.4</v>
      </c>
    </row>
    <row r="482" spans="1:17" x14ac:dyDescent="0.2">
      <c r="A482">
        <v>30419</v>
      </c>
      <c r="B482">
        <v>12</v>
      </c>
      <c r="C482" t="s">
        <v>6</v>
      </c>
      <c r="D482" t="s">
        <v>1514</v>
      </c>
      <c r="E482" s="3" t="s">
        <v>7</v>
      </c>
      <c r="F482">
        <f>IF(AND($F$15=Datos!$AI$5,Datos!$C$9=Datos!$AI$10),IF(A482&gt;30000,N482,ROUND(N482*Datos!$J$18,Dins)),IF(AND($F$15=Datos!$AI$5,Datos!$C$9=Datos!$AI$9),IF(A482&gt;30000,O482,ROUND(O482*Datos!$J$18,Dins)),IF(AND($F$15=Datos!$AI$6,Datos!$C$9=Datos!$AI$10),IF(A482&gt;30000,P482,ROUND(P482*Datos!$J$18,Dins)),IF(AND($F$15=Datos!$AI$6,Datos!$C$9=Datos!$AI$9),IF(A482&gt;30000,Q482,ROUND(Q482*Datos!$J$18,Dins))))))</f>
        <v>1500</v>
      </c>
      <c r="G482">
        <v>0</v>
      </c>
      <c r="H482">
        <v>0</v>
      </c>
      <c r="I482">
        <v>0</v>
      </c>
      <c r="J482">
        <v>0</v>
      </c>
      <c r="N482">
        <v>1770</v>
      </c>
      <c r="O482">
        <f t="shared" si="21"/>
        <v>1500</v>
      </c>
      <c r="P482">
        <f t="shared" si="22"/>
        <v>472</v>
      </c>
      <c r="Q482">
        <f t="shared" si="23"/>
        <v>400</v>
      </c>
    </row>
    <row r="483" spans="1:17" x14ac:dyDescent="0.2">
      <c r="A483">
        <v>30420</v>
      </c>
      <c r="B483">
        <v>30</v>
      </c>
      <c r="C483" t="s">
        <v>6</v>
      </c>
      <c r="D483" t="s">
        <v>1520</v>
      </c>
      <c r="E483" s="3" t="s">
        <v>1521</v>
      </c>
      <c r="F483">
        <f>IF(AND($F$15=Datos!$AI$5,Datos!$C$9=Datos!$AI$10),IF(A483&gt;30000,N483,ROUND(N483*Datos!$J$18,Dins)),IF(AND($F$15=Datos!$AI$5,Datos!$C$9=Datos!$AI$9),IF(A483&gt;30000,O483,ROUND(O483*Datos!$J$18,Dins)),IF(AND($F$15=Datos!$AI$6,Datos!$C$9=Datos!$AI$10),IF(A483&gt;30000,P483,ROUND(P483*Datos!$J$18,Dins)),IF(AND($F$15=Datos!$AI$6,Datos!$C$9=Datos!$AI$9),IF(A483&gt;30000,Q483,ROUND(Q483*Datos!$J$18,Dins))))))</f>
        <v>3</v>
      </c>
      <c r="G483">
        <v>0</v>
      </c>
      <c r="H483">
        <v>0</v>
      </c>
      <c r="I483">
        <v>0</v>
      </c>
      <c r="J483">
        <v>0</v>
      </c>
      <c r="N483">
        <v>3.54</v>
      </c>
      <c r="O483">
        <f t="shared" si="21"/>
        <v>3</v>
      </c>
      <c r="P483">
        <f t="shared" si="22"/>
        <v>0.94</v>
      </c>
      <c r="Q483">
        <f t="shared" si="23"/>
        <v>0.8</v>
      </c>
    </row>
    <row r="484" spans="1:17" x14ac:dyDescent="0.2">
      <c r="A484">
        <v>30421</v>
      </c>
      <c r="B484">
        <v>30</v>
      </c>
      <c r="C484" t="s">
        <v>6</v>
      </c>
      <c r="D484" t="s">
        <v>1522</v>
      </c>
      <c r="E484" s="3" t="s">
        <v>174</v>
      </c>
      <c r="F484">
        <f>IF(AND($F$15=Datos!$AI$5,Datos!$C$9=Datos!$AI$10),IF(A484&gt;30000,N484,ROUND(N484*Datos!$J$18,Dins)),IF(AND($F$15=Datos!$AI$5,Datos!$C$9=Datos!$AI$9),IF(A484&gt;30000,O484,ROUND(O484*Datos!$J$18,Dins)),IF(AND($F$15=Datos!$AI$6,Datos!$C$9=Datos!$AI$10),IF(A484&gt;30000,P484,ROUND(P484*Datos!$J$18,Dins)),IF(AND($F$15=Datos!$AI$6,Datos!$C$9=Datos!$AI$9),IF(A484&gt;30000,Q484,ROUND(Q484*Datos!$J$18,Dins))))))</f>
        <v>75.25</v>
      </c>
      <c r="G484">
        <v>0</v>
      </c>
      <c r="H484">
        <v>0</v>
      </c>
      <c r="I484">
        <v>0</v>
      </c>
      <c r="J484">
        <v>0</v>
      </c>
      <c r="N484">
        <v>88.8</v>
      </c>
      <c r="O484">
        <f t="shared" si="21"/>
        <v>75.25</v>
      </c>
      <c r="P484">
        <f t="shared" si="22"/>
        <v>23.68</v>
      </c>
      <c r="Q484">
        <f t="shared" si="23"/>
        <v>20.07</v>
      </c>
    </row>
    <row r="485" spans="1:17" x14ac:dyDescent="0.2">
      <c r="A485">
        <v>30422</v>
      </c>
      <c r="B485">
        <v>30</v>
      </c>
      <c r="C485" t="s">
        <v>6</v>
      </c>
      <c r="D485" t="s">
        <v>1523</v>
      </c>
      <c r="E485" s="3" t="s">
        <v>7</v>
      </c>
      <c r="F485">
        <f>IF(AND($F$15=Datos!$AI$5,Datos!$C$9=Datos!$AI$10),IF(A485&gt;30000,N485,ROUND(N485*Datos!$J$18,Dins)),IF(AND($F$15=Datos!$AI$5,Datos!$C$9=Datos!$AI$9),IF(A485&gt;30000,O485,ROUND(O485*Datos!$J$18,Dins)),IF(AND($F$15=Datos!$AI$6,Datos!$C$9=Datos!$AI$10),IF(A485&gt;30000,P485,ROUND(P485*Datos!$J$18,Dins)),IF(AND($F$15=Datos!$AI$6,Datos!$C$9=Datos!$AI$9),IF(A485&gt;30000,Q485,ROUND(Q485*Datos!$J$18,Dins))))))</f>
        <v>6.5</v>
      </c>
      <c r="G485">
        <v>0</v>
      </c>
      <c r="H485">
        <v>0</v>
      </c>
      <c r="I485">
        <v>0</v>
      </c>
      <c r="J485">
        <v>0</v>
      </c>
      <c r="N485">
        <v>7.67</v>
      </c>
      <c r="O485">
        <f t="shared" si="21"/>
        <v>6.5</v>
      </c>
      <c r="P485">
        <f t="shared" si="22"/>
        <v>2.0499999999999998</v>
      </c>
      <c r="Q485">
        <f t="shared" si="23"/>
        <v>1.74</v>
      </c>
    </row>
    <row r="486" spans="1:17" x14ac:dyDescent="0.2">
      <c r="A486">
        <v>30423</v>
      </c>
      <c r="B486">
        <v>39</v>
      </c>
      <c r="C486" t="s">
        <v>6</v>
      </c>
      <c r="D486" t="s">
        <v>1524</v>
      </c>
      <c r="E486" s="3" t="s">
        <v>7</v>
      </c>
      <c r="F486">
        <f>IF(AND($F$15=Datos!$AI$5,Datos!$C$9=Datos!$AI$10),IF(A486&gt;30000,N486,ROUND(N486*Datos!$J$18,Dins)),IF(AND($F$15=Datos!$AI$5,Datos!$C$9=Datos!$AI$9),IF(A486&gt;30000,O486,ROUND(O486*Datos!$J$18,Dins)),IF(AND($F$15=Datos!$AI$6,Datos!$C$9=Datos!$AI$10),IF(A486&gt;30000,P486,ROUND(P486*Datos!$J$18,Dins)),IF(AND($F$15=Datos!$AI$6,Datos!$C$9=Datos!$AI$9),IF(A486&gt;30000,Q486,ROUND(Q486*Datos!$J$18,Dins))))))</f>
        <v>6.5</v>
      </c>
      <c r="G486">
        <v>0</v>
      </c>
      <c r="H486">
        <v>0</v>
      </c>
      <c r="I486">
        <v>0</v>
      </c>
      <c r="J486">
        <v>0</v>
      </c>
      <c r="N486">
        <v>7.67</v>
      </c>
      <c r="O486">
        <f t="shared" si="21"/>
        <v>6.5</v>
      </c>
      <c r="P486">
        <f t="shared" si="22"/>
        <v>2.0499999999999998</v>
      </c>
      <c r="Q486">
        <f t="shared" si="23"/>
        <v>1.74</v>
      </c>
    </row>
    <row r="487" spans="1:17" x14ac:dyDescent="0.2">
      <c r="A487">
        <v>30424</v>
      </c>
      <c r="B487">
        <v>30</v>
      </c>
      <c r="C487" t="s">
        <v>6</v>
      </c>
      <c r="D487" t="s">
        <v>1525</v>
      </c>
      <c r="E487" s="3" t="s">
        <v>7</v>
      </c>
      <c r="F487">
        <f>IF(AND($F$15=Datos!$AI$5,Datos!$C$9=Datos!$AI$10),IF(A487&gt;30000,N487,ROUND(N487*Datos!$J$18,Dins)),IF(AND($F$15=Datos!$AI$5,Datos!$C$9=Datos!$AI$9),IF(A487&gt;30000,O487,ROUND(O487*Datos!$J$18,Dins)),IF(AND($F$15=Datos!$AI$6,Datos!$C$9=Datos!$AI$10),IF(A487&gt;30000,P487,ROUND(P487*Datos!$J$18,Dins)),IF(AND($F$15=Datos!$AI$6,Datos!$C$9=Datos!$AI$9),IF(A487&gt;30000,Q487,ROUND(Q487*Datos!$J$18,Dins))))))</f>
        <v>5.5</v>
      </c>
      <c r="G487">
        <v>0</v>
      </c>
      <c r="H487">
        <v>0</v>
      </c>
      <c r="I487">
        <v>0</v>
      </c>
      <c r="J487">
        <v>0</v>
      </c>
      <c r="N487">
        <v>6.49</v>
      </c>
      <c r="O487">
        <f t="shared" si="21"/>
        <v>5.5</v>
      </c>
      <c r="P487">
        <f t="shared" si="22"/>
        <v>1.73</v>
      </c>
      <c r="Q487">
        <f t="shared" si="23"/>
        <v>1.47</v>
      </c>
    </row>
    <row r="488" spans="1:17" x14ac:dyDescent="0.2">
      <c r="A488">
        <v>30425</v>
      </c>
      <c r="B488">
        <v>30</v>
      </c>
      <c r="C488" t="s">
        <v>6</v>
      </c>
      <c r="D488" t="s">
        <v>1526</v>
      </c>
      <c r="E488" s="3" t="s">
        <v>7</v>
      </c>
      <c r="F488">
        <f>IF(AND($F$15=Datos!$AI$5,Datos!$C$9=Datos!$AI$10),IF(A488&gt;30000,N488,ROUND(N488*Datos!$J$18,Dins)),IF(AND($F$15=Datos!$AI$5,Datos!$C$9=Datos!$AI$9),IF(A488&gt;30000,O488,ROUND(O488*Datos!$J$18,Dins)),IF(AND($F$15=Datos!$AI$6,Datos!$C$9=Datos!$AI$10),IF(A488&gt;30000,P488,ROUND(P488*Datos!$J$18,Dins)),IF(AND($F$15=Datos!$AI$6,Datos!$C$9=Datos!$AI$9),IF(A488&gt;30000,Q488,ROUND(Q488*Datos!$J$18,Dins))))))</f>
        <v>6</v>
      </c>
      <c r="G488">
        <v>0</v>
      </c>
      <c r="H488">
        <v>0</v>
      </c>
      <c r="I488">
        <v>0</v>
      </c>
      <c r="J488">
        <v>0</v>
      </c>
      <c r="N488">
        <v>7.08</v>
      </c>
      <c r="O488">
        <f t="shared" si="21"/>
        <v>6</v>
      </c>
      <c r="P488">
        <f t="shared" si="22"/>
        <v>1.89</v>
      </c>
      <c r="Q488">
        <f t="shared" si="23"/>
        <v>1.6</v>
      </c>
    </row>
    <row r="489" spans="1:17" x14ac:dyDescent="0.2">
      <c r="A489">
        <v>30426</v>
      </c>
      <c r="B489">
        <v>30</v>
      </c>
      <c r="C489" t="s">
        <v>6</v>
      </c>
      <c r="D489" t="s">
        <v>1527</v>
      </c>
      <c r="E489" s="3" t="s">
        <v>174</v>
      </c>
      <c r="F489">
        <f>IF(AND($F$15=Datos!$AI$5,Datos!$C$9=Datos!$AI$10),IF(A489&gt;30000,N489,ROUND(N489*Datos!$J$18,Dins)),IF(AND($F$15=Datos!$AI$5,Datos!$C$9=Datos!$AI$9),IF(A489&gt;30000,O489,ROUND(O489*Datos!$J$18,Dins)),IF(AND($F$15=Datos!$AI$6,Datos!$C$9=Datos!$AI$10),IF(A489&gt;30000,P489,ROUND(P489*Datos!$J$18,Dins)),IF(AND($F$15=Datos!$AI$6,Datos!$C$9=Datos!$AI$9),IF(A489&gt;30000,Q489,ROUND(Q489*Datos!$J$18,Dins))))))</f>
        <v>4.5</v>
      </c>
      <c r="G489">
        <v>0</v>
      </c>
      <c r="H489">
        <v>0</v>
      </c>
      <c r="I489">
        <v>0</v>
      </c>
      <c r="J489">
        <v>0</v>
      </c>
      <c r="N489">
        <v>5.31</v>
      </c>
      <c r="O489">
        <f t="shared" si="21"/>
        <v>4.5</v>
      </c>
      <c r="P489">
        <f t="shared" si="22"/>
        <v>1.42</v>
      </c>
      <c r="Q489">
        <f t="shared" si="23"/>
        <v>1.2</v>
      </c>
    </row>
    <row r="490" spans="1:17" x14ac:dyDescent="0.2">
      <c r="A490">
        <v>30427</v>
      </c>
      <c r="B490">
        <v>77</v>
      </c>
      <c r="C490" t="s">
        <v>6</v>
      </c>
      <c r="D490" t="s">
        <v>1528</v>
      </c>
      <c r="E490" s="3" t="s">
        <v>174</v>
      </c>
      <c r="F490">
        <f>IF(AND($F$15=Datos!$AI$5,Datos!$C$9=Datos!$AI$10),IF(A490&gt;30000,N490,ROUND(N490*Datos!$J$18,Dins)),IF(AND($F$15=Datos!$AI$5,Datos!$C$9=Datos!$AI$9),IF(A490&gt;30000,O490,ROUND(O490*Datos!$J$18,Dins)),IF(AND($F$15=Datos!$AI$6,Datos!$C$9=Datos!$AI$10),IF(A490&gt;30000,P490,ROUND(P490*Datos!$J$18,Dins)),IF(AND($F$15=Datos!$AI$6,Datos!$C$9=Datos!$AI$9),IF(A490&gt;30000,Q490,ROUND(Q490*Datos!$J$18,Dins))))))</f>
        <v>40</v>
      </c>
      <c r="G490">
        <v>0</v>
      </c>
      <c r="H490">
        <v>0</v>
      </c>
      <c r="I490">
        <v>0</v>
      </c>
      <c r="J490">
        <v>0</v>
      </c>
      <c r="N490">
        <v>47.2</v>
      </c>
      <c r="O490">
        <f t="shared" si="21"/>
        <v>40</v>
      </c>
      <c r="P490">
        <f t="shared" si="22"/>
        <v>12.59</v>
      </c>
      <c r="Q490">
        <f t="shared" si="23"/>
        <v>10.67</v>
      </c>
    </row>
    <row r="491" spans="1:17" x14ac:dyDescent="0.2">
      <c r="A491">
        <v>30428</v>
      </c>
      <c r="B491">
        <v>30</v>
      </c>
      <c r="C491" t="s">
        <v>6</v>
      </c>
      <c r="D491" t="s">
        <v>1532</v>
      </c>
      <c r="E491" s="3" t="s">
        <v>174</v>
      </c>
      <c r="F491">
        <f>IF(AND($F$15=Datos!$AI$5,Datos!$C$9=Datos!$AI$10),IF(A491&gt;30000,N491,ROUND(N491*Datos!$J$18,Dins)),IF(AND($F$15=Datos!$AI$5,Datos!$C$9=Datos!$AI$9),IF(A491&gt;30000,O491,ROUND(O491*Datos!$J$18,Dins)),IF(AND($F$15=Datos!$AI$6,Datos!$C$9=Datos!$AI$10),IF(A491&gt;30000,P491,ROUND(P491*Datos!$J$18,Dins)),IF(AND($F$15=Datos!$AI$6,Datos!$C$9=Datos!$AI$9),IF(A491&gt;30000,Q491,ROUND(Q491*Datos!$J$18,Dins))))))</f>
        <v>75</v>
      </c>
      <c r="G491">
        <v>0</v>
      </c>
      <c r="H491">
        <v>0</v>
      </c>
      <c r="I491">
        <v>0</v>
      </c>
      <c r="J491">
        <v>0</v>
      </c>
      <c r="N491">
        <v>88.5</v>
      </c>
      <c r="O491">
        <f t="shared" si="21"/>
        <v>75</v>
      </c>
      <c r="P491">
        <f t="shared" si="22"/>
        <v>23.6</v>
      </c>
      <c r="Q491">
        <f t="shared" si="23"/>
        <v>20</v>
      </c>
    </row>
    <row r="492" spans="1:17" x14ac:dyDescent="0.2">
      <c r="A492">
        <v>30429</v>
      </c>
      <c r="B492">
        <v>30</v>
      </c>
      <c r="C492" t="s">
        <v>6</v>
      </c>
      <c r="D492" t="s">
        <v>1533</v>
      </c>
      <c r="E492" s="3" t="s">
        <v>7</v>
      </c>
      <c r="F492">
        <f>IF(AND($F$15=Datos!$AI$5,Datos!$C$9=Datos!$AI$10),IF(A492&gt;30000,N492,ROUND(N492*Datos!$J$18,Dins)),IF(AND($F$15=Datos!$AI$5,Datos!$C$9=Datos!$AI$9),IF(A492&gt;30000,O492,ROUND(O492*Datos!$J$18,Dins)),IF(AND($F$15=Datos!$AI$6,Datos!$C$9=Datos!$AI$10),IF(A492&gt;30000,P492,ROUND(P492*Datos!$J$18,Dins)),IF(AND($F$15=Datos!$AI$6,Datos!$C$9=Datos!$AI$9),IF(A492&gt;30000,Q492,ROUND(Q492*Datos!$J$18,Dins))))))</f>
        <v>4.5</v>
      </c>
      <c r="G492">
        <v>0</v>
      </c>
      <c r="H492">
        <v>0</v>
      </c>
      <c r="I492">
        <v>0</v>
      </c>
      <c r="J492">
        <v>0</v>
      </c>
      <c r="N492">
        <v>5.31</v>
      </c>
      <c r="O492">
        <f t="shared" si="21"/>
        <v>4.5</v>
      </c>
      <c r="P492">
        <f t="shared" si="22"/>
        <v>1.42</v>
      </c>
      <c r="Q492">
        <f t="shared" si="23"/>
        <v>1.2</v>
      </c>
    </row>
  </sheetData>
  <sortState xmlns:xlrd2="http://schemas.microsoft.com/office/spreadsheetml/2017/richdata2" ref="A16:Q22">
    <sortCondition ref="A16"/>
  </sortState>
  <mergeCells count="15">
    <mergeCell ref="N13:O13"/>
    <mergeCell ref="P13:Q13"/>
    <mergeCell ref="H14:J14"/>
    <mergeCell ref="A2:K2"/>
    <mergeCell ref="A5:C5"/>
    <mergeCell ref="A6:C6"/>
    <mergeCell ref="A7:C7"/>
    <mergeCell ref="G4:I4"/>
    <mergeCell ref="G5:I5"/>
    <mergeCell ref="G6:I6"/>
    <mergeCell ref="G7:I7"/>
    <mergeCell ref="A3:C4"/>
    <mergeCell ref="D3:F3"/>
    <mergeCell ref="G3:K3"/>
    <mergeCell ref="N12:Q12"/>
  </mergeCells>
  <phoneticPr fontId="0" type="noConversion"/>
  <pageMargins left="0.75" right="0.75" top="1" bottom="1" header="0" footer="0"/>
  <pageSetup orientation="portrait" horizontalDpi="180" verticalDpi="18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DJ1509"/>
  <sheetViews>
    <sheetView zoomScale="85" workbookViewId="0">
      <selection activeCell="M15" sqref="M15"/>
    </sheetView>
  </sheetViews>
  <sheetFormatPr baseColWidth="10" defaultColWidth="5.7109375" defaultRowHeight="12.75" x14ac:dyDescent="0.2"/>
  <cols>
    <col min="1" max="1" width="6.140625" bestFit="1" customWidth="1"/>
    <col min="2" max="2" width="48.7109375" style="3" customWidth="1"/>
    <col min="3" max="3" width="6.140625" style="1" customWidth="1"/>
    <col min="4" max="7" width="6.42578125" customWidth="1"/>
    <col min="8" max="8" width="3.85546875" customWidth="1"/>
    <col min="9" max="9" width="4.42578125" customWidth="1"/>
    <col min="10" max="10" width="5.42578125" customWidth="1"/>
    <col min="11" max="14" width="5.42578125" hidden="1" customWidth="1"/>
    <col min="15" max="24" width="6.42578125" hidden="1" customWidth="1"/>
    <col min="25" max="64" width="5.7109375" hidden="1" customWidth="1"/>
    <col min="65" max="114" width="0" hidden="1" customWidth="1"/>
  </cols>
  <sheetData>
    <row r="1" spans="1:114" x14ac:dyDescent="0.2">
      <c r="A1">
        <v>0</v>
      </c>
      <c r="B1" s="13" t="e">
        <f>MATCH($A$1,$A$5:$A$50004,0)+4</f>
        <v>#N/A</v>
      </c>
      <c r="C1" s="48" t="e">
        <f>#REF!</f>
        <v>#REF!</v>
      </c>
      <c r="F1" s="2"/>
      <c r="G1" s="2"/>
      <c r="H1" s="2"/>
      <c r="I1" s="2"/>
      <c r="J1" s="2"/>
      <c r="K1" s="2"/>
      <c r="L1" s="2"/>
      <c r="M1" s="2"/>
      <c r="N1" s="2"/>
      <c r="O1" s="2"/>
      <c r="P1" s="2"/>
      <c r="Q1" s="2"/>
      <c r="R1" s="2"/>
      <c r="S1" s="2"/>
      <c r="T1" s="2"/>
      <c r="U1" s="2"/>
      <c r="V1" s="2"/>
      <c r="W1" s="2"/>
      <c r="X1" s="2"/>
    </row>
    <row r="2" spans="1:114" s="11" customFormat="1" x14ac:dyDescent="0.2">
      <c r="A2" s="11">
        <f>COUNT(BDcodCU)*5+5</f>
        <v>1510</v>
      </c>
      <c r="C2" s="41">
        <f>COUNT(BDcodCU)</f>
        <v>301</v>
      </c>
      <c r="F2" s="46"/>
      <c r="G2" s="46"/>
      <c r="H2" s="46"/>
      <c r="I2" s="46"/>
      <c r="J2" s="46"/>
      <c r="K2" s="46"/>
      <c r="L2" s="46"/>
      <c r="M2" s="46"/>
      <c r="N2" s="46"/>
      <c r="O2" s="46"/>
      <c r="P2" s="46"/>
      <c r="Q2" s="46"/>
      <c r="R2" s="46"/>
      <c r="S2" s="46"/>
      <c r="T2" s="46"/>
      <c r="U2" s="46"/>
      <c r="V2" s="46"/>
      <c r="W2" s="46"/>
      <c r="X2" s="46"/>
    </row>
    <row r="3" spans="1:114" x14ac:dyDescent="0.2">
      <c r="A3">
        <f>MAX($A$5:$A$50004)+1</f>
        <v>10302</v>
      </c>
      <c r="B3" s="52" t="s">
        <v>66</v>
      </c>
      <c r="C3" s="41">
        <f>Datos!J12</f>
        <v>2</v>
      </c>
      <c r="E3" s="82"/>
      <c r="F3" s="83"/>
      <c r="G3" s="83"/>
      <c r="H3" s="83"/>
      <c r="I3" s="83"/>
      <c r="J3" s="83"/>
      <c r="K3" s="83"/>
      <c r="L3" s="83"/>
      <c r="M3" s="83"/>
      <c r="N3" s="83"/>
      <c r="O3" s="82"/>
    </row>
    <row r="4" spans="1:114" ht="13.5" customHeight="1" x14ac:dyDescent="0.2">
      <c r="A4" s="15" t="s">
        <v>26</v>
      </c>
      <c r="B4" s="14" t="s">
        <v>25</v>
      </c>
      <c r="C4" s="70" t="s">
        <v>95</v>
      </c>
      <c r="D4" s="47" t="s">
        <v>7</v>
      </c>
      <c r="E4" s="47" t="s">
        <v>96</v>
      </c>
      <c r="F4" s="47" t="s">
        <v>8</v>
      </c>
      <c r="G4" s="47" t="s">
        <v>6</v>
      </c>
      <c r="H4" s="47" t="s">
        <v>27</v>
      </c>
      <c r="I4" s="70" t="s">
        <v>97</v>
      </c>
      <c r="J4" s="70" t="s">
        <v>98</v>
      </c>
      <c r="K4" s="47" t="s">
        <v>99</v>
      </c>
      <c r="L4" s="47"/>
      <c r="M4" s="47" t="s">
        <v>100</v>
      </c>
      <c r="N4" s="47" t="s">
        <v>89</v>
      </c>
      <c r="O4" s="79">
        <v>1</v>
      </c>
      <c r="P4" s="80">
        <v>2</v>
      </c>
      <c r="Q4" s="80">
        <v>3</v>
      </c>
      <c r="R4" s="80">
        <v>4</v>
      </c>
      <c r="S4" s="80">
        <v>5</v>
      </c>
      <c r="T4" s="80">
        <v>6</v>
      </c>
      <c r="U4" s="80">
        <v>7</v>
      </c>
      <c r="V4" s="80">
        <v>8</v>
      </c>
      <c r="W4" s="80">
        <v>9</v>
      </c>
      <c r="X4" s="80">
        <v>10</v>
      </c>
      <c r="Y4" s="80">
        <v>11</v>
      </c>
      <c r="Z4" s="80">
        <v>12</v>
      </c>
      <c r="AA4" s="80">
        <v>13</v>
      </c>
      <c r="AB4" s="80">
        <v>14</v>
      </c>
      <c r="AC4" s="80">
        <v>15</v>
      </c>
      <c r="AD4" s="80">
        <v>16</v>
      </c>
      <c r="AE4" s="80">
        <v>17</v>
      </c>
      <c r="AF4" s="80">
        <v>18</v>
      </c>
      <c r="AG4" s="80">
        <v>19</v>
      </c>
      <c r="AH4" s="80">
        <v>20</v>
      </c>
      <c r="AI4" s="80">
        <v>21</v>
      </c>
      <c r="AJ4" s="80">
        <v>22</v>
      </c>
      <c r="AK4" s="80">
        <v>23</v>
      </c>
      <c r="AL4" s="80">
        <v>24</v>
      </c>
      <c r="AM4" s="80">
        <v>25</v>
      </c>
      <c r="AN4" s="80">
        <v>26</v>
      </c>
      <c r="AO4" s="80">
        <v>27</v>
      </c>
      <c r="AP4" s="80">
        <v>28</v>
      </c>
      <c r="AQ4" s="80">
        <v>29</v>
      </c>
      <c r="AR4" s="80">
        <v>30</v>
      </c>
      <c r="AS4" s="80">
        <v>31</v>
      </c>
      <c r="AT4" s="80">
        <v>32</v>
      </c>
      <c r="AU4" s="80">
        <v>33</v>
      </c>
      <c r="AV4" s="80">
        <v>34</v>
      </c>
      <c r="AW4" s="80">
        <v>35</v>
      </c>
      <c r="AX4" s="80">
        <v>36</v>
      </c>
      <c r="AY4" s="80">
        <v>37</v>
      </c>
      <c r="AZ4" s="80">
        <v>38</v>
      </c>
      <c r="BA4" s="80">
        <v>39</v>
      </c>
      <c r="BB4" s="80">
        <v>40</v>
      </c>
      <c r="BC4" s="80">
        <v>41</v>
      </c>
      <c r="BD4" s="80">
        <v>42</v>
      </c>
      <c r="BE4" s="80">
        <v>43</v>
      </c>
      <c r="BF4" s="80">
        <v>44</v>
      </c>
      <c r="BG4" s="80">
        <v>45</v>
      </c>
      <c r="BH4" s="80">
        <v>46</v>
      </c>
      <c r="BI4" s="80">
        <v>47</v>
      </c>
      <c r="BJ4" s="80">
        <v>48</v>
      </c>
      <c r="BK4" s="80">
        <v>49</v>
      </c>
      <c r="BL4" s="80">
        <v>50</v>
      </c>
      <c r="BM4" s="80">
        <v>51</v>
      </c>
      <c r="BN4" s="80">
        <v>52</v>
      </c>
      <c r="BO4" s="80">
        <v>53</v>
      </c>
      <c r="BP4" s="80">
        <v>54</v>
      </c>
      <c r="BQ4" s="80">
        <v>55</v>
      </c>
      <c r="BR4" s="80">
        <v>56</v>
      </c>
      <c r="BS4" s="80">
        <v>57</v>
      </c>
      <c r="BT4" s="80">
        <v>58</v>
      </c>
      <c r="BU4" s="80">
        <v>59</v>
      </c>
      <c r="BV4" s="80">
        <v>60</v>
      </c>
      <c r="BW4" s="80">
        <v>61</v>
      </c>
      <c r="BX4" s="80">
        <v>62</v>
      </c>
      <c r="BY4" s="80">
        <v>63</v>
      </c>
      <c r="BZ4" s="80">
        <v>64</v>
      </c>
      <c r="CA4" s="80">
        <v>65</v>
      </c>
      <c r="CB4" s="80">
        <v>66</v>
      </c>
      <c r="CC4" s="80">
        <v>67</v>
      </c>
      <c r="CD4" s="80">
        <v>68</v>
      </c>
      <c r="CE4" s="80">
        <v>69</v>
      </c>
      <c r="CF4" s="80">
        <v>70</v>
      </c>
      <c r="CG4" s="80">
        <v>71</v>
      </c>
      <c r="CH4" s="80">
        <v>72</v>
      </c>
      <c r="CI4" s="80">
        <v>73</v>
      </c>
      <c r="CJ4" s="80">
        <v>74</v>
      </c>
      <c r="CK4" s="80">
        <v>75</v>
      </c>
      <c r="CL4" s="80">
        <v>76</v>
      </c>
      <c r="CM4" s="80">
        <v>77</v>
      </c>
      <c r="CN4" s="80">
        <v>78</v>
      </c>
      <c r="CO4" s="80">
        <v>79</v>
      </c>
      <c r="CP4" s="80">
        <v>80</v>
      </c>
      <c r="CQ4" s="80">
        <v>81</v>
      </c>
      <c r="CR4" s="80">
        <v>82</v>
      </c>
      <c r="CS4" s="80">
        <v>83</v>
      </c>
      <c r="CT4" s="80">
        <v>84</v>
      </c>
      <c r="CU4" s="80">
        <v>85</v>
      </c>
      <c r="CV4" s="80">
        <v>86</v>
      </c>
      <c r="CW4" s="80">
        <v>87</v>
      </c>
      <c r="CX4" s="80">
        <v>88</v>
      </c>
      <c r="CY4" s="80">
        <v>89</v>
      </c>
      <c r="CZ4" s="80">
        <v>90</v>
      </c>
      <c r="DA4" s="80">
        <v>91</v>
      </c>
      <c r="DB4" s="80">
        <v>92</v>
      </c>
      <c r="DC4" s="80">
        <v>93</v>
      </c>
      <c r="DD4" s="80">
        <v>94</v>
      </c>
      <c r="DE4" s="80">
        <v>95</v>
      </c>
      <c r="DF4" s="80">
        <v>96</v>
      </c>
      <c r="DG4" s="80">
        <v>97</v>
      </c>
      <c r="DH4" s="80">
        <v>98</v>
      </c>
      <c r="DI4" s="80">
        <v>99</v>
      </c>
      <c r="DJ4" s="81">
        <v>100</v>
      </c>
    </row>
    <row r="5" spans="1:114" x14ac:dyDescent="0.2">
      <c r="A5">
        <v>10001</v>
      </c>
      <c r="B5" s="3" t="s">
        <v>167</v>
      </c>
      <c r="C5" s="1">
        <f>ROUND(J5*JL*Frto/8,4)</f>
        <v>0.6</v>
      </c>
      <c r="D5" t="s">
        <v>168</v>
      </c>
      <c r="E5">
        <f>SUM($O8:$W8)</f>
        <v>1232.6400000000001</v>
      </c>
      <c r="F5">
        <f>SUMIF($O5:$W5,"&lt;22501",$O8:$W8)</f>
        <v>515.56000000000006</v>
      </c>
      <c r="G5">
        <f>SUMIFS($O8:$W8,$O5:$W5,"&gt;30000",$O5:$W5,"&lt;50001")</f>
        <v>691.3</v>
      </c>
      <c r="H5">
        <f>SUMIFS($O8:$W8,$O5:$W5,"&gt;60000",$O5:$W5,"&lt;70001")</f>
        <v>0</v>
      </c>
      <c r="I5">
        <v>9</v>
      </c>
      <c r="J5">
        <v>0.6</v>
      </c>
      <c r="O5">
        <v>10001</v>
      </c>
      <c r="P5">
        <v>10002</v>
      </c>
      <c r="Q5">
        <v>10003</v>
      </c>
      <c r="R5">
        <v>30001</v>
      </c>
      <c r="S5">
        <v>30002</v>
      </c>
      <c r="T5">
        <v>30003</v>
      </c>
      <c r="U5">
        <v>30004</v>
      </c>
      <c r="V5">
        <v>30005</v>
      </c>
      <c r="W5">
        <v>70001</v>
      </c>
    </row>
    <row r="6" spans="1:114" x14ac:dyDescent="0.2">
      <c r="B6" s="3" t="str">
        <f>A5&amp;"C"</f>
        <v>10001C</v>
      </c>
      <c r="O6">
        <v>0.1</v>
      </c>
      <c r="P6">
        <v>1</v>
      </c>
      <c r="Q6">
        <v>1</v>
      </c>
      <c r="R6">
        <v>1</v>
      </c>
      <c r="S6">
        <v>3</v>
      </c>
      <c r="T6">
        <v>1</v>
      </c>
      <c r="U6">
        <v>1</v>
      </c>
      <c r="V6">
        <v>0.2</v>
      </c>
      <c r="W6">
        <v>5</v>
      </c>
    </row>
    <row r="7" spans="1:114" x14ac:dyDescent="0.2">
      <c r="O7">
        <f>IF(O9&gt;10000,HLOOKUP(O9,N5:$O8,4,FALSE),IF(OR(AND(22500&lt;O5,O5&lt;25001),AND(50000&lt;O5,O5&lt;53501),AND(70000&lt;O5,O5&lt;72501)),$F5,IF(OR(AND(25001&lt;O5,O5&lt;27501),AND(53500&lt;O5,O5&lt;57001),AND(72500&lt;O5,O5&lt;75001)),$G5,IF(OR(AND(27500&lt;O5,O5&lt;30001),AND(57000&lt;O5,O5&lt;60001),AND(75000&lt;O5,O5&lt;77500)),$H5,VLOOKUP(O5,BDins,6,FALSE)))))</f>
        <v>24.97</v>
      </c>
      <c r="P7">
        <f>IF(P9&gt;10000,HLOOKUP(P9,O5:$O8,4,FALSE),IF(OR(AND(22500&lt;P5,P5&lt;25001),AND(50000&lt;P5,P5&lt;53501),AND(70000&lt;P5,P5&lt;72501)),$F5,IF(OR(AND(25001&lt;P5,P5&lt;27501),AND(53500&lt;P5,P5&lt;57001),AND(72500&lt;P5,P5&lt;75001)),$G5,IF(OR(AND(27500&lt;P5,P5&lt;30001),AND(57000&lt;P5,P5&lt;60001),AND(75000&lt;P5,P5&lt;77500)),$H5,VLOOKUP(P5,BDins,6,FALSE)))))</f>
        <v>20.81</v>
      </c>
      <c r="Q7">
        <f>IF(Q9&gt;10000,HLOOKUP(Q9,$O5:P8,4,FALSE),IF(OR(AND(22500&lt;Q5,Q5&lt;25001),AND(50000&lt;Q5,Q5&lt;53501),AND(70000&lt;Q5,Q5&lt;72501)),$F5,IF(OR(AND(25001&lt;Q5,Q5&lt;27501),AND(53500&lt;Q5,Q5&lt;57001),AND(72500&lt;Q5,Q5&lt;75001)),$G5,IF(OR(AND(27500&lt;Q5,Q5&lt;30001),AND(57000&lt;Q5,Q5&lt;60001),AND(75000&lt;Q5,Q5&lt;77500)),$H5,VLOOKUP(Q5,BDins,6,FALSE)))))</f>
        <v>15.36</v>
      </c>
      <c r="R7">
        <f>IF(R9&gt;10000,HLOOKUP(R9,$O5:Q8,4,FALSE),IF(OR(AND(22500&lt;R5,R5&lt;25001),AND(50000&lt;R5,R5&lt;53501),AND(70000&lt;R5,R5&lt;72501)),$F5,IF(OR(AND(25001&lt;R5,R5&lt;27501),AND(53500&lt;R5,R5&lt;57001),AND(72500&lt;R5,R5&lt;75001)),$G5,IF(OR(AND(27500&lt;R5,R5&lt;30001),AND(57000&lt;R5,R5&lt;60001),AND(75000&lt;R5,R5&lt;77500)),$H5,VLOOKUP(R5,BDins,6,FALSE)))))</f>
        <v>250</v>
      </c>
      <c r="S7">
        <f>IF(S9&gt;10000,HLOOKUP(S9,$O5:R8,4,FALSE),IF(OR(AND(22500&lt;S5,S5&lt;25001),AND(50000&lt;S5,S5&lt;53501),AND(70000&lt;S5,S5&lt;72501)),$F5,IF(OR(AND(25001&lt;S5,S5&lt;27501),AND(53500&lt;S5,S5&lt;57001),AND(72500&lt;S5,S5&lt;75001)),$G5,IF(OR(AND(27500&lt;S5,S5&lt;30001),AND(57000&lt;S5,S5&lt;60001),AND(75000&lt;S5,S5&lt;77500)),$H5,VLOOKUP(S5,BDins,6,FALSE)))))</f>
        <v>18.5</v>
      </c>
      <c r="T7">
        <f>IF(T9&gt;10000,HLOOKUP(T9,$O5:S8,4,FALSE),IF(OR(AND(22500&lt;T5,T5&lt;25001),AND(50000&lt;T5,T5&lt;53501),AND(70000&lt;T5,T5&lt;72501)),$F5,IF(OR(AND(25001&lt;T5,T5&lt;27501),AND(53500&lt;T5,T5&lt;57001),AND(72500&lt;T5,T5&lt;75001)),$G5,IF(OR(AND(27500&lt;T5,T5&lt;30001),AND(57000&lt;T5,T5&lt;60001),AND(75000&lt;T5,T5&lt;77500)),$H5,VLOOKUP(T5,BDins,6,FALSE)))))</f>
        <v>45.8</v>
      </c>
      <c r="U7">
        <f>IF(U9&gt;10000,HLOOKUP(U9,$O5:T8,4,FALSE),IF(OR(AND(22500&lt;U5,U5&lt;25001),AND(50000&lt;U5,U5&lt;53501),AND(70000&lt;U5,U5&lt;72501)),$F5,IF(OR(AND(25001&lt;U5,U5&lt;27501),AND(53500&lt;U5,U5&lt;57001),AND(72500&lt;U5,U5&lt;75001)),$G5,IF(OR(AND(27500&lt;U5,U5&lt;30001),AND(57000&lt;U5,U5&lt;60001),AND(75000&lt;U5,U5&lt;77500)),$H5,VLOOKUP(U5,BDins,6,FALSE)))))</f>
        <v>40</v>
      </c>
      <c r="V7">
        <f>IF(V9&gt;10000,HLOOKUP(V9,$O5:U8,4,FALSE),IF(OR(AND(22500&lt;V5,V5&lt;25001),AND(50000&lt;V5,V5&lt;53501),AND(70000&lt;V5,V5&lt;72501)),$F5,IF(OR(AND(25001&lt;V5,V5&lt;27501),AND(53500&lt;V5,V5&lt;57001),AND(72500&lt;V5,V5&lt;75001)),$G5,IF(OR(AND(27500&lt;V5,V5&lt;30001),AND(57000&lt;V5,V5&lt;60001),AND(75000&lt;V5,V5&lt;77500)),$H5,VLOOKUP(V5,BDins,6,FALSE)))))</f>
        <v>1500</v>
      </c>
      <c r="W7">
        <f>IF(W9&gt;10000,HLOOKUP(W9,$O5:V8,4,FALSE),IF(OR(AND(22500&lt;W5,W5&lt;25001),AND(50000&lt;W5,W5&lt;53501),AND(70000&lt;W5,W5&lt;72501)),$F5,IF(OR(AND(25001&lt;W5,W5&lt;27501),AND(53500&lt;W5,W5&lt;57001),AND(72500&lt;W5,W5&lt;75001)),$G5,IF(OR(AND(27500&lt;W5,W5&lt;30001),AND(57000&lt;W5,W5&lt;60001),AND(75000&lt;W5,W5&lt;77500)),$H5,VLOOKUP(W5,BDins,6,FALSE)))))</f>
        <v>515.56000000000006</v>
      </c>
    </row>
    <row r="8" spans="1:114" x14ac:dyDescent="0.2">
      <c r="O8">
        <f t="shared" ref="O8:W8" si="0">IF($K5&gt;0,ROUND(O6*$E5/100,DpCU),IF(O9&gt;10000,ROUND(HLOOKUP(O9,$O5:$W8,4,FALSE)/100*O6,DpCU),IF(OR(O5&lt;20001,O5&gt;95000,AND(60000&lt;O5,O5&lt;70001)),ROUND(ROUND(O6*JL/$C5,DcCU)*O7,DpCU),IF(OR(AND(20000&lt;O5,O5&lt;22501),AND(30000&lt;O5,O5&lt;50001),77500&lt;O5),ROUND(O7*O6,DpCU),IF(OR(AND(22500&lt;O5,O5&lt;25001),AND(50000&lt;O5,O5&lt;53501),AND(70000&lt;O5,O5&lt;72501)),ROUND($F5/100*O6,DpCU),IF(OR(AND(25000&lt;O5,O5&lt;27501),AND(53500&lt;O5,O5&lt;57001),AND(72500&lt;O5,O5&lt;75001)),ROUND($G5/100*O6,DpCU),ROUND($H5/100*O6,DpCU)))))))</f>
        <v>33.29</v>
      </c>
      <c r="P8">
        <f t="shared" si="0"/>
        <v>277.47000000000003</v>
      </c>
      <c r="Q8">
        <f t="shared" si="0"/>
        <v>204.8</v>
      </c>
      <c r="R8">
        <f t="shared" si="0"/>
        <v>250</v>
      </c>
      <c r="S8">
        <f t="shared" si="0"/>
        <v>55.5</v>
      </c>
      <c r="T8">
        <f t="shared" si="0"/>
        <v>45.8</v>
      </c>
      <c r="U8">
        <f t="shared" si="0"/>
        <v>40</v>
      </c>
      <c r="V8">
        <f t="shared" si="0"/>
        <v>300</v>
      </c>
      <c r="W8">
        <f t="shared" si="0"/>
        <v>25.78</v>
      </c>
    </row>
    <row r="9" spans="1:114" x14ac:dyDescent="0.2">
      <c r="B9" s="3" t="str">
        <f>A5&amp;"r"</f>
        <v>10001r</v>
      </c>
    </row>
    <row r="10" spans="1:114" x14ac:dyDescent="0.2">
      <c r="A10">
        <v>10002</v>
      </c>
      <c r="B10" s="3" t="s">
        <v>178</v>
      </c>
      <c r="C10" s="1">
        <f>ROUND(J10*JL*Frto/8,4)</f>
        <v>0.6</v>
      </c>
      <c r="D10" t="s">
        <v>168</v>
      </c>
      <c r="E10">
        <f>SUM($O13:$W13)</f>
        <v>1976.5800000000002</v>
      </c>
      <c r="F10">
        <f>SUMIF($O10:$W10,"&lt;22501",$O13:$W13)</f>
        <v>515.56000000000006</v>
      </c>
      <c r="G10">
        <f>SUMIFS($O13:$W13,$O10:$W10,"&gt;30000",$O10:$W10,"&lt;50001")</f>
        <v>1445.55</v>
      </c>
      <c r="H10">
        <f>SUMIFS($O13:$W13,$O10:$W10,"&gt;60000",$O10:$W10,"&lt;70001")</f>
        <v>0</v>
      </c>
      <c r="I10">
        <v>9</v>
      </c>
      <c r="J10">
        <v>0.6</v>
      </c>
      <c r="O10">
        <v>10001</v>
      </c>
      <c r="P10">
        <v>10002</v>
      </c>
      <c r="Q10">
        <v>10003</v>
      </c>
      <c r="R10">
        <v>30001</v>
      </c>
      <c r="S10">
        <v>30002</v>
      </c>
      <c r="T10">
        <v>30003</v>
      </c>
      <c r="U10">
        <v>30004</v>
      </c>
      <c r="V10">
        <v>30006</v>
      </c>
      <c r="W10">
        <v>70001</v>
      </c>
    </row>
    <row r="11" spans="1:114" x14ac:dyDescent="0.2">
      <c r="B11" s="3" t="str">
        <f>A10&amp;"C"</f>
        <v>10002C</v>
      </c>
      <c r="O11">
        <v>0.1</v>
      </c>
      <c r="P11">
        <v>1</v>
      </c>
      <c r="Q11">
        <v>1</v>
      </c>
      <c r="R11">
        <v>1</v>
      </c>
      <c r="S11">
        <v>4.5</v>
      </c>
      <c r="T11">
        <v>1</v>
      </c>
      <c r="U11">
        <v>1.35</v>
      </c>
      <c r="V11">
        <v>0.5</v>
      </c>
      <c r="W11">
        <v>3</v>
      </c>
    </row>
    <row r="12" spans="1:114" x14ac:dyDescent="0.2">
      <c r="O12">
        <f>IF(O14&gt;10000,HLOOKUP(O14,N10:$O13,4,FALSE),IF(OR(AND(22500&lt;O10,O10&lt;25001),AND(50000&lt;O10,O10&lt;53501),AND(70000&lt;O10,O10&lt;72501)),$F10,IF(OR(AND(25001&lt;O10,O10&lt;27501),AND(53500&lt;O10,O10&lt;57001),AND(72500&lt;O10,O10&lt;75001)),$G10,IF(OR(AND(27500&lt;O10,O10&lt;30001),AND(57000&lt;O10,O10&lt;60001),AND(75000&lt;O10,O10&lt;77500)),$H10,VLOOKUP(O10,BDins,6,FALSE)))))</f>
        <v>24.97</v>
      </c>
      <c r="P12">
        <f>IF(P14&gt;10000,HLOOKUP(P14,O10:$O13,4,FALSE),IF(OR(AND(22500&lt;P10,P10&lt;25001),AND(50000&lt;P10,P10&lt;53501),AND(70000&lt;P10,P10&lt;72501)),$F10,IF(OR(AND(25001&lt;P10,P10&lt;27501),AND(53500&lt;P10,P10&lt;57001),AND(72500&lt;P10,P10&lt;75001)),$G10,IF(OR(AND(27500&lt;P10,P10&lt;30001),AND(57000&lt;P10,P10&lt;60001),AND(75000&lt;P10,P10&lt;77500)),$H10,VLOOKUP(P10,BDins,6,FALSE)))))</f>
        <v>20.81</v>
      </c>
      <c r="Q12">
        <f>IF(Q14&gt;10000,HLOOKUP(Q14,$O10:P13,4,FALSE),IF(OR(AND(22500&lt;Q10,Q10&lt;25001),AND(50000&lt;Q10,Q10&lt;53501),AND(70000&lt;Q10,Q10&lt;72501)),$F10,IF(OR(AND(25001&lt;Q10,Q10&lt;27501),AND(53500&lt;Q10,Q10&lt;57001),AND(72500&lt;Q10,Q10&lt;75001)),$G10,IF(OR(AND(27500&lt;Q10,Q10&lt;30001),AND(57000&lt;Q10,Q10&lt;60001),AND(75000&lt;Q10,Q10&lt;77500)),$H10,VLOOKUP(Q10,BDins,6,FALSE)))))</f>
        <v>15.36</v>
      </c>
      <c r="R12">
        <f>IF(R14&gt;10000,HLOOKUP(R14,$O10:Q13,4,FALSE),IF(OR(AND(22500&lt;R10,R10&lt;25001),AND(50000&lt;R10,R10&lt;53501),AND(70000&lt;R10,R10&lt;72501)),$F10,IF(OR(AND(25001&lt;R10,R10&lt;27501),AND(53500&lt;R10,R10&lt;57001),AND(72500&lt;R10,R10&lt;75001)),$G10,IF(OR(AND(27500&lt;R10,R10&lt;30001),AND(57000&lt;R10,R10&lt;60001),AND(75000&lt;R10,R10&lt;77500)),$H10,VLOOKUP(R10,BDins,6,FALSE)))))</f>
        <v>250</v>
      </c>
      <c r="S12">
        <f>IF(S14&gt;10000,HLOOKUP(S14,$O10:R13,4,FALSE),IF(OR(AND(22500&lt;S10,S10&lt;25001),AND(50000&lt;S10,S10&lt;53501),AND(70000&lt;S10,S10&lt;72501)),$F10,IF(OR(AND(25001&lt;S10,S10&lt;27501),AND(53500&lt;S10,S10&lt;57001),AND(72500&lt;S10,S10&lt;75001)),$G10,IF(OR(AND(27500&lt;S10,S10&lt;30001),AND(57000&lt;S10,S10&lt;60001),AND(75000&lt;S10,S10&lt;77500)),$H10,VLOOKUP(S10,BDins,6,FALSE)))))</f>
        <v>18.5</v>
      </c>
      <c r="T12">
        <f>IF(T14&gt;10000,HLOOKUP(T14,$O10:S13,4,FALSE),IF(OR(AND(22500&lt;T10,T10&lt;25001),AND(50000&lt;T10,T10&lt;53501),AND(70000&lt;T10,T10&lt;72501)),$F10,IF(OR(AND(25001&lt;T10,T10&lt;27501),AND(53500&lt;T10,T10&lt;57001),AND(72500&lt;T10,T10&lt;75001)),$G10,IF(OR(AND(27500&lt;T10,T10&lt;30001),AND(57000&lt;T10,T10&lt;60001),AND(75000&lt;T10,T10&lt;77500)),$H10,VLOOKUP(T10,BDins,6,FALSE)))))</f>
        <v>45.8</v>
      </c>
      <c r="U12">
        <f>IF(U14&gt;10000,HLOOKUP(U14,$O10:T13,4,FALSE),IF(OR(AND(22500&lt;U10,U10&lt;25001),AND(50000&lt;U10,U10&lt;53501),AND(70000&lt;U10,U10&lt;72501)),$F10,IF(OR(AND(25001&lt;U10,U10&lt;27501),AND(53500&lt;U10,U10&lt;57001),AND(72500&lt;U10,U10&lt;75001)),$G10,IF(OR(AND(27500&lt;U10,U10&lt;30001),AND(57000&lt;U10,U10&lt;60001),AND(75000&lt;U10,U10&lt;77500)),$H10,VLOOKUP(U10,BDins,6,FALSE)))))</f>
        <v>40</v>
      </c>
      <c r="V12">
        <f>IF(V14&gt;10000,HLOOKUP(V14,$O10:U13,4,FALSE),IF(OR(AND(22500&lt;V10,V10&lt;25001),AND(50000&lt;V10,V10&lt;53501),AND(70000&lt;V10,V10&lt;72501)),$F10,IF(OR(AND(25001&lt;V10,V10&lt;27501),AND(53500&lt;V10,V10&lt;57001),AND(72500&lt;V10,V10&lt;75001)),$G10,IF(OR(AND(27500&lt;V10,V10&lt;30001),AND(57000&lt;V10,V10&lt;60001),AND(75000&lt;V10,V10&lt;77500)),$H10,VLOOKUP(V10,BDins,6,FALSE)))))</f>
        <v>2025</v>
      </c>
      <c r="W12">
        <f>IF(W14&gt;10000,HLOOKUP(W14,$O10:V13,4,FALSE),IF(OR(AND(22500&lt;W10,W10&lt;25001),AND(50000&lt;W10,W10&lt;53501),AND(70000&lt;W10,W10&lt;72501)),$F10,IF(OR(AND(25001&lt;W10,W10&lt;27501),AND(53500&lt;W10,W10&lt;57001),AND(72500&lt;W10,W10&lt;75001)),$G10,IF(OR(AND(27500&lt;W10,W10&lt;30001),AND(57000&lt;W10,W10&lt;60001),AND(75000&lt;W10,W10&lt;77500)),$H10,VLOOKUP(W10,BDins,6,FALSE)))))</f>
        <v>515.56000000000006</v>
      </c>
    </row>
    <row r="13" spans="1:114" x14ac:dyDescent="0.2">
      <c r="O13">
        <f t="shared" ref="O13:W13" si="1">IF($K10&gt;0,ROUND(O11*$E10/100,DpCU),IF(O14&gt;10000,ROUND(HLOOKUP(O14,$O10:$W13,4,FALSE)/100*O11,DpCU),IF(OR(O10&lt;20001,O10&gt;95000,AND(60000&lt;O10,O10&lt;70001)),ROUND(ROUND(O11*JL/$C10,DcCU)*O12,DpCU),IF(OR(AND(20000&lt;O10,O10&lt;22501),AND(30000&lt;O10,O10&lt;50001),77500&lt;O10),ROUND(O12*O11,DpCU),IF(OR(AND(22500&lt;O10,O10&lt;25001),AND(50000&lt;O10,O10&lt;53501),AND(70000&lt;O10,O10&lt;72501)),ROUND($F10/100*O11,DpCU),IF(OR(AND(25000&lt;O10,O10&lt;27501),AND(53500&lt;O10,O10&lt;57001),AND(72500&lt;O10,O10&lt;75001)),ROUND($G10/100*O11,DpCU),ROUND($H10/100*O11,DpCU)))))))</f>
        <v>33.29</v>
      </c>
      <c r="P13">
        <f t="shared" si="1"/>
        <v>277.47000000000003</v>
      </c>
      <c r="Q13">
        <f t="shared" si="1"/>
        <v>204.8</v>
      </c>
      <c r="R13">
        <f t="shared" si="1"/>
        <v>250</v>
      </c>
      <c r="S13">
        <f t="shared" si="1"/>
        <v>83.25</v>
      </c>
      <c r="T13">
        <f t="shared" si="1"/>
        <v>45.8</v>
      </c>
      <c r="U13">
        <f t="shared" si="1"/>
        <v>54</v>
      </c>
      <c r="V13">
        <f t="shared" si="1"/>
        <v>1012.5</v>
      </c>
      <c r="W13">
        <f t="shared" si="1"/>
        <v>15.47</v>
      </c>
    </row>
    <row r="14" spans="1:114" x14ac:dyDescent="0.2">
      <c r="B14" s="3" t="str">
        <f>A10&amp;"r"</f>
        <v>10002r</v>
      </c>
    </row>
    <row r="15" spans="1:114" x14ac:dyDescent="0.2">
      <c r="A15">
        <v>10003</v>
      </c>
      <c r="B15" s="3" t="s">
        <v>181</v>
      </c>
      <c r="C15" s="1">
        <f>ROUND(J15*JL*Frto/8,4)</f>
        <v>2</v>
      </c>
      <c r="D15" t="s">
        <v>168</v>
      </c>
      <c r="E15">
        <f>SUM($O18:$AA18)</f>
        <v>2001.68</v>
      </c>
      <c r="F15">
        <f>SUMIF($O15:$AA15,"&lt;22501",$O18:$AA18)</f>
        <v>444.03</v>
      </c>
      <c r="G15">
        <f>SUMIFS($O18:$AA18,$O15:$AA15,"&gt;30000",$O15:$AA15,"&lt;50001")</f>
        <v>1535.45</v>
      </c>
      <c r="H15">
        <f>SUMIFS($O18:$AA18,$O15:$AA15,"&gt;60000",$O15:$AA15,"&lt;70001")</f>
        <v>0</v>
      </c>
      <c r="I15">
        <v>13</v>
      </c>
      <c r="J15">
        <v>2</v>
      </c>
      <c r="O15">
        <v>10001</v>
      </c>
      <c r="P15">
        <v>10002</v>
      </c>
      <c r="Q15">
        <v>10003</v>
      </c>
      <c r="R15">
        <v>30001</v>
      </c>
      <c r="S15">
        <v>30002</v>
      </c>
      <c r="T15">
        <v>30004</v>
      </c>
      <c r="U15">
        <v>30007</v>
      </c>
      <c r="V15">
        <v>30008</v>
      </c>
      <c r="W15">
        <v>30009</v>
      </c>
      <c r="X15">
        <v>30010</v>
      </c>
      <c r="Y15">
        <v>30011</v>
      </c>
      <c r="Z15">
        <v>30012</v>
      </c>
      <c r="AA15">
        <v>70001</v>
      </c>
    </row>
    <row r="16" spans="1:114" x14ac:dyDescent="0.2">
      <c r="B16" s="3" t="str">
        <f>A15&amp;"C"</f>
        <v>10003C</v>
      </c>
      <c r="O16">
        <v>0.1</v>
      </c>
      <c r="P16">
        <v>3</v>
      </c>
      <c r="Q16">
        <v>3</v>
      </c>
      <c r="R16">
        <v>0.5</v>
      </c>
      <c r="S16">
        <v>3</v>
      </c>
      <c r="T16">
        <v>0.9</v>
      </c>
      <c r="U16">
        <v>3</v>
      </c>
      <c r="V16">
        <v>1</v>
      </c>
      <c r="W16">
        <v>60</v>
      </c>
      <c r="X16">
        <v>8</v>
      </c>
      <c r="Y16">
        <v>12</v>
      </c>
      <c r="Z16">
        <v>1</v>
      </c>
      <c r="AA16">
        <v>5</v>
      </c>
    </row>
    <row r="17" spans="1:27" x14ac:dyDescent="0.2">
      <c r="O17">
        <f>IF(O19&gt;10000,HLOOKUP(O19,N15:$O18,4,FALSE),IF(OR(AND(22500&lt;O15,O15&lt;25001),AND(50000&lt;O15,O15&lt;53501),AND(70000&lt;O15,O15&lt;72501)),$F15,IF(OR(AND(25001&lt;O15,O15&lt;27501),AND(53500&lt;O15,O15&lt;57001),AND(72500&lt;O15,O15&lt;75001)),$G15,IF(OR(AND(27500&lt;O15,O15&lt;30001),AND(57000&lt;O15,O15&lt;60001),AND(75000&lt;O15,O15&lt;77500)),$H15,VLOOKUP(O15,BDins,6,FALSE)))))</f>
        <v>24.97</v>
      </c>
      <c r="P17">
        <f>IF(P19&gt;10000,HLOOKUP(P19,O15:$O18,4,FALSE),IF(OR(AND(22500&lt;P15,P15&lt;25001),AND(50000&lt;P15,P15&lt;53501),AND(70000&lt;P15,P15&lt;72501)),$F15,IF(OR(AND(25001&lt;P15,P15&lt;27501),AND(53500&lt;P15,P15&lt;57001),AND(72500&lt;P15,P15&lt;75001)),$G15,IF(OR(AND(27500&lt;P15,P15&lt;30001),AND(57000&lt;P15,P15&lt;60001),AND(75000&lt;P15,P15&lt;77500)),$H15,VLOOKUP(P15,BDins,6,FALSE)))))</f>
        <v>20.81</v>
      </c>
      <c r="Q17">
        <f>IF(Q19&gt;10000,HLOOKUP(Q19,$O15:P18,4,FALSE),IF(OR(AND(22500&lt;Q15,Q15&lt;25001),AND(50000&lt;Q15,Q15&lt;53501),AND(70000&lt;Q15,Q15&lt;72501)),$F15,IF(OR(AND(25001&lt;Q15,Q15&lt;27501),AND(53500&lt;Q15,Q15&lt;57001),AND(72500&lt;Q15,Q15&lt;75001)),$G15,IF(OR(AND(27500&lt;Q15,Q15&lt;30001),AND(57000&lt;Q15,Q15&lt;60001),AND(75000&lt;Q15,Q15&lt;77500)),$H15,VLOOKUP(Q15,BDins,6,FALSE)))))</f>
        <v>15.36</v>
      </c>
      <c r="R17">
        <f>IF(R19&gt;10000,HLOOKUP(R19,$O15:Q18,4,FALSE),IF(OR(AND(22500&lt;R15,R15&lt;25001),AND(50000&lt;R15,R15&lt;53501),AND(70000&lt;R15,R15&lt;72501)),$F15,IF(OR(AND(25001&lt;R15,R15&lt;27501),AND(53500&lt;R15,R15&lt;57001),AND(72500&lt;R15,R15&lt;75001)),$G15,IF(OR(AND(27500&lt;R15,R15&lt;30001),AND(57000&lt;R15,R15&lt;60001),AND(75000&lt;R15,R15&lt;77500)),$H15,VLOOKUP(R15,BDins,6,FALSE)))))</f>
        <v>250</v>
      </c>
      <c r="S17">
        <f>IF(S19&gt;10000,HLOOKUP(S19,$O15:R18,4,FALSE),IF(OR(AND(22500&lt;S15,S15&lt;25001),AND(50000&lt;S15,S15&lt;53501),AND(70000&lt;S15,S15&lt;72501)),$F15,IF(OR(AND(25001&lt;S15,S15&lt;27501),AND(53500&lt;S15,S15&lt;57001),AND(72500&lt;S15,S15&lt;75001)),$G15,IF(OR(AND(27500&lt;S15,S15&lt;30001),AND(57000&lt;S15,S15&lt;60001),AND(75000&lt;S15,S15&lt;77500)),$H15,VLOOKUP(S15,BDins,6,FALSE)))))</f>
        <v>18.5</v>
      </c>
      <c r="T17">
        <f>IF(T19&gt;10000,HLOOKUP(T19,$O15:S18,4,FALSE),IF(OR(AND(22500&lt;T15,T15&lt;25001),AND(50000&lt;T15,T15&lt;53501),AND(70000&lt;T15,T15&lt;72501)),$F15,IF(OR(AND(25001&lt;T15,T15&lt;27501),AND(53500&lt;T15,T15&lt;57001),AND(72500&lt;T15,T15&lt;75001)),$G15,IF(OR(AND(27500&lt;T15,T15&lt;30001),AND(57000&lt;T15,T15&lt;60001),AND(75000&lt;T15,T15&lt;77500)),$H15,VLOOKUP(T15,BDins,6,FALSE)))))</f>
        <v>40</v>
      </c>
      <c r="U17">
        <f>IF(U19&gt;10000,HLOOKUP(U19,$O15:T18,4,FALSE),IF(OR(AND(22500&lt;U15,U15&lt;25001),AND(50000&lt;U15,U15&lt;53501),AND(70000&lt;U15,U15&lt;72501)),$F15,IF(OR(AND(25001&lt;U15,U15&lt;27501),AND(53500&lt;U15,U15&lt;57001),AND(72500&lt;U15,U15&lt;75001)),$G15,IF(OR(AND(27500&lt;U15,U15&lt;30001),AND(57000&lt;U15,U15&lt;60001),AND(75000&lt;U15,U15&lt;77500)),$H15,VLOOKUP(U15,BDins,6,FALSE)))))</f>
        <v>3.65</v>
      </c>
      <c r="V17">
        <f>IF(V19&gt;10000,HLOOKUP(V19,$O15:U18,4,FALSE),IF(OR(AND(22500&lt;V15,V15&lt;25001),AND(50000&lt;V15,V15&lt;53501),AND(70000&lt;V15,V15&lt;72501)),$F15,IF(OR(AND(25001&lt;V15,V15&lt;27501),AND(53500&lt;V15,V15&lt;57001),AND(72500&lt;V15,V15&lt;75001)),$G15,IF(OR(AND(27500&lt;V15,V15&lt;30001),AND(57000&lt;V15,V15&lt;60001),AND(75000&lt;V15,V15&lt;77500)),$H15,VLOOKUP(V15,BDins,6,FALSE)))))</f>
        <v>200</v>
      </c>
      <c r="W17">
        <f>IF(W19&gt;10000,HLOOKUP(W19,$O15:V18,4,FALSE),IF(OR(AND(22500&lt;W15,W15&lt;25001),AND(50000&lt;W15,W15&lt;53501),AND(70000&lt;W15,W15&lt;72501)),$F15,IF(OR(AND(25001&lt;W15,W15&lt;27501),AND(53500&lt;W15,W15&lt;57001),AND(72500&lt;W15,W15&lt;75001)),$G15,IF(OR(AND(27500&lt;W15,W15&lt;30001),AND(57000&lt;W15,W15&lt;60001),AND(75000&lt;W15,W15&lt;77500)),$H15,VLOOKUP(W15,BDins,6,FALSE)))))</f>
        <v>3.7</v>
      </c>
      <c r="X17">
        <f>IF(X19&gt;10000,HLOOKUP(X19,$O15:W18,4,FALSE),IF(OR(AND(22500&lt;X15,X15&lt;25001),AND(50000&lt;X15,X15&lt;53501),AND(70000&lt;X15,X15&lt;72501)),$F15,IF(OR(AND(25001&lt;X15,X15&lt;27501),AND(53500&lt;X15,X15&lt;57001),AND(72500&lt;X15,X15&lt;75001)),$G15,IF(OR(AND(27500&lt;X15,X15&lt;30001),AND(57000&lt;X15,X15&lt;60001),AND(75000&lt;X15,X15&lt;77500)),$H15,VLOOKUP(X15,BDins,6,FALSE)))))</f>
        <v>25</v>
      </c>
      <c r="Y17">
        <f>IF(Y19&gt;10000,HLOOKUP(Y19,$O15:X18,4,FALSE),IF(OR(AND(22500&lt;Y15,Y15&lt;25001),AND(50000&lt;Y15,Y15&lt;53501),AND(70000&lt;Y15,Y15&lt;72501)),$F15,IF(OR(AND(25001&lt;Y15,Y15&lt;27501),AND(53500&lt;Y15,Y15&lt;57001),AND(72500&lt;Y15,Y15&lt;75001)),$G15,IF(OR(AND(27500&lt;Y15,Y15&lt;30001),AND(57000&lt;Y15,Y15&lt;60001),AND(75000&lt;Y15,Y15&lt;77500)),$H15,VLOOKUP(Y15,BDins,6,FALSE)))))</f>
        <v>15.5</v>
      </c>
      <c r="Z17">
        <f>IF(Z19&gt;10000,HLOOKUP(Z19,$O15:Y18,4,FALSE),IF(OR(AND(22500&lt;Z15,Z15&lt;25001),AND(50000&lt;Z15,Z15&lt;53501),AND(70000&lt;Z15,Z15&lt;72501)),$F15,IF(OR(AND(25001&lt;Z15,Z15&lt;27501),AND(53500&lt;Z15,Z15&lt;57001),AND(72500&lt;Z15,Z15&lt;75001)),$G15,IF(OR(AND(27500&lt;Z15,Z15&lt;30001),AND(57000&lt;Z15,Z15&lt;60001),AND(75000&lt;Z15,Z15&lt;77500)),$H15,VLOOKUP(Z15,BDins,6,FALSE)))))</f>
        <v>500</v>
      </c>
      <c r="AA17">
        <f>IF(AA19&gt;10000,HLOOKUP(AA19,$O15:Z18,4,FALSE),IF(OR(AND(22500&lt;AA15,AA15&lt;25001),AND(50000&lt;AA15,AA15&lt;53501),AND(70000&lt;AA15,AA15&lt;72501)),$F15,IF(OR(AND(25001&lt;AA15,AA15&lt;27501),AND(53500&lt;AA15,AA15&lt;57001),AND(72500&lt;AA15,AA15&lt;75001)),$G15,IF(OR(AND(27500&lt;AA15,AA15&lt;30001),AND(57000&lt;AA15,AA15&lt;60001),AND(75000&lt;AA15,AA15&lt;77500)),$H15,VLOOKUP(AA15,BDins,6,FALSE)))))</f>
        <v>444.03</v>
      </c>
    </row>
    <row r="18" spans="1:27" x14ac:dyDescent="0.2">
      <c r="O18">
        <f t="shared" ref="O18:AA18" si="2">IF($K15&gt;0,ROUND(O16*$E15/100,DpCU),IF(O19&gt;10000,ROUND(HLOOKUP(O19,$O15:$AA18,4,FALSE)/100*O16,DpCU),IF(OR(O15&lt;20001,O15&gt;95000,AND(60000&lt;O15,O15&lt;70001)),ROUND(ROUND(O16*JL/$C15,DcCU)*O17,DpCU),IF(OR(AND(20000&lt;O15,O15&lt;22501),AND(30000&lt;O15,O15&lt;50001),77500&lt;O15),ROUND(O17*O16,DpCU),IF(OR(AND(22500&lt;O15,O15&lt;25001),AND(50000&lt;O15,O15&lt;53501),AND(70000&lt;O15,O15&lt;72501)),ROUND($F15/100*O16,DpCU),IF(OR(AND(25000&lt;O15,O15&lt;27501),AND(53500&lt;O15,O15&lt;57001),AND(72500&lt;O15,O15&lt;75001)),ROUND($G15/100*O16,DpCU),ROUND($H15/100*O16,DpCU)))))))</f>
        <v>9.99</v>
      </c>
      <c r="P18">
        <f t="shared" si="2"/>
        <v>249.72</v>
      </c>
      <c r="Q18">
        <f t="shared" si="2"/>
        <v>184.32</v>
      </c>
      <c r="R18">
        <f t="shared" si="2"/>
        <v>125</v>
      </c>
      <c r="S18">
        <f t="shared" si="2"/>
        <v>55.5</v>
      </c>
      <c r="T18">
        <f t="shared" si="2"/>
        <v>36</v>
      </c>
      <c r="U18">
        <f t="shared" si="2"/>
        <v>10.95</v>
      </c>
      <c r="V18">
        <f t="shared" si="2"/>
        <v>200</v>
      </c>
      <c r="W18">
        <f t="shared" si="2"/>
        <v>222</v>
      </c>
      <c r="X18">
        <f t="shared" si="2"/>
        <v>200</v>
      </c>
      <c r="Y18">
        <f t="shared" si="2"/>
        <v>186</v>
      </c>
      <c r="Z18">
        <f t="shared" si="2"/>
        <v>500</v>
      </c>
      <c r="AA18">
        <f t="shared" si="2"/>
        <v>22.2</v>
      </c>
    </row>
    <row r="19" spans="1:27" x14ac:dyDescent="0.2">
      <c r="B19" s="3" t="str">
        <f>A15&amp;"r"</f>
        <v>10003r</v>
      </c>
    </row>
    <row r="20" spans="1:27" x14ac:dyDescent="0.2">
      <c r="A20">
        <v>10004</v>
      </c>
      <c r="B20" s="3" t="s">
        <v>191</v>
      </c>
      <c r="C20" s="1">
        <f>ROUND(J20*JL*Frto/8,4)</f>
        <v>1</v>
      </c>
      <c r="D20" t="s">
        <v>168</v>
      </c>
      <c r="E20">
        <f>SUM($O23:$O23)</f>
        <v>1664.8</v>
      </c>
      <c r="F20">
        <f>SUMIF($O20:$O20,"&lt;22501",$O23:$O23)</f>
        <v>1664.8</v>
      </c>
      <c r="G20">
        <f>SUMIFS($O23:$O23,$O20:$O20,"&gt;30000",$O20:$O20,"&lt;50001")</f>
        <v>0</v>
      </c>
      <c r="H20">
        <f>SUMIFS($O23:$O23,$O20:$O20,"&gt;60000",$O20:$O20,"&lt;70001")</f>
        <v>0</v>
      </c>
      <c r="I20">
        <v>1</v>
      </c>
      <c r="J20">
        <v>1</v>
      </c>
      <c r="O20">
        <v>10004</v>
      </c>
    </row>
    <row r="21" spans="1:27" x14ac:dyDescent="0.2">
      <c r="B21" s="3" t="str">
        <f>A20&amp;"C"</f>
        <v>10004C</v>
      </c>
      <c r="O21">
        <v>10</v>
      </c>
    </row>
    <row r="22" spans="1:27" x14ac:dyDescent="0.2">
      <c r="O22">
        <f>IF(O24&gt;10000,HLOOKUP(O24,N20:$O23,4,FALSE),IF(OR(AND(22500&lt;O20,O20&lt;25001),AND(50000&lt;O20,O20&lt;53501),AND(70000&lt;O20,O20&lt;72501)),$F20,IF(OR(AND(25001&lt;O20,O20&lt;27501),AND(53500&lt;O20,O20&lt;57001),AND(72500&lt;O20,O20&lt;75001)),$G20,IF(OR(AND(27500&lt;O20,O20&lt;30001),AND(57000&lt;O20,O20&lt;60001),AND(75000&lt;O20,O20&lt;77500)),$H20,VLOOKUP(O20,BDins,6,FALSE)))))</f>
        <v>20.81</v>
      </c>
    </row>
    <row r="23" spans="1:27" x14ac:dyDescent="0.2">
      <c r="O23">
        <f>IF($K20&gt;0,ROUND(O21*$E20/100,DpCU),IF(O24&gt;10000,ROUND(HLOOKUP(O24,$O20:$O23,4,FALSE)/100*O21,DpCU),IF(OR(O20&lt;20001,O20&gt;95000,AND(60000&lt;O20,O20&lt;70001)),ROUND(ROUND(O21*JL/$C20,DcCU)*O22,DpCU),IF(OR(AND(20000&lt;O20,O20&lt;22501),AND(30000&lt;O20,O20&lt;50001),77500&lt;O20),ROUND(O22*O21,DpCU),IF(OR(AND(22500&lt;O20,O20&lt;25001),AND(50000&lt;O20,O20&lt;53501),AND(70000&lt;O20,O20&lt;72501)),ROUND($F20/100*O21,DpCU),IF(OR(AND(25000&lt;O20,O20&lt;27501),AND(53500&lt;O20,O20&lt;57001),AND(72500&lt;O20,O20&lt;75001)),ROUND($G20/100*O21,DpCU),ROUND($H20/100*O21,DpCU)))))))</f>
        <v>1664.8</v>
      </c>
    </row>
    <row r="24" spans="1:27" x14ac:dyDescent="0.2">
      <c r="B24" s="3" t="str">
        <f>A20&amp;"r"</f>
        <v>10004r</v>
      </c>
    </row>
    <row r="25" spans="1:27" x14ac:dyDescent="0.2">
      <c r="A25">
        <v>10005</v>
      </c>
      <c r="B25" s="3" t="s">
        <v>193</v>
      </c>
      <c r="C25" s="1">
        <f>ROUND(J25*JL*Frto/8,4)</f>
        <v>10</v>
      </c>
      <c r="D25" t="s">
        <v>194</v>
      </c>
      <c r="E25">
        <f>SUM($O28:$T28)</f>
        <v>76.53</v>
      </c>
      <c r="F25">
        <f>SUMIF($O25:$T25,"&lt;22501",$O28:$T28)</f>
        <v>43.23</v>
      </c>
      <c r="G25">
        <f>SUMIFS($O28:$T28,$O25:$T25,"&gt;30000",$O25:$T25,"&lt;50001")</f>
        <v>31.14</v>
      </c>
      <c r="H25">
        <f>SUMIFS($O28:$T28,$O25:$T25,"&gt;60000",$O25:$T25,"&lt;70001")</f>
        <v>0</v>
      </c>
      <c r="I25">
        <v>6</v>
      </c>
      <c r="J25">
        <v>10</v>
      </c>
      <c r="O25">
        <v>10001</v>
      </c>
      <c r="P25">
        <v>10003</v>
      </c>
      <c r="Q25">
        <v>10005</v>
      </c>
      <c r="R25">
        <v>30010</v>
      </c>
      <c r="S25">
        <v>30013</v>
      </c>
      <c r="T25">
        <v>70001</v>
      </c>
    </row>
    <row r="26" spans="1:27" x14ac:dyDescent="0.2">
      <c r="B26" s="3" t="str">
        <f>A25&amp;"C"</f>
        <v>10005C</v>
      </c>
      <c r="O26">
        <v>0.1</v>
      </c>
      <c r="P26">
        <v>2</v>
      </c>
      <c r="Q26">
        <v>1</v>
      </c>
      <c r="R26">
        <v>0.45</v>
      </c>
      <c r="S26">
        <v>1.7</v>
      </c>
      <c r="T26">
        <v>5</v>
      </c>
    </row>
    <row r="27" spans="1:27" x14ac:dyDescent="0.2">
      <c r="O27">
        <f>IF(O29&gt;10000,HLOOKUP(O29,N25:$O28,4,FALSE),IF(OR(AND(22500&lt;O25,O25&lt;25001),AND(50000&lt;O25,O25&lt;53501),AND(70000&lt;O25,O25&lt;72501)),$F25,IF(OR(AND(25001&lt;O25,O25&lt;27501),AND(53500&lt;O25,O25&lt;57001),AND(72500&lt;O25,O25&lt;75001)),$G25,IF(OR(AND(27500&lt;O25,O25&lt;30001),AND(57000&lt;O25,O25&lt;60001),AND(75000&lt;O25,O25&lt;77500)),$H25,VLOOKUP(O25,BDins,6,FALSE)))))</f>
        <v>24.97</v>
      </c>
      <c r="P27">
        <f>IF(P29&gt;10000,HLOOKUP(P29,O25:$O28,4,FALSE),IF(OR(AND(22500&lt;P25,P25&lt;25001),AND(50000&lt;P25,P25&lt;53501),AND(70000&lt;P25,P25&lt;72501)),$F25,IF(OR(AND(25001&lt;P25,P25&lt;27501),AND(53500&lt;P25,P25&lt;57001),AND(72500&lt;P25,P25&lt;75001)),$G25,IF(OR(AND(27500&lt;P25,P25&lt;30001),AND(57000&lt;P25,P25&lt;60001),AND(75000&lt;P25,P25&lt;77500)),$H25,VLOOKUP(P25,BDins,6,FALSE)))))</f>
        <v>15.36</v>
      </c>
      <c r="Q27">
        <f>IF(Q29&gt;10000,HLOOKUP(Q29,$O25:P28,4,FALSE),IF(OR(AND(22500&lt;Q25,Q25&lt;25001),AND(50000&lt;Q25,Q25&lt;53501),AND(70000&lt;Q25,Q25&lt;72501)),$F25,IF(OR(AND(25001&lt;Q25,Q25&lt;27501),AND(53500&lt;Q25,Q25&lt;57001),AND(72500&lt;Q25,Q25&lt;75001)),$G25,IF(OR(AND(27500&lt;Q25,Q25&lt;30001),AND(57000&lt;Q25,Q25&lt;60001),AND(75000&lt;Q25,Q25&lt;77500)),$H25,VLOOKUP(Q25,BDins,6,FALSE)))))</f>
        <v>20.81</v>
      </c>
      <c r="R27">
        <f>IF(R29&gt;10000,HLOOKUP(R29,$O25:Q28,4,FALSE),IF(OR(AND(22500&lt;R25,R25&lt;25001),AND(50000&lt;R25,R25&lt;53501),AND(70000&lt;R25,R25&lt;72501)),$F25,IF(OR(AND(25001&lt;R25,R25&lt;27501),AND(53500&lt;R25,R25&lt;57001),AND(72500&lt;R25,R25&lt;75001)),$G25,IF(OR(AND(27500&lt;R25,R25&lt;30001),AND(57000&lt;R25,R25&lt;60001),AND(75000&lt;R25,R25&lt;77500)),$H25,VLOOKUP(R25,BDins,6,FALSE)))))</f>
        <v>25</v>
      </c>
      <c r="S27">
        <f>IF(S29&gt;10000,HLOOKUP(S29,$O25:R28,4,FALSE),IF(OR(AND(22500&lt;S25,S25&lt;25001),AND(50000&lt;S25,S25&lt;53501),AND(70000&lt;S25,S25&lt;72501)),$F25,IF(OR(AND(25001&lt;S25,S25&lt;27501),AND(53500&lt;S25,S25&lt;57001),AND(72500&lt;S25,S25&lt;75001)),$G25,IF(OR(AND(27500&lt;S25,S25&lt;30001),AND(57000&lt;S25,S25&lt;60001),AND(75000&lt;S25,S25&lt;77500)),$H25,VLOOKUP(S25,BDins,6,FALSE)))))</f>
        <v>11.7</v>
      </c>
      <c r="T27">
        <f>IF(T29&gt;10000,HLOOKUP(T29,$O25:S28,4,FALSE),IF(OR(AND(22500&lt;T25,T25&lt;25001),AND(50000&lt;T25,T25&lt;53501),AND(70000&lt;T25,T25&lt;72501)),$F25,IF(OR(AND(25001&lt;T25,T25&lt;27501),AND(53500&lt;T25,T25&lt;57001),AND(72500&lt;T25,T25&lt;75001)),$G25,IF(OR(AND(27500&lt;T25,T25&lt;30001),AND(57000&lt;T25,T25&lt;60001),AND(75000&lt;T25,T25&lt;77500)),$H25,VLOOKUP(T25,BDins,6,FALSE)))))</f>
        <v>43.23</v>
      </c>
    </row>
    <row r="28" spans="1:27" x14ac:dyDescent="0.2">
      <c r="O28">
        <f t="shared" ref="O28:T28" si="3">IF($K25&gt;0,ROUND(O26*$E25/100,DpCU),IF(O29&gt;10000,ROUND(HLOOKUP(O29,$O25:$T28,4,FALSE)/100*O26,DpCU),IF(OR(O25&lt;20001,O25&gt;95000,AND(60000&lt;O25,O25&lt;70001)),ROUND(ROUND(O26*JL/$C25,DcCU)*O27,DpCU),IF(OR(AND(20000&lt;O25,O25&lt;22501),AND(30000&lt;O25,O25&lt;50001),77500&lt;O25),ROUND(O27*O26,DpCU),IF(OR(AND(22500&lt;O25,O25&lt;25001),AND(50000&lt;O25,O25&lt;53501),AND(70000&lt;O25,O25&lt;72501)),ROUND($F25/100*O26,DpCU),IF(OR(AND(25000&lt;O25,O25&lt;27501),AND(53500&lt;O25,O25&lt;57001),AND(72500&lt;O25,O25&lt;75001)),ROUND($G25/100*O26,DpCU),ROUND($H25/100*O26,DpCU)))))))</f>
        <v>2</v>
      </c>
      <c r="P28">
        <f t="shared" si="3"/>
        <v>24.58</v>
      </c>
      <c r="Q28">
        <f t="shared" si="3"/>
        <v>16.649999999999999</v>
      </c>
      <c r="R28">
        <f t="shared" si="3"/>
        <v>11.25</v>
      </c>
      <c r="S28">
        <f t="shared" si="3"/>
        <v>19.89</v>
      </c>
      <c r="T28">
        <f t="shared" si="3"/>
        <v>2.16</v>
      </c>
    </row>
    <row r="29" spans="1:27" x14ac:dyDescent="0.2">
      <c r="B29" s="3" t="str">
        <f>A25&amp;"r"</f>
        <v>10005r</v>
      </c>
    </row>
    <row r="30" spans="1:27" x14ac:dyDescent="0.2">
      <c r="A30">
        <v>10006</v>
      </c>
      <c r="B30" s="3" t="s">
        <v>198</v>
      </c>
      <c r="C30" s="1">
        <f>ROUND(J30*JL*Frto/8,4)</f>
        <v>6</v>
      </c>
      <c r="D30" t="s">
        <v>168</v>
      </c>
      <c r="E30">
        <f>SUM($O33:$Q33)</f>
        <v>2153.9</v>
      </c>
      <c r="F30">
        <f>SUMIF($O30:$Q30,"&lt;22501",$O33:$Q33)</f>
        <v>2051.33</v>
      </c>
      <c r="G30">
        <f>SUMIFS($O33:$Q33,$O30:$Q30,"&gt;30000",$O30:$Q30,"&lt;50001")</f>
        <v>0</v>
      </c>
      <c r="H30">
        <f>SUMIFS($O33:$Q33,$O30:$Q30,"&gt;60000",$O30:$Q30,"&lt;70001")</f>
        <v>0</v>
      </c>
      <c r="I30">
        <v>3</v>
      </c>
      <c r="J30">
        <v>6</v>
      </c>
      <c r="O30">
        <v>10001</v>
      </c>
      <c r="P30">
        <v>10003</v>
      </c>
      <c r="Q30">
        <v>70001</v>
      </c>
    </row>
    <row r="31" spans="1:27" x14ac:dyDescent="0.2">
      <c r="B31" s="3" t="str">
        <f>A30&amp;"C"</f>
        <v>10006C</v>
      </c>
      <c r="O31">
        <v>0.1</v>
      </c>
      <c r="P31">
        <v>100</v>
      </c>
      <c r="Q31">
        <v>5</v>
      </c>
    </row>
    <row r="32" spans="1:27" x14ac:dyDescent="0.2">
      <c r="O32">
        <f>IF(O34&gt;10000,HLOOKUP(O34,N30:$O33,4,FALSE),IF(OR(AND(22500&lt;O30,O30&lt;25001),AND(50000&lt;O30,O30&lt;53501),AND(70000&lt;O30,O30&lt;72501)),$F30,IF(OR(AND(25001&lt;O30,O30&lt;27501),AND(53500&lt;O30,O30&lt;57001),AND(72500&lt;O30,O30&lt;75001)),$G30,IF(OR(AND(27500&lt;O30,O30&lt;30001),AND(57000&lt;O30,O30&lt;60001),AND(75000&lt;O30,O30&lt;77500)),$H30,VLOOKUP(O30,BDins,6,FALSE)))))</f>
        <v>24.97</v>
      </c>
      <c r="P32">
        <f>IF(P34&gt;10000,HLOOKUP(P34,O30:$O33,4,FALSE),IF(OR(AND(22500&lt;P30,P30&lt;25001),AND(50000&lt;P30,P30&lt;53501),AND(70000&lt;P30,P30&lt;72501)),$F30,IF(OR(AND(25001&lt;P30,P30&lt;27501),AND(53500&lt;P30,P30&lt;57001),AND(72500&lt;P30,P30&lt;75001)),$G30,IF(OR(AND(27500&lt;P30,P30&lt;30001),AND(57000&lt;P30,P30&lt;60001),AND(75000&lt;P30,P30&lt;77500)),$H30,VLOOKUP(P30,BDins,6,FALSE)))))</f>
        <v>15.36</v>
      </c>
      <c r="Q32">
        <f>IF(Q34&gt;10000,HLOOKUP(Q34,$O30:P33,4,FALSE),IF(OR(AND(22500&lt;Q30,Q30&lt;25001),AND(50000&lt;Q30,Q30&lt;53501),AND(70000&lt;Q30,Q30&lt;72501)),$F30,IF(OR(AND(25001&lt;Q30,Q30&lt;27501),AND(53500&lt;Q30,Q30&lt;57001),AND(72500&lt;Q30,Q30&lt;75001)),$G30,IF(OR(AND(27500&lt;Q30,Q30&lt;30001),AND(57000&lt;Q30,Q30&lt;60001),AND(75000&lt;Q30,Q30&lt;77500)),$H30,VLOOKUP(Q30,BDins,6,FALSE)))))</f>
        <v>2051.33</v>
      </c>
    </row>
    <row r="33" spans="1:28" x14ac:dyDescent="0.2">
      <c r="O33">
        <f>IF($K30&gt;0,ROUND(O31*$E30/100,DpCU),IF(O34&gt;10000,ROUND(HLOOKUP(O34,$O30:$Q33,4,FALSE)/100*O31,DpCU),IF(OR(O30&lt;20001,O30&gt;95000,AND(60000&lt;O30,O30&lt;70001)),ROUND(ROUND(O31*JL/$C30,DcCU)*O32,DpCU),IF(OR(AND(20000&lt;O30,O30&lt;22501),AND(30000&lt;O30,O30&lt;50001),77500&lt;O30),ROUND(O32*O31,DpCU),IF(OR(AND(22500&lt;O30,O30&lt;25001),AND(50000&lt;O30,O30&lt;53501),AND(70000&lt;O30,O30&lt;72501)),ROUND($F30/100*O31,DpCU),IF(OR(AND(25000&lt;O30,O30&lt;27501),AND(53500&lt;O30,O30&lt;57001),AND(72500&lt;O30,O30&lt;75001)),ROUND($G30/100*O31,DpCU),ROUND($H30/100*O31,DpCU)))))))</f>
        <v>3.33</v>
      </c>
      <c r="P33">
        <f>IF($K30&gt;0,ROUND(P31*$E30/100,DpCU),IF(P34&gt;10000,ROUND(HLOOKUP(P34,$O30:$Q33,4,FALSE)/100*P31,DpCU),IF(OR(P30&lt;20001,P30&gt;95000,AND(60000&lt;P30,P30&lt;70001)),ROUND(ROUND(P31*JL/$C30,DcCU)*P32,DpCU),IF(OR(AND(20000&lt;P30,P30&lt;22501),AND(30000&lt;P30,P30&lt;50001),77500&lt;P30),ROUND(P32*P31,DpCU),IF(OR(AND(22500&lt;P30,P30&lt;25001),AND(50000&lt;P30,P30&lt;53501),AND(70000&lt;P30,P30&lt;72501)),ROUND($F30/100*P31,DpCU),IF(OR(AND(25000&lt;P30,P30&lt;27501),AND(53500&lt;P30,P30&lt;57001),AND(72500&lt;P30,P30&lt;75001)),ROUND($G30/100*P31,DpCU),ROUND($H30/100*P31,DpCU)))))))</f>
        <v>2048</v>
      </c>
      <c r="Q33">
        <f>IF($K30&gt;0,ROUND(Q31*$E30/100,DpCU),IF(Q34&gt;10000,ROUND(HLOOKUP(Q34,$O30:$Q33,4,FALSE)/100*Q31,DpCU),IF(OR(Q30&lt;20001,Q30&gt;95000,AND(60000&lt;Q30,Q30&lt;70001)),ROUND(ROUND(Q31*JL/$C30,DcCU)*Q32,DpCU),IF(OR(AND(20000&lt;Q30,Q30&lt;22501),AND(30000&lt;Q30,Q30&lt;50001),77500&lt;Q30),ROUND(Q32*Q31,DpCU),IF(OR(AND(22500&lt;Q30,Q30&lt;25001),AND(50000&lt;Q30,Q30&lt;53501),AND(70000&lt;Q30,Q30&lt;72501)),ROUND($F30/100*Q31,DpCU),IF(OR(AND(25000&lt;Q30,Q30&lt;27501),AND(53500&lt;Q30,Q30&lt;57001),AND(72500&lt;Q30,Q30&lt;75001)),ROUND($G30/100*Q31,DpCU),ROUND($H30/100*Q31,DpCU)))))))</f>
        <v>102.57</v>
      </c>
    </row>
    <row r="34" spans="1:28" x14ac:dyDescent="0.2">
      <c r="B34" s="3" t="str">
        <f>A30&amp;"r"</f>
        <v>10006r</v>
      </c>
    </row>
    <row r="35" spans="1:28" x14ac:dyDescent="0.2">
      <c r="A35">
        <v>10007</v>
      </c>
      <c r="B35" s="3" t="s">
        <v>200</v>
      </c>
      <c r="C35" s="1">
        <f>ROUND(J35*JL*Frto/8,4)</f>
        <v>20</v>
      </c>
      <c r="D35" t="s">
        <v>194</v>
      </c>
      <c r="E35">
        <f>SUM($O38:$AB38)</f>
        <v>251.98</v>
      </c>
      <c r="F35">
        <f>SUMIF($O35:$AB35,"&lt;22501",$O38:$AB38)</f>
        <v>15.46</v>
      </c>
      <c r="G35">
        <f>SUMIFS($O38:$AB38,$O35:$AB35,"&gt;30000",$O35:$AB35,"&lt;50001")</f>
        <v>232.2</v>
      </c>
      <c r="H35">
        <f>SUMIFS($O38:$AB38,$O35:$AB35,"&gt;60000",$O35:$AB35,"&lt;70001")</f>
        <v>2</v>
      </c>
      <c r="I35">
        <v>14</v>
      </c>
      <c r="J35">
        <v>20</v>
      </c>
      <c r="O35">
        <v>10001</v>
      </c>
      <c r="P35">
        <v>10002</v>
      </c>
      <c r="Q35">
        <v>10003</v>
      </c>
      <c r="R35">
        <v>30014</v>
      </c>
      <c r="S35">
        <v>30015</v>
      </c>
      <c r="T35">
        <v>30016</v>
      </c>
      <c r="U35">
        <v>30017</v>
      </c>
      <c r="V35">
        <v>30018</v>
      </c>
      <c r="W35">
        <v>30019</v>
      </c>
      <c r="X35">
        <v>30020</v>
      </c>
      <c r="Y35">
        <v>30021</v>
      </c>
      <c r="Z35">
        <v>30022</v>
      </c>
      <c r="AA35">
        <v>60001</v>
      </c>
      <c r="AB35">
        <v>70001</v>
      </c>
    </row>
    <row r="36" spans="1:28" x14ac:dyDescent="0.2">
      <c r="B36" s="3" t="str">
        <f>A35&amp;"C"</f>
        <v>10007C</v>
      </c>
      <c r="O36">
        <v>0.1</v>
      </c>
      <c r="P36">
        <v>1</v>
      </c>
      <c r="Q36">
        <v>1</v>
      </c>
      <c r="R36">
        <v>0.1</v>
      </c>
      <c r="S36">
        <v>0.25</v>
      </c>
      <c r="T36">
        <v>5</v>
      </c>
      <c r="U36">
        <v>2</v>
      </c>
      <c r="V36">
        <v>0.5</v>
      </c>
      <c r="W36">
        <v>0.2</v>
      </c>
      <c r="X36">
        <v>0.2</v>
      </c>
      <c r="Y36">
        <v>2.5499999999999998</v>
      </c>
      <c r="Z36">
        <v>0.3</v>
      </c>
      <c r="AA36">
        <v>0.5</v>
      </c>
      <c r="AB36">
        <v>15</v>
      </c>
    </row>
    <row r="37" spans="1:28" x14ac:dyDescent="0.2">
      <c r="O37">
        <f>IF(O39&gt;10000,HLOOKUP(O39,N35:$O38,4,FALSE),IF(OR(AND(22500&lt;O35,O35&lt;25001),AND(50000&lt;O35,O35&lt;53501),AND(70000&lt;O35,O35&lt;72501)),$F35,IF(OR(AND(25001&lt;O35,O35&lt;27501),AND(53500&lt;O35,O35&lt;57001),AND(72500&lt;O35,O35&lt;75001)),$G35,IF(OR(AND(27500&lt;O35,O35&lt;30001),AND(57000&lt;O35,O35&lt;60001),AND(75000&lt;O35,O35&lt;77500)),$H35,VLOOKUP(O35,BDins,6,FALSE)))))</f>
        <v>24.97</v>
      </c>
      <c r="P37">
        <f>IF(P39&gt;10000,HLOOKUP(P39,O35:$O38,4,FALSE),IF(OR(AND(22500&lt;P35,P35&lt;25001),AND(50000&lt;P35,P35&lt;53501),AND(70000&lt;P35,P35&lt;72501)),$F35,IF(OR(AND(25001&lt;P35,P35&lt;27501),AND(53500&lt;P35,P35&lt;57001),AND(72500&lt;P35,P35&lt;75001)),$G35,IF(OR(AND(27500&lt;P35,P35&lt;30001),AND(57000&lt;P35,P35&lt;60001),AND(75000&lt;P35,P35&lt;77500)),$H35,VLOOKUP(P35,BDins,6,FALSE)))))</f>
        <v>20.81</v>
      </c>
      <c r="Q37">
        <f>IF(Q39&gt;10000,HLOOKUP(Q39,$O35:P38,4,FALSE),IF(OR(AND(22500&lt;Q35,Q35&lt;25001),AND(50000&lt;Q35,Q35&lt;53501),AND(70000&lt;Q35,Q35&lt;72501)),$F35,IF(OR(AND(25001&lt;Q35,Q35&lt;27501),AND(53500&lt;Q35,Q35&lt;57001),AND(72500&lt;Q35,Q35&lt;75001)),$G35,IF(OR(AND(27500&lt;Q35,Q35&lt;30001),AND(57000&lt;Q35,Q35&lt;60001),AND(75000&lt;Q35,Q35&lt;77500)),$H35,VLOOKUP(Q35,BDins,6,FALSE)))))</f>
        <v>15.36</v>
      </c>
      <c r="R37">
        <f>IF(R39&gt;10000,HLOOKUP(R39,$O35:Q38,4,FALSE),IF(OR(AND(22500&lt;R35,R35&lt;25001),AND(50000&lt;R35,R35&lt;53501),AND(70000&lt;R35,R35&lt;72501)),$F35,IF(OR(AND(25001&lt;R35,R35&lt;27501),AND(53500&lt;R35,R35&lt;57001),AND(72500&lt;R35,R35&lt;75001)),$G35,IF(OR(AND(27500&lt;R35,R35&lt;30001),AND(57000&lt;R35,R35&lt;60001),AND(75000&lt;R35,R35&lt;77500)),$H35,VLOOKUP(R35,BDins,6,FALSE)))))</f>
        <v>12</v>
      </c>
      <c r="S37">
        <f>IF(S39&gt;10000,HLOOKUP(S39,$O35:R38,4,FALSE),IF(OR(AND(22500&lt;S35,S35&lt;25001),AND(50000&lt;S35,S35&lt;53501),AND(70000&lt;S35,S35&lt;72501)),$F35,IF(OR(AND(25001&lt;S35,S35&lt;27501),AND(53500&lt;S35,S35&lt;57001),AND(72500&lt;S35,S35&lt;75001)),$G35,IF(OR(AND(27500&lt;S35,S35&lt;30001),AND(57000&lt;S35,S35&lt;60001),AND(75000&lt;S35,S35&lt;77500)),$H35,VLOOKUP(S35,BDins,6,FALSE)))))</f>
        <v>7</v>
      </c>
      <c r="T37">
        <f>IF(T39&gt;10000,HLOOKUP(T39,$O35:S38,4,FALSE),IF(OR(AND(22500&lt;T35,T35&lt;25001),AND(50000&lt;T35,T35&lt;53501),AND(70000&lt;T35,T35&lt;72501)),$F35,IF(OR(AND(25001&lt;T35,T35&lt;27501),AND(53500&lt;T35,T35&lt;57001),AND(72500&lt;T35,T35&lt;75001)),$G35,IF(OR(AND(27500&lt;T35,T35&lt;30001),AND(57000&lt;T35,T35&lt;60001),AND(75000&lt;T35,T35&lt;77500)),$H35,VLOOKUP(T35,BDins,6,FALSE)))))</f>
        <v>8</v>
      </c>
      <c r="U37">
        <f>IF(U39&gt;10000,HLOOKUP(U39,$O35:T38,4,FALSE),IF(OR(AND(22500&lt;U35,U35&lt;25001),AND(50000&lt;U35,U35&lt;53501),AND(70000&lt;U35,U35&lt;72501)),$F35,IF(OR(AND(25001&lt;U35,U35&lt;27501),AND(53500&lt;U35,U35&lt;57001),AND(72500&lt;U35,U35&lt;75001)),$G35,IF(OR(AND(27500&lt;U35,U35&lt;30001),AND(57000&lt;U35,U35&lt;60001),AND(75000&lt;U35,U35&lt;77500)),$H35,VLOOKUP(U35,BDins,6,FALSE)))))</f>
        <v>15</v>
      </c>
      <c r="V37">
        <f>IF(V39&gt;10000,HLOOKUP(V39,$O35:U38,4,FALSE),IF(OR(AND(22500&lt;V35,V35&lt;25001),AND(50000&lt;V35,V35&lt;53501),AND(70000&lt;V35,V35&lt;72501)),$F35,IF(OR(AND(25001&lt;V35,V35&lt;27501),AND(53500&lt;V35,V35&lt;57001),AND(72500&lt;V35,V35&lt;75001)),$G35,IF(OR(AND(27500&lt;V35,V35&lt;30001),AND(57000&lt;V35,V35&lt;60001),AND(75000&lt;V35,V35&lt;77500)),$H35,VLOOKUP(V35,BDins,6,FALSE)))))</f>
        <v>13.5</v>
      </c>
      <c r="W37">
        <f>IF(W39&gt;10000,HLOOKUP(W39,$O35:V38,4,FALSE),IF(OR(AND(22500&lt;W35,W35&lt;25001),AND(50000&lt;W35,W35&lt;53501),AND(70000&lt;W35,W35&lt;72501)),$F35,IF(OR(AND(25001&lt;W35,W35&lt;27501),AND(53500&lt;W35,W35&lt;57001),AND(72500&lt;W35,W35&lt;75001)),$G35,IF(OR(AND(27500&lt;W35,W35&lt;30001),AND(57000&lt;W35,W35&lt;60001),AND(75000&lt;W35,W35&lt;77500)),$H35,VLOOKUP(W35,BDins,6,FALSE)))))</f>
        <v>40</v>
      </c>
      <c r="X37">
        <f>IF(X39&gt;10000,HLOOKUP(X39,$O35:W38,4,FALSE),IF(OR(AND(22500&lt;X35,X35&lt;25001),AND(50000&lt;X35,X35&lt;53501),AND(70000&lt;X35,X35&lt;72501)),$F35,IF(OR(AND(25001&lt;X35,X35&lt;27501),AND(53500&lt;X35,X35&lt;57001),AND(72500&lt;X35,X35&lt;75001)),$G35,IF(OR(AND(27500&lt;X35,X35&lt;30001),AND(57000&lt;X35,X35&lt;60001),AND(75000&lt;X35,X35&lt;77500)),$H35,VLOOKUP(X35,BDins,6,FALSE)))))</f>
        <v>40</v>
      </c>
      <c r="Y37">
        <f>IF(Y39&gt;10000,HLOOKUP(Y39,$O35:X38,4,FALSE),IF(OR(AND(22500&lt;Y35,Y35&lt;25001),AND(50000&lt;Y35,Y35&lt;53501),AND(70000&lt;Y35,Y35&lt;72501)),$F35,IF(OR(AND(25001&lt;Y35,Y35&lt;27501),AND(53500&lt;Y35,Y35&lt;57001),AND(72500&lt;Y35,Y35&lt;75001)),$G35,IF(OR(AND(27500&lt;Y35,Y35&lt;30001),AND(57000&lt;Y35,Y35&lt;60001),AND(75000&lt;Y35,Y35&lt;77500)),$H35,VLOOKUP(Y35,BDins,6,FALSE)))))</f>
        <v>50</v>
      </c>
      <c r="Z37">
        <f>IF(Z39&gt;10000,HLOOKUP(Z39,$O35:Y38,4,FALSE),IF(OR(AND(22500&lt;Z35,Z35&lt;25001),AND(50000&lt;Z35,Z35&lt;53501),AND(70000&lt;Z35,Z35&lt;72501)),$F35,IF(OR(AND(25001&lt;Z35,Z35&lt;27501),AND(53500&lt;Z35,Z35&lt;57001),AND(72500&lt;Z35,Z35&lt;75001)),$G35,IF(OR(AND(27500&lt;Z35,Z35&lt;30001),AND(57000&lt;Z35,Z35&lt;60001),AND(75000&lt;Z35,Z35&lt;77500)),$H35,VLOOKUP(Z35,BDins,6,FALSE)))))</f>
        <v>30</v>
      </c>
      <c r="AA37">
        <f>IF(AA39&gt;10000,HLOOKUP(AA39,$O35:Z38,4,FALSE),IF(OR(AND(22500&lt;AA35,AA35&lt;25001),AND(50000&lt;AA35,AA35&lt;53501),AND(70000&lt;AA35,AA35&lt;72501)),$F35,IF(OR(AND(25001&lt;AA35,AA35&lt;27501),AND(53500&lt;AA35,AA35&lt;57001),AND(72500&lt;AA35,AA35&lt;75001)),$G35,IF(OR(AND(27500&lt;AA35,AA35&lt;30001),AND(57000&lt;AA35,AA35&lt;60001),AND(75000&lt;AA35,AA35&lt;77500)),$H35,VLOOKUP(AA35,BDins,6,FALSE)))))</f>
        <v>10</v>
      </c>
      <c r="AB37">
        <f>IF(AB39&gt;10000,HLOOKUP(AB39,$O35:AA38,4,FALSE),IF(OR(AND(22500&lt;AB35,AB35&lt;25001),AND(50000&lt;AB35,AB35&lt;53501),AND(70000&lt;AB35,AB35&lt;72501)),$F35,IF(OR(AND(25001&lt;AB35,AB35&lt;27501),AND(53500&lt;AB35,AB35&lt;57001),AND(72500&lt;AB35,AB35&lt;75001)),$G35,IF(OR(AND(27500&lt;AB35,AB35&lt;30001),AND(57000&lt;AB35,AB35&lt;60001),AND(75000&lt;AB35,AB35&lt;77500)),$H35,VLOOKUP(AB35,BDins,6,FALSE)))))</f>
        <v>15.46</v>
      </c>
    </row>
    <row r="38" spans="1:28" x14ac:dyDescent="0.2">
      <c r="O38">
        <f t="shared" ref="O38:AB38" si="4">IF($K35&gt;0,ROUND(O36*$E35/100,DpCU),IF(O39&gt;10000,ROUND(HLOOKUP(O39,$O35:$AB38,4,FALSE)/100*O36,DpCU),IF(OR(O35&lt;20001,O35&gt;95000,AND(60000&lt;O35,O35&lt;70001)),ROUND(ROUND(O36*JL/$C35,DcCU)*O37,DpCU),IF(OR(AND(20000&lt;O35,O35&lt;22501),AND(30000&lt;O35,O35&lt;50001),77500&lt;O35),ROUND(O37*O36,DpCU),IF(OR(AND(22500&lt;O35,O35&lt;25001),AND(50000&lt;O35,O35&lt;53501),AND(70000&lt;O35,O35&lt;72501)),ROUND($F35/100*O36,DpCU),IF(OR(AND(25000&lt;O35,O35&lt;27501),AND(53500&lt;O35,O35&lt;57001),AND(72500&lt;O35,O35&lt;75001)),ROUND($G35/100*O36,DpCU),ROUND($H35/100*O36,DpCU)))))))</f>
        <v>1</v>
      </c>
      <c r="P38">
        <f t="shared" si="4"/>
        <v>8.32</v>
      </c>
      <c r="Q38">
        <f t="shared" si="4"/>
        <v>6.14</v>
      </c>
      <c r="R38">
        <f t="shared" si="4"/>
        <v>1.2</v>
      </c>
      <c r="S38">
        <f t="shared" si="4"/>
        <v>1.75</v>
      </c>
      <c r="T38">
        <f t="shared" si="4"/>
        <v>40</v>
      </c>
      <c r="U38">
        <f t="shared" si="4"/>
        <v>30</v>
      </c>
      <c r="V38">
        <f t="shared" si="4"/>
        <v>6.75</v>
      </c>
      <c r="W38">
        <f t="shared" si="4"/>
        <v>8</v>
      </c>
      <c r="X38">
        <f t="shared" si="4"/>
        <v>8</v>
      </c>
      <c r="Y38">
        <f t="shared" si="4"/>
        <v>127.5</v>
      </c>
      <c r="Z38">
        <f t="shared" si="4"/>
        <v>9</v>
      </c>
      <c r="AA38">
        <f t="shared" si="4"/>
        <v>2</v>
      </c>
      <c r="AB38">
        <f t="shared" si="4"/>
        <v>2.3199999999999998</v>
      </c>
    </row>
    <row r="39" spans="1:28" x14ac:dyDescent="0.2">
      <c r="B39" s="3" t="str">
        <f>A35&amp;"r"</f>
        <v>10007r</v>
      </c>
    </row>
    <row r="40" spans="1:28" x14ac:dyDescent="0.2">
      <c r="A40">
        <v>10008</v>
      </c>
      <c r="B40" s="3" t="s">
        <v>220</v>
      </c>
      <c r="C40" s="1">
        <f>ROUND(J40*JL*Frto/8,4)</f>
        <v>8</v>
      </c>
      <c r="D40" t="s">
        <v>221</v>
      </c>
      <c r="E40">
        <f>SUM($O43:$O43)</f>
        <v>150</v>
      </c>
      <c r="F40">
        <f>SUMIF($O40:$O40,"&lt;22501",$O43:$O43)</f>
        <v>0</v>
      </c>
      <c r="G40">
        <f>SUMIFS($O43:$O43,$O40:$O40,"&gt;30000",$O40:$O40,"&lt;50001")</f>
        <v>150</v>
      </c>
      <c r="H40">
        <f>SUMIFS($O43:$O43,$O40:$O40,"&gt;60000",$O40:$O40,"&lt;70001")</f>
        <v>0</v>
      </c>
      <c r="I40">
        <v>1</v>
      </c>
      <c r="J40">
        <v>8</v>
      </c>
      <c r="O40">
        <v>30023</v>
      </c>
    </row>
    <row r="41" spans="1:28" x14ac:dyDescent="0.2">
      <c r="B41" s="3" t="str">
        <f>A40&amp;"C"</f>
        <v>10008C</v>
      </c>
      <c r="O41">
        <v>1</v>
      </c>
    </row>
    <row r="42" spans="1:28" x14ac:dyDescent="0.2">
      <c r="O42">
        <f>IF(O44&gt;10000,HLOOKUP(O44,N40:$O43,4,FALSE),IF(OR(AND(22500&lt;O40,O40&lt;25001),AND(50000&lt;O40,O40&lt;53501),AND(70000&lt;O40,O40&lt;72501)),$F40,IF(OR(AND(25001&lt;O40,O40&lt;27501),AND(53500&lt;O40,O40&lt;57001),AND(72500&lt;O40,O40&lt;75001)),$G40,IF(OR(AND(27500&lt;O40,O40&lt;30001),AND(57000&lt;O40,O40&lt;60001),AND(75000&lt;O40,O40&lt;77500)),$H40,VLOOKUP(O40,BDins,6,FALSE)))))</f>
        <v>150</v>
      </c>
    </row>
    <row r="43" spans="1:28" x14ac:dyDescent="0.2">
      <c r="O43">
        <f>IF($K40&gt;0,ROUND(O41*$E40/100,DpCU),IF(O44&gt;10000,ROUND(HLOOKUP(O44,$O40:$O43,4,FALSE)/100*O41,DpCU),IF(OR(O40&lt;20001,O40&gt;95000,AND(60000&lt;O40,O40&lt;70001)),ROUND(ROUND(O41*JL/$C40,DcCU)*O42,DpCU),IF(OR(AND(20000&lt;O40,O40&lt;22501),AND(30000&lt;O40,O40&lt;50001),77500&lt;O40),ROUND(O42*O41,DpCU),IF(OR(AND(22500&lt;O40,O40&lt;25001),AND(50000&lt;O40,O40&lt;53501),AND(70000&lt;O40,O40&lt;72501)),ROUND($F40/100*O41,DpCU),IF(OR(AND(25000&lt;O40,O40&lt;27501),AND(53500&lt;O40,O40&lt;57001),AND(72500&lt;O40,O40&lt;75001)),ROUND($G40/100*O41,DpCU),ROUND($H40/100*O41,DpCU)))))))</f>
        <v>150</v>
      </c>
    </row>
    <row r="44" spans="1:28" x14ac:dyDescent="0.2">
      <c r="B44" s="3" t="str">
        <f>A40&amp;"r"</f>
        <v>10008r</v>
      </c>
    </row>
    <row r="45" spans="1:28" x14ac:dyDescent="0.2">
      <c r="A45">
        <v>10009</v>
      </c>
      <c r="B45" s="3" t="s">
        <v>226</v>
      </c>
      <c r="C45" s="1">
        <f>ROUND(J45*JL*Frto/8,4)</f>
        <v>1</v>
      </c>
      <c r="D45" t="s">
        <v>168</v>
      </c>
      <c r="E45">
        <f>SUM($O48:$O48)</f>
        <v>1500</v>
      </c>
      <c r="F45">
        <f>SUMIF($O45:$O45,"&lt;22501",$O48:$O48)</f>
        <v>0</v>
      </c>
      <c r="G45">
        <f>SUMIFS($O48:$O48,$O45:$O45,"&gt;30000",$O45:$O45,"&lt;50001")</f>
        <v>1500</v>
      </c>
      <c r="H45">
        <f>SUMIFS($O48:$O48,$O45:$O45,"&gt;60000",$O45:$O45,"&lt;70001")</f>
        <v>0</v>
      </c>
      <c r="I45">
        <v>1</v>
      </c>
      <c r="J45">
        <v>1</v>
      </c>
      <c r="O45">
        <v>30024</v>
      </c>
    </row>
    <row r="46" spans="1:28" x14ac:dyDescent="0.2">
      <c r="B46" s="3" t="str">
        <f>A45&amp;"C"</f>
        <v>10009C</v>
      </c>
      <c r="O46">
        <v>1</v>
      </c>
    </row>
    <row r="47" spans="1:28" x14ac:dyDescent="0.2">
      <c r="O47">
        <f>IF(O49&gt;10000,HLOOKUP(O49,N45:$O48,4,FALSE),IF(OR(AND(22500&lt;O45,O45&lt;25001),AND(50000&lt;O45,O45&lt;53501),AND(70000&lt;O45,O45&lt;72501)),$F45,IF(OR(AND(25001&lt;O45,O45&lt;27501),AND(53500&lt;O45,O45&lt;57001),AND(72500&lt;O45,O45&lt;75001)),$G45,IF(OR(AND(27500&lt;O45,O45&lt;30001),AND(57000&lt;O45,O45&lt;60001),AND(75000&lt;O45,O45&lt;77500)),$H45,VLOOKUP(O45,BDins,6,FALSE)))))</f>
        <v>1500</v>
      </c>
    </row>
    <row r="48" spans="1:28" x14ac:dyDescent="0.2">
      <c r="O48">
        <f>IF($K45&gt;0,ROUND(O46*$E45/100,DpCU),IF(O49&gt;10000,ROUND(HLOOKUP(O49,$O45:$O48,4,FALSE)/100*O46,DpCU),IF(OR(O45&lt;20001,O45&gt;95000,AND(60000&lt;O45,O45&lt;70001)),ROUND(ROUND(O46*JL/$C45,DcCU)*O47,DpCU),IF(OR(AND(20000&lt;O45,O45&lt;22501),AND(30000&lt;O45,O45&lt;50001),77500&lt;O45),ROUND(O47*O46,DpCU),IF(OR(AND(22500&lt;O45,O45&lt;25001),AND(50000&lt;O45,O45&lt;53501),AND(70000&lt;O45,O45&lt;72501)),ROUND($F45/100*O46,DpCU),IF(OR(AND(25000&lt;O45,O45&lt;27501),AND(53500&lt;O45,O45&lt;57001),AND(72500&lt;O45,O45&lt;75001)),ROUND($G45/100*O46,DpCU),ROUND($H45/100*O46,DpCU)))))))</f>
        <v>1500</v>
      </c>
    </row>
    <row r="49" spans="1:18" x14ac:dyDescent="0.2">
      <c r="B49" s="3" t="str">
        <f>A45&amp;"r"</f>
        <v>10009r</v>
      </c>
    </row>
    <row r="50" spans="1:18" x14ac:dyDescent="0.2">
      <c r="A50">
        <v>10010</v>
      </c>
      <c r="B50" s="3" t="s">
        <v>228</v>
      </c>
      <c r="C50" s="1">
        <f>ROUND(J50*JL*Frto/8,4)</f>
        <v>1</v>
      </c>
      <c r="D50" t="s">
        <v>221</v>
      </c>
      <c r="E50">
        <f>SUM($O53:$O53)</f>
        <v>150</v>
      </c>
      <c r="F50">
        <f>SUMIF($O50:$O50,"&lt;22501",$O53:$O53)</f>
        <v>0</v>
      </c>
      <c r="G50">
        <f>SUMIFS($O53:$O53,$O50:$O50,"&gt;30000",$O50:$O50,"&lt;50001")</f>
        <v>0</v>
      </c>
      <c r="H50">
        <f>SUMIFS($O53:$O53,$O50:$O50,"&gt;60000",$O50:$O50,"&lt;70001")</f>
        <v>0</v>
      </c>
      <c r="I50">
        <v>1</v>
      </c>
      <c r="J50">
        <v>1</v>
      </c>
      <c r="O50">
        <v>80001</v>
      </c>
    </row>
    <row r="51" spans="1:18" x14ac:dyDescent="0.2">
      <c r="B51" s="3" t="str">
        <f>A50&amp;"C"</f>
        <v>10010C</v>
      </c>
      <c r="O51">
        <v>1</v>
      </c>
    </row>
    <row r="52" spans="1:18" x14ac:dyDescent="0.2">
      <c r="O52">
        <f>IF(O54&gt;10000,HLOOKUP(O54,N50:$O53,4,FALSE),IF(OR(AND(22500&lt;O50,O50&lt;25001),AND(50000&lt;O50,O50&lt;53501),AND(70000&lt;O50,O50&lt;72501)),$F50,IF(OR(AND(25001&lt;O50,O50&lt;27501),AND(53500&lt;O50,O50&lt;57001),AND(72500&lt;O50,O50&lt;75001)),$G50,IF(OR(AND(27500&lt;O50,O50&lt;30001),AND(57000&lt;O50,O50&lt;60001),AND(75000&lt;O50,O50&lt;77500)),$H50,VLOOKUP(O50,BDins,6,FALSE)))))</f>
        <v>150</v>
      </c>
    </row>
    <row r="53" spans="1:18" x14ac:dyDescent="0.2">
      <c r="O53">
        <f>IF($K50&gt;0,ROUND(O51*$E50/100,DpCU),IF(O54&gt;10000,ROUND(HLOOKUP(O54,$O50:$O53,4,FALSE)/100*O51,DpCU),IF(OR(O50&lt;20001,O50&gt;95000,AND(60000&lt;O50,O50&lt;70001)),ROUND(ROUND(O51*JL/$C50,DcCU)*O52,DpCU),IF(OR(AND(20000&lt;O50,O50&lt;22501),AND(30000&lt;O50,O50&lt;50001),77500&lt;O50),ROUND(O52*O51,DpCU),IF(OR(AND(22500&lt;O50,O50&lt;25001),AND(50000&lt;O50,O50&lt;53501),AND(70000&lt;O50,O50&lt;72501)),ROUND($F50/100*O51,DpCU),IF(OR(AND(25000&lt;O50,O50&lt;27501),AND(53500&lt;O50,O50&lt;57001),AND(72500&lt;O50,O50&lt;75001)),ROUND($G50/100*O51,DpCU),ROUND($H50/100*O51,DpCU)))))))</f>
        <v>150</v>
      </c>
    </row>
    <row r="54" spans="1:18" x14ac:dyDescent="0.2">
      <c r="B54" s="3" t="str">
        <f>A50&amp;"r"</f>
        <v>10010r</v>
      </c>
    </row>
    <row r="55" spans="1:18" x14ac:dyDescent="0.2">
      <c r="A55">
        <v>10011</v>
      </c>
      <c r="B55" s="3" t="s">
        <v>233</v>
      </c>
      <c r="C55" s="1">
        <f>ROUND(J55*JL*Frto/8,4)</f>
        <v>400</v>
      </c>
      <c r="D55" t="s">
        <v>34</v>
      </c>
      <c r="E55">
        <f>SUM($O58:$R58)</f>
        <v>1000.69</v>
      </c>
      <c r="F55">
        <f>SUMIF($O55:$R55,"&lt;22501",$O58:$R58)</f>
        <v>0.66</v>
      </c>
      <c r="G55">
        <f>SUMIFS($O58:$R58,$O55:$R55,"&gt;30000",$O55:$R55,"&lt;50001")</f>
        <v>0</v>
      </c>
      <c r="H55">
        <f>SUMIFS($O58:$R58,$O55:$R55,"&gt;60000",$O55:$R55,"&lt;70001")</f>
        <v>0</v>
      </c>
      <c r="I55">
        <v>4</v>
      </c>
      <c r="J55">
        <v>400</v>
      </c>
      <c r="O55">
        <v>10001</v>
      </c>
      <c r="P55">
        <v>10003</v>
      </c>
      <c r="Q55">
        <v>70001</v>
      </c>
      <c r="R55">
        <v>80002</v>
      </c>
    </row>
    <row r="56" spans="1:18" x14ac:dyDescent="0.2">
      <c r="B56" s="3" t="str">
        <f>A55&amp;"C"</f>
        <v>10011C</v>
      </c>
      <c r="O56">
        <v>0.1</v>
      </c>
      <c r="P56">
        <v>2</v>
      </c>
      <c r="Q56">
        <v>5</v>
      </c>
      <c r="R56">
        <v>50</v>
      </c>
    </row>
    <row r="57" spans="1:18" x14ac:dyDescent="0.2">
      <c r="O57">
        <f>IF(O59&gt;10000,HLOOKUP(O59,N55:$O58,4,FALSE),IF(OR(AND(22500&lt;O55,O55&lt;25001),AND(50000&lt;O55,O55&lt;53501),AND(70000&lt;O55,O55&lt;72501)),$F55,IF(OR(AND(25001&lt;O55,O55&lt;27501),AND(53500&lt;O55,O55&lt;57001),AND(72500&lt;O55,O55&lt;75001)),$G55,IF(OR(AND(27500&lt;O55,O55&lt;30001),AND(57000&lt;O55,O55&lt;60001),AND(75000&lt;O55,O55&lt;77500)),$H55,VLOOKUP(O55,BDins,6,FALSE)))))</f>
        <v>24.97</v>
      </c>
      <c r="P57">
        <f>IF(P59&gt;10000,HLOOKUP(P59,O55:$O58,4,FALSE),IF(OR(AND(22500&lt;P55,P55&lt;25001),AND(50000&lt;P55,P55&lt;53501),AND(70000&lt;P55,P55&lt;72501)),$F55,IF(OR(AND(25001&lt;P55,P55&lt;27501),AND(53500&lt;P55,P55&lt;57001),AND(72500&lt;P55,P55&lt;75001)),$G55,IF(OR(AND(27500&lt;P55,P55&lt;30001),AND(57000&lt;P55,P55&lt;60001),AND(75000&lt;P55,P55&lt;77500)),$H55,VLOOKUP(P55,BDins,6,FALSE)))))</f>
        <v>15.36</v>
      </c>
      <c r="Q57">
        <f>IF(Q59&gt;10000,HLOOKUP(Q59,$O55:P58,4,FALSE),IF(OR(AND(22500&lt;Q55,Q55&lt;25001),AND(50000&lt;Q55,Q55&lt;53501),AND(70000&lt;Q55,Q55&lt;72501)),$F55,IF(OR(AND(25001&lt;Q55,Q55&lt;27501),AND(53500&lt;Q55,Q55&lt;57001),AND(72500&lt;Q55,Q55&lt;75001)),$G55,IF(OR(AND(27500&lt;Q55,Q55&lt;30001),AND(57000&lt;Q55,Q55&lt;60001),AND(75000&lt;Q55,Q55&lt;77500)),$H55,VLOOKUP(Q55,BDins,6,FALSE)))))</f>
        <v>0.66</v>
      </c>
      <c r="R57">
        <f>IF(R59&gt;10000,HLOOKUP(R59,$O55:Q58,4,FALSE),IF(OR(AND(22500&lt;R55,R55&lt;25001),AND(50000&lt;R55,R55&lt;53501),AND(70000&lt;R55,R55&lt;72501)),$F55,IF(OR(AND(25001&lt;R55,R55&lt;27501),AND(53500&lt;R55,R55&lt;57001),AND(72500&lt;R55,R55&lt;75001)),$G55,IF(OR(AND(27500&lt;R55,R55&lt;30001),AND(57000&lt;R55,R55&lt;60001),AND(75000&lt;R55,R55&lt;77500)),$H55,VLOOKUP(R55,BDins,6,FALSE)))))</f>
        <v>20</v>
      </c>
    </row>
    <row r="58" spans="1:18" x14ac:dyDescent="0.2">
      <c r="O58">
        <f>IF($K55&gt;0,ROUND(O56*$E55/100,DpCU),IF(O59&gt;10000,ROUND(HLOOKUP(O59,$O55:$R58,4,FALSE)/100*O56,DpCU),IF(OR(O55&lt;20001,O55&gt;95000,AND(60000&lt;O55,O55&lt;70001)),ROUND(ROUND(O56*JL/$C55,DcCU)*O57,DpCU),IF(OR(AND(20000&lt;O55,O55&lt;22501),AND(30000&lt;O55,O55&lt;50001),77500&lt;O55),ROUND(O57*O56,DpCU),IF(OR(AND(22500&lt;O55,O55&lt;25001),AND(50000&lt;O55,O55&lt;53501),AND(70000&lt;O55,O55&lt;72501)),ROUND($F55/100*O56,DpCU),IF(OR(AND(25000&lt;O55,O55&lt;27501),AND(53500&lt;O55,O55&lt;57001),AND(72500&lt;O55,O55&lt;75001)),ROUND($G55/100*O56,DpCU),ROUND($H55/100*O56,DpCU)))))))</f>
        <v>0.05</v>
      </c>
      <c r="P58">
        <f>IF($K55&gt;0,ROUND(P56*$E55/100,DpCU),IF(P59&gt;10000,ROUND(HLOOKUP(P59,$O55:$R58,4,FALSE)/100*P56,DpCU),IF(OR(P55&lt;20001,P55&gt;95000,AND(60000&lt;P55,P55&lt;70001)),ROUND(ROUND(P56*JL/$C55,DcCU)*P57,DpCU),IF(OR(AND(20000&lt;P55,P55&lt;22501),AND(30000&lt;P55,P55&lt;50001),77500&lt;P55),ROUND(P57*P56,DpCU),IF(OR(AND(22500&lt;P55,P55&lt;25001),AND(50000&lt;P55,P55&lt;53501),AND(70000&lt;P55,P55&lt;72501)),ROUND($F55/100*P56,DpCU),IF(OR(AND(25000&lt;P55,P55&lt;27501),AND(53500&lt;P55,P55&lt;57001),AND(72500&lt;P55,P55&lt;75001)),ROUND($G55/100*P56,DpCU),ROUND($H55/100*P56,DpCU)))))))</f>
        <v>0.61</v>
      </c>
      <c r="Q58">
        <f>IF($K55&gt;0,ROUND(Q56*$E55/100,DpCU),IF(Q59&gt;10000,ROUND(HLOOKUP(Q59,$O55:$R58,4,FALSE)/100*Q56,DpCU),IF(OR(Q55&lt;20001,Q55&gt;95000,AND(60000&lt;Q55,Q55&lt;70001)),ROUND(ROUND(Q56*JL/$C55,DcCU)*Q57,DpCU),IF(OR(AND(20000&lt;Q55,Q55&lt;22501),AND(30000&lt;Q55,Q55&lt;50001),77500&lt;Q55),ROUND(Q57*Q56,DpCU),IF(OR(AND(22500&lt;Q55,Q55&lt;25001),AND(50000&lt;Q55,Q55&lt;53501),AND(70000&lt;Q55,Q55&lt;72501)),ROUND($F55/100*Q56,DpCU),IF(OR(AND(25000&lt;Q55,Q55&lt;27501),AND(53500&lt;Q55,Q55&lt;57001),AND(72500&lt;Q55,Q55&lt;75001)),ROUND($G55/100*Q56,DpCU),ROUND($H55/100*Q56,DpCU)))))))</f>
        <v>0.03</v>
      </c>
      <c r="R58">
        <f>IF($K55&gt;0,ROUND(R56*$E55/100,DpCU),IF(R59&gt;10000,ROUND(HLOOKUP(R59,$O55:$R58,4,FALSE)/100*R56,DpCU),IF(OR(R55&lt;20001,R55&gt;95000,AND(60000&lt;R55,R55&lt;70001)),ROUND(ROUND(R56*JL/$C55,DcCU)*R57,DpCU),IF(OR(AND(20000&lt;R55,R55&lt;22501),AND(30000&lt;R55,R55&lt;50001),77500&lt;R55),ROUND(R57*R56,DpCU),IF(OR(AND(22500&lt;R55,R55&lt;25001),AND(50000&lt;R55,R55&lt;53501),AND(70000&lt;R55,R55&lt;72501)),ROUND($F55/100*R56,DpCU),IF(OR(AND(25000&lt;R55,R55&lt;27501),AND(53500&lt;R55,R55&lt;57001),AND(72500&lt;R55,R55&lt;75001)),ROUND($G55/100*R56,DpCU),ROUND($H55/100*R56,DpCU)))))))</f>
        <v>1000</v>
      </c>
    </row>
    <row r="59" spans="1:18" x14ac:dyDescent="0.2">
      <c r="B59" s="3" t="str">
        <f>A55&amp;"r"</f>
        <v>10011r</v>
      </c>
    </row>
    <row r="60" spans="1:18" x14ac:dyDescent="0.2">
      <c r="A60">
        <v>10012</v>
      </c>
      <c r="B60" s="3" t="s">
        <v>238</v>
      </c>
      <c r="C60" s="1">
        <f>ROUND(J60*JL*Frto/8,4)</f>
        <v>1</v>
      </c>
      <c r="D60" t="s">
        <v>34</v>
      </c>
      <c r="E60">
        <f>SUM($O63:$R63)</f>
        <v>304.72999999999996</v>
      </c>
      <c r="F60">
        <f>SUMIF($O60:$R60,"&lt;22501",$O63:$R63)</f>
        <v>204.29999999999998</v>
      </c>
      <c r="G60">
        <f>SUMIFS($O63:$R63,$O60:$R60,"&gt;30000",$O60:$R60,"&lt;50001")</f>
        <v>0</v>
      </c>
      <c r="H60">
        <f>SUMIFS($O63:$R63,$O60:$R60,"&gt;60000",$O60:$R60,"&lt;70001")</f>
        <v>80</v>
      </c>
      <c r="I60">
        <v>4</v>
      </c>
      <c r="J60">
        <v>1</v>
      </c>
      <c r="O60">
        <v>10001</v>
      </c>
      <c r="P60">
        <v>10003</v>
      </c>
      <c r="Q60">
        <v>60002</v>
      </c>
      <c r="R60">
        <v>70001</v>
      </c>
    </row>
    <row r="61" spans="1:18" x14ac:dyDescent="0.2">
      <c r="B61" s="3" t="str">
        <f>A60&amp;"C"</f>
        <v>10012C</v>
      </c>
      <c r="O61">
        <v>0.1</v>
      </c>
      <c r="P61">
        <v>1.5</v>
      </c>
      <c r="Q61">
        <v>1</v>
      </c>
      <c r="R61">
        <v>10</v>
      </c>
    </row>
    <row r="62" spans="1:18" x14ac:dyDescent="0.2">
      <c r="O62">
        <f>IF(O64&gt;10000,HLOOKUP(O64,N60:$O63,4,FALSE),IF(OR(AND(22500&lt;O60,O60&lt;25001),AND(50000&lt;O60,O60&lt;53501),AND(70000&lt;O60,O60&lt;72501)),$F60,IF(OR(AND(25001&lt;O60,O60&lt;27501),AND(53500&lt;O60,O60&lt;57001),AND(72500&lt;O60,O60&lt;75001)),$G60,IF(OR(AND(27500&lt;O60,O60&lt;30001),AND(57000&lt;O60,O60&lt;60001),AND(75000&lt;O60,O60&lt;77500)),$H60,VLOOKUP(O60,BDins,6,FALSE)))))</f>
        <v>24.97</v>
      </c>
      <c r="P62">
        <f>IF(P64&gt;10000,HLOOKUP(P64,O60:$O63,4,FALSE),IF(OR(AND(22500&lt;P60,P60&lt;25001),AND(50000&lt;P60,P60&lt;53501),AND(70000&lt;P60,P60&lt;72501)),$F60,IF(OR(AND(25001&lt;P60,P60&lt;27501),AND(53500&lt;P60,P60&lt;57001),AND(72500&lt;P60,P60&lt;75001)),$G60,IF(OR(AND(27500&lt;P60,P60&lt;30001),AND(57000&lt;P60,P60&lt;60001),AND(75000&lt;P60,P60&lt;77500)),$H60,VLOOKUP(P60,BDins,6,FALSE)))))</f>
        <v>15.36</v>
      </c>
      <c r="Q62">
        <f>IF(Q64&gt;10000,HLOOKUP(Q64,$O60:P63,4,FALSE),IF(OR(AND(22500&lt;Q60,Q60&lt;25001),AND(50000&lt;Q60,Q60&lt;53501),AND(70000&lt;Q60,Q60&lt;72501)),$F60,IF(OR(AND(25001&lt;Q60,Q60&lt;27501),AND(53500&lt;Q60,Q60&lt;57001),AND(72500&lt;Q60,Q60&lt;75001)),$G60,IF(OR(AND(27500&lt;Q60,Q60&lt;30001),AND(57000&lt;Q60,Q60&lt;60001),AND(75000&lt;Q60,Q60&lt;77500)),$H60,VLOOKUP(Q60,BDins,6,FALSE)))))</f>
        <v>10</v>
      </c>
      <c r="R62">
        <f>IF(R64&gt;10000,HLOOKUP(R64,$O60:Q63,4,FALSE),IF(OR(AND(22500&lt;R60,R60&lt;25001),AND(50000&lt;R60,R60&lt;53501),AND(70000&lt;R60,R60&lt;72501)),$F60,IF(OR(AND(25001&lt;R60,R60&lt;27501),AND(53500&lt;R60,R60&lt;57001),AND(72500&lt;R60,R60&lt;75001)),$G60,IF(OR(AND(27500&lt;R60,R60&lt;30001),AND(57000&lt;R60,R60&lt;60001),AND(75000&lt;R60,R60&lt;77500)),$H60,VLOOKUP(R60,BDins,6,FALSE)))))</f>
        <v>204.29999999999998</v>
      </c>
    </row>
    <row r="63" spans="1:18" x14ac:dyDescent="0.2">
      <c r="O63">
        <f>IF($K60&gt;0,ROUND(O61*$E60/100,DpCU),IF(O64&gt;10000,ROUND(HLOOKUP(O64,$O60:$R63,4,FALSE)/100*O61,DpCU),IF(OR(O60&lt;20001,O60&gt;95000,AND(60000&lt;O60,O60&lt;70001)),ROUND(ROUND(O61*JL/$C60,DcCU)*O62,DpCU),IF(OR(AND(20000&lt;O60,O60&lt;22501),AND(30000&lt;O60,O60&lt;50001),77500&lt;O60),ROUND(O62*O61,DpCU),IF(OR(AND(22500&lt;O60,O60&lt;25001),AND(50000&lt;O60,O60&lt;53501),AND(70000&lt;O60,O60&lt;72501)),ROUND($F60/100*O61,DpCU),IF(OR(AND(25000&lt;O60,O60&lt;27501),AND(53500&lt;O60,O60&lt;57001),AND(72500&lt;O60,O60&lt;75001)),ROUND($G60/100*O61,DpCU),ROUND($H60/100*O61,DpCU)))))))</f>
        <v>19.98</v>
      </c>
      <c r="P63">
        <f>IF($K60&gt;0,ROUND(P61*$E60/100,DpCU),IF(P64&gt;10000,ROUND(HLOOKUP(P64,$O60:$R63,4,FALSE)/100*P61,DpCU),IF(OR(P60&lt;20001,P60&gt;95000,AND(60000&lt;P60,P60&lt;70001)),ROUND(ROUND(P61*JL/$C60,DcCU)*P62,DpCU),IF(OR(AND(20000&lt;P60,P60&lt;22501),AND(30000&lt;P60,P60&lt;50001),77500&lt;P60),ROUND(P62*P61,DpCU),IF(OR(AND(22500&lt;P60,P60&lt;25001),AND(50000&lt;P60,P60&lt;53501),AND(70000&lt;P60,P60&lt;72501)),ROUND($F60/100*P61,DpCU),IF(OR(AND(25000&lt;P60,P60&lt;27501),AND(53500&lt;P60,P60&lt;57001),AND(72500&lt;P60,P60&lt;75001)),ROUND($G60/100*P61,DpCU),ROUND($H60/100*P61,DpCU)))))))</f>
        <v>184.32</v>
      </c>
      <c r="Q63">
        <f>IF($K60&gt;0,ROUND(Q61*$E60/100,DpCU),IF(Q64&gt;10000,ROUND(HLOOKUP(Q64,$O60:$R63,4,FALSE)/100*Q61,DpCU),IF(OR(Q60&lt;20001,Q60&gt;95000,AND(60000&lt;Q60,Q60&lt;70001)),ROUND(ROUND(Q61*JL/$C60,DcCU)*Q62,DpCU),IF(OR(AND(20000&lt;Q60,Q60&lt;22501),AND(30000&lt;Q60,Q60&lt;50001),77500&lt;Q60),ROUND(Q62*Q61,DpCU),IF(OR(AND(22500&lt;Q60,Q60&lt;25001),AND(50000&lt;Q60,Q60&lt;53501),AND(70000&lt;Q60,Q60&lt;72501)),ROUND($F60/100*Q61,DpCU),IF(OR(AND(25000&lt;Q60,Q60&lt;27501),AND(53500&lt;Q60,Q60&lt;57001),AND(72500&lt;Q60,Q60&lt;75001)),ROUND($G60/100*Q61,DpCU),ROUND($H60/100*Q61,DpCU)))))))</f>
        <v>80</v>
      </c>
      <c r="R63">
        <f>IF($K60&gt;0,ROUND(R61*$E60/100,DpCU),IF(R64&gt;10000,ROUND(HLOOKUP(R64,$O60:$R63,4,FALSE)/100*R61,DpCU),IF(OR(R60&lt;20001,R60&gt;95000,AND(60000&lt;R60,R60&lt;70001)),ROUND(ROUND(R61*JL/$C60,DcCU)*R62,DpCU),IF(OR(AND(20000&lt;R60,R60&lt;22501),AND(30000&lt;R60,R60&lt;50001),77500&lt;R60),ROUND(R62*R61,DpCU),IF(OR(AND(22500&lt;R60,R60&lt;25001),AND(50000&lt;R60,R60&lt;53501),AND(70000&lt;R60,R60&lt;72501)),ROUND($F60/100*R61,DpCU),IF(OR(AND(25000&lt;R60,R60&lt;27501),AND(53500&lt;R60,R60&lt;57001),AND(72500&lt;R60,R60&lt;75001)),ROUND($G60/100*R61,DpCU),ROUND($H60/100*R61,DpCU)))))))</f>
        <v>20.43</v>
      </c>
    </row>
    <row r="64" spans="1:18" x14ac:dyDescent="0.2">
      <c r="B64" s="3" t="str">
        <f>A60&amp;"r"</f>
        <v>10012r</v>
      </c>
    </row>
    <row r="65" spans="1:22" x14ac:dyDescent="0.2">
      <c r="A65">
        <v>10013</v>
      </c>
      <c r="B65" s="3" t="s">
        <v>241</v>
      </c>
      <c r="C65" s="1">
        <f>ROUND(J65*JL*Frto/8,4)</f>
        <v>1.25</v>
      </c>
      <c r="D65" t="s">
        <v>34</v>
      </c>
      <c r="E65">
        <f>SUM($O68:$R68)</f>
        <v>189.71</v>
      </c>
      <c r="F65">
        <f>SUMIF($O65:$R65,"&lt;22501",$O68:$R68)</f>
        <v>114.28</v>
      </c>
      <c r="G65">
        <f>SUMIFS($O68:$R68,$O65:$R65,"&gt;30000",$O65:$R65,"&lt;50001")</f>
        <v>0</v>
      </c>
      <c r="H65">
        <f>SUMIFS($O68:$R68,$O65:$R65,"&gt;60000",$O65:$R65,"&lt;70001")</f>
        <v>64</v>
      </c>
      <c r="I65">
        <v>4</v>
      </c>
      <c r="J65">
        <v>1.25</v>
      </c>
      <c r="O65">
        <v>10001</v>
      </c>
      <c r="P65">
        <v>10003</v>
      </c>
      <c r="Q65">
        <v>60002</v>
      </c>
      <c r="R65">
        <v>70001</v>
      </c>
    </row>
    <row r="66" spans="1:22" x14ac:dyDescent="0.2">
      <c r="B66" s="3" t="str">
        <f>A65&amp;"C"</f>
        <v>10013C</v>
      </c>
      <c r="O66">
        <v>0.1</v>
      </c>
      <c r="P66">
        <v>1</v>
      </c>
      <c r="Q66">
        <v>1</v>
      </c>
      <c r="R66">
        <v>10</v>
      </c>
    </row>
    <row r="67" spans="1:22" x14ac:dyDescent="0.2">
      <c r="O67">
        <f>IF(O69&gt;10000,HLOOKUP(O69,N65:$O68,4,FALSE),IF(OR(AND(22500&lt;O65,O65&lt;25001),AND(50000&lt;O65,O65&lt;53501),AND(70000&lt;O65,O65&lt;72501)),$F65,IF(OR(AND(25001&lt;O65,O65&lt;27501),AND(53500&lt;O65,O65&lt;57001),AND(72500&lt;O65,O65&lt;75001)),$G65,IF(OR(AND(27500&lt;O65,O65&lt;30001),AND(57000&lt;O65,O65&lt;60001),AND(75000&lt;O65,O65&lt;77500)),$H65,VLOOKUP(O65,BDins,6,FALSE)))))</f>
        <v>24.97</v>
      </c>
      <c r="P67">
        <f>IF(P69&gt;10000,HLOOKUP(P69,O65:$O68,4,FALSE),IF(OR(AND(22500&lt;P65,P65&lt;25001),AND(50000&lt;P65,P65&lt;53501),AND(70000&lt;P65,P65&lt;72501)),$F65,IF(OR(AND(25001&lt;P65,P65&lt;27501),AND(53500&lt;P65,P65&lt;57001),AND(72500&lt;P65,P65&lt;75001)),$G65,IF(OR(AND(27500&lt;P65,P65&lt;30001),AND(57000&lt;P65,P65&lt;60001),AND(75000&lt;P65,P65&lt;77500)),$H65,VLOOKUP(P65,BDins,6,FALSE)))))</f>
        <v>15.36</v>
      </c>
      <c r="Q67">
        <f>IF(Q69&gt;10000,HLOOKUP(Q69,$O65:P68,4,FALSE),IF(OR(AND(22500&lt;Q65,Q65&lt;25001),AND(50000&lt;Q65,Q65&lt;53501),AND(70000&lt;Q65,Q65&lt;72501)),$F65,IF(OR(AND(25001&lt;Q65,Q65&lt;27501),AND(53500&lt;Q65,Q65&lt;57001),AND(72500&lt;Q65,Q65&lt;75001)),$G65,IF(OR(AND(27500&lt;Q65,Q65&lt;30001),AND(57000&lt;Q65,Q65&lt;60001),AND(75000&lt;Q65,Q65&lt;77500)),$H65,VLOOKUP(Q65,BDins,6,FALSE)))))</f>
        <v>10</v>
      </c>
      <c r="R67">
        <f>IF(R69&gt;10000,HLOOKUP(R69,$O65:Q68,4,FALSE),IF(OR(AND(22500&lt;R65,R65&lt;25001),AND(50000&lt;R65,R65&lt;53501),AND(70000&lt;R65,R65&lt;72501)),$F65,IF(OR(AND(25001&lt;R65,R65&lt;27501),AND(53500&lt;R65,R65&lt;57001),AND(72500&lt;R65,R65&lt;75001)),$G65,IF(OR(AND(27500&lt;R65,R65&lt;30001),AND(57000&lt;R65,R65&lt;60001),AND(75000&lt;R65,R65&lt;77500)),$H65,VLOOKUP(R65,BDins,6,FALSE)))))</f>
        <v>114.28</v>
      </c>
    </row>
    <row r="68" spans="1:22" x14ac:dyDescent="0.2">
      <c r="O68">
        <f>IF($K65&gt;0,ROUND(O66*$E65/100,DpCU),IF(O69&gt;10000,ROUND(HLOOKUP(O69,$O65:$R68,4,FALSE)/100*O66,DpCU),IF(OR(O65&lt;20001,O65&gt;95000,AND(60000&lt;O65,O65&lt;70001)),ROUND(ROUND(O66*JL/$C65,DcCU)*O67,DpCU),IF(OR(AND(20000&lt;O65,O65&lt;22501),AND(30000&lt;O65,O65&lt;50001),77500&lt;O65),ROUND(O67*O66,DpCU),IF(OR(AND(22500&lt;O65,O65&lt;25001),AND(50000&lt;O65,O65&lt;53501),AND(70000&lt;O65,O65&lt;72501)),ROUND($F65/100*O66,DpCU),IF(OR(AND(25000&lt;O65,O65&lt;27501),AND(53500&lt;O65,O65&lt;57001),AND(72500&lt;O65,O65&lt;75001)),ROUND($G65/100*O66,DpCU),ROUND($H65/100*O66,DpCU)))))))</f>
        <v>15.98</v>
      </c>
      <c r="P68">
        <f>IF($K65&gt;0,ROUND(P66*$E65/100,DpCU),IF(P69&gt;10000,ROUND(HLOOKUP(P69,$O65:$R68,4,FALSE)/100*P66,DpCU),IF(OR(P65&lt;20001,P65&gt;95000,AND(60000&lt;P65,P65&lt;70001)),ROUND(ROUND(P66*JL/$C65,DcCU)*P67,DpCU),IF(OR(AND(20000&lt;P65,P65&lt;22501),AND(30000&lt;P65,P65&lt;50001),77500&lt;P65),ROUND(P67*P66,DpCU),IF(OR(AND(22500&lt;P65,P65&lt;25001),AND(50000&lt;P65,P65&lt;53501),AND(70000&lt;P65,P65&lt;72501)),ROUND($F65/100*P66,DpCU),IF(OR(AND(25000&lt;P65,P65&lt;27501),AND(53500&lt;P65,P65&lt;57001),AND(72500&lt;P65,P65&lt;75001)),ROUND($G65/100*P66,DpCU),ROUND($H65/100*P66,DpCU)))))))</f>
        <v>98.3</v>
      </c>
      <c r="Q68">
        <f>IF($K65&gt;0,ROUND(Q66*$E65/100,DpCU),IF(Q69&gt;10000,ROUND(HLOOKUP(Q69,$O65:$R68,4,FALSE)/100*Q66,DpCU),IF(OR(Q65&lt;20001,Q65&gt;95000,AND(60000&lt;Q65,Q65&lt;70001)),ROUND(ROUND(Q66*JL/$C65,DcCU)*Q67,DpCU),IF(OR(AND(20000&lt;Q65,Q65&lt;22501),AND(30000&lt;Q65,Q65&lt;50001),77500&lt;Q65),ROUND(Q67*Q66,DpCU),IF(OR(AND(22500&lt;Q65,Q65&lt;25001),AND(50000&lt;Q65,Q65&lt;53501),AND(70000&lt;Q65,Q65&lt;72501)),ROUND($F65/100*Q66,DpCU),IF(OR(AND(25000&lt;Q65,Q65&lt;27501),AND(53500&lt;Q65,Q65&lt;57001),AND(72500&lt;Q65,Q65&lt;75001)),ROUND($G65/100*Q66,DpCU),ROUND($H65/100*Q66,DpCU)))))))</f>
        <v>64</v>
      </c>
      <c r="R68">
        <f>IF($K65&gt;0,ROUND(R66*$E65/100,DpCU),IF(R69&gt;10000,ROUND(HLOOKUP(R69,$O65:$R68,4,FALSE)/100*R66,DpCU),IF(OR(R65&lt;20001,R65&gt;95000,AND(60000&lt;R65,R65&lt;70001)),ROUND(ROUND(R66*JL/$C65,DcCU)*R67,DpCU),IF(OR(AND(20000&lt;R65,R65&lt;22501),AND(30000&lt;R65,R65&lt;50001),77500&lt;R65),ROUND(R67*R66,DpCU),IF(OR(AND(22500&lt;R65,R65&lt;25001),AND(50000&lt;R65,R65&lt;53501),AND(70000&lt;R65,R65&lt;72501)),ROUND($F65/100*R66,DpCU),IF(OR(AND(25000&lt;R65,R65&lt;27501),AND(53500&lt;R65,R65&lt;57001),AND(72500&lt;R65,R65&lt;75001)),ROUND($G65/100*R66,DpCU),ROUND($H65/100*R66,DpCU)))))))</f>
        <v>11.43</v>
      </c>
    </row>
    <row r="69" spans="1:22" x14ac:dyDescent="0.2">
      <c r="B69" s="3" t="str">
        <f>A65&amp;"r"</f>
        <v>10013r</v>
      </c>
    </row>
    <row r="70" spans="1:22" x14ac:dyDescent="0.2">
      <c r="A70">
        <v>10014</v>
      </c>
      <c r="B70" s="3" t="s">
        <v>243</v>
      </c>
      <c r="C70" s="1">
        <f>ROUND(J70*JL*Frto/8,4)</f>
        <v>87</v>
      </c>
      <c r="D70" t="s">
        <v>34</v>
      </c>
      <c r="E70">
        <f>SUM($O73:$O73)</f>
        <v>217.5</v>
      </c>
      <c r="F70">
        <f>SUMIF($O70:$O70,"&lt;22501",$O73:$O73)</f>
        <v>0</v>
      </c>
      <c r="G70">
        <f>SUMIFS($O73:$O73,$O70:$O70,"&gt;30000",$O70:$O70,"&lt;50001")</f>
        <v>0</v>
      </c>
      <c r="H70">
        <f>SUMIFS($O73:$O73,$O70:$O70,"&gt;60000",$O70:$O70,"&lt;70001")</f>
        <v>0</v>
      </c>
      <c r="I70">
        <v>1</v>
      </c>
      <c r="J70">
        <v>87</v>
      </c>
      <c r="O70">
        <v>80002</v>
      </c>
    </row>
    <row r="71" spans="1:22" x14ac:dyDescent="0.2">
      <c r="B71" s="3" t="str">
        <f>A70&amp;"C"</f>
        <v>10014C</v>
      </c>
      <c r="O71">
        <v>10.875</v>
      </c>
    </row>
    <row r="72" spans="1:22" x14ac:dyDescent="0.2">
      <c r="O72">
        <f>IF(O74&gt;10000,HLOOKUP(O74,N70:$O73,4,FALSE),IF(OR(AND(22500&lt;O70,O70&lt;25001),AND(50000&lt;O70,O70&lt;53501),AND(70000&lt;O70,O70&lt;72501)),$F70,IF(OR(AND(25001&lt;O70,O70&lt;27501),AND(53500&lt;O70,O70&lt;57001),AND(72500&lt;O70,O70&lt;75001)),$G70,IF(OR(AND(27500&lt;O70,O70&lt;30001),AND(57000&lt;O70,O70&lt;60001),AND(75000&lt;O70,O70&lt;77500)),$H70,VLOOKUP(O70,BDins,6,FALSE)))))</f>
        <v>20</v>
      </c>
    </row>
    <row r="73" spans="1:22" x14ac:dyDescent="0.2">
      <c r="O73">
        <f>IF($K70&gt;0,ROUND(O71*$E70/100,DpCU),IF(O74&gt;10000,ROUND(HLOOKUP(O74,$O70:$O73,4,FALSE)/100*O71,DpCU),IF(OR(O70&lt;20001,O70&gt;95000,AND(60000&lt;O70,O70&lt;70001)),ROUND(ROUND(O71*JL/$C70,DcCU)*O72,DpCU),IF(OR(AND(20000&lt;O70,O70&lt;22501),AND(30000&lt;O70,O70&lt;50001),77500&lt;O70),ROUND(O72*O71,DpCU),IF(OR(AND(22500&lt;O70,O70&lt;25001),AND(50000&lt;O70,O70&lt;53501),AND(70000&lt;O70,O70&lt;72501)),ROUND($F70/100*O71,DpCU),IF(OR(AND(25000&lt;O70,O70&lt;27501),AND(53500&lt;O70,O70&lt;57001),AND(72500&lt;O70,O70&lt;75001)),ROUND($G70/100*O71,DpCU),ROUND($H70/100*O71,DpCU)))))))</f>
        <v>217.5</v>
      </c>
    </row>
    <row r="74" spans="1:22" x14ac:dyDescent="0.2">
      <c r="B74" s="3" t="str">
        <f>A70&amp;"r"</f>
        <v>10014r</v>
      </c>
    </row>
    <row r="75" spans="1:22" x14ac:dyDescent="0.2">
      <c r="A75">
        <v>10015</v>
      </c>
      <c r="B75" s="3" t="s">
        <v>247</v>
      </c>
      <c r="C75" s="1">
        <f>ROUND(J75*JL*Frto/8,4)</f>
        <v>3.5</v>
      </c>
      <c r="D75" t="s">
        <v>168</v>
      </c>
      <c r="E75">
        <f>SUM($O78:$R78)</f>
        <v>2276.92</v>
      </c>
      <c r="F75">
        <f>SUMIF($O75:$R75,"&lt;22501",$O78:$R78)</f>
        <v>235.56</v>
      </c>
      <c r="G75">
        <f>SUMIFS($O78:$R78,$O75:$R75,"&gt;30000",$O75:$R75,"&lt;50001")</f>
        <v>0</v>
      </c>
      <c r="H75">
        <f>SUMIFS($O78:$R78,$O75:$R75,"&gt;60000",$O75:$R75,"&lt;70001")</f>
        <v>2034.29</v>
      </c>
      <c r="I75">
        <v>4</v>
      </c>
      <c r="J75">
        <v>3.5</v>
      </c>
      <c r="O75">
        <v>10002</v>
      </c>
      <c r="P75">
        <v>10003</v>
      </c>
      <c r="Q75">
        <v>60003</v>
      </c>
      <c r="R75">
        <v>70001</v>
      </c>
    </row>
    <row r="76" spans="1:22" x14ac:dyDescent="0.2">
      <c r="B76" s="3" t="str">
        <f>A75&amp;"C"</f>
        <v>10015C</v>
      </c>
      <c r="O76">
        <v>2</v>
      </c>
      <c r="P76">
        <v>4</v>
      </c>
      <c r="Q76">
        <v>5</v>
      </c>
      <c r="R76">
        <v>3</v>
      </c>
    </row>
    <row r="77" spans="1:22" x14ac:dyDescent="0.2">
      <c r="O77">
        <f>IF(O79&gt;10000,HLOOKUP(O79,N75:$O78,4,FALSE),IF(OR(AND(22500&lt;O75,O75&lt;25001),AND(50000&lt;O75,O75&lt;53501),AND(70000&lt;O75,O75&lt;72501)),$F75,IF(OR(AND(25001&lt;O75,O75&lt;27501),AND(53500&lt;O75,O75&lt;57001),AND(72500&lt;O75,O75&lt;75001)),$G75,IF(OR(AND(27500&lt;O75,O75&lt;30001),AND(57000&lt;O75,O75&lt;60001),AND(75000&lt;O75,O75&lt;77500)),$H75,VLOOKUP(O75,BDins,6,FALSE)))))</f>
        <v>20.81</v>
      </c>
      <c r="P77">
        <f>IF(P79&gt;10000,HLOOKUP(P79,O75:$O78,4,FALSE),IF(OR(AND(22500&lt;P75,P75&lt;25001),AND(50000&lt;P75,P75&lt;53501),AND(70000&lt;P75,P75&lt;72501)),$F75,IF(OR(AND(25001&lt;P75,P75&lt;27501),AND(53500&lt;P75,P75&lt;57001),AND(72500&lt;P75,P75&lt;75001)),$G75,IF(OR(AND(27500&lt;P75,P75&lt;30001),AND(57000&lt;P75,P75&lt;60001),AND(75000&lt;P75,P75&lt;77500)),$H75,VLOOKUP(P75,BDins,6,FALSE)))))</f>
        <v>15.36</v>
      </c>
      <c r="Q77">
        <f>IF(Q79&gt;10000,HLOOKUP(Q79,$O75:P78,4,FALSE),IF(OR(AND(22500&lt;Q75,Q75&lt;25001),AND(50000&lt;Q75,Q75&lt;53501),AND(70000&lt;Q75,Q75&lt;72501)),$F75,IF(OR(AND(25001&lt;Q75,Q75&lt;27501),AND(53500&lt;Q75,Q75&lt;57001),AND(72500&lt;Q75,Q75&lt;75001)),$G75,IF(OR(AND(27500&lt;Q75,Q75&lt;30001),AND(57000&lt;Q75,Q75&lt;60001),AND(75000&lt;Q75,Q75&lt;77500)),$H75,VLOOKUP(Q75,BDins,6,FALSE)))))</f>
        <v>178</v>
      </c>
      <c r="R77">
        <f>IF(R79&gt;10000,HLOOKUP(R79,$O75:Q78,4,FALSE),IF(OR(AND(22500&lt;R75,R75&lt;25001),AND(50000&lt;R75,R75&lt;53501),AND(70000&lt;R75,R75&lt;72501)),$F75,IF(OR(AND(25001&lt;R75,R75&lt;27501),AND(53500&lt;R75,R75&lt;57001),AND(72500&lt;R75,R75&lt;75001)),$G75,IF(OR(AND(27500&lt;R75,R75&lt;30001),AND(57000&lt;R75,R75&lt;60001),AND(75000&lt;R75,R75&lt;77500)),$H75,VLOOKUP(R75,BDins,6,FALSE)))))</f>
        <v>235.56</v>
      </c>
    </row>
    <row r="78" spans="1:22" x14ac:dyDescent="0.2">
      <c r="O78">
        <f>IF($K75&gt;0,ROUND(O76*$E75/100,DpCU),IF(O79&gt;10000,ROUND(HLOOKUP(O79,$O75:$R78,4,FALSE)/100*O76,DpCU),IF(OR(O75&lt;20001,O75&gt;95000,AND(60000&lt;O75,O75&lt;70001)),ROUND(ROUND(O76*JL/$C75,DcCU)*O77,DpCU),IF(OR(AND(20000&lt;O75,O75&lt;22501),AND(30000&lt;O75,O75&lt;50001),77500&lt;O75),ROUND(O77*O76,DpCU),IF(OR(AND(22500&lt;O75,O75&lt;25001),AND(50000&lt;O75,O75&lt;53501),AND(70000&lt;O75,O75&lt;72501)),ROUND($F75/100*O76,DpCU),IF(OR(AND(25000&lt;O75,O75&lt;27501),AND(53500&lt;O75,O75&lt;57001),AND(72500&lt;O75,O75&lt;75001)),ROUND($G75/100*O76,DpCU),ROUND($H75/100*O76,DpCU)))))))</f>
        <v>95.13</v>
      </c>
      <c r="P78">
        <f>IF($K75&gt;0,ROUND(P76*$E75/100,DpCU),IF(P79&gt;10000,ROUND(HLOOKUP(P79,$O75:$R78,4,FALSE)/100*P76,DpCU),IF(OR(P75&lt;20001,P75&gt;95000,AND(60000&lt;P75,P75&lt;70001)),ROUND(ROUND(P76*JL/$C75,DcCU)*P77,DpCU),IF(OR(AND(20000&lt;P75,P75&lt;22501),AND(30000&lt;P75,P75&lt;50001),77500&lt;P75),ROUND(P77*P76,DpCU),IF(OR(AND(22500&lt;P75,P75&lt;25001),AND(50000&lt;P75,P75&lt;53501),AND(70000&lt;P75,P75&lt;72501)),ROUND($F75/100*P76,DpCU),IF(OR(AND(25000&lt;P75,P75&lt;27501),AND(53500&lt;P75,P75&lt;57001),AND(72500&lt;P75,P75&lt;75001)),ROUND($G75/100*P76,DpCU),ROUND($H75/100*P76,DpCU)))))))</f>
        <v>140.43</v>
      </c>
      <c r="Q78">
        <f>IF($K75&gt;0,ROUND(Q76*$E75/100,DpCU),IF(Q79&gt;10000,ROUND(HLOOKUP(Q79,$O75:$R78,4,FALSE)/100*Q76,DpCU),IF(OR(Q75&lt;20001,Q75&gt;95000,AND(60000&lt;Q75,Q75&lt;70001)),ROUND(ROUND(Q76*JL/$C75,DcCU)*Q77,DpCU),IF(OR(AND(20000&lt;Q75,Q75&lt;22501),AND(30000&lt;Q75,Q75&lt;50001),77500&lt;Q75),ROUND(Q77*Q76,DpCU),IF(OR(AND(22500&lt;Q75,Q75&lt;25001),AND(50000&lt;Q75,Q75&lt;53501),AND(70000&lt;Q75,Q75&lt;72501)),ROUND($F75/100*Q76,DpCU),IF(OR(AND(25000&lt;Q75,Q75&lt;27501),AND(53500&lt;Q75,Q75&lt;57001),AND(72500&lt;Q75,Q75&lt;75001)),ROUND($G75/100*Q76,DpCU),ROUND($H75/100*Q76,DpCU)))))))</f>
        <v>2034.29</v>
      </c>
      <c r="R78">
        <f>IF($K75&gt;0,ROUND(R76*$E75/100,DpCU),IF(R79&gt;10000,ROUND(HLOOKUP(R79,$O75:$R78,4,FALSE)/100*R76,DpCU),IF(OR(R75&lt;20001,R75&gt;95000,AND(60000&lt;R75,R75&lt;70001)),ROUND(ROUND(R76*JL/$C75,DcCU)*R77,DpCU),IF(OR(AND(20000&lt;R75,R75&lt;22501),AND(30000&lt;R75,R75&lt;50001),77500&lt;R75),ROUND(R77*R76,DpCU),IF(OR(AND(22500&lt;R75,R75&lt;25001),AND(50000&lt;R75,R75&lt;53501),AND(70000&lt;R75,R75&lt;72501)),ROUND($F75/100*R76,DpCU),IF(OR(AND(25000&lt;R75,R75&lt;27501),AND(53500&lt;R75,R75&lt;57001),AND(72500&lt;R75,R75&lt;75001)),ROUND($G75/100*R76,DpCU),ROUND($H75/100*R76,DpCU)))))))</f>
        <v>7.07</v>
      </c>
    </row>
    <row r="79" spans="1:22" x14ac:dyDescent="0.2">
      <c r="B79" s="3" t="str">
        <f>A75&amp;"r"</f>
        <v>10015r</v>
      </c>
    </row>
    <row r="80" spans="1:22" x14ac:dyDescent="0.2">
      <c r="A80">
        <v>10016</v>
      </c>
      <c r="B80" s="3" t="s">
        <v>252</v>
      </c>
      <c r="C80" s="1">
        <f>ROUND(J80*JL*Frto/8,4)</f>
        <v>225</v>
      </c>
      <c r="D80" t="s">
        <v>210</v>
      </c>
      <c r="E80">
        <f>SUM($O83:$V83)</f>
        <v>3.95</v>
      </c>
      <c r="F80">
        <f>SUMIF($O80:$V80,"&lt;22501",$O83:$V83)</f>
        <v>2.4500000000000002</v>
      </c>
      <c r="G80">
        <f>SUMIFS($O83:$V83,$O80:$V80,"&gt;30000",$O80:$V80,"&lt;50001")</f>
        <v>1.3900000000000001</v>
      </c>
      <c r="H80">
        <f>SUMIFS($O83:$V83,$O80:$V80,"&gt;60000",$O80:$V80,"&lt;70001")</f>
        <v>0.04</v>
      </c>
      <c r="I80">
        <v>8</v>
      </c>
      <c r="J80">
        <v>225</v>
      </c>
      <c r="O80">
        <v>10001</v>
      </c>
      <c r="P80">
        <v>10003</v>
      </c>
      <c r="Q80">
        <v>10006</v>
      </c>
      <c r="R80">
        <v>30025</v>
      </c>
      <c r="S80">
        <v>30026</v>
      </c>
      <c r="T80">
        <v>60004</v>
      </c>
      <c r="U80">
        <v>60005</v>
      </c>
      <c r="V80">
        <v>70001</v>
      </c>
    </row>
    <row r="81" spans="1:24" x14ac:dyDescent="0.2">
      <c r="B81" s="3" t="str">
        <f>A80&amp;"C"</f>
        <v>10016C</v>
      </c>
      <c r="O81">
        <v>0.1</v>
      </c>
      <c r="P81">
        <v>3</v>
      </c>
      <c r="Q81">
        <v>1</v>
      </c>
      <c r="R81">
        <v>0.05</v>
      </c>
      <c r="S81">
        <v>0.1</v>
      </c>
      <c r="T81">
        <v>1</v>
      </c>
      <c r="U81">
        <v>0.125</v>
      </c>
      <c r="V81">
        <v>3</v>
      </c>
    </row>
    <row r="82" spans="1:24" x14ac:dyDescent="0.2">
      <c r="O82">
        <f>IF(O84&gt;10000,HLOOKUP(O84,N80:$O83,4,FALSE),IF(OR(AND(22500&lt;O80,O80&lt;25001),AND(50000&lt;O80,O80&lt;53501),AND(70000&lt;O80,O80&lt;72501)),$F80,IF(OR(AND(25001&lt;O80,O80&lt;27501),AND(53500&lt;O80,O80&lt;57001),AND(72500&lt;O80,O80&lt;75001)),$G80,IF(OR(AND(27500&lt;O80,O80&lt;30001),AND(57000&lt;O80,O80&lt;60001),AND(75000&lt;O80,O80&lt;77500)),$H80,VLOOKUP(O80,BDins,6,FALSE)))))</f>
        <v>24.97</v>
      </c>
      <c r="P82">
        <f>IF(P84&gt;10000,HLOOKUP(P84,O80:$O83,4,FALSE),IF(OR(AND(22500&lt;P80,P80&lt;25001),AND(50000&lt;P80,P80&lt;53501),AND(70000&lt;P80,P80&lt;72501)),$F80,IF(OR(AND(25001&lt;P80,P80&lt;27501),AND(53500&lt;P80,P80&lt;57001),AND(72500&lt;P80,P80&lt;75001)),$G80,IF(OR(AND(27500&lt;P80,P80&lt;30001),AND(57000&lt;P80,P80&lt;60001),AND(75000&lt;P80,P80&lt;77500)),$H80,VLOOKUP(P80,BDins,6,FALSE)))))</f>
        <v>15.36</v>
      </c>
      <c r="Q82">
        <f>IF(Q84&gt;10000,HLOOKUP(Q84,$O80:P83,4,FALSE),IF(OR(AND(22500&lt;Q80,Q80&lt;25001),AND(50000&lt;Q80,Q80&lt;53501),AND(70000&lt;Q80,Q80&lt;72501)),$F80,IF(OR(AND(25001&lt;Q80,Q80&lt;27501),AND(53500&lt;Q80,Q80&lt;57001),AND(72500&lt;Q80,Q80&lt;75001)),$G80,IF(OR(AND(27500&lt;Q80,Q80&lt;30001),AND(57000&lt;Q80,Q80&lt;60001),AND(75000&lt;Q80,Q80&lt;77500)),$H80,VLOOKUP(Q80,BDins,6,FALSE)))))</f>
        <v>20.100000000000001</v>
      </c>
      <c r="R82">
        <f>IF(R84&gt;10000,HLOOKUP(R84,$O80:Q83,4,FALSE),IF(OR(AND(22500&lt;R80,R80&lt;25001),AND(50000&lt;R80,R80&lt;53501),AND(70000&lt;R80,R80&lt;72501)),$F80,IF(OR(AND(25001&lt;R80,R80&lt;27501),AND(53500&lt;R80,R80&lt;57001),AND(72500&lt;R80,R80&lt;75001)),$G80,IF(OR(AND(27500&lt;R80,R80&lt;30001),AND(57000&lt;R80,R80&lt;60001),AND(75000&lt;R80,R80&lt;77500)),$H80,VLOOKUP(R80,BDins,6,FALSE)))))</f>
        <v>20</v>
      </c>
      <c r="S82">
        <f>IF(S84&gt;10000,HLOOKUP(S84,$O80:R83,4,FALSE),IF(OR(AND(22500&lt;S80,S80&lt;25001),AND(50000&lt;S80,S80&lt;53501),AND(70000&lt;S80,S80&lt;72501)),$F80,IF(OR(AND(25001&lt;S80,S80&lt;27501),AND(53500&lt;S80,S80&lt;57001),AND(72500&lt;S80,S80&lt;75001)),$G80,IF(OR(AND(27500&lt;S80,S80&lt;30001),AND(57000&lt;S80,S80&lt;60001),AND(75000&lt;S80,S80&lt;77500)),$H80,VLOOKUP(S80,BDins,6,FALSE)))))</f>
        <v>3.9</v>
      </c>
      <c r="T82">
        <f>IF(T84&gt;10000,HLOOKUP(T84,$O80:S83,4,FALSE),IF(OR(AND(22500&lt;T80,T80&lt;25001),AND(50000&lt;T80,T80&lt;53501),AND(70000&lt;T80,T80&lt;72501)),$F80,IF(OR(AND(25001&lt;T80,T80&lt;27501),AND(53500&lt;T80,T80&lt;57001),AND(72500&lt;T80,T80&lt;75001)),$G80,IF(OR(AND(27500&lt;T80,T80&lt;30001),AND(57000&lt;T80,T80&lt;60001),AND(75000&lt;T80,T80&lt;77500)),$H80,VLOOKUP(T80,BDins,6,FALSE)))))</f>
        <v>0.5</v>
      </c>
      <c r="U82">
        <f>IF(U84&gt;10000,HLOOKUP(U84,$O80:T83,4,FALSE),IF(OR(AND(22500&lt;U80,U80&lt;25001),AND(50000&lt;U80,U80&lt;53501),AND(70000&lt;U80,U80&lt;72501)),$F80,IF(OR(AND(25001&lt;U80,U80&lt;27501),AND(53500&lt;U80,U80&lt;57001),AND(72500&lt;U80,U80&lt;75001)),$G80,IF(OR(AND(27500&lt;U80,U80&lt;30001),AND(57000&lt;U80,U80&lt;60001),AND(75000&lt;U80,U80&lt;77500)),$H80,VLOOKUP(U80,BDins,6,FALSE)))))</f>
        <v>5</v>
      </c>
      <c r="V82">
        <f>IF(V84&gt;10000,HLOOKUP(V84,$O80:U83,4,FALSE),IF(OR(AND(22500&lt;V80,V80&lt;25001),AND(50000&lt;V80,V80&lt;53501),AND(70000&lt;V80,V80&lt;72501)),$F80,IF(OR(AND(25001&lt;V80,V80&lt;27501),AND(53500&lt;V80,V80&lt;57001),AND(72500&lt;V80,V80&lt;75001)),$G80,IF(OR(AND(27500&lt;V80,V80&lt;30001),AND(57000&lt;V80,V80&lt;60001),AND(75000&lt;V80,V80&lt;77500)),$H80,VLOOKUP(V80,BDins,6,FALSE)))))</f>
        <v>2.4500000000000002</v>
      </c>
    </row>
    <row r="83" spans="1:24" x14ac:dyDescent="0.2">
      <c r="O83">
        <f t="shared" ref="O83:V83" si="5">IF($K80&gt;0,ROUND(O81*$E80/100,DpCU),IF(O84&gt;10000,ROUND(HLOOKUP(O84,$O80:$V83,4,FALSE)/100*O81,DpCU),IF(OR(O80&lt;20001,O80&gt;95000,AND(60000&lt;O80,O80&lt;70001)),ROUND(ROUND(O81*JL/$C80,DcCU)*O82,DpCU),IF(OR(AND(20000&lt;O80,O80&lt;22501),AND(30000&lt;O80,O80&lt;50001),77500&lt;O80),ROUND(O82*O81,DpCU),IF(OR(AND(22500&lt;O80,O80&lt;25001),AND(50000&lt;O80,O80&lt;53501),AND(70000&lt;O80,O80&lt;72501)),ROUND($F80/100*O81,DpCU),IF(OR(AND(25000&lt;O80,O80&lt;27501),AND(53500&lt;O80,O80&lt;57001),AND(72500&lt;O80,O80&lt;75001)),ROUND($G80/100*O81,DpCU),ROUND($H80/100*O81,DpCU)))))))</f>
        <v>0.09</v>
      </c>
      <c r="P83">
        <f t="shared" si="5"/>
        <v>1.64</v>
      </c>
      <c r="Q83">
        <f t="shared" si="5"/>
        <v>0.72</v>
      </c>
      <c r="R83">
        <f t="shared" si="5"/>
        <v>1</v>
      </c>
      <c r="S83">
        <f t="shared" si="5"/>
        <v>0.39</v>
      </c>
      <c r="T83">
        <f t="shared" si="5"/>
        <v>0.02</v>
      </c>
      <c r="U83">
        <f t="shared" si="5"/>
        <v>0.02</v>
      </c>
      <c r="V83">
        <f t="shared" si="5"/>
        <v>7.0000000000000007E-2</v>
      </c>
    </row>
    <row r="84" spans="1:24" x14ac:dyDescent="0.2">
      <c r="B84" s="3" t="str">
        <f>A80&amp;"r"</f>
        <v>10016r</v>
      </c>
    </row>
    <row r="85" spans="1:24" x14ac:dyDescent="0.2">
      <c r="A85">
        <v>10017</v>
      </c>
      <c r="B85" s="3" t="s">
        <v>259</v>
      </c>
      <c r="C85" s="1">
        <f>ROUND(J85*JL*Frto/8,4)</f>
        <v>100</v>
      </c>
      <c r="D85" t="s">
        <v>210</v>
      </c>
      <c r="E85">
        <f>SUM($O88:$U88)</f>
        <v>3.76</v>
      </c>
      <c r="F85">
        <f>SUMIF($O85:$U85,"&lt;22501",$O88:$U88)</f>
        <v>3.04</v>
      </c>
      <c r="G85">
        <f>SUMIFS($O88:$U88,$O85:$U85,"&gt;30000",$O85:$U85,"&lt;50001")</f>
        <v>0.16999999999999998</v>
      </c>
      <c r="H85">
        <f>SUMIFS($O88:$U88,$O85:$U85,"&gt;60000",$O85:$U85,"&lt;70001")</f>
        <v>0.4</v>
      </c>
      <c r="I85">
        <v>7</v>
      </c>
      <c r="J85">
        <v>100</v>
      </c>
      <c r="O85">
        <v>10001</v>
      </c>
      <c r="P85">
        <v>10003</v>
      </c>
      <c r="Q85">
        <v>10006</v>
      </c>
      <c r="R85">
        <v>30027</v>
      </c>
      <c r="S85">
        <v>30028</v>
      </c>
      <c r="T85">
        <v>60006</v>
      </c>
      <c r="U85">
        <v>70001</v>
      </c>
    </row>
    <row r="86" spans="1:24" x14ac:dyDescent="0.2">
      <c r="B86" s="3" t="str">
        <f>A85&amp;"C"</f>
        <v>10017C</v>
      </c>
      <c r="O86">
        <v>0.1</v>
      </c>
      <c r="P86">
        <v>1</v>
      </c>
      <c r="Q86">
        <v>1</v>
      </c>
      <c r="R86">
        <v>0.01</v>
      </c>
      <c r="S86">
        <v>1E-3</v>
      </c>
      <c r="T86">
        <v>1</v>
      </c>
      <c r="U86">
        <v>5</v>
      </c>
    </row>
    <row r="87" spans="1:24" x14ac:dyDescent="0.2">
      <c r="O87">
        <f>IF(O89&gt;10000,HLOOKUP(O89,N85:$O88,4,FALSE),IF(OR(AND(22500&lt;O85,O85&lt;25001),AND(50000&lt;O85,O85&lt;53501),AND(70000&lt;O85,O85&lt;72501)),$F85,IF(OR(AND(25001&lt;O85,O85&lt;27501),AND(53500&lt;O85,O85&lt;57001),AND(72500&lt;O85,O85&lt;75001)),$G85,IF(OR(AND(27500&lt;O85,O85&lt;30001),AND(57000&lt;O85,O85&lt;60001),AND(75000&lt;O85,O85&lt;77500)),$H85,VLOOKUP(O85,BDins,6,FALSE)))))</f>
        <v>24.97</v>
      </c>
      <c r="P87">
        <f>IF(P89&gt;10000,HLOOKUP(P89,O85:$O88,4,FALSE),IF(OR(AND(22500&lt;P85,P85&lt;25001),AND(50000&lt;P85,P85&lt;53501),AND(70000&lt;P85,P85&lt;72501)),$F85,IF(OR(AND(25001&lt;P85,P85&lt;27501),AND(53500&lt;P85,P85&lt;57001),AND(72500&lt;P85,P85&lt;75001)),$G85,IF(OR(AND(27500&lt;P85,P85&lt;30001),AND(57000&lt;P85,P85&lt;60001),AND(75000&lt;P85,P85&lt;77500)),$H85,VLOOKUP(P85,BDins,6,FALSE)))))</f>
        <v>15.36</v>
      </c>
      <c r="Q87">
        <f>IF(Q89&gt;10000,HLOOKUP(Q89,$O85:P88,4,FALSE),IF(OR(AND(22500&lt;Q85,Q85&lt;25001),AND(50000&lt;Q85,Q85&lt;53501),AND(70000&lt;Q85,Q85&lt;72501)),$F85,IF(OR(AND(25001&lt;Q85,Q85&lt;27501),AND(53500&lt;Q85,Q85&lt;57001),AND(72500&lt;Q85,Q85&lt;75001)),$G85,IF(OR(AND(27500&lt;Q85,Q85&lt;30001),AND(57000&lt;Q85,Q85&lt;60001),AND(75000&lt;Q85,Q85&lt;77500)),$H85,VLOOKUP(Q85,BDins,6,FALSE)))))</f>
        <v>20.100000000000001</v>
      </c>
      <c r="R87">
        <f>IF(R89&gt;10000,HLOOKUP(R89,$O85:Q88,4,FALSE),IF(OR(AND(22500&lt;R85,R85&lt;25001),AND(50000&lt;R85,R85&lt;53501),AND(70000&lt;R85,R85&lt;72501)),$F85,IF(OR(AND(25001&lt;R85,R85&lt;27501),AND(53500&lt;R85,R85&lt;57001),AND(72500&lt;R85,R85&lt;75001)),$G85,IF(OR(AND(27500&lt;R85,R85&lt;30001),AND(57000&lt;R85,R85&lt;60001),AND(75000&lt;R85,R85&lt;77500)),$H85,VLOOKUP(R85,BDins,6,FALSE)))))</f>
        <v>9.4499999999999993</v>
      </c>
      <c r="S87">
        <f>IF(S89&gt;10000,HLOOKUP(S89,$O85:R88,4,FALSE),IF(OR(AND(22500&lt;S85,S85&lt;25001),AND(50000&lt;S85,S85&lt;53501),AND(70000&lt;S85,S85&lt;72501)),$F85,IF(OR(AND(25001&lt;S85,S85&lt;27501),AND(53500&lt;S85,S85&lt;57001),AND(72500&lt;S85,S85&lt;75001)),$G85,IF(OR(AND(27500&lt;S85,S85&lt;30001),AND(57000&lt;S85,S85&lt;60001),AND(75000&lt;S85,S85&lt;77500)),$H85,VLOOKUP(S85,BDins,6,FALSE)))))</f>
        <v>80</v>
      </c>
      <c r="T87">
        <f>IF(T89&gt;10000,HLOOKUP(T89,$O85:S88,4,FALSE),IF(OR(AND(22500&lt;T85,T85&lt;25001),AND(50000&lt;T85,T85&lt;53501),AND(70000&lt;T85,T85&lt;72501)),$F85,IF(OR(AND(25001&lt;T85,T85&lt;27501),AND(53500&lt;T85,T85&lt;57001),AND(72500&lt;T85,T85&lt;75001)),$G85,IF(OR(AND(27500&lt;T85,T85&lt;30001),AND(57000&lt;T85,T85&lt;60001),AND(75000&lt;T85,T85&lt;77500)),$H85,VLOOKUP(T85,BDins,6,FALSE)))))</f>
        <v>5</v>
      </c>
      <c r="U87">
        <f>IF(U89&gt;10000,HLOOKUP(U89,$O85:T88,4,FALSE),IF(OR(AND(22500&lt;U85,U85&lt;25001),AND(50000&lt;U85,U85&lt;53501),AND(70000&lt;U85,U85&lt;72501)),$F85,IF(OR(AND(25001&lt;U85,U85&lt;27501),AND(53500&lt;U85,U85&lt;57001),AND(72500&lt;U85,U85&lt;75001)),$G85,IF(OR(AND(27500&lt;U85,U85&lt;30001),AND(57000&lt;U85,U85&lt;60001),AND(75000&lt;U85,U85&lt;77500)),$H85,VLOOKUP(U85,BDins,6,FALSE)))))</f>
        <v>3.04</v>
      </c>
    </row>
    <row r="88" spans="1:24" x14ac:dyDescent="0.2">
      <c r="O88">
        <f t="shared" ref="O88:U88" si="6">IF($K85&gt;0,ROUND(O86*$E85/100,DpCU),IF(O89&gt;10000,ROUND(HLOOKUP(O89,$O85:$U88,4,FALSE)/100*O86,DpCU),IF(OR(O85&lt;20001,O85&gt;95000,AND(60000&lt;O85,O85&lt;70001)),ROUND(ROUND(O86*JL/$C85,DcCU)*O87,DpCU),IF(OR(AND(20000&lt;O85,O85&lt;22501),AND(30000&lt;O85,O85&lt;50001),77500&lt;O85),ROUND(O87*O86,DpCU),IF(OR(AND(22500&lt;O85,O85&lt;25001),AND(50000&lt;O85,O85&lt;53501),AND(70000&lt;O85,O85&lt;72501)),ROUND($F85/100*O86,DpCU),IF(OR(AND(25000&lt;O85,O85&lt;27501),AND(53500&lt;O85,O85&lt;57001),AND(72500&lt;O85,O85&lt;75001)),ROUND($G85/100*O86,DpCU),ROUND($H85/100*O86,DpCU)))))))</f>
        <v>0.2</v>
      </c>
      <c r="P88">
        <f t="shared" si="6"/>
        <v>1.23</v>
      </c>
      <c r="Q88">
        <f t="shared" si="6"/>
        <v>1.61</v>
      </c>
      <c r="R88">
        <f t="shared" si="6"/>
        <v>0.09</v>
      </c>
      <c r="S88">
        <f t="shared" si="6"/>
        <v>0.08</v>
      </c>
      <c r="T88">
        <f t="shared" si="6"/>
        <v>0.4</v>
      </c>
      <c r="U88">
        <f t="shared" si="6"/>
        <v>0.15</v>
      </c>
    </row>
    <row r="89" spans="1:24" x14ac:dyDescent="0.2">
      <c r="B89" s="3" t="str">
        <f>A85&amp;"r"</f>
        <v>10017r</v>
      </c>
    </row>
    <row r="90" spans="1:24" x14ac:dyDescent="0.2">
      <c r="A90">
        <v>10018</v>
      </c>
      <c r="B90" s="3" t="s">
        <v>266</v>
      </c>
      <c r="C90" s="1">
        <f>ROUND(J90*JL*Frto/8,4)</f>
        <v>1</v>
      </c>
      <c r="D90" t="s">
        <v>168</v>
      </c>
      <c r="E90">
        <f>SUM($O93:$O93)</f>
        <v>1271.19</v>
      </c>
      <c r="F90">
        <f>SUMIF($O90:$O90,"&lt;22501",$O93:$O93)</f>
        <v>0</v>
      </c>
      <c r="G90">
        <f>SUMIFS($O93:$O93,$O90:$O90,"&gt;30000",$O90:$O90,"&lt;50001")</f>
        <v>1271.19</v>
      </c>
      <c r="H90">
        <f>SUMIFS($O93:$O93,$O90:$O90,"&gt;60000",$O90:$O90,"&lt;70001")</f>
        <v>0</v>
      </c>
      <c r="I90">
        <v>1</v>
      </c>
      <c r="J90">
        <v>1</v>
      </c>
      <c r="O90">
        <v>30029</v>
      </c>
    </row>
    <row r="91" spans="1:24" x14ac:dyDescent="0.2">
      <c r="B91" s="3" t="str">
        <f>A90&amp;"C"</f>
        <v>10018C</v>
      </c>
      <c r="O91">
        <v>1</v>
      </c>
    </row>
    <row r="92" spans="1:24" x14ac:dyDescent="0.2">
      <c r="O92">
        <f>IF(O94&gt;10000,HLOOKUP(O94,N90:$O93,4,FALSE),IF(OR(AND(22500&lt;O90,O90&lt;25001),AND(50000&lt;O90,O90&lt;53501),AND(70000&lt;O90,O90&lt;72501)),$F90,IF(OR(AND(25001&lt;O90,O90&lt;27501),AND(53500&lt;O90,O90&lt;57001),AND(72500&lt;O90,O90&lt;75001)),$G90,IF(OR(AND(27500&lt;O90,O90&lt;30001),AND(57000&lt;O90,O90&lt;60001),AND(75000&lt;O90,O90&lt;77500)),$H90,VLOOKUP(O90,BDins,6,FALSE)))))</f>
        <v>1271.19</v>
      </c>
    </row>
    <row r="93" spans="1:24" x14ac:dyDescent="0.2">
      <c r="O93">
        <f>IF($K90&gt;0,ROUND(O91*$E90/100,DpCU),IF(O94&gt;10000,ROUND(HLOOKUP(O94,$O90:$O93,4,FALSE)/100*O91,DpCU),IF(OR(O90&lt;20001,O90&gt;95000,AND(60000&lt;O90,O90&lt;70001)),ROUND(ROUND(O91*JL/$C90,DcCU)*O92,DpCU),IF(OR(AND(20000&lt;O90,O90&lt;22501),AND(30000&lt;O90,O90&lt;50001),77500&lt;O90),ROUND(O92*O91,DpCU),IF(OR(AND(22500&lt;O90,O90&lt;25001),AND(50000&lt;O90,O90&lt;53501),AND(70000&lt;O90,O90&lt;72501)),ROUND($F90/100*O91,DpCU),IF(OR(AND(25000&lt;O90,O90&lt;27501),AND(53500&lt;O90,O90&lt;57001),AND(72500&lt;O90,O90&lt;75001)),ROUND($G90/100*O91,DpCU),ROUND($H90/100*O91,DpCU)))))))</f>
        <v>1271.19</v>
      </c>
    </row>
    <row r="94" spans="1:24" x14ac:dyDescent="0.2">
      <c r="B94" s="3" t="str">
        <f>A90&amp;"r"</f>
        <v>10018r</v>
      </c>
    </row>
    <row r="95" spans="1:24" x14ac:dyDescent="0.2">
      <c r="A95">
        <v>10019</v>
      </c>
      <c r="B95" s="3" t="s">
        <v>269</v>
      </c>
      <c r="C95" s="1">
        <f>ROUND(J95*JL*Frto/8,4)</f>
        <v>1</v>
      </c>
      <c r="D95" t="s">
        <v>7</v>
      </c>
      <c r="E95">
        <f>SUM($O98:$X98)</f>
        <v>38.340000000000003</v>
      </c>
      <c r="F95">
        <f>SUMIF($O95:$X95,"&lt;22501",$O98:$X98)</f>
        <v>0</v>
      </c>
      <c r="G95">
        <f>SUMIFS($O98:$X98,$O95:$X95,"&gt;30000",$O95:$X95,"&lt;50001")</f>
        <v>32.090000000000003</v>
      </c>
      <c r="H95">
        <f>SUMIFS($O98:$X98,$O95:$X95,"&gt;60000",$O95:$X95,"&lt;70001")</f>
        <v>0</v>
      </c>
      <c r="I95">
        <v>10</v>
      </c>
      <c r="J95">
        <v>1</v>
      </c>
      <c r="O95">
        <v>30030</v>
      </c>
      <c r="P95">
        <v>30031</v>
      </c>
      <c r="Q95">
        <v>30032</v>
      </c>
      <c r="R95">
        <v>30033</v>
      </c>
      <c r="S95">
        <v>30034</v>
      </c>
      <c r="T95">
        <v>30035</v>
      </c>
      <c r="U95">
        <v>30036</v>
      </c>
      <c r="V95">
        <v>30037</v>
      </c>
      <c r="W95">
        <v>30038</v>
      </c>
      <c r="X95">
        <v>77501</v>
      </c>
    </row>
    <row r="96" spans="1:24" x14ac:dyDescent="0.2">
      <c r="B96" s="3" t="str">
        <f>A95&amp;"C"</f>
        <v>10019C</v>
      </c>
      <c r="O96">
        <v>0.25</v>
      </c>
      <c r="P96">
        <v>0.625</v>
      </c>
      <c r="Q96">
        <v>0.125</v>
      </c>
      <c r="R96">
        <v>1.2500000000000001E-2</v>
      </c>
      <c r="S96">
        <v>0.625</v>
      </c>
      <c r="T96">
        <v>0.25</v>
      </c>
      <c r="U96">
        <v>3.125E-2</v>
      </c>
      <c r="V96">
        <v>0.25</v>
      </c>
      <c r="W96">
        <v>1.25</v>
      </c>
      <c r="X96">
        <v>2.5000000000000001E-2</v>
      </c>
    </row>
    <row r="97" spans="1:24" x14ac:dyDescent="0.2">
      <c r="O97">
        <f>IF(O99&gt;10000,HLOOKUP(O99,N95:$O98,4,FALSE),IF(OR(AND(22500&lt;O95,O95&lt;25001),AND(50000&lt;O95,O95&lt;53501),AND(70000&lt;O95,O95&lt;72501)),$F95,IF(OR(AND(25001&lt;O95,O95&lt;27501),AND(53500&lt;O95,O95&lt;57001),AND(72500&lt;O95,O95&lt;75001)),$G95,IF(OR(AND(27500&lt;O95,O95&lt;30001),AND(57000&lt;O95,O95&lt;60001),AND(75000&lt;O95,O95&lt;77500)),$H95,VLOOKUP(O95,BDins,6,FALSE)))))</f>
        <v>3.9</v>
      </c>
      <c r="P97">
        <f>IF(P99&gt;10000,HLOOKUP(P99,O95:$O98,4,FALSE),IF(OR(AND(22500&lt;P95,P95&lt;25001),AND(50000&lt;P95,P95&lt;53501),AND(70000&lt;P95,P95&lt;72501)),$F95,IF(OR(AND(25001&lt;P95,P95&lt;27501),AND(53500&lt;P95,P95&lt;57001),AND(72500&lt;P95,P95&lt;75001)),$G95,IF(OR(AND(27500&lt;P95,P95&lt;30001),AND(57000&lt;P95,P95&lt;60001),AND(75000&lt;P95,P95&lt;77500)),$H95,VLOOKUP(P95,BDins,6,FALSE)))))</f>
        <v>2.2000000000000002</v>
      </c>
      <c r="Q97">
        <f>IF(Q99&gt;10000,HLOOKUP(Q99,$O95:P98,4,FALSE),IF(OR(AND(22500&lt;Q95,Q95&lt;25001),AND(50000&lt;Q95,Q95&lt;53501),AND(70000&lt;Q95,Q95&lt;72501)),$F95,IF(OR(AND(25001&lt;Q95,Q95&lt;27501),AND(53500&lt;Q95,Q95&lt;57001),AND(72500&lt;Q95,Q95&lt;75001)),$G95,IF(OR(AND(27500&lt;Q95,Q95&lt;30001),AND(57000&lt;Q95,Q95&lt;60001),AND(75000&lt;Q95,Q95&lt;77500)),$H95,VLOOKUP(Q95,BDins,6,FALSE)))))</f>
        <v>15</v>
      </c>
      <c r="R97">
        <f>IF(R99&gt;10000,HLOOKUP(R99,$O95:Q98,4,FALSE),IF(OR(AND(22500&lt;R95,R95&lt;25001),AND(50000&lt;R95,R95&lt;53501),AND(70000&lt;R95,R95&lt;72501)),$F95,IF(OR(AND(25001&lt;R95,R95&lt;27501),AND(53500&lt;R95,R95&lt;57001),AND(72500&lt;R95,R95&lt;75001)),$G95,IF(OR(AND(27500&lt;R95,R95&lt;30001),AND(57000&lt;R95,R95&lt;60001),AND(75000&lt;R95,R95&lt;77500)),$H95,VLOOKUP(R95,BDins,6,FALSE)))))</f>
        <v>18.600000000000001</v>
      </c>
      <c r="S97">
        <f>IF(S99&gt;10000,HLOOKUP(S99,$O95:R98,4,FALSE),IF(OR(AND(22500&lt;S95,S95&lt;25001),AND(50000&lt;S95,S95&lt;53501),AND(70000&lt;S95,S95&lt;72501)),$F95,IF(OR(AND(25001&lt;S95,S95&lt;27501),AND(53500&lt;S95,S95&lt;57001),AND(72500&lt;S95,S95&lt;75001)),$G95,IF(OR(AND(27500&lt;S95,S95&lt;30001),AND(57000&lt;S95,S95&lt;60001),AND(75000&lt;S95,S95&lt;77500)),$H95,VLOOKUP(S95,BDins,6,FALSE)))))</f>
        <v>7.3</v>
      </c>
      <c r="T97">
        <f>IF(T99&gt;10000,HLOOKUP(T99,$O95:S98,4,FALSE),IF(OR(AND(22500&lt;T95,T95&lt;25001),AND(50000&lt;T95,T95&lt;53501),AND(70000&lt;T95,T95&lt;72501)),$F95,IF(OR(AND(25001&lt;T95,T95&lt;27501),AND(53500&lt;T95,T95&lt;57001),AND(72500&lt;T95,T95&lt;75001)),$G95,IF(OR(AND(27500&lt;T95,T95&lt;30001),AND(57000&lt;T95,T95&lt;60001),AND(75000&lt;T95,T95&lt;77500)),$H95,VLOOKUP(T95,BDins,6,FALSE)))))</f>
        <v>25</v>
      </c>
      <c r="U97">
        <f>IF(U99&gt;10000,HLOOKUP(U99,$O95:T98,4,FALSE),IF(OR(AND(22500&lt;U95,U95&lt;25001),AND(50000&lt;U95,U95&lt;53501),AND(70000&lt;U95,U95&lt;72501)),$F95,IF(OR(AND(25001&lt;U95,U95&lt;27501),AND(53500&lt;U95,U95&lt;57001),AND(72500&lt;U95,U95&lt;75001)),$G95,IF(OR(AND(27500&lt;U95,U95&lt;30001),AND(57000&lt;U95,U95&lt;60001),AND(75000&lt;U95,U95&lt;77500)),$H95,VLOOKUP(U95,BDins,6,FALSE)))))</f>
        <v>10</v>
      </c>
      <c r="V97">
        <f>IF(V99&gt;10000,HLOOKUP(V99,$O95:U98,4,FALSE),IF(OR(AND(22500&lt;V95,V95&lt;25001),AND(50000&lt;V95,V95&lt;53501),AND(70000&lt;V95,V95&lt;72501)),$F95,IF(OR(AND(25001&lt;V95,V95&lt;27501),AND(53500&lt;V95,V95&lt;57001),AND(72500&lt;V95,V95&lt;75001)),$G95,IF(OR(AND(27500&lt;V95,V95&lt;30001),AND(57000&lt;V95,V95&lt;60001),AND(75000&lt;V95,V95&lt;77500)),$H95,VLOOKUP(V95,BDins,6,FALSE)))))</f>
        <v>50</v>
      </c>
      <c r="W97">
        <f>IF(W99&gt;10000,HLOOKUP(W99,$O95:V98,4,FALSE),IF(OR(AND(22500&lt;W95,W95&lt;25001),AND(50000&lt;W95,W95&lt;53501),AND(70000&lt;W95,W95&lt;72501)),$F95,IF(OR(AND(25001&lt;W95,W95&lt;27501),AND(53500&lt;W95,W95&lt;57001),AND(72500&lt;W95,W95&lt;75001)),$G95,IF(OR(AND(27500&lt;W95,W95&lt;30001),AND(57000&lt;W95,W95&lt;60001),AND(75000&lt;W95,W95&lt;77500)),$H95,VLOOKUP(W95,BDins,6,FALSE)))))</f>
        <v>3.2</v>
      </c>
      <c r="X97">
        <f>IF(X99&gt;10000,HLOOKUP(X99,$O95:W98,4,FALSE),IF(OR(AND(22500&lt;X95,X95&lt;25001),AND(50000&lt;X95,X95&lt;53501),AND(70000&lt;X95,X95&lt;72501)),$F95,IF(OR(AND(25001&lt;X95,X95&lt;27501),AND(53500&lt;X95,X95&lt;57001),AND(72500&lt;X95,X95&lt;75001)),$G95,IF(OR(AND(27500&lt;X95,X95&lt;30001),AND(57000&lt;X95,X95&lt;60001),AND(75000&lt;X95,X95&lt;77500)),$H95,VLOOKUP(X95,BDins,6,FALSE)))))</f>
        <v>250</v>
      </c>
    </row>
    <row r="98" spans="1:24" x14ac:dyDescent="0.2">
      <c r="O98">
        <f t="shared" ref="O98:X98" si="7">IF($K95&gt;0,ROUND(O96*$E95/100,DpCU),IF(O99&gt;10000,ROUND(HLOOKUP(O99,$O95:$X98,4,FALSE)/100*O96,DpCU),IF(OR(O95&lt;20001,O95&gt;95000,AND(60000&lt;O95,O95&lt;70001)),ROUND(ROUND(O96*JL/$C95,DcCU)*O97,DpCU),IF(OR(AND(20000&lt;O95,O95&lt;22501),AND(30000&lt;O95,O95&lt;50001),77500&lt;O95),ROUND(O97*O96,DpCU),IF(OR(AND(22500&lt;O95,O95&lt;25001),AND(50000&lt;O95,O95&lt;53501),AND(70000&lt;O95,O95&lt;72501)),ROUND($F95/100*O96,DpCU),IF(OR(AND(25000&lt;O95,O95&lt;27501),AND(53500&lt;O95,O95&lt;57001),AND(72500&lt;O95,O95&lt;75001)),ROUND($G95/100*O96,DpCU),ROUND($H95/100*O96,DpCU)))))))</f>
        <v>0.98</v>
      </c>
      <c r="P98">
        <f t="shared" si="7"/>
        <v>1.38</v>
      </c>
      <c r="Q98">
        <f t="shared" si="7"/>
        <v>1.88</v>
      </c>
      <c r="R98">
        <f t="shared" si="7"/>
        <v>0.23</v>
      </c>
      <c r="S98">
        <f t="shared" si="7"/>
        <v>4.5599999999999996</v>
      </c>
      <c r="T98">
        <f t="shared" si="7"/>
        <v>6.25</v>
      </c>
      <c r="U98">
        <f t="shared" si="7"/>
        <v>0.31</v>
      </c>
      <c r="V98">
        <f t="shared" si="7"/>
        <v>12.5</v>
      </c>
      <c r="W98">
        <f t="shared" si="7"/>
        <v>4</v>
      </c>
      <c r="X98">
        <f t="shared" si="7"/>
        <v>6.25</v>
      </c>
    </row>
    <row r="99" spans="1:24" x14ac:dyDescent="0.2">
      <c r="B99" s="3" t="str">
        <f>A95&amp;"r"</f>
        <v>10019r</v>
      </c>
    </row>
    <row r="100" spans="1:24" x14ac:dyDescent="0.2">
      <c r="A100">
        <v>10020</v>
      </c>
      <c r="B100" s="3" t="s">
        <v>283</v>
      </c>
      <c r="C100" s="1">
        <f>ROUND(J100*JL*Frto/8,4)</f>
        <v>1</v>
      </c>
      <c r="D100" t="s">
        <v>168</v>
      </c>
      <c r="E100">
        <f>SUM($O103:$T103)</f>
        <v>485.63</v>
      </c>
      <c r="F100">
        <f>SUMIF($O100:$T100,"&lt;22501",$O103:$T103)</f>
        <v>0</v>
      </c>
      <c r="G100">
        <f>SUMIFS($O103:$T103,$O100:$T100,"&gt;30000",$O100:$T100,"&lt;50001")</f>
        <v>360.63</v>
      </c>
      <c r="H100">
        <f>SUMIFS($O103:$T103,$O100:$T100,"&gt;60000",$O100:$T100,"&lt;70001")</f>
        <v>0</v>
      </c>
      <c r="I100">
        <v>6</v>
      </c>
      <c r="J100">
        <v>1</v>
      </c>
      <c r="O100">
        <v>30039</v>
      </c>
      <c r="P100">
        <v>30040</v>
      </c>
      <c r="Q100">
        <v>30041</v>
      </c>
      <c r="R100">
        <v>30042</v>
      </c>
      <c r="S100">
        <v>30043</v>
      </c>
      <c r="T100">
        <v>77502</v>
      </c>
    </row>
    <row r="101" spans="1:24" x14ac:dyDescent="0.2">
      <c r="B101" s="3" t="str">
        <f>A100&amp;"C"</f>
        <v>10020C</v>
      </c>
      <c r="O101">
        <v>18.75</v>
      </c>
      <c r="P101">
        <v>0.5</v>
      </c>
      <c r="Q101">
        <v>1.25</v>
      </c>
      <c r="R101">
        <v>3.75</v>
      </c>
      <c r="S101">
        <v>6.25</v>
      </c>
      <c r="T101">
        <v>12.5</v>
      </c>
    </row>
    <row r="102" spans="1:24" x14ac:dyDescent="0.2">
      <c r="O102">
        <f>IF(O104&gt;10000,HLOOKUP(O104,N100:$O103,4,FALSE),IF(OR(AND(22500&lt;O100,O100&lt;25001),AND(50000&lt;O100,O100&lt;53501),AND(70000&lt;O100,O100&lt;72501)),$F100,IF(OR(AND(25001&lt;O100,O100&lt;27501),AND(53500&lt;O100,O100&lt;57001),AND(72500&lt;O100,O100&lt;75001)),$G100,IF(OR(AND(27500&lt;O100,O100&lt;30001),AND(57000&lt;O100,O100&lt;60001),AND(75000&lt;O100,O100&lt;77500)),$H100,VLOOKUP(O100,BDins,6,FALSE)))))</f>
        <v>0.5</v>
      </c>
      <c r="P102">
        <f>IF(P104&gt;10000,HLOOKUP(P104,O100:$O103,4,FALSE),IF(OR(AND(22500&lt;P100,P100&lt;25001),AND(50000&lt;P100,P100&lt;53501),AND(70000&lt;P100,P100&lt;72501)),$F100,IF(OR(AND(25001&lt;P100,P100&lt;27501),AND(53500&lt;P100,P100&lt;57001),AND(72500&lt;P100,P100&lt;75001)),$G100,IF(OR(AND(27500&lt;P100,P100&lt;30001),AND(57000&lt;P100,P100&lt;60001),AND(75000&lt;P100,P100&lt;77500)),$H100,VLOOKUP(P100,BDins,6,FALSE)))))</f>
        <v>90</v>
      </c>
      <c r="Q102">
        <f>IF(Q104&gt;10000,HLOOKUP(Q104,$O100:P103,4,FALSE),IF(OR(AND(22500&lt;Q100,Q100&lt;25001),AND(50000&lt;Q100,Q100&lt;53501),AND(70000&lt;Q100,Q100&lt;72501)),$F100,IF(OR(AND(25001&lt;Q100,Q100&lt;27501),AND(53500&lt;Q100,Q100&lt;57001),AND(72500&lt;Q100,Q100&lt;75001)),$G100,IF(OR(AND(27500&lt;Q100,Q100&lt;30001),AND(57000&lt;Q100,Q100&lt;60001),AND(75000&lt;Q100,Q100&lt;77500)),$H100,VLOOKUP(Q100,BDins,6,FALSE)))))</f>
        <v>85</v>
      </c>
      <c r="R102">
        <f>IF(R104&gt;10000,HLOOKUP(R104,$O100:Q103,4,FALSE),IF(OR(AND(22500&lt;R100,R100&lt;25001),AND(50000&lt;R100,R100&lt;53501),AND(70000&lt;R100,R100&lt;72501)),$F100,IF(OR(AND(25001&lt;R100,R100&lt;27501),AND(53500&lt;R100,R100&lt;57001),AND(72500&lt;R100,R100&lt;75001)),$G100,IF(OR(AND(27500&lt;R100,R100&lt;30001),AND(57000&lt;R100,R100&lt;60001),AND(75000&lt;R100,R100&lt;77500)),$H100,VLOOKUP(R100,BDins,6,FALSE)))))</f>
        <v>20</v>
      </c>
      <c r="S102">
        <f>IF(S104&gt;10000,HLOOKUP(S104,$O100:R103,4,FALSE),IF(OR(AND(22500&lt;S100,S100&lt;25001),AND(50000&lt;S100,S100&lt;53501),AND(70000&lt;S100,S100&lt;72501)),$F100,IF(OR(AND(25001&lt;S100,S100&lt;27501),AND(53500&lt;S100,S100&lt;57001),AND(72500&lt;S100,S100&lt;75001)),$G100,IF(OR(AND(27500&lt;S100,S100&lt;30001),AND(57000&lt;S100,S100&lt;60001),AND(75000&lt;S100,S100&lt;77500)),$H100,VLOOKUP(S100,BDins,6,FALSE)))))</f>
        <v>20</v>
      </c>
      <c r="T102">
        <f>IF(T104&gt;10000,HLOOKUP(T104,$O100:S103,4,FALSE),IF(OR(AND(22500&lt;T100,T100&lt;25001),AND(50000&lt;T100,T100&lt;53501),AND(70000&lt;T100,T100&lt;72501)),$F100,IF(OR(AND(25001&lt;T100,T100&lt;27501),AND(53500&lt;T100,T100&lt;57001),AND(72500&lt;T100,T100&lt;75001)),$G100,IF(OR(AND(27500&lt;T100,T100&lt;30001),AND(57000&lt;T100,T100&lt;60001),AND(75000&lt;T100,T100&lt;77500)),$H100,VLOOKUP(T100,BDins,6,FALSE)))))</f>
        <v>10</v>
      </c>
    </row>
    <row r="103" spans="1:24" x14ac:dyDescent="0.2">
      <c r="O103">
        <f t="shared" ref="O103:T103" si="8">IF($K100&gt;0,ROUND(O101*$E100/100,DpCU),IF(O104&gt;10000,ROUND(HLOOKUP(O104,$O100:$T103,4,FALSE)/100*O101,DpCU),IF(OR(O100&lt;20001,O100&gt;95000,AND(60000&lt;O100,O100&lt;70001)),ROUND(ROUND(O101*JL/$C100,DcCU)*O102,DpCU),IF(OR(AND(20000&lt;O100,O100&lt;22501),AND(30000&lt;O100,O100&lt;50001),77500&lt;O100),ROUND(O102*O101,DpCU),IF(OR(AND(22500&lt;O100,O100&lt;25001),AND(50000&lt;O100,O100&lt;53501),AND(70000&lt;O100,O100&lt;72501)),ROUND($F100/100*O101,DpCU),IF(OR(AND(25000&lt;O100,O100&lt;27501),AND(53500&lt;O100,O100&lt;57001),AND(72500&lt;O100,O100&lt;75001)),ROUND($G100/100*O101,DpCU),ROUND($H100/100*O101,DpCU)))))))</f>
        <v>9.3800000000000008</v>
      </c>
      <c r="P103">
        <f t="shared" si="8"/>
        <v>45</v>
      </c>
      <c r="Q103">
        <f t="shared" si="8"/>
        <v>106.25</v>
      </c>
      <c r="R103">
        <f t="shared" si="8"/>
        <v>75</v>
      </c>
      <c r="S103">
        <f t="shared" si="8"/>
        <v>125</v>
      </c>
      <c r="T103">
        <f t="shared" si="8"/>
        <v>125</v>
      </c>
    </row>
    <row r="104" spans="1:24" x14ac:dyDescent="0.2">
      <c r="B104" s="3" t="str">
        <f>A100&amp;"r"</f>
        <v>10020r</v>
      </c>
    </row>
    <row r="105" spans="1:24" x14ac:dyDescent="0.2">
      <c r="A105">
        <v>10021</v>
      </c>
      <c r="B105" s="3" t="s">
        <v>292</v>
      </c>
      <c r="C105" s="1">
        <f>ROUND(J105*JL*Frto/8,4)</f>
        <v>1</v>
      </c>
      <c r="D105" t="s">
        <v>168</v>
      </c>
      <c r="E105">
        <f>SUM($O108:$S108)</f>
        <v>158.75</v>
      </c>
      <c r="F105">
        <f>SUMIF($O105:$S105,"&lt;22501",$O108:$S108)</f>
        <v>0</v>
      </c>
      <c r="G105">
        <f>SUMIFS($O108:$S108,$O105:$S105,"&gt;30000",$O105:$S105,"&lt;50001")</f>
        <v>118.75</v>
      </c>
      <c r="H105">
        <f>SUMIFS($O108:$S108,$O105:$S105,"&gt;60000",$O105:$S105,"&lt;70001")</f>
        <v>0</v>
      </c>
      <c r="I105">
        <v>5</v>
      </c>
      <c r="J105">
        <v>1</v>
      </c>
      <c r="O105">
        <v>30040</v>
      </c>
      <c r="P105">
        <v>30044</v>
      </c>
      <c r="Q105">
        <v>30045</v>
      </c>
      <c r="R105">
        <v>30046</v>
      </c>
      <c r="S105">
        <v>77503</v>
      </c>
    </row>
    <row r="106" spans="1:24" x14ac:dyDescent="0.2">
      <c r="B106" s="3" t="str">
        <f>A105&amp;"C"</f>
        <v>10021C</v>
      </c>
      <c r="O106">
        <v>0.25</v>
      </c>
      <c r="P106">
        <v>1.25</v>
      </c>
      <c r="Q106">
        <v>0.625</v>
      </c>
      <c r="R106">
        <v>0.5</v>
      </c>
      <c r="S106">
        <v>0.5</v>
      </c>
    </row>
    <row r="107" spans="1:24" x14ac:dyDescent="0.2">
      <c r="O107">
        <f>IF(O109&gt;10000,HLOOKUP(O109,N105:$O108,4,FALSE),IF(OR(AND(22500&lt;O105,O105&lt;25001),AND(50000&lt;O105,O105&lt;53501),AND(70000&lt;O105,O105&lt;72501)),$F105,IF(OR(AND(25001&lt;O105,O105&lt;27501),AND(53500&lt;O105,O105&lt;57001),AND(72500&lt;O105,O105&lt;75001)),$G105,IF(OR(AND(27500&lt;O105,O105&lt;30001),AND(57000&lt;O105,O105&lt;60001),AND(75000&lt;O105,O105&lt;77500)),$H105,VLOOKUP(O105,BDins,6,FALSE)))))</f>
        <v>90</v>
      </c>
      <c r="P107">
        <f>IF(P109&gt;10000,HLOOKUP(P109,O105:$O108,4,FALSE),IF(OR(AND(22500&lt;P105,P105&lt;25001),AND(50000&lt;P105,P105&lt;53501),AND(70000&lt;P105,P105&lt;72501)),$F105,IF(OR(AND(25001&lt;P105,P105&lt;27501),AND(53500&lt;P105,P105&lt;57001),AND(72500&lt;P105,P105&lt;75001)),$G105,IF(OR(AND(27500&lt;P105,P105&lt;30001),AND(57000&lt;P105,P105&lt;60001),AND(75000&lt;P105,P105&lt;77500)),$H105,VLOOKUP(P105,BDins,6,FALSE)))))</f>
        <v>50</v>
      </c>
      <c r="Q107">
        <f>IF(Q109&gt;10000,HLOOKUP(Q109,$O105:P108,4,FALSE),IF(OR(AND(22500&lt;Q105,Q105&lt;25001),AND(50000&lt;Q105,Q105&lt;53501),AND(70000&lt;Q105,Q105&lt;72501)),$F105,IF(OR(AND(25001&lt;Q105,Q105&lt;27501),AND(53500&lt;Q105,Q105&lt;57001),AND(72500&lt;Q105,Q105&lt;75001)),$G105,IF(OR(AND(27500&lt;Q105,Q105&lt;30001),AND(57000&lt;Q105,Q105&lt;60001),AND(75000&lt;Q105,Q105&lt;77500)),$H105,VLOOKUP(Q105,BDins,6,FALSE)))))</f>
        <v>30</v>
      </c>
      <c r="R107">
        <f>IF(R109&gt;10000,HLOOKUP(R109,$O105:Q108,4,FALSE),IF(OR(AND(22500&lt;R105,R105&lt;25001),AND(50000&lt;R105,R105&lt;53501),AND(70000&lt;R105,R105&lt;72501)),$F105,IF(OR(AND(25001&lt;R105,R105&lt;27501),AND(53500&lt;R105,R105&lt;57001),AND(72500&lt;R105,R105&lt;75001)),$G105,IF(OR(AND(27500&lt;R105,R105&lt;30001),AND(57000&lt;R105,R105&lt;60001),AND(75000&lt;R105,R105&lt;77500)),$H105,VLOOKUP(R105,BDins,6,FALSE)))))</f>
        <v>30</v>
      </c>
      <c r="S107">
        <f>IF(S109&gt;10000,HLOOKUP(S109,$O105:R108,4,FALSE),IF(OR(AND(22500&lt;S105,S105&lt;25001),AND(50000&lt;S105,S105&lt;53501),AND(70000&lt;S105,S105&lt;72501)),$F105,IF(OR(AND(25001&lt;S105,S105&lt;27501),AND(53500&lt;S105,S105&lt;57001),AND(72500&lt;S105,S105&lt;75001)),$G105,IF(OR(AND(27500&lt;S105,S105&lt;30001),AND(57000&lt;S105,S105&lt;60001),AND(75000&lt;S105,S105&lt;77500)),$H105,VLOOKUP(S105,BDins,6,FALSE)))))</f>
        <v>80</v>
      </c>
    </row>
    <row r="108" spans="1:24" x14ac:dyDescent="0.2">
      <c r="O108">
        <f>IF($K105&gt;0,ROUND(O106*$E105/100,DpCU),IF(O109&gt;10000,ROUND(HLOOKUP(O109,$O105:$S108,4,FALSE)/100*O106,DpCU),IF(OR(O105&lt;20001,O105&gt;95000,AND(60000&lt;O105,O105&lt;70001)),ROUND(ROUND(O106*JL/$C105,DcCU)*O107,DpCU),IF(OR(AND(20000&lt;O105,O105&lt;22501),AND(30000&lt;O105,O105&lt;50001),77500&lt;O105),ROUND(O107*O106,DpCU),IF(OR(AND(22500&lt;O105,O105&lt;25001),AND(50000&lt;O105,O105&lt;53501),AND(70000&lt;O105,O105&lt;72501)),ROUND($F105/100*O106,DpCU),IF(OR(AND(25000&lt;O105,O105&lt;27501),AND(53500&lt;O105,O105&lt;57001),AND(72500&lt;O105,O105&lt;75001)),ROUND($G105/100*O106,DpCU),ROUND($H105/100*O106,DpCU)))))))</f>
        <v>22.5</v>
      </c>
      <c r="P108">
        <f>IF($K105&gt;0,ROUND(P106*$E105/100,DpCU),IF(P109&gt;10000,ROUND(HLOOKUP(P109,$O105:$S108,4,FALSE)/100*P106,DpCU),IF(OR(P105&lt;20001,P105&gt;95000,AND(60000&lt;P105,P105&lt;70001)),ROUND(ROUND(P106*JL/$C105,DcCU)*P107,DpCU),IF(OR(AND(20000&lt;P105,P105&lt;22501),AND(30000&lt;P105,P105&lt;50001),77500&lt;P105),ROUND(P107*P106,DpCU),IF(OR(AND(22500&lt;P105,P105&lt;25001),AND(50000&lt;P105,P105&lt;53501),AND(70000&lt;P105,P105&lt;72501)),ROUND($F105/100*P106,DpCU),IF(OR(AND(25000&lt;P105,P105&lt;27501),AND(53500&lt;P105,P105&lt;57001),AND(72500&lt;P105,P105&lt;75001)),ROUND($G105/100*P106,DpCU),ROUND($H105/100*P106,DpCU)))))))</f>
        <v>62.5</v>
      </c>
      <c r="Q108">
        <f>IF($K105&gt;0,ROUND(Q106*$E105/100,DpCU),IF(Q109&gt;10000,ROUND(HLOOKUP(Q109,$O105:$S108,4,FALSE)/100*Q106,DpCU),IF(OR(Q105&lt;20001,Q105&gt;95000,AND(60000&lt;Q105,Q105&lt;70001)),ROUND(ROUND(Q106*JL/$C105,DcCU)*Q107,DpCU),IF(OR(AND(20000&lt;Q105,Q105&lt;22501),AND(30000&lt;Q105,Q105&lt;50001),77500&lt;Q105),ROUND(Q107*Q106,DpCU),IF(OR(AND(22500&lt;Q105,Q105&lt;25001),AND(50000&lt;Q105,Q105&lt;53501),AND(70000&lt;Q105,Q105&lt;72501)),ROUND($F105/100*Q106,DpCU),IF(OR(AND(25000&lt;Q105,Q105&lt;27501),AND(53500&lt;Q105,Q105&lt;57001),AND(72500&lt;Q105,Q105&lt;75001)),ROUND($G105/100*Q106,DpCU),ROUND($H105/100*Q106,DpCU)))))))</f>
        <v>18.75</v>
      </c>
      <c r="R108">
        <f>IF($K105&gt;0,ROUND(R106*$E105/100,DpCU),IF(R109&gt;10000,ROUND(HLOOKUP(R109,$O105:$S108,4,FALSE)/100*R106,DpCU),IF(OR(R105&lt;20001,R105&gt;95000,AND(60000&lt;R105,R105&lt;70001)),ROUND(ROUND(R106*JL/$C105,DcCU)*R107,DpCU),IF(OR(AND(20000&lt;R105,R105&lt;22501),AND(30000&lt;R105,R105&lt;50001),77500&lt;R105),ROUND(R107*R106,DpCU),IF(OR(AND(22500&lt;R105,R105&lt;25001),AND(50000&lt;R105,R105&lt;53501),AND(70000&lt;R105,R105&lt;72501)),ROUND($F105/100*R106,DpCU),IF(OR(AND(25000&lt;R105,R105&lt;27501),AND(53500&lt;R105,R105&lt;57001),AND(72500&lt;R105,R105&lt;75001)),ROUND($G105/100*R106,DpCU),ROUND($H105/100*R106,DpCU)))))))</f>
        <v>15</v>
      </c>
      <c r="S108">
        <f>IF($K105&gt;0,ROUND(S106*$E105/100,DpCU),IF(S109&gt;10000,ROUND(HLOOKUP(S109,$O105:$S108,4,FALSE)/100*S106,DpCU),IF(OR(S105&lt;20001,S105&gt;95000,AND(60000&lt;S105,S105&lt;70001)),ROUND(ROUND(S106*JL/$C105,DcCU)*S107,DpCU),IF(OR(AND(20000&lt;S105,S105&lt;22501),AND(30000&lt;S105,S105&lt;50001),77500&lt;S105),ROUND(S107*S106,DpCU),IF(OR(AND(22500&lt;S105,S105&lt;25001),AND(50000&lt;S105,S105&lt;53501),AND(70000&lt;S105,S105&lt;72501)),ROUND($F105/100*S106,DpCU),IF(OR(AND(25000&lt;S105,S105&lt;27501),AND(53500&lt;S105,S105&lt;57001),AND(72500&lt;S105,S105&lt;75001)),ROUND($G105/100*S106,DpCU),ROUND($H105/100*S106,DpCU)))))))</f>
        <v>40</v>
      </c>
    </row>
    <row r="109" spans="1:24" x14ac:dyDescent="0.2">
      <c r="B109" s="3" t="str">
        <f>A105&amp;"r"</f>
        <v>10021r</v>
      </c>
    </row>
    <row r="110" spans="1:24" x14ac:dyDescent="0.2">
      <c r="A110">
        <v>10022</v>
      </c>
      <c r="B110" s="3" t="s">
        <v>298</v>
      </c>
      <c r="C110" s="1">
        <f>ROUND(J110*JL*Frto/8,4)</f>
        <v>1</v>
      </c>
      <c r="D110" t="s">
        <v>168</v>
      </c>
      <c r="E110">
        <f>SUM($O113:$O113)</f>
        <v>125</v>
      </c>
      <c r="F110">
        <f>SUMIF($O110:$O110,"&lt;22501",$O113:$O113)</f>
        <v>0</v>
      </c>
      <c r="G110">
        <f>SUMIFS($O113:$O113,$O110:$O110,"&gt;30000",$O110:$O110,"&lt;50001")</f>
        <v>0</v>
      </c>
      <c r="H110">
        <f>SUMIFS($O113:$O113,$O110:$O110,"&gt;60000",$O110:$O110,"&lt;70001")</f>
        <v>0</v>
      </c>
      <c r="I110">
        <v>1</v>
      </c>
      <c r="J110">
        <v>1</v>
      </c>
      <c r="O110">
        <v>80003</v>
      </c>
    </row>
    <row r="111" spans="1:24" x14ac:dyDescent="0.2">
      <c r="B111" s="3" t="str">
        <f>A110&amp;"C"</f>
        <v>10022C</v>
      </c>
      <c r="O111">
        <v>0.125</v>
      </c>
    </row>
    <row r="112" spans="1:24" x14ac:dyDescent="0.2">
      <c r="O112">
        <f>IF(O114&gt;10000,HLOOKUP(O114,N110:$O113,4,FALSE),IF(OR(AND(22500&lt;O110,O110&lt;25001),AND(50000&lt;O110,O110&lt;53501),AND(70000&lt;O110,O110&lt;72501)),$F110,IF(OR(AND(25001&lt;O110,O110&lt;27501),AND(53500&lt;O110,O110&lt;57001),AND(72500&lt;O110,O110&lt;75001)),$G110,IF(OR(AND(27500&lt;O110,O110&lt;30001),AND(57000&lt;O110,O110&lt;60001),AND(75000&lt;O110,O110&lt;77500)),$H110,VLOOKUP(O110,BDins,6,FALSE)))))</f>
        <v>1000</v>
      </c>
    </row>
    <row r="113" spans="1:19" x14ac:dyDescent="0.2">
      <c r="O113">
        <f>IF($K110&gt;0,ROUND(O111*$E110/100,DpCU),IF(O114&gt;10000,ROUND(HLOOKUP(O114,$O110:$O113,4,FALSE)/100*O111,DpCU),IF(OR(O110&lt;20001,O110&gt;95000,AND(60000&lt;O110,O110&lt;70001)),ROUND(ROUND(O111*JL/$C110,DcCU)*O112,DpCU),IF(OR(AND(20000&lt;O110,O110&lt;22501),AND(30000&lt;O110,O110&lt;50001),77500&lt;O110),ROUND(O112*O111,DpCU),IF(OR(AND(22500&lt;O110,O110&lt;25001),AND(50000&lt;O110,O110&lt;53501),AND(70000&lt;O110,O110&lt;72501)),ROUND($F110/100*O111,DpCU),IF(OR(AND(25000&lt;O110,O110&lt;27501),AND(53500&lt;O110,O110&lt;57001),AND(72500&lt;O110,O110&lt;75001)),ROUND($G110/100*O111,DpCU),ROUND($H110/100*O111,DpCU)))))))</f>
        <v>125</v>
      </c>
    </row>
    <row r="114" spans="1:19" x14ac:dyDescent="0.2">
      <c r="B114" s="3" t="str">
        <f>A110&amp;"r"</f>
        <v>10022r</v>
      </c>
    </row>
    <row r="115" spans="1:19" x14ac:dyDescent="0.2">
      <c r="A115">
        <v>10023</v>
      </c>
      <c r="B115" s="3" t="s">
        <v>300</v>
      </c>
      <c r="C115" s="1">
        <f>ROUND(J115*JL*Frto/8,4)</f>
        <v>1</v>
      </c>
      <c r="D115" t="s">
        <v>168</v>
      </c>
      <c r="E115">
        <f>SUM($O118:$S118)</f>
        <v>182.5</v>
      </c>
      <c r="F115">
        <f>SUMIF($O115:$S115,"&lt;22501",$O118:$S118)</f>
        <v>0</v>
      </c>
      <c r="G115">
        <f>SUMIFS($O118:$S118,$O115:$S115,"&gt;30000",$O115:$S115,"&lt;50001")</f>
        <v>3.75</v>
      </c>
      <c r="H115">
        <f>SUMIFS($O118:$S118,$O115:$S115,"&gt;60000",$O115:$S115,"&lt;70001")</f>
        <v>0</v>
      </c>
      <c r="I115">
        <v>5</v>
      </c>
      <c r="J115">
        <v>1</v>
      </c>
      <c r="O115">
        <v>30047</v>
      </c>
      <c r="P115">
        <v>77504</v>
      </c>
      <c r="Q115">
        <v>77505</v>
      </c>
      <c r="R115">
        <v>77506</v>
      </c>
      <c r="S115">
        <v>80004</v>
      </c>
    </row>
    <row r="116" spans="1:19" x14ac:dyDescent="0.2">
      <c r="B116" s="3" t="str">
        <f>A115&amp;"C"</f>
        <v>10023C</v>
      </c>
      <c r="O116">
        <v>0.125</v>
      </c>
      <c r="P116">
        <v>0.125</v>
      </c>
      <c r="Q116">
        <v>0.125</v>
      </c>
      <c r="R116">
        <v>0.125</v>
      </c>
      <c r="S116">
        <v>0.625</v>
      </c>
    </row>
    <row r="117" spans="1:19" x14ac:dyDescent="0.2">
      <c r="O117">
        <f>IF(O119&gt;10000,HLOOKUP(O119,N115:$O118,4,FALSE),IF(OR(AND(22500&lt;O115,O115&lt;25001),AND(50000&lt;O115,O115&lt;53501),AND(70000&lt;O115,O115&lt;72501)),$F115,IF(OR(AND(25001&lt;O115,O115&lt;27501),AND(53500&lt;O115,O115&lt;57001),AND(72500&lt;O115,O115&lt;75001)),$G115,IF(OR(AND(27500&lt;O115,O115&lt;30001),AND(57000&lt;O115,O115&lt;60001),AND(75000&lt;O115,O115&lt;77500)),$H115,VLOOKUP(O115,BDins,6,FALSE)))))</f>
        <v>30</v>
      </c>
      <c r="P117">
        <f>IF(P119&gt;10000,HLOOKUP(P119,O115:$O118,4,FALSE),IF(OR(AND(22500&lt;P115,P115&lt;25001),AND(50000&lt;P115,P115&lt;53501),AND(70000&lt;P115,P115&lt;72501)),$F115,IF(OR(AND(25001&lt;P115,P115&lt;27501),AND(53500&lt;P115,P115&lt;57001),AND(72500&lt;P115,P115&lt;75001)),$G115,IF(OR(AND(27500&lt;P115,P115&lt;30001),AND(57000&lt;P115,P115&lt;60001),AND(75000&lt;P115,P115&lt;77500)),$H115,VLOOKUP(P115,BDins,6,FALSE)))))</f>
        <v>100</v>
      </c>
      <c r="Q117">
        <f>IF(Q119&gt;10000,HLOOKUP(Q119,$O115:P118,4,FALSE),IF(OR(AND(22500&lt;Q115,Q115&lt;25001),AND(50000&lt;Q115,Q115&lt;53501),AND(70000&lt;Q115,Q115&lt;72501)),$F115,IF(OR(AND(25001&lt;Q115,Q115&lt;27501),AND(53500&lt;Q115,Q115&lt;57001),AND(72500&lt;Q115,Q115&lt;75001)),$G115,IF(OR(AND(27500&lt;Q115,Q115&lt;30001),AND(57000&lt;Q115,Q115&lt;60001),AND(75000&lt;Q115,Q115&lt;77500)),$H115,VLOOKUP(Q115,BDins,6,FALSE)))))</f>
        <v>250</v>
      </c>
      <c r="R117">
        <f>IF(R119&gt;10000,HLOOKUP(R119,$O115:Q118,4,FALSE),IF(OR(AND(22500&lt;R115,R115&lt;25001),AND(50000&lt;R115,R115&lt;53501),AND(70000&lt;R115,R115&lt;72501)),$F115,IF(OR(AND(25001&lt;R115,R115&lt;27501),AND(53500&lt;R115,R115&lt;57001),AND(72500&lt;R115,R115&lt;75001)),$G115,IF(OR(AND(27500&lt;R115,R115&lt;30001),AND(57000&lt;R115,R115&lt;60001),AND(75000&lt;R115,R115&lt;77500)),$H115,VLOOKUP(R115,BDins,6,FALSE)))))</f>
        <v>80</v>
      </c>
      <c r="S117">
        <f>IF(S119&gt;10000,HLOOKUP(S119,$O115:R118,4,FALSE),IF(OR(AND(22500&lt;S115,S115&lt;25001),AND(50000&lt;S115,S115&lt;53501),AND(70000&lt;S115,S115&lt;72501)),$F115,IF(OR(AND(25001&lt;S115,S115&lt;27501),AND(53500&lt;S115,S115&lt;57001),AND(72500&lt;S115,S115&lt;75001)),$G115,IF(OR(AND(27500&lt;S115,S115&lt;30001),AND(57000&lt;S115,S115&lt;60001),AND(75000&lt;S115,S115&lt;77500)),$H115,VLOOKUP(S115,BDins,6,FALSE)))))</f>
        <v>200</v>
      </c>
    </row>
    <row r="118" spans="1:19" x14ac:dyDescent="0.2">
      <c r="O118">
        <f>IF($K115&gt;0,ROUND(O116*$E115/100,DpCU),IF(O119&gt;10000,ROUND(HLOOKUP(O119,$O115:$S118,4,FALSE)/100*O116,DpCU),IF(OR(O115&lt;20001,O115&gt;95000,AND(60000&lt;O115,O115&lt;70001)),ROUND(ROUND(O116*JL/$C115,DcCU)*O117,DpCU),IF(OR(AND(20000&lt;O115,O115&lt;22501),AND(30000&lt;O115,O115&lt;50001),77500&lt;O115),ROUND(O117*O116,DpCU),IF(OR(AND(22500&lt;O115,O115&lt;25001),AND(50000&lt;O115,O115&lt;53501),AND(70000&lt;O115,O115&lt;72501)),ROUND($F115/100*O116,DpCU),IF(OR(AND(25000&lt;O115,O115&lt;27501),AND(53500&lt;O115,O115&lt;57001),AND(72500&lt;O115,O115&lt;75001)),ROUND($G115/100*O116,DpCU),ROUND($H115/100*O116,DpCU)))))))</f>
        <v>3.75</v>
      </c>
      <c r="P118">
        <f>IF($K115&gt;0,ROUND(P116*$E115/100,DpCU),IF(P119&gt;10000,ROUND(HLOOKUP(P119,$O115:$S118,4,FALSE)/100*P116,DpCU),IF(OR(P115&lt;20001,P115&gt;95000,AND(60000&lt;P115,P115&lt;70001)),ROUND(ROUND(P116*JL/$C115,DcCU)*P117,DpCU),IF(OR(AND(20000&lt;P115,P115&lt;22501),AND(30000&lt;P115,P115&lt;50001),77500&lt;P115),ROUND(P117*P116,DpCU),IF(OR(AND(22500&lt;P115,P115&lt;25001),AND(50000&lt;P115,P115&lt;53501),AND(70000&lt;P115,P115&lt;72501)),ROUND($F115/100*P116,DpCU),IF(OR(AND(25000&lt;P115,P115&lt;27501),AND(53500&lt;P115,P115&lt;57001),AND(72500&lt;P115,P115&lt;75001)),ROUND($G115/100*P116,DpCU),ROUND($H115/100*P116,DpCU)))))))</f>
        <v>12.5</v>
      </c>
      <c r="Q118">
        <f>IF($K115&gt;0,ROUND(Q116*$E115/100,DpCU),IF(Q119&gt;10000,ROUND(HLOOKUP(Q119,$O115:$S118,4,FALSE)/100*Q116,DpCU),IF(OR(Q115&lt;20001,Q115&gt;95000,AND(60000&lt;Q115,Q115&lt;70001)),ROUND(ROUND(Q116*JL/$C115,DcCU)*Q117,DpCU),IF(OR(AND(20000&lt;Q115,Q115&lt;22501),AND(30000&lt;Q115,Q115&lt;50001),77500&lt;Q115),ROUND(Q117*Q116,DpCU),IF(OR(AND(22500&lt;Q115,Q115&lt;25001),AND(50000&lt;Q115,Q115&lt;53501),AND(70000&lt;Q115,Q115&lt;72501)),ROUND($F115/100*Q116,DpCU),IF(OR(AND(25000&lt;Q115,Q115&lt;27501),AND(53500&lt;Q115,Q115&lt;57001),AND(72500&lt;Q115,Q115&lt;75001)),ROUND($G115/100*Q116,DpCU),ROUND($H115/100*Q116,DpCU)))))))</f>
        <v>31.25</v>
      </c>
      <c r="R118">
        <f>IF($K115&gt;0,ROUND(R116*$E115/100,DpCU),IF(R119&gt;10000,ROUND(HLOOKUP(R119,$O115:$S118,4,FALSE)/100*R116,DpCU),IF(OR(R115&lt;20001,R115&gt;95000,AND(60000&lt;R115,R115&lt;70001)),ROUND(ROUND(R116*JL/$C115,DcCU)*R117,DpCU),IF(OR(AND(20000&lt;R115,R115&lt;22501),AND(30000&lt;R115,R115&lt;50001),77500&lt;R115),ROUND(R117*R116,DpCU),IF(OR(AND(22500&lt;R115,R115&lt;25001),AND(50000&lt;R115,R115&lt;53501),AND(70000&lt;R115,R115&lt;72501)),ROUND($F115/100*R116,DpCU),IF(OR(AND(25000&lt;R115,R115&lt;27501),AND(53500&lt;R115,R115&lt;57001),AND(72500&lt;R115,R115&lt;75001)),ROUND($G115/100*R116,DpCU),ROUND($H115/100*R116,DpCU)))))))</f>
        <v>10</v>
      </c>
      <c r="S118">
        <f>IF($K115&gt;0,ROUND(S116*$E115/100,DpCU),IF(S119&gt;10000,ROUND(HLOOKUP(S119,$O115:$S118,4,FALSE)/100*S116,DpCU),IF(OR(S115&lt;20001,S115&gt;95000,AND(60000&lt;S115,S115&lt;70001)),ROUND(ROUND(S116*JL/$C115,DcCU)*S117,DpCU),IF(OR(AND(20000&lt;S115,S115&lt;22501),AND(30000&lt;S115,S115&lt;50001),77500&lt;S115),ROUND(S117*S116,DpCU),IF(OR(AND(22500&lt;S115,S115&lt;25001),AND(50000&lt;S115,S115&lt;53501),AND(70000&lt;S115,S115&lt;72501)),ROUND($F115/100*S116,DpCU),IF(OR(AND(25000&lt;S115,S115&lt;27501),AND(53500&lt;S115,S115&lt;57001),AND(72500&lt;S115,S115&lt;75001)),ROUND($G115/100*S116,DpCU),ROUND($H115/100*S116,DpCU)))))))</f>
        <v>125</v>
      </c>
    </row>
    <row r="119" spans="1:19" x14ac:dyDescent="0.2">
      <c r="B119" s="3" t="str">
        <f>A115&amp;"r"</f>
        <v>10023r</v>
      </c>
    </row>
    <row r="120" spans="1:19" x14ac:dyDescent="0.2">
      <c r="A120">
        <v>10024</v>
      </c>
      <c r="B120" s="3" t="s">
        <v>313</v>
      </c>
      <c r="C120" s="1">
        <f>ROUND(J120*JL*Frto/8,4)</f>
        <v>120</v>
      </c>
      <c r="D120" t="s">
        <v>34</v>
      </c>
      <c r="E120">
        <f>SUM($O123:$S123)</f>
        <v>21.71</v>
      </c>
      <c r="F120">
        <f>SUMIF($O120:$S120,"&lt;22501",$O123:$S123)</f>
        <v>3.66</v>
      </c>
      <c r="G120">
        <f>SUMIFS($O123:$S123,$O120:$S120,"&gt;30000",$O120:$S120,"&lt;50001")</f>
        <v>0</v>
      </c>
      <c r="H120">
        <f>SUMIFS($O123:$S123,$O120:$S120,"&gt;60000",$O120:$S120,"&lt;70001")</f>
        <v>18.010000000000002</v>
      </c>
      <c r="I120">
        <v>5</v>
      </c>
      <c r="J120">
        <v>120</v>
      </c>
      <c r="O120">
        <v>10003</v>
      </c>
      <c r="P120">
        <v>10007</v>
      </c>
      <c r="Q120">
        <v>10008</v>
      </c>
      <c r="R120">
        <v>60007</v>
      </c>
      <c r="S120">
        <v>70001</v>
      </c>
    </row>
    <row r="121" spans="1:19" x14ac:dyDescent="0.2">
      <c r="B121" s="3" t="str">
        <f>A120&amp;"C"</f>
        <v>10024C</v>
      </c>
      <c r="O121">
        <v>1.6</v>
      </c>
      <c r="P121">
        <v>0.8</v>
      </c>
      <c r="Q121">
        <v>0.8</v>
      </c>
      <c r="R121">
        <v>1</v>
      </c>
      <c r="S121">
        <v>1</v>
      </c>
    </row>
    <row r="122" spans="1:19" x14ac:dyDescent="0.2">
      <c r="O122">
        <f>IF(O124&gt;10000,HLOOKUP(O124,N120:$O123,4,FALSE),IF(OR(AND(22500&lt;O120,O120&lt;25001),AND(50000&lt;O120,O120&lt;53501),AND(70000&lt;O120,O120&lt;72501)),$F120,IF(OR(AND(25001&lt;O120,O120&lt;27501),AND(53500&lt;O120,O120&lt;57001),AND(72500&lt;O120,O120&lt;75001)),$G120,IF(OR(AND(27500&lt;O120,O120&lt;30001),AND(57000&lt;O120,O120&lt;60001),AND(75000&lt;O120,O120&lt;77500)),$H120,VLOOKUP(O120,BDins,6,FALSE)))))</f>
        <v>15.36</v>
      </c>
      <c r="P122">
        <f>IF(P124&gt;10000,HLOOKUP(P124,O120:$O123,4,FALSE),IF(OR(AND(22500&lt;P120,P120&lt;25001),AND(50000&lt;P120,P120&lt;53501),AND(70000&lt;P120,P120&lt;72501)),$F120,IF(OR(AND(25001&lt;P120,P120&lt;27501),AND(53500&lt;P120,P120&lt;57001),AND(72500&lt;P120,P120&lt;75001)),$G120,IF(OR(AND(27500&lt;P120,P120&lt;30001),AND(57000&lt;P120,P120&lt;60001),AND(75000&lt;P120,P120&lt;77500)),$H120,VLOOKUP(P120,BDins,6,FALSE)))))</f>
        <v>20.81</v>
      </c>
      <c r="Q122">
        <f>IF(Q124&gt;10000,HLOOKUP(Q124,$O120:P123,4,FALSE),IF(OR(AND(22500&lt;Q120,Q120&lt;25001),AND(50000&lt;Q120,Q120&lt;53501),AND(70000&lt;Q120,Q120&lt;72501)),$F120,IF(OR(AND(25001&lt;Q120,Q120&lt;27501),AND(53500&lt;Q120,Q120&lt;57001),AND(72500&lt;Q120,Q120&lt;75001)),$G120,IF(OR(AND(27500&lt;Q120,Q120&lt;30001),AND(57000&lt;Q120,Q120&lt;60001),AND(75000&lt;Q120,Q120&lt;77500)),$H120,VLOOKUP(Q120,BDins,6,FALSE)))))</f>
        <v>17.09</v>
      </c>
      <c r="R122">
        <f>IF(R124&gt;10000,HLOOKUP(R124,$O120:Q123,4,FALSE),IF(OR(AND(22500&lt;R120,R120&lt;25001),AND(50000&lt;R120,R120&lt;53501),AND(70000&lt;R120,R120&lt;72501)),$F120,IF(OR(AND(25001&lt;R120,R120&lt;27501),AND(53500&lt;R120,R120&lt;57001),AND(72500&lt;R120,R120&lt;75001)),$G120,IF(OR(AND(27500&lt;R120,R120&lt;30001),AND(57000&lt;R120,R120&lt;60001),AND(75000&lt;R120,R120&lt;77500)),$H120,VLOOKUP(R120,BDins,6,FALSE)))))</f>
        <v>270</v>
      </c>
      <c r="S122">
        <f>IF(S124&gt;10000,HLOOKUP(S124,$O120:R123,4,FALSE),IF(OR(AND(22500&lt;S120,S120&lt;25001),AND(50000&lt;S120,S120&lt;53501),AND(70000&lt;S120,S120&lt;72501)),$F120,IF(OR(AND(25001&lt;S120,S120&lt;27501),AND(53500&lt;S120,S120&lt;57001),AND(72500&lt;S120,S120&lt;75001)),$G120,IF(OR(AND(27500&lt;S120,S120&lt;30001),AND(57000&lt;S120,S120&lt;60001),AND(75000&lt;S120,S120&lt;77500)),$H120,VLOOKUP(S120,BDins,6,FALSE)))))</f>
        <v>3.66</v>
      </c>
    </row>
    <row r="123" spans="1:19" x14ac:dyDescent="0.2">
      <c r="O123">
        <f>IF($K120&gt;0,ROUND(O121*$E120/100,DpCU),IF(O124&gt;10000,ROUND(HLOOKUP(O124,$O120:$S123,4,FALSE)/100*O121,DpCU),IF(OR(O120&lt;20001,O120&gt;95000,AND(60000&lt;O120,O120&lt;70001)),ROUND(ROUND(O121*JL/$C120,DcCU)*O122,DpCU),IF(OR(AND(20000&lt;O120,O120&lt;22501),AND(30000&lt;O120,O120&lt;50001),77500&lt;O120),ROUND(O122*O121,DpCU),IF(OR(AND(22500&lt;O120,O120&lt;25001),AND(50000&lt;O120,O120&lt;53501),AND(70000&lt;O120,O120&lt;72501)),ROUND($F120/100*O121,DpCU),IF(OR(AND(25000&lt;O120,O120&lt;27501),AND(53500&lt;O120,O120&lt;57001),AND(72500&lt;O120,O120&lt;75001)),ROUND($G120/100*O121,DpCU),ROUND($H120/100*O121,DpCU)))))))</f>
        <v>1.64</v>
      </c>
      <c r="P123">
        <f>IF($K120&gt;0,ROUND(P121*$E120/100,DpCU),IF(P124&gt;10000,ROUND(HLOOKUP(P124,$O120:$S123,4,FALSE)/100*P121,DpCU),IF(OR(P120&lt;20001,P120&gt;95000,AND(60000&lt;P120,P120&lt;70001)),ROUND(ROUND(P121*JL/$C120,DcCU)*P122,DpCU),IF(OR(AND(20000&lt;P120,P120&lt;22501),AND(30000&lt;P120,P120&lt;50001),77500&lt;P120),ROUND(P122*P121,DpCU),IF(OR(AND(22500&lt;P120,P120&lt;25001),AND(50000&lt;P120,P120&lt;53501),AND(70000&lt;P120,P120&lt;72501)),ROUND($F120/100*P121,DpCU),IF(OR(AND(25000&lt;P120,P120&lt;27501),AND(53500&lt;P120,P120&lt;57001),AND(72500&lt;P120,P120&lt;75001)),ROUND($G120/100*P121,DpCU),ROUND($H120/100*P121,DpCU)))))))</f>
        <v>1.1100000000000001</v>
      </c>
      <c r="Q123">
        <f>IF($K120&gt;0,ROUND(Q121*$E120/100,DpCU),IF(Q124&gt;10000,ROUND(HLOOKUP(Q124,$O120:$S123,4,FALSE)/100*Q121,DpCU),IF(OR(Q120&lt;20001,Q120&gt;95000,AND(60000&lt;Q120,Q120&lt;70001)),ROUND(ROUND(Q121*JL/$C120,DcCU)*Q122,DpCU),IF(OR(AND(20000&lt;Q120,Q120&lt;22501),AND(30000&lt;Q120,Q120&lt;50001),77500&lt;Q120),ROUND(Q122*Q121,DpCU),IF(OR(AND(22500&lt;Q120,Q120&lt;25001),AND(50000&lt;Q120,Q120&lt;53501),AND(70000&lt;Q120,Q120&lt;72501)),ROUND($F120/100*Q121,DpCU),IF(OR(AND(25000&lt;Q120,Q120&lt;27501),AND(53500&lt;Q120,Q120&lt;57001),AND(72500&lt;Q120,Q120&lt;75001)),ROUND($G120/100*Q121,DpCU),ROUND($H120/100*Q121,DpCU)))))))</f>
        <v>0.91</v>
      </c>
      <c r="R123">
        <f>IF($K120&gt;0,ROUND(R121*$E120/100,DpCU),IF(R124&gt;10000,ROUND(HLOOKUP(R124,$O120:$S123,4,FALSE)/100*R121,DpCU),IF(OR(R120&lt;20001,R120&gt;95000,AND(60000&lt;R120,R120&lt;70001)),ROUND(ROUND(R121*JL/$C120,DcCU)*R122,DpCU),IF(OR(AND(20000&lt;R120,R120&lt;22501),AND(30000&lt;R120,R120&lt;50001),77500&lt;R120),ROUND(R122*R121,DpCU),IF(OR(AND(22500&lt;R120,R120&lt;25001),AND(50000&lt;R120,R120&lt;53501),AND(70000&lt;R120,R120&lt;72501)),ROUND($F120/100*R121,DpCU),IF(OR(AND(25000&lt;R120,R120&lt;27501),AND(53500&lt;R120,R120&lt;57001),AND(72500&lt;R120,R120&lt;75001)),ROUND($G120/100*R121,DpCU),ROUND($H120/100*R121,DpCU)))))))</f>
        <v>18.010000000000002</v>
      </c>
      <c r="S123">
        <f>IF($K120&gt;0,ROUND(S121*$E120/100,DpCU),IF(S124&gt;10000,ROUND(HLOOKUP(S124,$O120:$S123,4,FALSE)/100*S121,DpCU),IF(OR(S120&lt;20001,S120&gt;95000,AND(60000&lt;S120,S120&lt;70001)),ROUND(ROUND(S121*JL/$C120,DcCU)*S122,DpCU),IF(OR(AND(20000&lt;S120,S120&lt;22501),AND(30000&lt;S120,S120&lt;50001),77500&lt;S120),ROUND(S122*S121,DpCU),IF(OR(AND(22500&lt;S120,S120&lt;25001),AND(50000&lt;S120,S120&lt;53501),AND(70000&lt;S120,S120&lt;72501)),ROUND($F120/100*S121,DpCU),IF(OR(AND(25000&lt;S120,S120&lt;27501),AND(53500&lt;S120,S120&lt;57001),AND(72500&lt;S120,S120&lt;75001)),ROUND($G120/100*S121,DpCU),ROUND($H120/100*S121,DpCU)))))))</f>
        <v>0.04</v>
      </c>
    </row>
    <row r="124" spans="1:19" x14ac:dyDescent="0.2">
      <c r="B124" s="3" t="str">
        <f>A120&amp;"r"</f>
        <v>10024r</v>
      </c>
    </row>
    <row r="125" spans="1:19" x14ac:dyDescent="0.2">
      <c r="A125">
        <v>10025</v>
      </c>
      <c r="B125" s="3" t="s">
        <v>316</v>
      </c>
      <c r="C125" s="1">
        <f>ROUND(J125*JL*Frto/8,4)</f>
        <v>2.5</v>
      </c>
      <c r="D125" t="s">
        <v>34</v>
      </c>
      <c r="E125">
        <f>SUM($O128:$Q128)</f>
        <v>60</v>
      </c>
      <c r="F125">
        <f>SUMIF($O125:$Q125,"&lt;22501",$O128:$Q128)</f>
        <v>57.14</v>
      </c>
      <c r="G125">
        <f>SUMIFS($O128:$Q128,$O125:$Q125,"&gt;30000",$O125:$Q125,"&lt;50001")</f>
        <v>0</v>
      </c>
      <c r="H125">
        <f>SUMIFS($O128:$Q128,$O125:$Q125,"&gt;60000",$O125:$Q125,"&lt;70001")</f>
        <v>0</v>
      </c>
      <c r="I125">
        <v>3</v>
      </c>
      <c r="J125">
        <v>2.5</v>
      </c>
      <c r="O125">
        <v>10001</v>
      </c>
      <c r="P125">
        <v>10003</v>
      </c>
      <c r="Q125">
        <v>70001</v>
      </c>
    </row>
    <row r="126" spans="1:19" x14ac:dyDescent="0.2">
      <c r="B126" s="3" t="str">
        <f>A125&amp;"C"</f>
        <v>10025C</v>
      </c>
      <c r="O126">
        <v>0.1</v>
      </c>
      <c r="P126">
        <v>1</v>
      </c>
      <c r="Q126">
        <v>5</v>
      </c>
    </row>
    <row r="127" spans="1:19" x14ac:dyDescent="0.2">
      <c r="O127">
        <f>IF(O129&gt;10000,HLOOKUP(O129,N125:$O128,4,FALSE),IF(OR(AND(22500&lt;O125,O125&lt;25001),AND(50000&lt;O125,O125&lt;53501),AND(70000&lt;O125,O125&lt;72501)),$F125,IF(OR(AND(25001&lt;O125,O125&lt;27501),AND(53500&lt;O125,O125&lt;57001),AND(72500&lt;O125,O125&lt;75001)),$G125,IF(OR(AND(27500&lt;O125,O125&lt;30001),AND(57000&lt;O125,O125&lt;60001),AND(75000&lt;O125,O125&lt;77500)),$H125,VLOOKUP(O125,BDins,6,FALSE)))))</f>
        <v>24.97</v>
      </c>
      <c r="P127">
        <f>IF(P129&gt;10000,HLOOKUP(P129,O125:$O128,4,FALSE),IF(OR(AND(22500&lt;P125,P125&lt;25001),AND(50000&lt;P125,P125&lt;53501),AND(70000&lt;P125,P125&lt;72501)),$F125,IF(OR(AND(25001&lt;P125,P125&lt;27501),AND(53500&lt;P125,P125&lt;57001),AND(72500&lt;P125,P125&lt;75001)),$G125,IF(OR(AND(27500&lt;P125,P125&lt;30001),AND(57000&lt;P125,P125&lt;60001),AND(75000&lt;P125,P125&lt;77500)),$H125,VLOOKUP(P125,BDins,6,FALSE)))))</f>
        <v>15.36</v>
      </c>
      <c r="Q127">
        <f>IF(Q129&gt;10000,HLOOKUP(Q129,$O125:P128,4,FALSE),IF(OR(AND(22500&lt;Q125,Q125&lt;25001),AND(50000&lt;Q125,Q125&lt;53501),AND(70000&lt;Q125,Q125&lt;72501)),$F125,IF(OR(AND(25001&lt;Q125,Q125&lt;27501),AND(53500&lt;Q125,Q125&lt;57001),AND(72500&lt;Q125,Q125&lt;75001)),$G125,IF(OR(AND(27500&lt;Q125,Q125&lt;30001),AND(57000&lt;Q125,Q125&lt;60001),AND(75000&lt;Q125,Q125&lt;77500)),$H125,VLOOKUP(Q125,BDins,6,FALSE)))))</f>
        <v>57.14</v>
      </c>
    </row>
    <row r="128" spans="1:19" x14ac:dyDescent="0.2">
      <c r="O128">
        <f>IF($K125&gt;0,ROUND(O126*$E125/100,DpCU),IF(O129&gt;10000,ROUND(HLOOKUP(O129,$O125:$Q128,4,FALSE)/100*O126,DpCU),IF(OR(O125&lt;20001,O125&gt;95000,AND(60000&lt;O125,O125&lt;70001)),ROUND(ROUND(O126*JL/$C125,DcCU)*O127,DpCU),IF(OR(AND(20000&lt;O125,O125&lt;22501),AND(30000&lt;O125,O125&lt;50001),77500&lt;O125),ROUND(O127*O126,DpCU),IF(OR(AND(22500&lt;O125,O125&lt;25001),AND(50000&lt;O125,O125&lt;53501),AND(70000&lt;O125,O125&lt;72501)),ROUND($F125/100*O126,DpCU),IF(OR(AND(25000&lt;O125,O125&lt;27501),AND(53500&lt;O125,O125&lt;57001),AND(72500&lt;O125,O125&lt;75001)),ROUND($G125/100*O126,DpCU),ROUND($H125/100*O126,DpCU)))))))</f>
        <v>7.99</v>
      </c>
      <c r="P128">
        <f>IF($K125&gt;0,ROUND(P126*$E125/100,DpCU),IF(P129&gt;10000,ROUND(HLOOKUP(P129,$O125:$Q128,4,FALSE)/100*P126,DpCU),IF(OR(P125&lt;20001,P125&gt;95000,AND(60000&lt;P125,P125&lt;70001)),ROUND(ROUND(P126*JL/$C125,DcCU)*P127,DpCU),IF(OR(AND(20000&lt;P125,P125&lt;22501),AND(30000&lt;P125,P125&lt;50001),77500&lt;P125),ROUND(P127*P126,DpCU),IF(OR(AND(22500&lt;P125,P125&lt;25001),AND(50000&lt;P125,P125&lt;53501),AND(70000&lt;P125,P125&lt;72501)),ROUND($F125/100*P126,DpCU),IF(OR(AND(25000&lt;P125,P125&lt;27501),AND(53500&lt;P125,P125&lt;57001),AND(72500&lt;P125,P125&lt;75001)),ROUND($G125/100*P126,DpCU),ROUND($H125/100*P126,DpCU)))))))</f>
        <v>49.15</v>
      </c>
      <c r="Q128">
        <f>IF($K125&gt;0,ROUND(Q126*$E125/100,DpCU),IF(Q129&gt;10000,ROUND(HLOOKUP(Q129,$O125:$Q128,4,FALSE)/100*Q126,DpCU),IF(OR(Q125&lt;20001,Q125&gt;95000,AND(60000&lt;Q125,Q125&lt;70001)),ROUND(ROUND(Q126*JL/$C125,DcCU)*Q127,DpCU),IF(OR(AND(20000&lt;Q125,Q125&lt;22501),AND(30000&lt;Q125,Q125&lt;50001),77500&lt;Q125),ROUND(Q127*Q126,DpCU),IF(OR(AND(22500&lt;Q125,Q125&lt;25001),AND(50000&lt;Q125,Q125&lt;53501),AND(70000&lt;Q125,Q125&lt;72501)),ROUND($F125/100*Q126,DpCU),IF(OR(AND(25000&lt;Q125,Q125&lt;27501),AND(53500&lt;Q125,Q125&lt;57001),AND(72500&lt;Q125,Q125&lt;75001)),ROUND($G125/100*Q126,DpCU),ROUND($H125/100*Q126,DpCU)))))))</f>
        <v>2.86</v>
      </c>
    </row>
    <row r="129" spans="1:17" x14ac:dyDescent="0.2">
      <c r="B129" s="3" t="str">
        <f>A125&amp;"r"</f>
        <v>10025r</v>
      </c>
    </row>
    <row r="130" spans="1:17" x14ac:dyDescent="0.2">
      <c r="A130">
        <v>10026</v>
      </c>
      <c r="B130" s="3" t="s">
        <v>318</v>
      </c>
      <c r="C130" s="1">
        <f>ROUND(J130*JL*Frto/8,4)</f>
        <v>3</v>
      </c>
      <c r="D130" t="s">
        <v>34</v>
      </c>
      <c r="E130">
        <f>SUM($O133:$Q133)</f>
        <v>50.000000000000007</v>
      </c>
      <c r="F130">
        <f>SUMIF($O130:$Q130,"&lt;22501",$O133:$Q133)</f>
        <v>47.620000000000005</v>
      </c>
      <c r="G130">
        <f>SUMIFS($O133:$Q133,$O130:$Q130,"&gt;30000",$O130:$Q130,"&lt;50001")</f>
        <v>0</v>
      </c>
      <c r="H130">
        <f>SUMIFS($O133:$Q133,$O130:$Q130,"&gt;60000",$O130:$Q130,"&lt;70001")</f>
        <v>0</v>
      </c>
      <c r="I130">
        <v>3</v>
      </c>
      <c r="J130">
        <v>3</v>
      </c>
      <c r="O130">
        <v>10001</v>
      </c>
      <c r="P130">
        <v>10003</v>
      </c>
      <c r="Q130">
        <v>70001</v>
      </c>
    </row>
    <row r="131" spans="1:17" x14ac:dyDescent="0.2">
      <c r="B131" s="3" t="str">
        <f>A130&amp;"C"</f>
        <v>10026C</v>
      </c>
      <c r="O131">
        <v>0.1</v>
      </c>
      <c r="P131">
        <v>1</v>
      </c>
      <c r="Q131">
        <v>5</v>
      </c>
    </row>
    <row r="132" spans="1:17" x14ac:dyDescent="0.2">
      <c r="O132">
        <f>IF(O134&gt;10000,HLOOKUP(O134,N130:$O133,4,FALSE),IF(OR(AND(22500&lt;O130,O130&lt;25001),AND(50000&lt;O130,O130&lt;53501),AND(70000&lt;O130,O130&lt;72501)),$F130,IF(OR(AND(25001&lt;O130,O130&lt;27501),AND(53500&lt;O130,O130&lt;57001),AND(72500&lt;O130,O130&lt;75001)),$G130,IF(OR(AND(27500&lt;O130,O130&lt;30001),AND(57000&lt;O130,O130&lt;60001),AND(75000&lt;O130,O130&lt;77500)),$H130,VLOOKUP(O130,BDins,6,FALSE)))))</f>
        <v>24.97</v>
      </c>
      <c r="P132">
        <f>IF(P134&gt;10000,HLOOKUP(P134,O130:$O133,4,FALSE),IF(OR(AND(22500&lt;P130,P130&lt;25001),AND(50000&lt;P130,P130&lt;53501),AND(70000&lt;P130,P130&lt;72501)),$F130,IF(OR(AND(25001&lt;P130,P130&lt;27501),AND(53500&lt;P130,P130&lt;57001),AND(72500&lt;P130,P130&lt;75001)),$G130,IF(OR(AND(27500&lt;P130,P130&lt;30001),AND(57000&lt;P130,P130&lt;60001),AND(75000&lt;P130,P130&lt;77500)),$H130,VLOOKUP(P130,BDins,6,FALSE)))))</f>
        <v>15.36</v>
      </c>
      <c r="Q132">
        <f>IF(Q134&gt;10000,HLOOKUP(Q134,$O130:P133,4,FALSE),IF(OR(AND(22500&lt;Q130,Q130&lt;25001),AND(50000&lt;Q130,Q130&lt;53501),AND(70000&lt;Q130,Q130&lt;72501)),$F130,IF(OR(AND(25001&lt;Q130,Q130&lt;27501),AND(53500&lt;Q130,Q130&lt;57001),AND(72500&lt;Q130,Q130&lt;75001)),$G130,IF(OR(AND(27500&lt;Q130,Q130&lt;30001),AND(57000&lt;Q130,Q130&lt;60001),AND(75000&lt;Q130,Q130&lt;77500)),$H130,VLOOKUP(Q130,BDins,6,FALSE)))))</f>
        <v>47.620000000000005</v>
      </c>
    </row>
    <row r="133" spans="1:17" x14ac:dyDescent="0.2">
      <c r="O133">
        <f>IF($K130&gt;0,ROUND(O131*$E130/100,DpCU),IF(O134&gt;10000,ROUND(HLOOKUP(O134,$O130:$Q133,4,FALSE)/100*O131,DpCU),IF(OR(O130&lt;20001,O130&gt;95000,AND(60000&lt;O130,O130&lt;70001)),ROUND(ROUND(O131*JL/$C130,DcCU)*O132,DpCU),IF(OR(AND(20000&lt;O130,O130&lt;22501),AND(30000&lt;O130,O130&lt;50001),77500&lt;O130),ROUND(O132*O131,DpCU),IF(OR(AND(22500&lt;O130,O130&lt;25001),AND(50000&lt;O130,O130&lt;53501),AND(70000&lt;O130,O130&lt;72501)),ROUND($F130/100*O131,DpCU),IF(OR(AND(25000&lt;O130,O130&lt;27501),AND(53500&lt;O130,O130&lt;57001),AND(72500&lt;O130,O130&lt;75001)),ROUND($G130/100*O131,DpCU),ROUND($H130/100*O131,DpCU)))))))</f>
        <v>6.66</v>
      </c>
      <c r="P133">
        <f>IF($K130&gt;0,ROUND(P131*$E130/100,DpCU),IF(P134&gt;10000,ROUND(HLOOKUP(P134,$O130:$Q133,4,FALSE)/100*P131,DpCU),IF(OR(P130&lt;20001,P130&gt;95000,AND(60000&lt;P130,P130&lt;70001)),ROUND(ROUND(P131*JL/$C130,DcCU)*P132,DpCU),IF(OR(AND(20000&lt;P130,P130&lt;22501),AND(30000&lt;P130,P130&lt;50001),77500&lt;P130),ROUND(P132*P131,DpCU),IF(OR(AND(22500&lt;P130,P130&lt;25001),AND(50000&lt;P130,P130&lt;53501),AND(70000&lt;P130,P130&lt;72501)),ROUND($F130/100*P131,DpCU),IF(OR(AND(25000&lt;P130,P130&lt;27501),AND(53500&lt;P130,P130&lt;57001),AND(72500&lt;P130,P130&lt;75001)),ROUND($G130/100*P131,DpCU),ROUND($H130/100*P131,DpCU)))))))</f>
        <v>40.96</v>
      </c>
      <c r="Q133">
        <f>IF($K130&gt;0,ROUND(Q131*$E130/100,DpCU),IF(Q134&gt;10000,ROUND(HLOOKUP(Q134,$O130:$Q133,4,FALSE)/100*Q131,DpCU),IF(OR(Q130&lt;20001,Q130&gt;95000,AND(60000&lt;Q130,Q130&lt;70001)),ROUND(ROUND(Q131*JL/$C130,DcCU)*Q132,DpCU),IF(OR(AND(20000&lt;Q130,Q130&lt;22501),AND(30000&lt;Q130,Q130&lt;50001),77500&lt;Q130),ROUND(Q132*Q131,DpCU),IF(OR(AND(22500&lt;Q130,Q130&lt;25001),AND(50000&lt;Q130,Q130&lt;53501),AND(70000&lt;Q130,Q130&lt;72501)),ROUND($F130/100*Q131,DpCU),IF(OR(AND(25000&lt;Q130,Q130&lt;27501),AND(53500&lt;Q130,Q130&lt;57001),AND(72500&lt;Q130,Q130&lt;75001)),ROUND($G130/100*Q131,DpCU),ROUND($H130/100*Q131,DpCU)))))))</f>
        <v>2.38</v>
      </c>
    </row>
    <row r="134" spans="1:17" x14ac:dyDescent="0.2">
      <c r="B134" s="3" t="str">
        <f>A130&amp;"r"</f>
        <v>10026r</v>
      </c>
    </row>
    <row r="135" spans="1:17" x14ac:dyDescent="0.2">
      <c r="A135">
        <v>10027</v>
      </c>
      <c r="B135" s="3" t="s">
        <v>320</v>
      </c>
      <c r="C135" s="1">
        <f>ROUND(J135*JL*Frto/8,4)</f>
        <v>3</v>
      </c>
      <c r="D135" t="s">
        <v>34</v>
      </c>
      <c r="E135">
        <f>SUM($O138:$Q138)</f>
        <v>50.000000000000007</v>
      </c>
      <c r="F135">
        <f>SUMIF($O135:$Q135,"&lt;22501",$O138:$Q138)</f>
        <v>47.620000000000005</v>
      </c>
      <c r="G135">
        <f>SUMIFS($O138:$Q138,$O135:$Q135,"&gt;30000",$O135:$Q135,"&lt;50001")</f>
        <v>0</v>
      </c>
      <c r="H135">
        <f>SUMIFS($O138:$Q138,$O135:$Q135,"&gt;60000",$O135:$Q135,"&lt;70001")</f>
        <v>0</v>
      </c>
      <c r="I135">
        <v>3</v>
      </c>
      <c r="J135">
        <v>3</v>
      </c>
      <c r="O135">
        <v>10001</v>
      </c>
      <c r="P135">
        <v>10003</v>
      </c>
      <c r="Q135">
        <v>70001</v>
      </c>
    </row>
    <row r="136" spans="1:17" x14ac:dyDescent="0.2">
      <c r="B136" s="3" t="str">
        <f>A135&amp;"C"</f>
        <v>10027C</v>
      </c>
      <c r="O136">
        <v>0.1</v>
      </c>
      <c r="P136">
        <v>1</v>
      </c>
      <c r="Q136">
        <v>5</v>
      </c>
    </row>
    <row r="137" spans="1:17" x14ac:dyDescent="0.2">
      <c r="O137">
        <f>IF(O139&gt;10000,HLOOKUP(O139,N135:$O138,4,FALSE),IF(OR(AND(22500&lt;O135,O135&lt;25001),AND(50000&lt;O135,O135&lt;53501),AND(70000&lt;O135,O135&lt;72501)),$F135,IF(OR(AND(25001&lt;O135,O135&lt;27501),AND(53500&lt;O135,O135&lt;57001),AND(72500&lt;O135,O135&lt;75001)),$G135,IF(OR(AND(27500&lt;O135,O135&lt;30001),AND(57000&lt;O135,O135&lt;60001),AND(75000&lt;O135,O135&lt;77500)),$H135,VLOOKUP(O135,BDins,6,FALSE)))))</f>
        <v>24.97</v>
      </c>
      <c r="P137">
        <f>IF(P139&gt;10000,HLOOKUP(P139,O135:$O138,4,FALSE),IF(OR(AND(22500&lt;P135,P135&lt;25001),AND(50000&lt;P135,P135&lt;53501),AND(70000&lt;P135,P135&lt;72501)),$F135,IF(OR(AND(25001&lt;P135,P135&lt;27501),AND(53500&lt;P135,P135&lt;57001),AND(72500&lt;P135,P135&lt;75001)),$G135,IF(OR(AND(27500&lt;P135,P135&lt;30001),AND(57000&lt;P135,P135&lt;60001),AND(75000&lt;P135,P135&lt;77500)),$H135,VLOOKUP(P135,BDins,6,FALSE)))))</f>
        <v>15.36</v>
      </c>
      <c r="Q137">
        <f>IF(Q139&gt;10000,HLOOKUP(Q139,$O135:P138,4,FALSE),IF(OR(AND(22500&lt;Q135,Q135&lt;25001),AND(50000&lt;Q135,Q135&lt;53501),AND(70000&lt;Q135,Q135&lt;72501)),$F135,IF(OR(AND(25001&lt;Q135,Q135&lt;27501),AND(53500&lt;Q135,Q135&lt;57001),AND(72500&lt;Q135,Q135&lt;75001)),$G135,IF(OR(AND(27500&lt;Q135,Q135&lt;30001),AND(57000&lt;Q135,Q135&lt;60001),AND(75000&lt;Q135,Q135&lt;77500)),$H135,VLOOKUP(Q135,BDins,6,FALSE)))))</f>
        <v>47.620000000000005</v>
      </c>
    </row>
    <row r="138" spans="1:17" x14ac:dyDescent="0.2">
      <c r="O138">
        <f>IF($K135&gt;0,ROUND(O136*$E135/100,DpCU),IF(O139&gt;10000,ROUND(HLOOKUP(O139,$O135:$Q138,4,FALSE)/100*O136,DpCU),IF(OR(O135&lt;20001,O135&gt;95000,AND(60000&lt;O135,O135&lt;70001)),ROUND(ROUND(O136*JL/$C135,DcCU)*O137,DpCU),IF(OR(AND(20000&lt;O135,O135&lt;22501),AND(30000&lt;O135,O135&lt;50001),77500&lt;O135),ROUND(O137*O136,DpCU),IF(OR(AND(22500&lt;O135,O135&lt;25001),AND(50000&lt;O135,O135&lt;53501),AND(70000&lt;O135,O135&lt;72501)),ROUND($F135/100*O136,DpCU),IF(OR(AND(25000&lt;O135,O135&lt;27501),AND(53500&lt;O135,O135&lt;57001),AND(72500&lt;O135,O135&lt;75001)),ROUND($G135/100*O136,DpCU),ROUND($H135/100*O136,DpCU)))))))</f>
        <v>6.66</v>
      </c>
      <c r="P138">
        <f>IF($K135&gt;0,ROUND(P136*$E135/100,DpCU),IF(P139&gt;10000,ROUND(HLOOKUP(P139,$O135:$Q138,4,FALSE)/100*P136,DpCU),IF(OR(P135&lt;20001,P135&gt;95000,AND(60000&lt;P135,P135&lt;70001)),ROUND(ROUND(P136*JL/$C135,DcCU)*P137,DpCU),IF(OR(AND(20000&lt;P135,P135&lt;22501),AND(30000&lt;P135,P135&lt;50001),77500&lt;P135),ROUND(P137*P136,DpCU),IF(OR(AND(22500&lt;P135,P135&lt;25001),AND(50000&lt;P135,P135&lt;53501),AND(70000&lt;P135,P135&lt;72501)),ROUND($F135/100*P136,DpCU),IF(OR(AND(25000&lt;P135,P135&lt;27501),AND(53500&lt;P135,P135&lt;57001),AND(72500&lt;P135,P135&lt;75001)),ROUND($G135/100*P136,DpCU),ROUND($H135/100*P136,DpCU)))))))</f>
        <v>40.96</v>
      </c>
      <c r="Q138">
        <f>IF($K135&gt;0,ROUND(Q136*$E135/100,DpCU),IF(Q139&gt;10000,ROUND(HLOOKUP(Q139,$O135:$Q138,4,FALSE)/100*Q136,DpCU),IF(OR(Q135&lt;20001,Q135&gt;95000,AND(60000&lt;Q135,Q135&lt;70001)),ROUND(ROUND(Q136*JL/$C135,DcCU)*Q137,DpCU),IF(OR(AND(20000&lt;Q135,Q135&lt;22501),AND(30000&lt;Q135,Q135&lt;50001),77500&lt;Q135),ROUND(Q137*Q136,DpCU),IF(OR(AND(22500&lt;Q135,Q135&lt;25001),AND(50000&lt;Q135,Q135&lt;53501),AND(70000&lt;Q135,Q135&lt;72501)),ROUND($F135/100*Q136,DpCU),IF(OR(AND(25000&lt;Q135,Q135&lt;27501),AND(53500&lt;Q135,Q135&lt;57001),AND(72500&lt;Q135,Q135&lt;75001)),ROUND($G135/100*Q136,DpCU),ROUND($H135/100*Q136,DpCU)))))))</f>
        <v>2.38</v>
      </c>
    </row>
    <row r="139" spans="1:17" x14ac:dyDescent="0.2">
      <c r="B139" s="3" t="str">
        <f>A135&amp;"r"</f>
        <v>10027r</v>
      </c>
    </row>
    <row r="140" spans="1:17" x14ac:dyDescent="0.2">
      <c r="A140">
        <v>10028</v>
      </c>
      <c r="B140" s="3" t="s">
        <v>322</v>
      </c>
      <c r="C140" s="1">
        <f>ROUND(J140*JL*Frto/8,4)</f>
        <v>3</v>
      </c>
      <c r="D140" t="s">
        <v>34</v>
      </c>
      <c r="E140">
        <f>SUM($O143:$Q143)</f>
        <v>50.000000000000007</v>
      </c>
      <c r="F140">
        <f>SUMIF($O140:$Q140,"&lt;22501",$O143:$Q143)</f>
        <v>47.620000000000005</v>
      </c>
      <c r="G140">
        <f>SUMIFS($O143:$Q143,$O140:$Q140,"&gt;30000",$O140:$Q140,"&lt;50001")</f>
        <v>0</v>
      </c>
      <c r="H140">
        <f>SUMIFS($O143:$Q143,$O140:$Q140,"&gt;60000",$O140:$Q140,"&lt;70001")</f>
        <v>0</v>
      </c>
      <c r="I140">
        <v>3</v>
      </c>
      <c r="J140">
        <v>3</v>
      </c>
      <c r="O140">
        <v>10001</v>
      </c>
      <c r="P140">
        <v>10003</v>
      </c>
      <c r="Q140">
        <v>70001</v>
      </c>
    </row>
    <row r="141" spans="1:17" x14ac:dyDescent="0.2">
      <c r="B141" s="3" t="str">
        <f>A140&amp;"C"</f>
        <v>10028C</v>
      </c>
      <c r="O141">
        <v>0.1</v>
      </c>
      <c r="P141">
        <v>1</v>
      </c>
      <c r="Q141">
        <v>5</v>
      </c>
    </row>
    <row r="142" spans="1:17" x14ac:dyDescent="0.2">
      <c r="O142">
        <f>IF(O144&gt;10000,HLOOKUP(O144,N140:$O143,4,FALSE),IF(OR(AND(22500&lt;O140,O140&lt;25001),AND(50000&lt;O140,O140&lt;53501),AND(70000&lt;O140,O140&lt;72501)),$F140,IF(OR(AND(25001&lt;O140,O140&lt;27501),AND(53500&lt;O140,O140&lt;57001),AND(72500&lt;O140,O140&lt;75001)),$G140,IF(OR(AND(27500&lt;O140,O140&lt;30001),AND(57000&lt;O140,O140&lt;60001),AND(75000&lt;O140,O140&lt;77500)),$H140,VLOOKUP(O140,BDins,6,FALSE)))))</f>
        <v>24.97</v>
      </c>
      <c r="P142">
        <f>IF(P144&gt;10000,HLOOKUP(P144,O140:$O143,4,FALSE),IF(OR(AND(22500&lt;P140,P140&lt;25001),AND(50000&lt;P140,P140&lt;53501),AND(70000&lt;P140,P140&lt;72501)),$F140,IF(OR(AND(25001&lt;P140,P140&lt;27501),AND(53500&lt;P140,P140&lt;57001),AND(72500&lt;P140,P140&lt;75001)),$G140,IF(OR(AND(27500&lt;P140,P140&lt;30001),AND(57000&lt;P140,P140&lt;60001),AND(75000&lt;P140,P140&lt;77500)),$H140,VLOOKUP(P140,BDins,6,FALSE)))))</f>
        <v>15.36</v>
      </c>
      <c r="Q142">
        <f>IF(Q144&gt;10000,HLOOKUP(Q144,$O140:P143,4,FALSE),IF(OR(AND(22500&lt;Q140,Q140&lt;25001),AND(50000&lt;Q140,Q140&lt;53501),AND(70000&lt;Q140,Q140&lt;72501)),$F140,IF(OR(AND(25001&lt;Q140,Q140&lt;27501),AND(53500&lt;Q140,Q140&lt;57001),AND(72500&lt;Q140,Q140&lt;75001)),$G140,IF(OR(AND(27500&lt;Q140,Q140&lt;30001),AND(57000&lt;Q140,Q140&lt;60001),AND(75000&lt;Q140,Q140&lt;77500)),$H140,VLOOKUP(Q140,BDins,6,FALSE)))))</f>
        <v>47.620000000000005</v>
      </c>
    </row>
    <row r="143" spans="1:17" x14ac:dyDescent="0.2">
      <c r="O143">
        <f>IF($K140&gt;0,ROUND(O141*$E140/100,DpCU),IF(O144&gt;10000,ROUND(HLOOKUP(O144,$O140:$Q143,4,FALSE)/100*O141,DpCU),IF(OR(O140&lt;20001,O140&gt;95000,AND(60000&lt;O140,O140&lt;70001)),ROUND(ROUND(O141*JL/$C140,DcCU)*O142,DpCU),IF(OR(AND(20000&lt;O140,O140&lt;22501),AND(30000&lt;O140,O140&lt;50001),77500&lt;O140),ROUND(O142*O141,DpCU),IF(OR(AND(22500&lt;O140,O140&lt;25001),AND(50000&lt;O140,O140&lt;53501),AND(70000&lt;O140,O140&lt;72501)),ROUND($F140/100*O141,DpCU),IF(OR(AND(25000&lt;O140,O140&lt;27501),AND(53500&lt;O140,O140&lt;57001),AND(72500&lt;O140,O140&lt;75001)),ROUND($G140/100*O141,DpCU),ROUND($H140/100*O141,DpCU)))))))</f>
        <v>6.66</v>
      </c>
      <c r="P143">
        <f>IF($K140&gt;0,ROUND(P141*$E140/100,DpCU),IF(P144&gt;10000,ROUND(HLOOKUP(P144,$O140:$Q143,4,FALSE)/100*P141,DpCU),IF(OR(P140&lt;20001,P140&gt;95000,AND(60000&lt;P140,P140&lt;70001)),ROUND(ROUND(P141*JL/$C140,DcCU)*P142,DpCU),IF(OR(AND(20000&lt;P140,P140&lt;22501),AND(30000&lt;P140,P140&lt;50001),77500&lt;P140),ROUND(P142*P141,DpCU),IF(OR(AND(22500&lt;P140,P140&lt;25001),AND(50000&lt;P140,P140&lt;53501),AND(70000&lt;P140,P140&lt;72501)),ROUND($F140/100*P141,DpCU),IF(OR(AND(25000&lt;P140,P140&lt;27501),AND(53500&lt;P140,P140&lt;57001),AND(72500&lt;P140,P140&lt;75001)),ROUND($G140/100*P141,DpCU),ROUND($H140/100*P141,DpCU)))))))</f>
        <v>40.96</v>
      </c>
      <c r="Q143">
        <f>IF($K140&gt;0,ROUND(Q141*$E140/100,DpCU),IF(Q144&gt;10000,ROUND(HLOOKUP(Q144,$O140:$Q143,4,FALSE)/100*Q141,DpCU),IF(OR(Q140&lt;20001,Q140&gt;95000,AND(60000&lt;Q140,Q140&lt;70001)),ROUND(ROUND(Q141*JL/$C140,DcCU)*Q142,DpCU),IF(OR(AND(20000&lt;Q140,Q140&lt;22501),AND(30000&lt;Q140,Q140&lt;50001),77500&lt;Q140),ROUND(Q142*Q141,DpCU),IF(OR(AND(22500&lt;Q140,Q140&lt;25001),AND(50000&lt;Q140,Q140&lt;53501),AND(70000&lt;Q140,Q140&lt;72501)),ROUND($F140/100*Q141,DpCU),IF(OR(AND(25000&lt;Q140,Q140&lt;27501),AND(53500&lt;Q140,Q140&lt;57001),AND(72500&lt;Q140,Q140&lt;75001)),ROUND($G140/100*Q141,DpCU),ROUND($H140/100*Q141,DpCU)))))))</f>
        <v>2.38</v>
      </c>
    </row>
    <row r="144" spans="1:17" x14ac:dyDescent="0.2">
      <c r="B144" s="3" t="str">
        <f>A140&amp;"r"</f>
        <v>10028r</v>
      </c>
    </row>
    <row r="145" spans="1:21" x14ac:dyDescent="0.2">
      <c r="A145">
        <v>10029</v>
      </c>
      <c r="B145" s="3" t="s">
        <v>324</v>
      </c>
      <c r="C145" s="1">
        <f>ROUND(J145*JL*Frto/8,4)</f>
        <v>2.5</v>
      </c>
      <c r="D145" t="s">
        <v>34</v>
      </c>
      <c r="E145">
        <f>SUM($O148:$Q148)</f>
        <v>60</v>
      </c>
      <c r="F145">
        <f>SUMIF($O145:$Q145,"&lt;22501",$O148:$Q148)</f>
        <v>57.14</v>
      </c>
      <c r="G145">
        <f>SUMIFS($O148:$Q148,$O145:$Q145,"&gt;30000",$O145:$Q145,"&lt;50001")</f>
        <v>0</v>
      </c>
      <c r="H145">
        <f>SUMIFS($O148:$Q148,$O145:$Q145,"&gt;60000",$O145:$Q145,"&lt;70001")</f>
        <v>0</v>
      </c>
      <c r="I145">
        <v>3</v>
      </c>
      <c r="J145">
        <v>2.5</v>
      </c>
      <c r="O145">
        <v>10001</v>
      </c>
      <c r="P145">
        <v>10003</v>
      </c>
      <c r="Q145">
        <v>70001</v>
      </c>
    </row>
    <row r="146" spans="1:21" x14ac:dyDescent="0.2">
      <c r="B146" s="3" t="str">
        <f>A145&amp;"C"</f>
        <v>10029C</v>
      </c>
      <c r="O146">
        <v>0.1</v>
      </c>
      <c r="P146">
        <v>1</v>
      </c>
      <c r="Q146">
        <v>5</v>
      </c>
    </row>
    <row r="147" spans="1:21" x14ac:dyDescent="0.2">
      <c r="O147">
        <f>IF(O149&gt;10000,HLOOKUP(O149,N145:$O148,4,FALSE),IF(OR(AND(22500&lt;O145,O145&lt;25001),AND(50000&lt;O145,O145&lt;53501),AND(70000&lt;O145,O145&lt;72501)),$F145,IF(OR(AND(25001&lt;O145,O145&lt;27501),AND(53500&lt;O145,O145&lt;57001),AND(72500&lt;O145,O145&lt;75001)),$G145,IF(OR(AND(27500&lt;O145,O145&lt;30001),AND(57000&lt;O145,O145&lt;60001),AND(75000&lt;O145,O145&lt;77500)),$H145,VLOOKUP(O145,BDins,6,FALSE)))))</f>
        <v>24.97</v>
      </c>
      <c r="P147">
        <f>IF(P149&gt;10000,HLOOKUP(P149,O145:$O148,4,FALSE),IF(OR(AND(22500&lt;P145,P145&lt;25001),AND(50000&lt;P145,P145&lt;53501),AND(70000&lt;P145,P145&lt;72501)),$F145,IF(OR(AND(25001&lt;P145,P145&lt;27501),AND(53500&lt;P145,P145&lt;57001),AND(72500&lt;P145,P145&lt;75001)),$G145,IF(OR(AND(27500&lt;P145,P145&lt;30001),AND(57000&lt;P145,P145&lt;60001),AND(75000&lt;P145,P145&lt;77500)),$H145,VLOOKUP(P145,BDins,6,FALSE)))))</f>
        <v>15.36</v>
      </c>
      <c r="Q147">
        <f>IF(Q149&gt;10000,HLOOKUP(Q149,$O145:P148,4,FALSE),IF(OR(AND(22500&lt;Q145,Q145&lt;25001),AND(50000&lt;Q145,Q145&lt;53501),AND(70000&lt;Q145,Q145&lt;72501)),$F145,IF(OR(AND(25001&lt;Q145,Q145&lt;27501),AND(53500&lt;Q145,Q145&lt;57001),AND(72500&lt;Q145,Q145&lt;75001)),$G145,IF(OR(AND(27500&lt;Q145,Q145&lt;30001),AND(57000&lt;Q145,Q145&lt;60001),AND(75000&lt;Q145,Q145&lt;77500)),$H145,VLOOKUP(Q145,BDins,6,FALSE)))))</f>
        <v>57.14</v>
      </c>
    </row>
    <row r="148" spans="1:21" x14ac:dyDescent="0.2">
      <c r="O148">
        <f>IF($K145&gt;0,ROUND(O146*$E145/100,DpCU),IF(O149&gt;10000,ROUND(HLOOKUP(O149,$O145:$Q148,4,FALSE)/100*O146,DpCU),IF(OR(O145&lt;20001,O145&gt;95000,AND(60000&lt;O145,O145&lt;70001)),ROUND(ROUND(O146*JL/$C145,DcCU)*O147,DpCU),IF(OR(AND(20000&lt;O145,O145&lt;22501),AND(30000&lt;O145,O145&lt;50001),77500&lt;O145),ROUND(O147*O146,DpCU),IF(OR(AND(22500&lt;O145,O145&lt;25001),AND(50000&lt;O145,O145&lt;53501),AND(70000&lt;O145,O145&lt;72501)),ROUND($F145/100*O146,DpCU),IF(OR(AND(25000&lt;O145,O145&lt;27501),AND(53500&lt;O145,O145&lt;57001),AND(72500&lt;O145,O145&lt;75001)),ROUND($G145/100*O146,DpCU),ROUND($H145/100*O146,DpCU)))))))</f>
        <v>7.99</v>
      </c>
      <c r="P148">
        <f>IF($K145&gt;0,ROUND(P146*$E145/100,DpCU),IF(P149&gt;10000,ROUND(HLOOKUP(P149,$O145:$Q148,4,FALSE)/100*P146,DpCU),IF(OR(P145&lt;20001,P145&gt;95000,AND(60000&lt;P145,P145&lt;70001)),ROUND(ROUND(P146*JL/$C145,DcCU)*P147,DpCU),IF(OR(AND(20000&lt;P145,P145&lt;22501),AND(30000&lt;P145,P145&lt;50001),77500&lt;P145),ROUND(P147*P146,DpCU),IF(OR(AND(22500&lt;P145,P145&lt;25001),AND(50000&lt;P145,P145&lt;53501),AND(70000&lt;P145,P145&lt;72501)),ROUND($F145/100*P146,DpCU),IF(OR(AND(25000&lt;P145,P145&lt;27501),AND(53500&lt;P145,P145&lt;57001),AND(72500&lt;P145,P145&lt;75001)),ROUND($G145/100*P146,DpCU),ROUND($H145/100*P146,DpCU)))))))</f>
        <v>49.15</v>
      </c>
      <c r="Q148">
        <f>IF($K145&gt;0,ROUND(Q146*$E145/100,DpCU),IF(Q149&gt;10000,ROUND(HLOOKUP(Q149,$O145:$Q148,4,FALSE)/100*Q146,DpCU),IF(OR(Q145&lt;20001,Q145&gt;95000,AND(60000&lt;Q145,Q145&lt;70001)),ROUND(ROUND(Q146*JL/$C145,DcCU)*Q147,DpCU),IF(OR(AND(20000&lt;Q145,Q145&lt;22501),AND(30000&lt;Q145,Q145&lt;50001),77500&lt;Q145),ROUND(Q147*Q146,DpCU),IF(OR(AND(22500&lt;Q145,Q145&lt;25001),AND(50000&lt;Q145,Q145&lt;53501),AND(70000&lt;Q145,Q145&lt;72501)),ROUND($F145/100*Q146,DpCU),IF(OR(AND(25000&lt;Q145,Q145&lt;27501),AND(53500&lt;Q145,Q145&lt;57001),AND(72500&lt;Q145,Q145&lt;75001)),ROUND($G145/100*Q146,DpCU),ROUND($H145/100*Q146,DpCU)))))))</f>
        <v>2.86</v>
      </c>
    </row>
    <row r="149" spans="1:21" x14ac:dyDescent="0.2">
      <c r="B149" s="3" t="str">
        <f>A145&amp;"r"</f>
        <v>10029r</v>
      </c>
    </row>
    <row r="150" spans="1:21" x14ac:dyDescent="0.2">
      <c r="A150">
        <v>10030</v>
      </c>
      <c r="B150" s="3" t="s">
        <v>328</v>
      </c>
      <c r="C150" s="1">
        <f>ROUND(J150*JL*Frto/8,4)</f>
        <v>20</v>
      </c>
      <c r="D150" t="s">
        <v>34</v>
      </c>
      <c r="E150">
        <f>SUM($O153:$T153)</f>
        <v>47.03</v>
      </c>
      <c r="F150">
        <f>SUMIF($O150:$T150,"&lt;22501",$O153:$T153)</f>
        <v>33.9</v>
      </c>
      <c r="G150">
        <f>SUMIFS($O153:$T153,$O150:$T150,"&gt;30000",$O150:$T150,"&lt;50001")</f>
        <v>2.25</v>
      </c>
      <c r="H150">
        <f>SUMIFS($O153:$T153,$O150:$T150,"&gt;60000",$O150:$T150,"&lt;70001")</f>
        <v>9.18</v>
      </c>
      <c r="I150">
        <v>6</v>
      </c>
      <c r="J150">
        <v>20</v>
      </c>
      <c r="O150">
        <v>10001</v>
      </c>
      <c r="P150">
        <v>10002</v>
      </c>
      <c r="Q150">
        <v>10003</v>
      </c>
      <c r="R150">
        <v>30023</v>
      </c>
      <c r="S150">
        <v>60008</v>
      </c>
      <c r="T150">
        <v>70001</v>
      </c>
    </row>
    <row r="151" spans="1:21" x14ac:dyDescent="0.2">
      <c r="B151" s="3" t="str">
        <f>A150&amp;"C"</f>
        <v>10030C</v>
      </c>
      <c r="O151">
        <v>0.1</v>
      </c>
      <c r="P151">
        <v>1</v>
      </c>
      <c r="Q151">
        <v>4</v>
      </c>
      <c r="R151">
        <v>1.4999999999999999E-2</v>
      </c>
      <c r="S151">
        <v>1</v>
      </c>
      <c r="T151">
        <v>5</v>
      </c>
    </row>
    <row r="152" spans="1:21" x14ac:dyDescent="0.2">
      <c r="O152">
        <f>IF(O154&gt;10000,HLOOKUP(O154,N150:$O153,4,FALSE),IF(OR(AND(22500&lt;O150,O150&lt;25001),AND(50000&lt;O150,O150&lt;53501),AND(70000&lt;O150,O150&lt;72501)),$F150,IF(OR(AND(25001&lt;O150,O150&lt;27501),AND(53500&lt;O150,O150&lt;57001),AND(72500&lt;O150,O150&lt;75001)),$G150,IF(OR(AND(27500&lt;O150,O150&lt;30001),AND(57000&lt;O150,O150&lt;60001),AND(75000&lt;O150,O150&lt;77500)),$H150,VLOOKUP(O150,BDins,6,FALSE)))))</f>
        <v>24.97</v>
      </c>
      <c r="P152">
        <f>IF(P154&gt;10000,HLOOKUP(P154,O150:$O153,4,FALSE),IF(OR(AND(22500&lt;P150,P150&lt;25001),AND(50000&lt;P150,P150&lt;53501),AND(70000&lt;P150,P150&lt;72501)),$F150,IF(OR(AND(25001&lt;P150,P150&lt;27501),AND(53500&lt;P150,P150&lt;57001),AND(72500&lt;P150,P150&lt;75001)),$G150,IF(OR(AND(27500&lt;P150,P150&lt;30001),AND(57000&lt;P150,P150&lt;60001),AND(75000&lt;P150,P150&lt;77500)),$H150,VLOOKUP(P150,BDins,6,FALSE)))))</f>
        <v>20.81</v>
      </c>
      <c r="Q152">
        <f>IF(Q154&gt;10000,HLOOKUP(Q154,$O150:P153,4,FALSE),IF(OR(AND(22500&lt;Q150,Q150&lt;25001),AND(50000&lt;Q150,Q150&lt;53501),AND(70000&lt;Q150,Q150&lt;72501)),$F150,IF(OR(AND(25001&lt;Q150,Q150&lt;27501),AND(53500&lt;Q150,Q150&lt;57001),AND(72500&lt;Q150,Q150&lt;75001)),$G150,IF(OR(AND(27500&lt;Q150,Q150&lt;30001),AND(57000&lt;Q150,Q150&lt;60001),AND(75000&lt;Q150,Q150&lt;77500)),$H150,VLOOKUP(Q150,BDins,6,FALSE)))))</f>
        <v>15.36</v>
      </c>
      <c r="R152">
        <f>IF(R154&gt;10000,HLOOKUP(R154,$O150:Q153,4,FALSE),IF(OR(AND(22500&lt;R150,R150&lt;25001),AND(50000&lt;R150,R150&lt;53501),AND(70000&lt;R150,R150&lt;72501)),$F150,IF(OR(AND(25001&lt;R150,R150&lt;27501),AND(53500&lt;R150,R150&lt;57001),AND(72500&lt;R150,R150&lt;75001)),$G150,IF(OR(AND(27500&lt;R150,R150&lt;30001),AND(57000&lt;R150,R150&lt;60001),AND(75000&lt;R150,R150&lt;77500)),$H150,VLOOKUP(R150,BDins,6,FALSE)))))</f>
        <v>150</v>
      </c>
      <c r="S152">
        <f>IF(S154&gt;10000,HLOOKUP(S154,$O150:R153,4,FALSE),IF(OR(AND(22500&lt;S150,S150&lt;25001),AND(50000&lt;S150,S150&lt;53501),AND(70000&lt;S150,S150&lt;72501)),$F150,IF(OR(AND(25001&lt;S150,S150&lt;27501),AND(53500&lt;S150,S150&lt;57001),AND(72500&lt;S150,S150&lt;75001)),$G150,IF(OR(AND(27500&lt;S150,S150&lt;30001),AND(57000&lt;S150,S150&lt;60001),AND(75000&lt;S150,S150&lt;77500)),$H150,VLOOKUP(S150,BDins,6,FALSE)))))</f>
        <v>22.95</v>
      </c>
      <c r="T152">
        <f>IF(T154&gt;10000,HLOOKUP(T154,$O150:S153,4,FALSE),IF(OR(AND(22500&lt;T150,T150&lt;25001),AND(50000&lt;T150,T150&lt;53501),AND(70000&lt;T150,T150&lt;72501)),$F150,IF(OR(AND(25001&lt;T150,T150&lt;27501),AND(53500&lt;T150,T150&lt;57001),AND(72500&lt;T150,T150&lt;75001)),$G150,IF(OR(AND(27500&lt;T150,T150&lt;30001),AND(57000&lt;T150,T150&lt;60001),AND(75000&lt;T150,T150&lt;77500)),$H150,VLOOKUP(T150,BDins,6,FALSE)))))</f>
        <v>33.9</v>
      </c>
    </row>
    <row r="153" spans="1:21" x14ac:dyDescent="0.2">
      <c r="O153">
        <f t="shared" ref="O153:T153" si="9">IF($K150&gt;0,ROUND(O151*$E150/100,DpCU),IF(O154&gt;10000,ROUND(HLOOKUP(O154,$O150:$T153,4,FALSE)/100*O151,DpCU),IF(OR(O150&lt;20001,O150&gt;95000,AND(60000&lt;O150,O150&lt;70001)),ROUND(ROUND(O151*JL/$C150,DcCU)*O152,DpCU),IF(OR(AND(20000&lt;O150,O150&lt;22501),AND(30000&lt;O150,O150&lt;50001),77500&lt;O150),ROUND(O152*O151,DpCU),IF(OR(AND(22500&lt;O150,O150&lt;25001),AND(50000&lt;O150,O150&lt;53501),AND(70000&lt;O150,O150&lt;72501)),ROUND($F150/100*O151,DpCU),IF(OR(AND(25000&lt;O150,O150&lt;27501),AND(53500&lt;O150,O150&lt;57001),AND(72500&lt;O150,O150&lt;75001)),ROUND($G150/100*O151,DpCU),ROUND($H150/100*O151,DpCU)))))))</f>
        <v>1</v>
      </c>
      <c r="P153">
        <f t="shared" si="9"/>
        <v>8.32</v>
      </c>
      <c r="Q153">
        <f t="shared" si="9"/>
        <v>24.58</v>
      </c>
      <c r="R153">
        <f t="shared" si="9"/>
        <v>2.25</v>
      </c>
      <c r="S153">
        <f t="shared" si="9"/>
        <v>9.18</v>
      </c>
      <c r="T153">
        <f t="shared" si="9"/>
        <v>1.7</v>
      </c>
    </row>
    <row r="154" spans="1:21" x14ac:dyDescent="0.2">
      <c r="B154" s="3" t="str">
        <f>A150&amp;"r"</f>
        <v>10030r</v>
      </c>
    </row>
    <row r="155" spans="1:21" x14ac:dyDescent="0.2">
      <c r="A155">
        <v>10031</v>
      </c>
      <c r="B155" s="3" t="s">
        <v>331</v>
      </c>
      <c r="C155" s="1">
        <f>ROUND(J155*JL*Frto/8,4)</f>
        <v>120</v>
      </c>
      <c r="D155" t="s">
        <v>210</v>
      </c>
      <c r="E155">
        <f>SUM($O158:$U158)</f>
        <v>11.95</v>
      </c>
      <c r="F155">
        <f>SUMIF($O155:$U155,"&lt;22501",$O158:$U158)</f>
        <v>2.58</v>
      </c>
      <c r="G155">
        <f>SUMIFS($O158:$U158,$O155:$U155,"&gt;30000",$O155:$U155,"&lt;50001")</f>
        <v>7.76</v>
      </c>
      <c r="H155">
        <f>SUMIFS($O158:$U158,$O155:$U155,"&gt;60000",$O155:$U155,"&lt;70001")</f>
        <v>1.53</v>
      </c>
      <c r="I155">
        <v>7</v>
      </c>
      <c r="J155">
        <v>120</v>
      </c>
      <c r="O155">
        <v>10001</v>
      </c>
      <c r="P155">
        <v>10002</v>
      </c>
      <c r="Q155">
        <v>10003</v>
      </c>
      <c r="R155">
        <v>30023</v>
      </c>
      <c r="S155">
        <v>30048</v>
      </c>
      <c r="T155">
        <v>60008</v>
      </c>
      <c r="U155">
        <v>70001</v>
      </c>
    </row>
    <row r="156" spans="1:21" x14ac:dyDescent="0.2">
      <c r="B156" s="3" t="str">
        <f>A155&amp;"C"</f>
        <v>10031C</v>
      </c>
      <c r="O156">
        <v>0.1</v>
      </c>
      <c r="P156">
        <v>1</v>
      </c>
      <c r="Q156">
        <v>1</v>
      </c>
      <c r="R156">
        <v>0.05</v>
      </c>
      <c r="S156">
        <v>0.03</v>
      </c>
      <c r="T156">
        <v>1</v>
      </c>
      <c r="U156">
        <v>3</v>
      </c>
    </row>
    <row r="157" spans="1:21" x14ac:dyDescent="0.2">
      <c r="O157">
        <f>IF(O159&gt;10000,HLOOKUP(O159,N155:$O158,4,FALSE),IF(OR(AND(22500&lt;O155,O155&lt;25001),AND(50000&lt;O155,O155&lt;53501),AND(70000&lt;O155,O155&lt;72501)),$F155,IF(OR(AND(25001&lt;O155,O155&lt;27501),AND(53500&lt;O155,O155&lt;57001),AND(72500&lt;O155,O155&lt;75001)),$G155,IF(OR(AND(27500&lt;O155,O155&lt;30001),AND(57000&lt;O155,O155&lt;60001),AND(75000&lt;O155,O155&lt;77500)),$H155,VLOOKUP(O155,BDins,6,FALSE)))))</f>
        <v>24.97</v>
      </c>
      <c r="P157">
        <f>IF(P159&gt;10000,HLOOKUP(P159,O155:$O158,4,FALSE),IF(OR(AND(22500&lt;P155,P155&lt;25001),AND(50000&lt;P155,P155&lt;53501),AND(70000&lt;P155,P155&lt;72501)),$F155,IF(OR(AND(25001&lt;P155,P155&lt;27501),AND(53500&lt;P155,P155&lt;57001),AND(72500&lt;P155,P155&lt;75001)),$G155,IF(OR(AND(27500&lt;P155,P155&lt;30001),AND(57000&lt;P155,P155&lt;60001),AND(75000&lt;P155,P155&lt;77500)),$H155,VLOOKUP(P155,BDins,6,FALSE)))))</f>
        <v>20.81</v>
      </c>
      <c r="Q157">
        <f>IF(Q159&gt;10000,HLOOKUP(Q159,$O155:P158,4,FALSE),IF(OR(AND(22500&lt;Q155,Q155&lt;25001),AND(50000&lt;Q155,Q155&lt;53501),AND(70000&lt;Q155,Q155&lt;72501)),$F155,IF(OR(AND(25001&lt;Q155,Q155&lt;27501),AND(53500&lt;Q155,Q155&lt;57001),AND(72500&lt;Q155,Q155&lt;75001)),$G155,IF(OR(AND(27500&lt;Q155,Q155&lt;30001),AND(57000&lt;Q155,Q155&lt;60001),AND(75000&lt;Q155,Q155&lt;77500)),$H155,VLOOKUP(Q155,BDins,6,FALSE)))))</f>
        <v>15.36</v>
      </c>
      <c r="R157">
        <f>IF(R159&gt;10000,HLOOKUP(R159,$O155:Q158,4,FALSE),IF(OR(AND(22500&lt;R155,R155&lt;25001),AND(50000&lt;R155,R155&lt;53501),AND(70000&lt;R155,R155&lt;72501)),$F155,IF(OR(AND(25001&lt;R155,R155&lt;27501),AND(53500&lt;R155,R155&lt;57001),AND(72500&lt;R155,R155&lt;75001)),$G155,IF(OR(AND(27500&lt;R155,R155&lt;30001),AND(57000&lt;R155,R155&lt;60001),AND(75000&lt;R155,R155&lt;77500)),$H155,VLOOKUP(R155,BDins,6,FALSE)))))</f>
        <v>150</v>
      </c>
      <c r="S157">
        <f>IF(S159&gt;10000,HLOOKUP(S159,$O155:R158,4,FALSE),IF(OR(AND(22500&lt;S155,S155&lt;25001),AND(50000&lt;S155,S155&lt;53501),AND(70000&lt;S155,S155&lt;72501)),$F155,IF(OR(AND(25001&lt;S155,S155&lt;27501),AND(53500&lt;S155,S155&lt;57001),AND(72500&lt;S155,S155&lt;75001)),$G155,IF(OR(AND(27500&lt;S155,S155&lt;30001),AND(57000&lt;S155,S155&lt;60001),AND(75000&lt;S155,S155&lt;77500)),$H155,VLOOKUP(S155,BDins,6,FALSE)))))</f>
        <v>8.5</v>
      </c>
      <c r="T157">
        <f>IF(T159&gt;10000,HLOOKUP(T159,$O155:S158,4,FALSE),IF(OR(AND(22500&lt;T155,T155&lt;25001),AND(50000&lt;T155,T155&lt;53501),AND(70000&lt;T155,T155&lt;72501)),$F155,IF(OR(AND(25001&lt;T155,T155&lt;27501),AND(53500&lt;T155,T155&lt;57001),AND(72500&lt;T155,T155&lt;75001)),$G155,IF(OR(AND(27500&lt;T155,T155&lt;30001),AND(57000&lt;T155,T155&lt;60001),AND(75000&lt;T155,T155&lt;77500)),$H155,VLOOKUP(T155,BDins,6,FALSE)))))</f>
        <v>22.95</v>
      </c>
      <c r="U157">
        <f>IF(U159&gt;10000,HLOOKUP(U159,$O155:T158,4,FALSE),IF(OR(AND(22500&lt;U155,U155&lt;25001),AND(50000&lt;U155,U155&lt;53501),AND(70000&lt;U155,U155&lt;72501)),$F155,IF(OR(AND(25001&lt;U155,U155&lt;27501),AND(53500&lt;U155,U155&lt;57001),AND(72500&lt;U155,U155&lt;75001)),$G155,IF(OR(AND(27500&lt;U155,U155&lt;30001),AND(57000&lt;U155,U155&lt;60001),AND(75000&lt;U155,U155&lt;77500)),$H155,VLOOKUP(U155,BDins,6,FALSE)))))</f>
        <v>2.58</v>
      </c>
    </row>
    <row r="158" spans="1:21" x14ac:dyDescent="0.2">
      <c r="O158">
        <f t="shared" ref="O158:U158" si="10">IF($K155&gt;0,ROUND(O156*$E155/100,DpCU),IF(O159&gt;10000,ROUND(HLOOKUP(O159,$O155:$U158,4,FALSE)/100*O156,DpCU),IF(OR(O155&lt;20001,O155&gt;95000,AND(60000&lt;O155,O155&lt;70001)),ROUND(ROUND(O156*JL/$C155,DcCU)*O157,DpCU),IF(OR(AND(20000&lt;O155,O155&lt;22501),AND(30000&lt;O155,O155&lt;50001),77500&lt;O155),ROUND(O157*O156,DpCU),IF(OR(AND(22500&lt;O155,O155&lt;25001),AND(50000&lt;O155,O155&lt;53501),AND(70000&lt;O155,O155&lt;72501)),ROUND($F155/100*O156,DpCU),IF(OR(AND(25000&lt;O155,O155&lt;27501),AND(53500&lt;O155,O155&lt;57001),AND(72500&lt;O155,O155&lt;75001)),ROUND($G155/100*O156,DpCU),ROUND($H155/100*O156,DpCU)))))))</f>
        <v>0.17</v>
      </c>
      <c r="P158">
        <f t="shared" si="10"/>
        <v>1.39</v>
      </c>
      <c r="Q158">
        <f t="shared" si="10"/>
        <v>1.02</v>
      </c>
      <c r="R158">
        <f t="shared" si="10"/>
        <v>7.5</v>
      </c>
      <c r="S158">
        <f t="shared" si="10"/>
        <v>0.26</v>
      </c>
      <c r="T158">
        <f t="shared" si="10"/>
        <v>1.53</v>
      </c>
      <c r="U158">
        <f t="shared" si="10"/>
        <v>0.08</v>
      </c>
    </row>
    <row r="159" spans="1:21" x14ac:dyDescent="0.2">
      <c r="B159" s="3" t="str">
        <f>A155&amp;"r"</f>
        <v>10031r</v>
      </c>
    </row>
    <row r="160" spans="1:21" x14ac:dyDescent="0.2">
      <c r="A160">
        <v>10032</v>
      </c>
      <c r="B160" s="3" t="s">
        <v>336</v>
      </c>
      <c r="C160" s="1">
        <f>ROUND(J160*JL*Frto/8,4)</f>
        <v>8</v>
      </c>
      <c r="D160" t="s">
        <v>34</v>
      </c>
      <c r="E160">
        <f>SUM($O163:$Q163)</f>
        <v>18.75</v>
      </c>
      <c r="F160">
        <f>SUMIF($O160:$Q160,"&lt;22501",$O163:$Q163)</f>
        <v>17.86</v>
      </c>
      <c r="G160">
        <f>SUMIFS($O163:$Q163,$O160:$Q160,"&gt;30000",$O160:$Q160,"&lt;50001")</f>
        <v>0</v>
      </c>
      <c r="H160">
        <f>SUMIFS($O163:$Q163,$O160:$Q160,"&gt;60000",$O160:$Q160,"&lt;70001")</f>
        <v>0</v>
      </c>
      <c r="I160">
        <v>3</v>
      </c>
      <c r="J160">
        <v>8</v>
      </c>
      <c r="O160">
        <v>10001</v>
      </c>
      <c r="P160">
        <v>10003</v>
      </c>
      <c r="Q160">
        <v>70001</v>
      </c>
    </row>
    <row r="161" spans="1:23" x14ac:dyDescent="0.2">
      <c r="B161" s="3" t="str">
        <f>A160&amp;"C"</f>
        <v>10032C</v>
      </c>
      <c r="O161">
        <v>0.1</v>
      </c>
      <c r="P161">
        <v>1</v>
      </c>
      <c r="Q161">
        <v>5</v>
      </c>
    </row>
    <row r="162" spans="1:23" x14ac:dyDescent="0.2">
      <c r="O162">
        <f>IF(O164&gt;10000,HLOOKUP(O164,N160:$O163,4,FALSE),IF(OR(AND(22500&lt;O160,O160&lt;25001),AND(50000&lt;O160,O160&lt;53501),AND(70000&lt;O160,O160&lt;72501)),$F160,IF(OR(AND(25001&lt;O160,O160&lt;27501),AND(53500&lt;O160,O160&lt;57001),AND(72500&lt;O160,O160&lt;75001)),$G160,IF(OR(AND(27500&lt;O160,O160&lt;30001),AND(57000&lt;O160,O160&lt;60001),AND(75000&lt;O160,O160&lt;77500)),$H160,VLOOKUP(O160,BDins,6,FALSE)))))</f>
        <v>24.97</v>
      </c>
      <c r="P162">
        <f>IF(P164&gt;10000,HLOOKUP(P164,O160:$O163,4,FALSE),IF(OR(AND(22500&lt;P160,P160&lt;25001),AND(50000&lt;P160,P160&lt;53501),AND(70000&lt;P160,P160&lt;72501)),$F160,IF(OR(AND(25001&lt;P160,P160&lt;27501),AND(53500&lt;P160,P160&lt;57001),AND(72500&lt;P160,P160&lt;75001)),$G160,IF(OR(AND(27500&lt;P160,P160&lt;30001),AND(57000&lt;P160,P160&lt;60001),AND(75000&lt;P160,P160&lt;77500)),$H160,VLOOKUP(P160,BDins,6,FALSE)))))</f>
        <v>15.36</v>
      </c>
      <c r="Q162">
        <f>IF(Q164&gt;10000,HLOOKUP(Q164,$O160:P163,4,FALSE),IF(OR(AND(22500&lt;Q160,Q160&lt;25001),AND(50000&lt;Q160,Q160&lt;53501),AND(70000&lt;Q160,Q160&lt;72501)),$F160,IF(OR(AND(25001&lt;Q160,Q160&lt;27501),AND(53500&lt;Q160,Q160&lt;57001),AND(72500&lt;Q160,Q160&lt;75001)),$G160,IF(OR(AND(27500&lt;Q160,Q160&lt;30001),AND(57000&lt;Q160,Q160&lt;60001),AND(75000&lt;Q160,Q160&lt;77500)),$H160,VLOOKUP(Q160,BDins,6,FALSE)))))</f>
        <v>17.86</v>
      </c>
    </row>
    <row r="163" spans="1:23" x14ac:dyDescent="0.2">
      <c r="O163">
        <f>IF($K160&gt;0,ROUND(O161*$E160/100,DpCU),IF(O164&gt;10000,ROUND(HLOOKUP(O164,$O160:$Q163,4,FALSE)/100*O161,DpCU),IF(OR(O160&lt;20001,O160&gt;95000,AND(60000&lt;O160,O160&lt;70001)),ROUND(ROUND(O161*JL/$C160,DcCU)*O162,DpCU),IF(OR(AND(20000&lt;O160,O160&lt;22501),AND(30000&lt;O160,O160&lt;50001),77500&lt;O160),ROUND(O162*O161,DpCU),IF(OR(AND(22500&lt;O160,O160&lt;25001),AND(50000&lt;O160,O160&lt;53501),AND(70000&lt;O160,O160&lt;72501)),ROUND($F160/100*O161,DpCU),IF(OR(AND(25000&lt;O160,O160&lt;27501),AND(53500&lt;O160,O160&lt;57001),AND(72500&lt;O160,O160&lt;75001)),ROUND($G160/100*O161,DpCU),ROUND($H160/100*O161,DpCU)))))))</f>
        <v>2.5</v>
      </c>
      <c r="P163">
        <f>IF($K160&gt;0,ROUND(P161*$E160/100,DpCU),IF(P164&gt;10000,ROUND(HLOOKUP(P164,$O160:$Q163,4,FALSE)/100*P161,DpCU),IF(OR(P160&lt;20001,P160&gt;95000,AND(60000&lt;P160,P160&lt;70001)),ROUND(ROUND(P161*JL/$C160,DcCU)*P162,DpCU),IF(OR(AND(20000&lt;P160,P160&lt;22501),AND(30000&lt;P160,P160&lt;50001),77500&lt;P160),ROUND(P162*P161,DpCU),IF(OR(AND(22500&lt;P160,P160&lt;25001),AND(50000&lt;P160,P160&lt;53501),AND(70000&lt;P160,P160&lt;72501)),ROUND($F160/100*P161,DpCU),IF(OR(AND(25000&lt;P160,P160&lt;27501),AND(53500&lt;P160,P160&lt;57001),AND(72500&lt;P160,P160&lt;75001)),ROUND($G160/100*P161,DpCU),ROUND($H160/100*P161,DpCU)))))))</f>
        <v>15.36</v>
      </c>
      <c r="Q163">
        <f>IF($K160&gt;0,ROUND(Q161*$E160/100,DpCU),IF(Q164&gt;10000,ROUND(HLOOKUP(Q164,$O160:$Q163,4,FALSE)/100*Q161,DpCU),IF(OR(Q160&lt;20001,Q160&gt;95000,AND(60000&lt;Q160,Q160&lt;70001)),ROUND(ROUND(Q161*JL/$C160,DcCU)*Q162,DpCU),IF(OR(AND(20000&lt;Q160,Q160&lt;22501),AND(30000&lt;Q160,Q160&lt;50001),77500&lt;Q160),ROUND(Q162*Q161,DpCU),IF(OR(AND(22500&lt;Q160,Q160&lt;25001),AND(50000&lt;Q160,Q160&lt;53501),AND(70000&lt;Q160,Q160&lt;72501)),ROUND($F160/100*Q161,DpCU),IF(OR(AND(25000&lt;Q160,Q160&lt;27501),AND(53500&lt;Q160,Q160&lt;57001),AND(72500&lt;Q160,Q160&lt;75001)),ROUND($G160/100*Q161,DpCU),ROUND($H160/100*Q161,DpCU)))))))</f>
        <v>0.89</v>
      </c>
    </row>
    <row r="164" spans="1:23" x14ac:dyDescent="0.2">
      <c r="B164" s="3" t="str">
        <f>A160&amp;"r"</f>
        <v>10032r</v>
      </c>
    </row>
    <row r="165" spans="1:23" x14ac:dyDescent="0.2">
      <c r="A165">
        <v>10033</v>
      </c>
      <c r="B165" s="3" t="s">
        <v>338</v>
      </c>
      <c r="C165" s="1">
        <f>ROUND(J165*JL*Frto/8,4)</f>
        <v>400</v>
      </c>
      <c r="D165" t="s">
        <v>34</v>
      </c>
      <c r="E165">
        <f>SUM($O168:$O168)</f>
        <v>1750</v>
      </c>
      <c r="F165">
        <f>SUMIF($O165:$O165,"&lt;22501",$O168:$O168)</f>
        <v>0</v>
      </c>
      <c r="G165">
        <f>SUMIFS($O168:$O168,$O165:$O165,"&gt;30000",$O165:$O165,"&lt;50001")</f>
        <v>0</v>
      </c>
      <c r="H165">
        <f>SUMIFS($O168:$O168,$O165:$O165,"&gt;60000",$O165:$O165,"&lt;70001")</f>
        <v>0</v>
      </c>
      <c r="I165">
        <v>1</v>
      </c>
      <c r="J165">
        <v>400</v>
      </c>
      <c r="O165">
        <v>80005</v>
      </c>
    </row>
    <row r="166" spans="1:23" x14ac:dyDescent="0.2">
      <c r="B166" s="3" t="str">
        <f>A165&amp;"C"</f>
        <v>10033C</v>
      </c>
      <c r="O166">
        <v>50</v>
      </c>
    </row>
    <row r="167" spans="1:23" x14ac:dyDescent="0.2">
      <c r="O167">
        <f>IF(O169&gt;10000,HLOOKUP(O169,N165:$O168,4,FALSE),IF(OR(AND(22500&lt;O165,O165&lt;25001),AND(50000&lt;O165,O165&lt;53501),AND(70000&lt;O165,O165&lt;72501)),$F165,IF(OR(AND(25001&lt;O165,O165&lt;27501),AND(53500&lt;O165,O165&lt;57001),AND(72500&lt;O165,O165&lt;75001)),$G165,IF(OR(AND(27500&lt;O165,O165&lt;30001),AND(57000&lt;O165,O165&lt;60001),AND(75000&lt;O165,O165&lt;77500)),$H165,VLOOKUP(O165,BDins,6,FALSE)))))</f>
        <v>35</v>
      </c>
    </row>
    <row r="168" spans="1:23" x14ac:dyDescent="0.2">
      <c r="O168">
        <f>IF($K165&gt;0,ROUND(O166*$E165/100,DpCU),IF(O169&gt;10000,ROUND(HLOOKUP(O169,$O165:$O168,4,FALSE)/100*O166,DpCU),IF(OR(O165&lt;20001,O165&gt;95000,AND(60000&lt;O165,O165&lt;70001)),ROUND(ROUND(O166*JL/$C165,DcCU)*O167,DpCU),IF(OR(AND(20000&lt;O165,O165&lt;22501),AND(30000&lt;O165,O165&lt;50001),77500&lt;O165),ROUND(O167*O166,DpCU),IF(OR(AND(22500&lt;O165,O165&lt;25001),AND(50000&lt;O165,O165&lt;53501),AND(70000&lt;O165,O165&lt;72501)),ROUND($F165/100*O166,DpCU),IF(OR(AND(25000&lt;O165,O165&lt;27501),AND(53500&lt;O165,O165&lt;57001),AND(72500&lt;O165,O165&lt;75001)),ROUND($G165/100*O166,DpCU),ROUND($H165/100*O166,DpCU)))))))</f>
        <v>1750</v>
      </c>
    </row>
    <row r="169" spans="1:23" x14ac:dyDescent="0.2">
      <c r="B169" s="3" t="str">
        <f>A165&amp;"r"</f>
        <v>10033r</v>
      </c>
    </row>
    <row r="170" spans="1:23" x14ac:dyDescent="0.2">
      <c r="A170">
        <v>10034</v>
      </c>
      <c r="B170" s="3" t="s">
        <v>343</v>
      </c>
      <c r="C170" s="1">
        <f>ROUND(J170*JL*Frto/8,4)</f>
        <v>100</v>
      </c>
      <c r="D170" t="s">
        <v>210</v>
      </c>
      <c r="E170">
        <f>SUM($O173:$U173)</f>
        <v>14.66</v>
      </c>
      <c r="F170">
        <f>SUMIF($O170:$U170,"&lt;22501",$O173:$U173)</f>
        <v>6.7799999999999994</v>
      </c>
      <c r="G170">
        <f>SUMIFS($O173:$U173,$O170:$U170,"&gt;30000",$O170:$U170,"&lt;50001")</f>
        <v>5.7</v>
      </c>
      <c r="H170">
        <f>SUMIFS($O173:$U173,$O170:$U170,"&gt;60000",$O170:$U170,"&lt;70001")</f>
        <v>1.84</v>
      </c>
      <c r="I170">
        <v>7</v>
      </c>
      <c r="J170">
        <v>100</v>
      </c>
      <c r="O170">
        <v>10001</v>
      </c>
      <c r="P170">
        <v>10002</v>
      </c>
      <c r="Q170">
        <v>10003</v>
      </c>
      <c r="R170">
        <v>30023</v>
      </c>
      <c r="S170">
        <v>30049</v>
      </c>
      <c r="T170">
        <v>60009</v>
      </c>
      <c r="U170">
        <v>70001</v>
      </c>
    </row>
    <row r="171" spans="1:23" x14ac:dyDescent="0.2">
      <c r="B171" s="3" t="str">
        <f>A170&amp;"C"</f>
        <v>10034C</v>
      </c>
      <c r="O171">
        <v>0.1</v>
      </c>
      <c r="P171">
        <v>1</v>
      </c>
      <c r="Q171">
        <v>4</v>
      </c>
      <c r="R171">
        <v>0.01</v>
      </c>
      <c r="S171">
        <v>0.14000000000000001</v>
      </c>
      <c r="T171">
        <v>1</v>
      </c>
      <c r="U171">
        <v>5</v>
      </c>
    </row>
    <row r="172" spans="1:23" x14ac:dyDescent="0.2">
      <c r="O172">
        <f>IF(O174&gt;10000,HLOOKUP(O174,N170:$O173,4,FALSE),IF(OR(AND(22500&lt;O170,O170&lt;25001),AND(50000&lt;O170,O170&lt;53501),AND(70000&lt;O170,O170&lt;72501)),$F170,IF(OR(AND(25001&lt;O170,O170&lt;27501),AND(53500&lt;O170,O170&lt;57001),AND(72500&lt;O170,O170&lt;75001)),$G170,IF(OR(AND(27500&lt;O170,O170&lt;30001),AND(57000&lt;O170,O170&lt;60001),AND(75000&lt;O170,O170&lt;77500)),$H170,VLOOKUP(O170,BDins,6,FALSE)))))</f>
        <v>24.97</v>
      </c>
      <c r="P172">
        <f>IF(P174&gt;10000,HLOOKUP(P174,O170:$O173,4,FALSE),IF(OR(AND(22500&lt;P170,P170&lt;25001),AND(50000&lt;P170,P170&lt;53501),AND(70000&lt;P170,P170&lt;72501)),$F170,IF(OR(AND(25001&lt;P170,P170&lt;27501),AND(53500&lt;P170,P170&lt;57001),AND(72500&lt;P170,P170&lt;75001)),$G170,IF(OR(AND(27500&lt;P170,P170&lt;30001),AND(57000&lt;P170,P170&lt;60001),AND(75000&lt;P170,P170&lt;77500)),$H170,VLOOKUP(P170,BDins,6,FALSE)))))</f>
        <v>20.81</v>
      </c>
      <c r="Q172">
        <f>IF(Q174&gt;10000,HLOOKUP(Q174,$O170:P173,4,FALSE),IF(OR(AND(22500&lt;Q170,Q170&lt;25001),AND(50000&lt;Q170,Q170&lt;53501),AND(70000&lt;Q170,Q170&lt;72501)),$F170,IF(OR(AND(25001&lt;Q170,Q170&lt;27501),AND(53500&lt;Q170,Q170&lt;57001),AND(72500&lt;Q170,Q170&lt;75001)),$G170,IF(OR(AND(27500&lt;Q170,Q170&lt;30001),AND(57000&lt;Q170,Q170&lt;60001),AND(75000&lt;Q170,Q170&lt;77500)),$H170,VLOOKUP(Q170,BDins,6,FALSE)))))</f>
        <v>15.36</v>
      </c>
      <c r="R172">
        <f>IF(R174&gt;10000,HLOOKUP(R174,$O170:Q173,4,FALSE),IF(OR(AND(22500&lt;R170,R170&lt;25001),AND(50000&lt;R170,R170&lt;53501),AND(70000&lt;R170,R170&lt;72501)),$F170,IF(OR(AND(25001&lt;R170,R170&lt;27501),AND(53500&lt;R170,R170&lt;57001),AND(72500&lt;R170,R170&lt;75001)),$G170,IF(OR(AND(27500&lt;R170,R170&lt;30001),AND(57000&lt;R170,R170&lt;60001),AND(75000&lt;R170,R170&lt;77500)),$H170,VLOOKUP(R170,BDins,6,FALSE)))))</f>
        <v>150</v>
      </c>
      <c r="S172">
        <f>IF(S174&gt;10000,HLOOKUP(S174,$O170:R173,4,FALSE),IF(OR(AND(22500&lt;S170,S170&lt;25001),AND(50000&lt;S170,S170&lt;53501),AND(70000&lt;S170,S170&lt;72501)),$F170,IF(OR(AND(25001&lt;S170,S170&lt;27501),AND(53500&lt;S170,S170&lt;57001),AND(72500&lt;S170,S170&lt;75001)),$G170,IF(OR(AND(27500&lt;S170,S170&lt;30001),AND(57000&lt;S170,S170&lt;60001),AND(75000&lt;S170,S170&lt;77500)),$H170,VLOOKUP(S170,BDins,6,FALSE)))))</f>
        <v>30</v>
      </c>
      <c r="T172">
        <f>IF(T174&gt;10000,HLOOKUP(T174,$O170:S173,4,FALSE),IF(OR(AND(22500&lt;T170,T170&lt;25001),AND(50000&lt;T170,T170&lt;53501),AND(70000&lt;T170,T170&lt;72501)),$F170,IF(OR(AND(25001&lt;T170,T170&lt;27501),AND(53500&lt;T170,T170&lt;57001),AND(72500&lt;T170,T170&lt;75001)),$G170,IF(OR(AND(27500&lt;T170,T170&lt;30001),AND(57000&lt;T170,T170&lt;60001),AND(75000&lt;T170,T170&lt;77500)),$H170,VLOOKUP(T170,BDins,6,FALSE)))))</f>
        <v>22.95</v>
      </c>
      <c r="U172">
        <f>IF(U174&gt;10000,HLOOKUP(U174,$O170:T173,4,FALSE),IF(OR(AND(22500&lt;U170,U170&lt;25001),AND(50000&lt;U170,U170&lt;53501),AND(70000&lt;U170,U170&lt;72501)),$F170,IF(OR(AND(25001&lt;U170,U170&lt;27501),AND(53500&lt;U170,U170&lt;57001),AND(72500&lt;U170,U170&lt;75001)),$G170,IF(OR(AND(27500&lt;U170,U170&lt;30001),AND(57000&lt;U170,U170&lt;60001),AND(75000&lt;U170,U170&lt;77500)),$H170,VLOOKUP(U170,BDins,6,FALSE)))))</f>
        <v>6.7799999999999994</v>
      </c>
    </row>
    <row r="173" spans="1:23" x14ac:dyDescent="0.2">
      <c r="O173">
        <f t="shared" ref="O173:U173" si="11">IF($K170&gt;0,ROUND(O171*$E170/100,DpCU),IF(O174&gt;10000,ROUND(HLOOKUP(O174,$O170:$U173,4,FALSE)/100*O171,DpCU),IF(OR(O170&lt;20001,O170&gt;95000,AND(60000&lt;O170,O170&lt;70001)),ROUND(ROUND(O171*JL/$C170,DcCU)*O172,DpCU),IF(OR(AND(20000&lt;O170,O170&lt;22501),AND(30000&lt;O170,O170&lt;50001),77500&lt;O170),ROUND(O172*O171,DpCU),IF(OR(AND(22500&lt;O170,O170&lt;25001),AND(50000&lt;O170,O170&lt;53501),AND(70000&lt;O170,O170&lt;72501)),ROUND($F170/100*O171,DpCU),IF(OR(AND(25000&lt;O170,O170&lt;27501),AND(53500&lt;O170,O170&lt;57001),AND(72500&lt;O170,O170&lt;75001)),ROUND($G170/100*O171,DpCU),ROUND($H170/100*O171,DpCU)))))))</f>
        <v>0.2</v>
      </c>
      <c r="P173">
        <f t="shared" si="11"/>
        <v>1.66</v>
      </c>
      <c r="Q173">
        <f t="shared" si="11"/>
        <v>4.92</v>
      </c>
      <c r="R173">
        <f t="shared" si="11"/>
        <v>1.5</v>
      </c>
      <c r="S173">
        <f t="shared" si="11"/>
        <v>4.2</v>
      </c>
      <c r="T173">
        <f t="shared" si="11"/>
        <v>1.84</v>
      </c>
      <c r="U173">
        <f t="shared" si="11"/>
        <v>0.34</v>
      </c>
    </row>
    <row r="174" spans="1:23" x14ac:dyDescent="0.2">
      <c r="B174" s="3" t="str">
        <f>A170&amp;"r"</f>
        <v>10034r</v>
      </c>
    </row>
    <row r="175" spans="1:23" x14ac:dyDescent="0.2">
      <c r="A175">
        <v>10035</v>
      </c>
      <c r="B175" s="3" t="s">
        <v>351</v>
      </c>
      <c r="C175" s="1">
        <f>ROUND(J175*JL*Frto/8,4)</f>
        <v>8</v>
      </c>
      <c r="D175" t="s">
        <v>34</v>
      </c>
      <c r="E175">
        <f>SUM($O178:$W178)</f>
        <v>256.45</v>
      </c>
      <c r="F175">
        <f>SUMIF($O175:$W175,"&lt;22501",$O178:$W178)</f>
        <v>84.75</v>
      </c>
      <c r="G175">
        <f>SUMIFS($O178:$W178,$O175:$W175,"&gt;30000",$O175:$W175,"&lt;50001")</f>
        <v>158.30000000000001</v>
      </c>
      <c r="H175">
        <f>SUMIFS($O178:$W178,$O175:$W175,"&gt;60000",$O175:$W175,"&lt;70001")</f>
        <v>9.16</v>
      </c>
      <c r="I175">
        <v>9</v>
      </c>
      <c r="J175">
        <v>8</v>
      </c>
      <c r="O175">
        <v>10001</v>
      </c>
      <c r="P175">
        <v>10002</v>
      </c>
      <c r="Q175">
        <v>10003</v>
      </c>
      <c r="R175">
        <v>30002</v>
      </c>
      <c r="S175">
        <v>30004</v>
      </c>
      <c r="T175">
        <v>30023</v>
      </c>
      <c r="U175">
        <v>30050</v>
      </c>
      <c r="V175">
        <v>60010</v>
      </c>
      <c r="W175">
        <v>70001</v>
      </c>
    </row>
    <row r="176" spans="1:23" x14ac:dyDescent="0.2">
      <c r="B176" s="3" t="str">
        <f>A175&amp;"C"</f>
        <v>10035C</v>
      </c>
      <c r="O176">
        <v>0.1</v>
      </c>
      <c r="P176">
        <v>1</v>
      </c>
      <c r="Q176">
        <v>4</v>
      </c>
      <c r="R176">
        <v>4</v>
      </c>
      <c r="S176">
        <v>0.87</v>
      </c>
      <c r="T176">
        <v>0.18</v>
      </c>
      <c r="U176">
        <v>0.5</v>
      </c>
      <c r="V176">
        <v>0.29089999999999999</v>
      </c>
      <c r="W176">
        <v>5</v>
      </c>
    </row>
    <row r="177" spans="1:25" x14ac:dyDescent="0.2">
      <c r="O177">
        <f>IF(O179&gt;10000,HLOOKUP(O179,N175:$O178,4,FALSE),IF(OR(AND(22500&lt;O175,O175&lt;25001),AND(50000&lt;O175,O175&lt;53501),AND(70000&lt;O175,O175&lt;72501)),$F175,IF(OR(AND(25001&lt;O175,O175&lt;27501),AND(53500&lt;O175,O175&lt;57001),AND(72500&lt;O175,O175&lt;75001)),$G175,IF(OR(AND(27500&lt;O175,O175&lt;30001),AND(57000&lt;O175,O175&lt;60001),AND(75000&lt;O175,O175&lt;77500)),$H175,VLOOKUP(O175,BDins,6,FALSE)))))</f>
        <v>24.97</v>
      </c>
      <c r="P177">
        <f>IF(P179&gt;10000,HLOOKUP(P179,O175:$O178,4,FALSE),IF(OR(AND(22500&lt;P175,P175&lt;25001),AND(50000&lt;P175,P175&lt;53501),AND(70000&lt;P175,P175&lt;72501)),$F175,IF(OR(AND(25001&lt;P175,P175&lt;27501),AND(53500&lt;P175,P175&lt;57001),AND(72500&lt;P175,P175&lt;75001)),$G175,IF(OR(AND(27500&lt;P175,P175&lt;30001),AND(57000&lt;P175,P175&lt;60001),AND(75000&lt;P175,P175&lt;77500)),$H175,VLOOKUP(P175,BDins,6,FALSE)))))</f>
        <v>20.81</v>
      </c>
      <c r="Q177">
        <f>IF(Q179&gt;10000,HLOOKUP(Q179,$O175:P178,4,FALSE),IF(OR(AND(22500&lt;Q175,Q175&lt;25001),AND(50000&lt;Q175,Q175&lt;53501),AND(70000&lt;Q175,Q175&lt;72501)),$F175,IF(OR(AND(25001&lt;Q175,Q175&lt;27501),AND(53500&lt;Q175,Q175&lt;57001),AND(72500&lt;Q175,Q175&lt;75001)),$G175,IF(OR(AND(27500&lt;Q175,Q175&lt;30001),AND(57000&lt;Q175,Q175&lt;60001),AND(75000&lt;Q175,Q175&lt;77500)),$H175,VLOOKUP(Q175,BDins,6,FALSE)))))</f>
        <v>15.36</v>
      </c>
      <c r="R177">
        <f>IF(R179&gt;10000,HLOOKUP(R179,$O175:Q178,4,FALSE),IF(OR(AND(22500&lt;R175,R175&lt;25001),AND(50000&lt;R175,R175&lt;53501),AND(70000&lt;R175,R175&lt;72501)),$F175,IF(OR(AND(25001&lt;R175,R175&lt;27501),AND(53500&lt;R175,R175&lt;57001),AND(72500&lt;R175,R175&lt;75001)),$G175,IF(OR(AND(27500&lt;R175,R175&lt;30001),AND(57000&lt;R175,R175&lt;60001),AND(75000&lt;R175,R175&lt;77500)),$H175,VLOOKUP(R175,BDins,6,FALSE)))))</f>
        <v>18.5</v>
      </c>
      <c r="S177">
        <f>IF(S179&gt;10000,HLOOKUP(S179,$O175:R178,4,FALSE),IF(OR(AND(22500&lt;S175,S175&lt;25001),AND(50000&lt;S175,S175&lt;53501),AND(70000&lt;S175,S175&lt;72501)),$F175,IF(OR(AND(25001&lt;S175,S175&lt;27501),AND(53500&lt;S175,S175&lt;57001),AND(72500&lt;S175,S175&lt;75001)),$G175,IF(OR(AND(27500&lt;S175,S175&lt;30001),AND(57000&lt;S175,S175&lt;60001),AND(75000&lt;S175,S175&lt;77500)),$H175,VLOOKUP(S175,BDins,6,FALSE)))))</f>
        <v>40</v>
      </c>
      <c r="T177">
        <f>IF(T179&gt;10000,HLOOKUP(T179,$O175:S178,4,FALSE),IF(OR(AND(22500&lt;T175,T175&lt;25001),AND(50000&lt;T175,T175&lt;53501),AND(70000&lt;T175,T175&lt;72501)),$F175,IF(OR(AND(25001&lt;T175,T175&lt;27501),AND(53500&lt;T175,T175&lt;57001),AND(72500&lt;T175,T175&lt;75001)),$G175,IF(OR(AND(27500&lt;T175,T175&lt;30001),AND(57000&lt;T175,T175&lt;60001),AND(75000&lt;T175,T175&lt;77500)),$H175,VLOOKUP(T175,BDins,6,FALSE)))))</f>
        <v>150</v>
      </c>
      <c r="U177">
        <f>IF(U179&gt;10000,HLOOKUP(U179,$O175:T178,4,FALSE),IF(OR(AND(22500&lt;U175,U175&lt;25001),AND(50000&lt;U175,U175&lt;53501),AND(70000&lt;U175,U175&lt;72501)),$F175,IF(OR(AND(25001&lt;U175,U175&lt;27501),AND(53500&lt;U175,U175&lt;57001),AND(72500&lt;U175,U175&lt;75001)),$G175,IF(OR(AND(27500&lt;U175,U175&lt;30001),AND(57000&lt;U175,U175&lt;60001),AND(75000&lt;U175,U175&lt;77500)),$H175,VLOOKUP(U175,BDins,6,FALSE)))))</f>
        <v>45</v>
      </c>
      <c r="V177">
        <f>IF(V179&gt;10000,HLOOKUP(V179,$O175:U178,4,FALSE),IF(OR(AND(22500&lt;V175,V175&lt;25001),AND(50000&lt;V175,V175&lt;53501),AND(70000&lt;V175,V175&lt;72501)),$F175,IF(OR(AND(25001&lt;V175,V175&lt;27501),AND(53500&lt;V175,V175&lt;57001),AND(72500&lt;V175,V175&lt;75001)),$G175,IF(OR(AND(27500&lt;V175,V175&lt;30001),AND(57000&lt;V175,V175&lt;60001),AND(75000&lt;V175,V175&lt;77500)),$H175,VLOOKUP(V175,BDins,6,FALSE)))))</f>
        <v>31.5</v>
      </c>
      <c r="W177">
        <f>IF(W179&gt;10000,HLOOKUP(W179,$O175:V178,4,FALSE),IF(OR(AND(22500&lt;W175,W175&lt;25001),AND(50000&lt;W175,W175&lt;53501),AND(70000&lt;W175,W175&lt;72501)),$F175,IF(OR(AND(25001&lt;W175,W175&lt;27501),AND(53500&lt;W175,W175&lt;57001),AND(72500&lt;W175,W175&lt;75001)),$G175,IF(OR(AND(27500&lt;W175,W175&lt;30001),AND(57000&lt;W175,W175&lt;60001),AND(75000&lt;W175,W175&lt;77500)),$H175,VLOOKUP(W175,BDins,6,FALSE)))))</f>
        <v>84.75</v>
      </c>
    </row>
    <row r="178" spans="1:25" x14ac:dyDescent="0.2">
      <c r="O178">
        <f t="shared" ref="O178:W178" si="12">IF($K175&gt;0,ROUND(O176*$E175/100,DpCU),IF(O179&gt;10000,ROUND(HLOOKUP(O179,$O175:$W178,4,FALSE)/100*O176,DpCU),IF(OR(O175&lt;20001,O175&gt;95000,AND(60000&lt;O175,O175&lt;70001)),ROUND(ROUND(O176*JL/$C175,DcCU)*O177,DpCU),IF(OR(AND(20000&lt;O175,O175&lt;22501),AND(30000&lt;O175,O175&lt;50001),77500&lt;O175),ROUND(O177*O176,DpCU),IF(OR(AND(22500&lt;O175,O175&lt;25001),AND(50000&lt;O175,O175&lt;53501),AND(70000&lt;O175,O175&lt;72501)),ROUND($F175/100*O176,DpCU),IF(OR(AND(25000&lt;O175,O175&lt;27501),AND(53500&lt;O175,O175&lt;57001),AND(72500&lt;O175,O175&lt;75001)),ROUND($G175/100*O176,DpCU),ROUND($H175/100*O176,DpCU)))))))</f>
        <v>2.5</v>
      </c>
      <c r="P178">
        <f t="shared" si="12"/>
        <v>20.81</v>
      </c>
      <c r="Q178">
        <f t="shared" si="12"/>
        <v>61.44</v>
      </c>
      <c r="R178">
        <f t="shared" si="12"/>
        <v>74</v>
      </c>
      <c r="S178">
        <f t="shared" si="12"/>
        <v>34.799999999999997</v>
      </c>
      <c r="T178">
        <f t="shared" si="12"/>
        <v>27</v>
      </c>
      <c r="U178">
        <f t="shared" si="12"/>
        <v>22.5</v>
      </c>
      <c r="V178">
        <f t="shared" si="12"/>
        <v>9.16</v>
      </c>
      <c r="W178">
        <f t="shared" si="12"/>
        <v>4.24</v>
      </c>
    </row>
    <row r="179" spans="1:25" x14ac:dyDescent="0.2">
      <c r="B179" s="3" t="str">
        <f>A175&amp;"r"</f>
        <v>10035r</v>
      </c>
    </row>
    <row r="180" spans="1:25" x14ac:dyDescent="0.2">
      <c r="A180">
        <v>10036</v>
      </c>
      <c r="B180" s="3" t="s">
        <v>355</v>
      </c>
      <c r="C180" s="1">
        <f>ROUND(J180*JL*Frto/8,4)</f>
        <v>7</v>
      </c>
      <c r="D180" t="s">
        <v>210</v>
      </c>
      <c r="E180">
        <f>SUM($O183:$U183)</f>
        <v>50.650000000000006</v>
      </c>
      <c r="F180">
        <f>SUMIF($O180:$U180,"&lt;22501",$O183:$U183)</f>
        <v>44.180000000000007</v>
      </c>
      <c r="G180">
        <f>SUMIFS($O183:$U183,$O180:$U180,"&gt;30000",$O180:$U180,"&lt;50001")</f>
        <v>4.26</v>
      </c>
      <c r="H180">
        <f>SUMIFS($O183:$U183,$O180:$U180,"&gt;60000",$O180:$U180,"&lt;70001")</f>
        <v>0</v>
      </c>
      <c r="I180">
        <v>7</v>
      </c>
      <c r="J180">
        <v>7</v>
      </c>
      <c r="O180">
        <v>10001</v>
      </c>
      <c r="P180">
        <v>10002</v>
      </c>
      <c r="Q180">
        <v>10003</v>
      </c>
      <c r="R180">
        <v>30051</v>
      </c>
      <c r="S180">
        <v>30052</v>
      </c>
      <c r="T180">
        <v>30053</v>
      </c>
      <c r="U180">
        <v>70001</v>
      </c>
    </row>
    <row r="181" spans="1:25" x14ac:dyDescent="0.2">
      <c r="B181" s="3" t="str">
        <f>A180&amp;"C"</f>
        <v>10036C</v>
      </c>
      <c r="O181">
        <v>0.1</v>
      </c>
      <c r="P181">
        <v>1</v>
      </c>
      <c r="Q181">
        <v>1</v>
      </c>
      <c r="R181">
        <v>0.05</v>
      </c>
      <c r="S181">
        <v>0.05</v>
      </c>
      <c r="T181">
        <v>1</v>
      </c>
      <c r="U181">
        <v>5</v>
      </c>
    </row>
    <row r="182" spans="1:25" x14ac:dyDescent="0.2">
      <c r="O182">
        <f>IF(O184&gt;10000,HLOOKUP(O184,N180:$O183,4,FALSE),IF(OR(AND(22500&lt;O180,O180&lt;25001),AND(50000&lt;O180,O180&lt;53501),AND(70000&lt;O180,O180&lt;72501)),$F180,IF(OR(AND(25001&lt;O180,O180&lt;27501),AND(53500&lt;O180,O180&lt;57001),AND(72500&lt;O180,O180&lt;75001)),$G180,IF(OR(AND(27500&lt;O180,O180&lt;30001),AND(57000&lt;O180,O180&lt;60001),AND(75000&lt;O180,O180&lt;77500)),$H180,VLOOKUP(O180,BDins,6,FALSE)))))</f>
        <v>24.97</v>
      </c>
      <c r="P182">
        <f>IF(P184&gt;10000,HLOOKUP(P184,O180:$O183,4,FALSE),IF(OR(AND(22500&lt;P180,P180&lt;25001),AND(50000&lt;P180,P180&lt;53501),AND(70000&lt;P180,P180&lt;72501)),$F180,IF(OR(AND(25001&lt;P180,P180&lt;27501),AND(53500&lt;P180,P180&lt;57001),AND(72500&lt;P180,P180&lt;75001)),$G180,IF(OR(AND(27500&lt;P180,P180&lt;30001),AND(57000&lt;P180,P180&lt;60001),AND(75000&lt;P180,P180&lt;77500)),$H180,VLOOKUP(P180,BDins,6,FALSE)))))</f>
        <v>20.81</v>
      </c>
      <c r="Q182">
        <f>IF(Q184&gt;10000,HLOOKUP(Q184,$O180:P183,4,FALSE),IF(OR(AND(22500&lt;Q180,Q180&lt;25001),AND(50000&lt;Q180,Q180&lt;53501),AND(70000&lt;Q180,Q180&lt;72501)),$F180,IF(OR(AND(25001&lt;Q180,Q180&lt;27501),AND(53500&lt;Q180,Q180&lt;57001),AND(72500&lt;Q180,Q180&lt;75001)),$G180,IF(OR(AND(27500&lt;Q180,Q180&lt;30001),AND(57000&lt;Q180,Q180&lt;60001),AND(75000&lt;Q180,Q180&lt;77500)),$H180,VLOOKUP(Q180,BDins,6,FALSE)))))</f>
        <v>15.36</v>
      </c>
      <c r="R182">
        <f>IF(R184&gt;10000,HLOOKUP(R184,$O180:Q183,4,FALSE),IF(OR(AND(22500&lt;R180,R180&lt;25001),AND(50000&lt;R180,R180&lt;53501),AND(70000&lt;R180,R180&lt;72501)),$F180,IF(OR(AND(25001&lt;R180,R180&lt;27501),AND(53500&lt;R180,R180&lt;57001),AND(72500&lt;R180,R180&lt;75001)),$G180,IF(OR(AND(27500&lt;R180,R180&lt;30001),AND(57000&lt;R180,R180&lt;60001),AND(75000&lt;R180,R180&lt;77500)),$H180,VLOOKUP(R180,BDins,6,FALSE)))))</f>
        <v>3.5</v>
      </c>
      <c r="S182">
        <f>IF(S184&gt;10000,HLOOKUP(S184,$O180:R183,4,FALSE),IF(OR(AND(22500&lt;S180,S180&lt;25001),AND(50000&lt;S180,S180&lt;53501),AND(70000&lt;S180,S180&lt;72501)),$F180,IF(OR(AND(25001&lt;S180,S180&lt;27501),AND(53500&lt;S180,S180&lt;57001),AND(72500&lt;S180,S180&lt;75001)),$G180,IF(OR(AND(27500&lt;S180,S180&lt;30001),AND(57000&lt;S180,S180&lt;60001),AND(75000&lt;S180,S180&lt;77500)),$H180,VLOOKUP(S180,BDins,6,FALSE)))))</f>
        <v>3.5</v>
      </c>
      <c r="T182">
        <f>IF(T184&gt;10000,HLOOKUP(T184,$O180:S183,4,FALSE),IF(OR(AND(22500&lt;T180,T180&lt;25001),AND(50000&lt;T180,T180&lt;53501),AND(70000&lt;T180,T180&lt;72501)),$F180,IF(OR(AND(25001&lt;T180,T180&lt;27501),AND(53500&lt;T180,T180&lt;57001),AND(72500&lt;T180,T180&lt;75001)),$G180,IF(OR(AND(27500&lt;T180,T180&lt;30001),AND(57000&lt;T180,T180&lt;60001),AND(75000&lt;T180,T180&lt;77500)),$H180,VLOOKUP(T180,BDins,6,FALSE)))))</f>
        <v>3.9</v>
      </c>
      <c r="U182">
        <f>IF(U184&gt;10000,HLOOKUP(U184,$O180:T183,4,FALSE),IF(OR(AND(22500&lt;U180,U180&lt;25001),AND(50000&lt;U180,U180&lt;53501),AND(70000&lt;U180,U180&lt;72501)),$F180,IF(OR(AND(25001&lt;U180,U180&lt;27501),AND(53500&lt;U180,U180&lt;57001),AND(72500&lt;U180,U180&lt;75001)),$G180,IF(OR(AND(27500&lt;U180,U180&lt;30001),AND(57000&lt;U180,U180&lt;60001),AND(75000&lt;U180,U180&lt;77500)),$H180,VLOOKUP(U180,BDins,6,FALSE)))))</f>
        <v>44.180000000000007</v>
      </c>
    </row>
    <row r="183" spans="1:25" x14ac:dyDescent="0.2">
      <c r="O183">
        <f t="shared" ref="O183:U183" si="13">IF($K180&gt;0,ROUND(O181*$E180/100,DpCU),IF(O184&gt;10000,ROUND(HLOOKUP(O184,$O180:$U183,4,FALSE)/100*O181,DpCU),IF(OR(O180&lt;20001,O180&gt;95000,AND(60000&lt;O180,O180&lt;70001)),ROUND(ROUND(O181*JL/$C180,DcCU)*O182,DpCU),IF(OR(AND(20000&lt;O180,O180&lt;22501),AND(30000&lt;O180,O180&lt;50001),77500&lt;O180),ROUND(O182*O181,DpCU),IF(OR(AND(22500&lt;O180,O180&lt;25001),AND(50000&lt;O180,O180&lt;53501),AND(70000&lt;O180,O180&lt;72501)),ROUND($F180/100*O181,DpCU),IF(OR(AND(25000&lt;O180,O180&lt;27501),AND(53500&lt;O180,O180&lt;57001),AND(72500&lt;O180,O180&lt;75001)),ROUND($G180/100*O181,DpCU),ROUND($H180/100*O181,DpCU)))))))</f>
        <v>2.85</v>
      </c>
      <c r="P183">
        <f t="shared" si="13"/>
        <v>23.78</v>
      </c>
      <c r="Q183">
        <f t="shared" si="13"/>
        <v>17.55</v>
      </c>
      <c r="R183">
        <f t="shared" si="13"/>
        <v>0.18</v>
      </c>
      <c r="S183">
        <f t="shared" si="13"/>
        <v>0.18</v>
      </c>
      <c r="T183">
        <f t="shared" si="13"/>
        <v>3.9</v>
      </c>
      <c r="U183">
        <f t="shared" si="13"/>
        <v>2.21</v>
      </c>
    </row>
    <row r="184" spans="1:25" x14ac:dyDescent="0.2">
      <c r="B184" s="3" t="str">
        <f>A180&amp;"r"</f>
        <v>10036r</v>
      </c>
    </row>
    <row r="185" spans="1:25" x14ac:dyDescent="0.2">
      <c r="A185">
        <v>10037</v>
      </c>
      <c r="B185" s="3" t="s">
        <v>362</v>
      </c>
      <c r="C185" s="1">
        <f>ROUND(J185*JL*Frto/8,4)</f>
        <v>25</v>
      </c>
      <c r="D185" t="s">
        <v>34</v>
      </c>
      <c r="E185">
        <f>SUM($O188:$Y188)</f>
        <v>243.01000000000002</v>
      </c>
      <c r="F185">
        <f>SUMIF($O185:$Y185,"&lt;22501",$O188:$Y188)</f>
        <v>75.399999999999991</v>
      </c>
      <c r="G185">
        <f>SUMIFS($O188:$Y188,$O185:$Y185,"&gt;30000",$O185:$Y185,"&lt;50001")</f>
        <v>155.78</v>
      </c>
      <c r="H185">
        <f>SUMIFS($O188:$Y188,$O185:$Y185,"&gt;60000",$O185:$Y185,"&lt;70001")</f>
        <v>8.06</v>
      </c>
      <c r="I185">
        <v>11</v>
      </c>
      <c r="J185">
        <v>25</v>
      </c>
      <c r="O185">
        <v>10001</v>
      </c>
      <c r="P185">
        <v>10002</v>
      </c>
      <c r="Q185">
        <v>10003</v>
      </c>
      <c r="R185">
        <v>10004</v>
      </c>
      <c r="S185">
        <v>10008</v>
      </c>
      <c r="T185">
        <v>30002</v>
      </c>
      <c r="U185">
        <v>30004</v>
      </c>
      <c r="V185">
        <v>30023</v>
      </c>
      <c r="W185">
        <v>30050</v>
      </c>
      <c r="X185">
        <v>60010</v>
      </c>
      <c r="Y185">
        <v>70001</v>
      </c>
    </row>
    <row r="186" spans="1:25" x14ac:dyDescent="0.2">
      <c r="B186" s="3" t="str">
        <f>A185&amp;"C"</f>
        <v>10037C</v>
      </c>
      <c r="O186">
        <v>0.1</v>
      </c>
      <c r="P186">
        <v>2</v>
      </c>
      <c r="Q186">
        <v>10</v>
      </c>
      <c r="R186">
        <v>1</v>
      </c>
      <c r="S186">
        <v>1</v>
      </c>
      <c r="T186">
        <v>3.65</v>
      </c>
      <c r="U186">
        <v>0.8</v>
      </c>
      <c r="V186">
        <v>0.18</v>
      </c>
      <c r="W186">
        <v>0.65</v>
      </c>
      <c r="X186">
        <v>0.8</v>
      </c>
      <c r="Y186">
        <v>5</v>
      </c>
    </row>
    <row r="187" spans="1:25" x14ac:dyDescent="0.2">
      <c r="O187">
        <f>IF(O189&gt;10000,HLOOKUP(O189,N185:$O188,4,FALSE),IF(OR(AND(22500&lt;O185,O185&lt;25001),AND(50000&lt;O185,O185&lt;53501),AND(70000&lt;O185,O185&lt;72501)),$F185,IF(OR(AND(25001&lt;O185,O185&lt;27501),AND(53500&lt;O185,O185&lt;57001),AND(72500&lt;O185,O185&lt;75001)),$G185,IF(OR(AND(27500&lt;O185,O185&lt;30001),AND(57000&lt;O185,O185&lt;60001),AND(75000&lt;O185,O185&lt;77500)),$H185,VLOOKUP(O185,BDins,6,FALSE)))))</f>
        <v>24.97</v>
      </c>
      <c r="P187">
        <f>IF(P189&gt;10000,HLOOKUP(P189,O185:$O188,4,FALSE),IF(OR(AND(22500&lt;P185,P185&lt;25001),AND(50000&lt;P185,P185&lt;53501),AND(70000&lt;P185,P185&lt;72501)),$F185,IF(OR(AND(25001&lt;P185,P185&lt;27501),AND(53500&lt;P185,P185&lt;57001),AND(72500&lt;P185,P185&lt;75001)),$G185,IF(OR(AND(27500&lt;P185,P185&lt;30001),AND(57000&lt;P185,P185&lt;60001),AND(75000&lt;P185,P185&lt;77500)),$H185,VLOOKUP(P185,BDins,6,FALSE)))))</f>
        <v>20.81</v>
      </c>
      <c r="Q187">
        <f>IF(Q189&gt;10000,HLOOKUP(Q189,$O185:P188,4,FALSE),IF(OR(AND(22500&lt;Q185,Q185&lt;25001),AND(50000&lt;Q185,Q185&lt;53501),AND(70000&lt;Q185,Q185&lt;72501)),$F185,IF(OR(AND(25001&lt;Q185,Q185&lt;27501),AND(53500&lt;Q185,Q185&lt;57001),AND(72500&lt;Q185,Q185&lt;75001)),$G185,IF(OR(AND(27500&lt;Q185,Q185&lt;30001),AND(57000&lt;Q185,Q185&lt;60001),AND(75000&lt;Q185,Q185&lt;77500)),$H185,VLOOKUP(Q185,BDins,6,FALSE)))))</f>
        <v>15.36</v>
      </c>
      <c r="R187">
        <f>IF(R189&gt;10000,HLOOKUP(R189,$O185:Q188,4,FALSE),IF(OR(AND(22500&lt;R185,R185&lt;25001),AND(50000&lt;R185,R185&lt;53501),AND(70000&lt;R185,R185&lt;72501)),$F185,IF(OR(AND(25001&lt;R185,R185&lt;27501),AND(53500&lt;R185,R185&lt;57001),AND(72500&lt;R185,R185&lt;75001)),$G185,IF(OR(AND(27500&lt;R185,R185&lt;30001),AND(57000&lt;R185,R185&lt;60001),AND(75000&lt;R185,R185&lt;77500)),$H185,VLOOKUP(R185,BDins,6,FALSE)))))</f>
        <v>20.81</v>
      </c>
      <c r="S187">
        <f>IF(S189&gt;10000,HLOOKUP(S189,$O185:R188,4,FALSE),IF(OR(AND(22500&lt;S185,S185&lt;25001),AND(50000&lt;S185,S185&lt;53501),AND(70000&lt;S185,S185&lt;72501)),$F185,IF(OR(AND(25001&lt;S185,S185&lt;27501),AND(53500&lt;S185,S185&lt;57001),AND(72500&lt;S185,S185&lt;75001)),$G185,IF(OR(AND(27500&lt;S185,S185&lt;30001),AND(57000&lt;S185,S185&lt;60001),AND(75000&lt;S185,S185&lt;77500)),$H185,VLOOKUP(S185,BDins,6,FALSE)))))</f>
        <v>17.09</v>
      </c>
      <c r="T187">
        <f>IF(T189&gt;10000,HLOOKUP(T189,$O185:S188,4,FALSE),IF(OR(AND(22500&lt;T185,T185&lt;25001),AND(50000&lt;T185,T185&lt;53501),AND(70000&lt;T185,T185&lt;72501)),$F185,IF(OR(AND(25001&lt;T185,T185&lt;27501),AND(53500&lt;T185,T185&lt;57001),AND(72500&lt;T185,T185&lt;75001)),$G185,IF(OR(AND(27500&lt;T185,T185&lt;30001),AND(57000&lt;T185,T185&lt;60001),AND(75000&lt;T185,T185&lt;77500)),$H185,VLOOKUP(T185,BDins,6,FALSE)))))</f>
        <v>18.5</v>
      </c>
      <c r="U187">
        <f>IF(U189&gt;10000,HLOOKUP(U189,$O185:T188,4,FALSE),IF(OR(AND(22500&lt;U185,U185&lt;25001),AND(50000&lt;U185,U185&lt;53501),AND(70000&lt;U185,U185&lt;72501)),$F185,IF(OR(AND(25001&lt;U185,U185&lt;27501),AND(53500&lt;U185,U185&lt;57001),AND(72500&lt;U185,U185&lt;75001)),$G185,IF(OR(AND(27500&lt;U185,U185&lt;30001),AND(57000&lt;U185,U185&lt;60001),AND(75000&lt;U185,U185&lt;77500)),$H185,VLOOKUP(U185,BDins,6,FALSE)))))</f>
        <v>40</v>
      </c>
      <c r="V187">
        <f>IF(V189&gt;10000,HLOOKUP(V189,$O185:U188,4,FALSE),IF(OR(AND(22500&lt;V185,V185&lt;25001),AND(50000&lt;V185,V185&lt;53501),AND(70000&lt;V185,V185&lt;72501)),$F185,IF(OR(AND(25001&lt;V185,V185&lt;27501),AND(53500&lt;V185,V185&lt;57001),AND(72500&lt;V185,V185&lt;75001)),$G185,IF(OR(AND(27500&lt;V185,V185&lt;30001),AND(57000&lt;V185,V185&lt;60001),AND(75000&lt;V185,V185&lt;77500)),$H185,VLOOKUP(V185,BDins,6,FALSE)))))</f>
        <v>150</v>
      </c>
      <c r="W187">
        <f>IF(W189&gt;10000,HLOOKUP(W189,$O185:V188,4,FALSE),IF(OR(AND(22500&lt;W185,W185&lt;25001),AND(50000&lt;W185,W185&lt;53501),AND(70000&lt;W185,W185&lt;72501)),$F185,IF(OR(AND(25001&lt;W185,W185&lt;27501),AND(53500&lt;W185,W185&lt;57001),AND(72500&lt;W185,W185&lt;75001)),$G185,IF(OR(AND(27500&lt;W185,W185&lt;30001),AND(57000&lt;W185,W185&lt;60001),AND(75000&lt;W185,W185&lt;77500)),$H185,VLOOKUP(W185,BDins,6,FALSE)))))</f>
        <v>45</v>
      </c>
      <c r="X187">
        <f>IF(X189&gt;10000,HLOOKUP(X189,$O185:W188,4,FALSE),IF(OR(AND(22500&lt;X185,X185&lt;25001),AND(50000&lt;X185,X185&lt;53501),AND(70000&lt;X185,X185&lt;72501)),$F185,IF(OR(AND(25001&lt;X185,X185&lt;27501),AND(53500&lt;X185,X185&lt;57001),AND(72500&lt;X185,X185&lt;75001)),$G185,IF(OR(AND(27500&lt;X185,X185&lt;30001),AND(57000&lt;X185,X185&lt;60001),AND(75000&lt;X185,X185&lt;77500)),$H185,VLOOKUP(X185,BDins,6,FALSE)))))</f>
        <v>31.5</v>
      </c>
      <c r="Y187">
        <f>IF(Y189&gt;10000,HLOOKUP(Y189,$O185:X188,4,FALSE),IF(OR(AND(22500&lt;Y185,Y185&lt;25001),AND(50000&lt;Y185,Y185&lt;53501),AND(70000&lt;Y185,Y185&lt;72501)),$F185,IF(OR(AND(25001&lt;Y185,Y185&lt;27501),AND(53500&lt;Y185,Y185&lt;57001),AND(72500&lt;Y185,Y185&lt;75001)),$G185,IF(OR(AND(27500&lt;Y185,Y185&lt;30001),AND(57000&lt;Y185,Y185&lt;60001),AND(75000&lt;Y185,Y185&lt;77500)),$H185,VLOOKUP(Y185,BDins,6,FALSE)))))</f>
        <v>75.399999999999991</v>
      </c>
    </row>
    <row r="188" spans="1:25" x14ac:dyDescent="0.2">
      <c r="O188">
        <f t="shared" ref="O188:Y188" si="14">IF($K185&gt;0,ROUND(O186*$E185/100,DpCU),IF(O189&gt;10000,ROUND(HLOOKUP(O189,$O185:$Y188,4,FALSE)/100*O186,DpCU),IF(OR(O185&lt;20001,O185&gt;95000,AND(60000&lt;O185,O185&lt;70001)),ROUND(ROUND(O186*JL/$C185,DcCU)*O187,DpCU),IF(OR(AND(20000&lt;O185,O185&lt;22501),AND(30000&lt;O185,O185&lt;50001),77500&lt;O185),ROUND(O187*O186,DpCU),IF(OR(AND(22500&lt;O185,O185&lt;25001),AND(50000&lt;O185,O185&lt;53501),AND(70000&lt;O185,O185&lt;72501)),ROUND($F185/100*O186,DpCU),IF(OR(AND(25000&lt;O185,O185&lt;27501),AND(53500&lt;O185,O185&lt;57001),AND(72500&lt;O185,O185&lt;75001)),ROUND($G185/100*O186,DpCU),ROUND($H185/100*O186,DpCU)))))))</f>
        <v>0.8</v>
      </c>
      <c r="P188">
        <f t="shared" si="14"/>
        <v>13.32</v>
      </c>
      <c r="Q188">
        <f t="shared" si="14"/>
        <v>49.15</v>
      </c>
      <c r="R188">
        <f t="shared" si="14"/>
        <v>6.66</v>
      </c>
      <c r="S188">
        <f t="shared" si="14"/>
        <v>5.47</v>
      </c>
      <c r="T188">
        <f t="shared" si="14"/>
        <v>67.53</v>
      </c>
      <c r="U188">
        <f t="shared" si="14"/>
        <v>32</v>
      </c>
      <c r="V188">
        <f t="shared" si="14"/>
        <v>27</v>
      </c>
      <c r="W188">
        <f t="shared" si="14"/>
        <v>29.25</v>
      </c>
      <c r="X188">
        <f t="shared" si="14"/>
        <v>8.06</v>
      </c>
      <c r="Y188">
        <f t="shared" si="14"/>
        <v>3.77</v>
      </c>
    </row>
    <row r="189" spans="1:25" x14ac:dyDescent="0.2">
      <c r="B189" s="3" t="str">
        <f>A185&amp;"r"</f>
        <v>10037r</v>
      </c>
    </row>
    <row r="190" spans="1:25" x14ac:dyDescent="0.2">
      <c r="A190">
        <v>10038</v>
      </c>
      <c r="B190" s="3" t="s">
        <v>364</v>
      </c>
      <c r="C190" s="1">
        <f>ROUND(J190*JL*Frto/8,4)</f>
        <v>12.5</v>
      </c>
      <c r="D190" t="s">
        <v>210</v>
      </c>
      <c r="E190">
        <f>SUM($O193:$U193)</f>
        <v>46.85</v>
      </c>
      <c r="F190">
        <f>SUMIF($O190:$U190,"&lt;22501",$O193:$U193)</f>
        <v>25.86</v>
      </c>
      <c r="G190">
        <f>SUMIFS($O193:$U193,$O190:$U190,"&gt;30000",$O190:$U190,"&lt;50001")</f>
        <v>20.21</v>
      </c>
      <c r="H190">
        <f>SUMIFS($O193:$U193,$O190:$U190,"&gt;60000",$O190:$U190,"&lt;70001")</f>
        <v>0</v>
      </c>
      <c r="I190">
        <v>7</v>
      </c>
      <c r="J190">
        <v>12.5</v>
      </c>
      <c r="O190">
        <v>10001</v>
      </c>
      <c r="P190">
        <v>10002</v>
      </c>
      <c r="Q190">
        <v>10008</v>
      </c>
      <c r="R190">
        <v>30051</v>
      </c>
      <c r="S190">
        <v>30054</v>
      </c>
      <c r="T190">
        <v>30055</v>
      </c>
      <c r="U190">
        <v>70001</v>
      </c>
    </row>
    <row r="191" spans="1:25" x14ac:dyDescent="0.2">
      <c r="B191" s="3" t="str">
        <f>A190&amp;"C"</f>
        <v>10038C</v>
      </c>
      <c r="O191">
        <v>0.1</v>
      </c>
      <c r="P191">
        <v>1</v>
      </c>
      <c r="Q191">
        <v>1</v>
      </c>
      <c r="R191">
        <v>0.13</v>
      </c>
      <c r="S191">
        <v>0.26</v>
      </c>
      <c r="T191">
        <v>4.83</v>
      </c>
      <c r="U191">
        <v>3</v>
      </c>
    </row>
    <row r="192" spans="1:25" x14ac:dyDescent="0.2">
      <c r="O192">
        <f>IF(O194&gt;10000,HLOOKUP(O194,N190:$O193,4,FALSE),IF(OR(AND(22500&lt;O190,O190&lt;25001),AND(50000&lt;O190,O190&lt;53501),AND(70000&lt;O190,O190&lt;72501)),$F190,IF(OR(AND(25001&lt;O190,O190&lt;27501),AND(53500&lt;O190,O190&lt;57001),AND(72500&lt;O190,O190&lt;75001)),$G190,IF(OR(AND(27500&lt;O190,O190&lt;30001),AND(57000&lt;O190,O190&lt;60001),AND(75000&lt;O190,O190&lt;77500)),$H190,VLOOKUP(O190,BDins,6,FALSE)))))</f>
        <v>24.97</v>
      </c>
      <c r="P192">
        <f>IF(P194&gt;10000,HLOOKUP(P194,O190:$O193,4,FALSE),IF(OR(AND(22500&lt;P190,P190&lt;25001),AND(50000&lt;P190,P190&lt;53501),AND(70000&lt;P190,P190&lt;72501)),$F190,IF(OR(AND(25001&lt;P190,P190&lt;27501),AND(53500&lt;P190,P190&lt;57001),AND(72500&lt;P190,P190&lt;75001)),$G190,IF(OR(AND(27500&lt;P190,P190&lt;30001),AND(57000&lt;P190,P190&lt;60001),AND(75000&lt;P190,P190&lt;77500)),$H190,VLOOKUP(P190,BDins,6,FALSE)))))</f>
        <v>20.81</v>
      </c>
      <c r="Q192">
        <f>IF(Q194&gt;10000,HLOOKUP(Q194,$O190:P193,4,FALSE),IF(OR(AND(22500&lt;Q190,Q190&lt;25001),AND(50000&lt;Q190,Q190&lt;53501),AND(70000&lt;Q190,Q190&lt;72501)),$F190,IF(OR(AND(25001&lt;Q190,Q190&lt;27501),AND(53500&lt;Q190,Q190&lt;57001),AND(72500&lt;Q190,Q190&lt;75001)),$G190,IF(OR(AND(27500&lt;Q190,Q190&lt;30001),AND(57000&lt;Q190,Q190&lt;60001),AND(75000&lt;Q190,Q190&lt;77500)),$H190,VLOOKUP(Q190,BDins,6,FALSE)))))</f>
        <v>17.09</v>
      </c>
      <c r="R192">
        <f>IF(R194&gt;10000,HLOOKUP(R194,$O190:Q193,4,FALSE),IF(OR(AND(22500&lt;R190,R190&lt;25001),AND(50000&lt;R190,R190&lt;53501),AND(70000&lt;R190,R190&lt;72501)),$F190,IF(OR(AND(25001&lt;R190,R190&lt;27501),AND(53500&lt;R190,R190&lt;57001),AND(72500&lt;R190,R190&lt;75001)),$G190,IF(OR(AND(27500&lt;R190,R190&lt;30001),AND(57000&lt;R190,R190&lt;60001),AND(75000&lt;R190,R190&lt;77500)),$H190,VLOOKUP(R190,BDins,6,FALSE)))))</f>
        <v>3.5</v>
      </c>
      <c r="S192">
        <f>IF(S194&gt;10000,HLOOKUP(S194,$O190:R193,4,FALSE),IF(OR(AND(22500&lt;S190,S190&lt;25001),AND(50000&lt;S190,S190&lt;53501),AND(70000&lt;S190,S190&lt;72501)),$F190,IF(OR(AND(25001&lt;S190,S190&lt;27501),AND(53500&lt;S190,S190&lt;57001),AND(72500&lt;S190,S190&lt;75001)),$G190,IF(OR(AND(27500&lt;S190,S190&lt;30001),AND(57000&lt;S190,S190&lt;60001),AND(75000&lt;S190,S190&lt;77500)),$H190,VLOOKUP(S190,BDins,6,FALSE)))))</f>
        <v>3.5</v>
      </c>
      <c r="T192">
        <f>IF(T194&gt;10000,HLOOKUP(T194,$O190:S193,4,FALSE),IF(OR(AND(22500&lt;T190,T190&lt;25001),AND(50000&lt;T190,T190&lt;53501),AND(70000&lt;T190,T190&lt;72501)),$F190,IF(OR(AND(25001&lt;T190,T190&lt;27501),AND(53500&lt;T190,T190&lt;57001),AND(72500&lt;T190,T190&lt;75001)),$G190,IF(OR(AND(27500&lt;T190,T190&lt;30001),AND(57000&lt;T190,T190&lt;60001),AND(75000&lt;T190,T190&lt;77500)),$H190,VLOOKUP(T190,BDins,6,FALSE)))))</f>
        <v>3.9</v>
      </c>
      <c r="U192">
        <f>IF(U194&gt;10000,HLOOKUP(U194,$O190:T193,4,FALSE),IF(OR(AND(22500&lt;U190,U190&lt;25001),AND(50000&lt;U190,U190&lt;53501),AND(70000&lt;U190,U190&lt;72501)),$F190,IF(OR(AND(25001&lt;U190,U190&lt;27501),AND(53500&lt;U190,U190&lt;57001),AND(72500&lt;U190,U190&lt;75001)),$G190,IF(OR(AND(27500&lt;U190,U190&lt;30001),AND(57000&lt;U190,U190&lt;60001),AND(75000&lt;U190,U190&lt;77500)),$H190,VLOOKUP(U190,BDins,6,FALSE)))))</f>
        <v>25.86</v>
      </c>
    </row>
    <row r="193" spans="1:26" x14ac:dyDescent="0.2">
      <c r="O193">
        <f t="shared" ref="O193:U193" si="15">IF($K190&gt;0,ROUND(O191*$E190/100,DpCU),IF(O194&gt;10000,ROUND(HLOOKUP(O194,$O190:$U193,4,FALSE)/100*O191,DpCU),IF(OR(O190&lt;20001,O190&gt;95000,AND(60000&lt;O190,O190&lt;70001)),ROUND(ROUND(O191*JL/$C190,DcCU)*O192,DpCU),IF(OR(AND(20000&lt;O190,O190&lt;22501),AND(30000&lt;O190,O190&lt;50001),77500&lt;O190),ROUND(O192*O191,DpCU),IF(OR(AND(22500&lt;O190,O190&lt;25001),AND(50000&lt;O190,O190&lt;53501),AND(70000&lt;O190,O190&lt;72501)),ROUND($F190/100*O191,DpCU),IF(OR(AND(25000&lt;O190,O190&lt;27501),AND(53500&lt;O190,O190&lt;57001),AND(72500&lt;O190,O190&lt;75001)),ROUND($G190/100*O191,DpCU),ROUND($H190/100*O191,DpCU)))))))</f>
        <v>1.6</v>
      </c>
      <c r="P193">
        <f t="shared" si="15"/>
        <v>13.32</v>
      </c>
      <c r="Q193">
        <f t="shared" si="15"/>
        <v>10.94</v>
      </c>
      <c r="R193">
        <f t="shared" si="15"/>
        <v>0.46</v>
      </c>
      <c r="S193">
        <f t="shared" si="15"/>
        <v>0.91</v>
      </c>
      <c r="T193">
        <f t="shared" si="15"/>
        <v>18.84</v>
      </c>
      <c r="U193">
        <f t="shared" si="15"/>
        <v>0.78</v>
      </c>
    </row>
    <row r="194" spans="1:26" x14ac:dyDescent="0.2">
      <c r="B194" s="3" t="str">
        <f>A190&amp;"r"</f>
        <v>10038r</v>
      </c>
    </row>
    <row r="195" spans="1:26" x14ac:dyDescent="0.2">
      <c r="A195">
        <v>10039</v>
      </c>
      <c r="B195" s="3" t="s">
        <v>370</v>
      </c>
      <c r="C195" s="1">
        <f>ROUND(J195*JL*Frto/8,4)</f>
        <v>22</v>
      </c>
      <c r="D195" t="s">
        <v>34</v>
      </c>
      <c r="E195">
        <f>SUM($O198:$Z198)</f>
        <v>275.76999999999992</v>
      </c>
      <c r="F195">
        <f>SUMIF($O195:$Z195,"&lt;22501",$O198:$Z198)</f>
        <v>91.91</v>
      </c>
      <c r="G195">
        <f>SUMIFS($O198:$Z198,$O195:$Z195,"&gt;30000",$O195:$Z195,"&lt;50001")</f>
        <v>169.64999999999998</v>
      </c>
      <c r="H195">
        <f>SUMIFS($O198:$Z198,$O195:$Z195,"&gt;60000",$O195:$Z195,"&lt;70001")</f>
        <v>11.45</v>
      </c>
      <c r="I195">
        <v>12</v>
      </c>
      <c r="J195">
        <v>22</v>
      </c>
      <c r="O195">
        <v>10001</v>
      </c>
      <c r="P195">
        <v>10002</v>
      </c>
      <c r="Q195">
        <v>10003</v>
      </c>
      <c r="R195">
        <v>10004</v>
      </c>
      <c r="S195">
        <v>10008</v>
      </c>
      <c r="T195">
        <v>30023</v>
      </c>
      <c r="U195">
        <v>30050</v>
      </c>
      <c r="V195">
        <v>30056</v>
      </c>
      <c r="W195">
        <v>30057</v>
      </c>
      <c r="X195">
        <v>30058</v>
      </c>
      <c r="Y195">
        <v>60010</v>
      </c>
      <c r="Z195">
        <v>70001</v>
      </c>
    </row>
    <row r="196" spans="1:26" x14ac:dyDescent="0.2">
      <c r="B196" s="3" t="str">
        <f>A195&amp;"C"</f>
        <v>10039C</v>
      </c>
      <c r="O196">
        <v>0.1</v>
      </c>
      <c r="P196">
        <v>2</v>
      </c>
      <c r="Q196">
        <v>10</v>
      </c>
      <c r="R196">
        <v>1</v>
      </c>
      <c r="S196">
        <v>2</v>
      </c>
      <c r="T196">
        <v>0.14699999999999999</v>
      </c>
      <c r="U196">
        <v>0.7</v>
      </c>
      <c r="V196">
        <v>0.33</v>
      </c>
      <c r="W196">
        <v>0.4</v>
      </c>
      <c r="X196">
        <v>4.5</v>
      </c>
      <c r="Y196">
        <v>1</v>
      </c>
      <c r="Z196">
        <v>3</v>
      </c>
    </row>
    <row r="197" spans="1:26" x14ac:dyDescent="0.2">
      <c r="O197">
        <f>IF(O199&gt;10000,HLOOKUP(O199,N195:$O198,4,FALSE),IF(OR(AND(22500&lt;O195,O195&lt;25001),AND(50000&lt;O195,O195&lt;53501),AND(70000&lt;O195,O195&lt;72501)),$F195,IF(OR(AND(25001&lt;O195,O195&lt;27501),AND(53500&lt;O195,O195&lt;57001),AND(72500&lt;O195,O195&lt;75001)),$G195,IF(OR(AND(27500&lt;O195,O195&lt;30001),AND(57000&lt;O195,O195&lt;60001),AND(75000&lt;O195,O195&lt;77500)),$H195,VLOOKUP(O195,BDins,6,FALSE)))))</f>
        <v>24.97</v>
      </c>
      <c r="P197">
        <f>IF(P199&gt;10000,HLOOKUP(P199,O195:$O198,4,FALSE),IF(OR(AND(22500&lt;P195,P195&lt;25001),AND(50000&lt;P195,P195&lt;53501),AND(70000&lt;P195,P195&lt;72501)),$F195,IF(OR(AND(25001&lt;P195,P195&lt;27501),AND(53500&lt;P195,P195&lt;57001),AND(72500&lt;P195,P195&lt;75001)),$G195,IF(OR(AND(27500&lt;P195,P195&lt;30001),AND(57000&lt;P195,P195&lt;60001),AND(75000&lt;P195,P195&lt;77500)),$H195,VLOOKUP(P195,BDins,6,FALSE)))))</f>
        <v>20.81</v>
      </c>
      <c r="Q197">
        <f>IF(Q199&gt;10000,HLOOKUP(Q199,$O195:P198,4,FALSE),IF(OR(AND(22500&lt;Q195,Q195&lt;25001),AND(50000&lt;Q195,Q195&lt;53501),AND(70000&lt;Q195,Q195&lt;72501)),$F195,IF(OR(AND(25001&lt;Q195,Q195&lt;27501),AND(53500&lt;Q195,Q195&lt;57001),AND(72500&lt;Q195,Q195&lt;75001)),$G195,IF(OR(AND(27500&lt;Q195,Q195&lt;30001),AND(57000&lt;Q195,Q195&lt;60001),AND(75000&lt;Q195,Q195&lt;77500)),$H195,VLOOKUP(Q195,BDins,6,FALSE)))))</f>
        <v>15.36</v>
      </c>
      <c r="R197">
        <f>IF(R199&gt;10000,HLOOKUP(R199,$O195:Q198,4,FALSE),IF(OR(AND(22500&lt;R195,R195&lt;25001),AND(50000&lt;R195,R195&lt;53501),AND(70000&lt;R195,R195&lt;72501)),$F195,IF(OR(AND(25001&lt;R195,R195&lt;27501),AND(53500&lt;R195,R195&lt;57001),AND(72500&lt;R195,R195&lt;75001)),$G195,IF(OR(AND(27500&lt;R195,R195&lt;30001),AND(57000&lt;R195,R195&lt;60001),AND(75000&lt;R195,R195&lt;77500)),$H195,VLOOKUP(R195,BDins,6,FALSE)))))</f>
        <v>20.81</v>
      </c>
      <c r="S197">
        <f>IF(S199&gt;10000,HLOOKUP(S199,$O195:R198,4,FALSE),IF(OR(AND(22500&lt;S195,S195&lt;25001),AND(50000&lt;S195,S195&lt;53501),AND(70000&lt;S195,S195&lt;72501)),$F195,IF(OR(AND(25001&lt;S195,S195&lt;27501),AND(53500&lt;S195,S195&lt;57001),AND(72500&lt;S195,S195&lt;75001)),$G195,IF(OR(AND(27500&lt;S195,S195&lt;30001),AND(57000&lt;S195,S195&lt;60001),AND(75000&lt;S195,S195&lt;77500)),$H195,VLOOKUP(S195,BDins,6,FALSE)))))</f>
        <v>17.09</v>
      </c>
      <c r="T197">
        <f>IF(T199&gt;10000,HLOOKUP(T199,$O195:S198,4,FALSE),IF(OR(AND(22500&lt;T195,T195&lt;25001),AND(50000&lt;T195,T195&lt;53501),AND(70000&lt;T195,T195&lt;72501)),$F195,IF(OR(AND(25001&lt;T195,T195&lt;27501),AND(53500&lt;T195,T195&lt;57001),AND(72500&lt;T195,T195&lt;75001)),$G195,IF(OR(AND(27500&lt;T195,T195&lt;30001),AND(57000&lt;T195,T195&lt;60001),AND(75000&lt;T195,T195&lt;77500)),$H195,VLOOKUP(T195,BDins,6,FALSE)))))</f>
        <v>150</v>
      </c>
      <c r="U197">
        <f>IF(U199&gt;10000,HLOOKUP(U199,$O195:T198,4,FALSE),IF(OR(AND(22500&lt;U195,U195&lt;25001),AND(50000&lt;U195,U195&lt;53501),AND(70000&lt;U195,U195&lt;72501)),$F195,IF(OR(AND(25001&lt;U195,U195&lt;27501),AND(53500&lt;U195,U195&lt;57001),AND(72500&lt;U195,U195&lt;75001)),$G195,IF(OR(AND(27500&lt;U195,U195&lt;30001),AND(57000&lt;U195,U195&lt;60001),AND(75000&lt;U195,U195&lt;77500)),$H195,VLOOKUP(U195,BDins,6,FALSE)))))</f>
        <v>45</v>
      </c>
      <c r="V197">
        <f>IF(V199&gt;10000,HLOOKUP(V199,$O195:U198,4,FALSE),IF(OR(AND(22500&lt;V195,V195&lt;25001),AND(50000&lt;V195,V195&lt;53501),AND(70000&lt;V195,V195&lt;72501)),$F195,IF(OR(AND(25001&lt;V195,V195&lt;27501),AND(53500&lt;V195,V195&lt;57001),AND(72500&lt;V195,V195&lt;75001)),$G195,IF(OR(AND(27500&lt;V195,V195&lt;30001),AND(57000&lt;V195,V195&lt;60001),AND(75000&lt;V195,V195&lt;77500)),$H195,VLOOKUP(V195,BDins,6,FALSE)))))</f>
        <v>45</v>
      </c>
      <c r="W197">
        <f>IF(W199&gt;10000,HLOOKUP(W199,$O195:V198,4,FALSE),IF(OR(AND(22500&lt;W195,W195&lt;25001),AND(50000&lt;W195,W195&lt;53501),AND(70000&lt;W195,W195&lt;72501)),$F195,IF(OR(AND(25001&lt;W195,W195&lt;27501),AND(53500&lt;W195,W195&lt;57001),AND(72500&lt;W195,W195&lt;75001)),$G195,IF(OR(AND(27500&lt;W195,W195&lt;30001),AND(57000&lt;W195,W195&lt;60001),AND(75000&lt;W195,W195&lt;77500)),$H195,VLOOKUP(W195,BDins,6,FALSE)))))</f>
        <v>45</v>
      </c>
      <c r="X197">
        <f>IF(X199&gt;10000,HLOOKUP(X199,$O195:W198,4,FALSE),IF(OR(AND(22500&lt;X195,X195&lt;25001),AND(50000&lt;X195,X195&lt;53501),AND(70000&lt;X195,X195&lt;72501)),$F195,IF(OR(AND(25001&lt;X195,X195&lt;27501),AND(53500&lt;X195,X195&lt;57001),AND(72500&lt;X195,X195&lt;75001)),$G195,IF(OR(AND(27500&lt;X195,X195&lt;30001),AND(57000&lt;X195,X195&lt;60001),AND(75000&lt;X195,X195&lt;77500)),$H195,VLOOKUP(X195,BDins,6,FALSE)))))</f>
        <v>18.5</v>
      </c>
      <c r="Y197">
        <f>IF(Y199&gt;10000,HLOOKUP(Y199,$O195:X198,4,FALSE),IF(OR(AND(22500&lt;Y195,Y195&lt;25001),AND(50000&lt;Y195,Y195&lt;53501),AND(70000&lt;Y195,Y195&lt;72501)),$F195,IF(OR(AND(25001&lt;Y195,Y195&lt;27501),AND(53500&lt;Y195,Y195&lt;57001),AND(72500&lt;Y195,Y195&lt;75001)),$G195,IF(OR(AND(27500&lt;Y195,Y195&lt;30001),AND(57000&lt;Y195,Y195&lt;60001),AND(75000&lt;Y195,Y195&lt;77500)),$H195,VLOOKUP(Y195,BDins,6,FALSE)))))</f>
        <v>31.5</v>
      </c>
      <c r="Z197">
        <f>IF(Z199&gt;10000,HLOOKUP(Z199,$O195:Y198,4,FALSE),IF(OR(AND(22500&lt;Z195,Z195&lt;25001),AND(50000&lt;Z195,Z195&lt;53501),AND(70000&lt;Z195,Z195&lt;72501)),$F195,IF(OR(AND(25001&lt;Z195,Z195&lt;27501),AND(53500&lt;Z195,Z195&lt;57001),AND(72500&lt;Z195,Z195&lt;75001)),$G195,IF(OR(AND(27500&lt;Z195,Z195&lt;30001),AND(57000&lt;Z195,Z195&lt;60001),AND(75000&lt;Z195,Z195&lt;77500)),$H195,VLOOKUP(Z195,BDins,6,FALSE)))))</f>
        <v>91.91</v>
      </c>
    </row>
    <row r="198" spans="1:26" x14ac:dyDescent="0.2">
      <c r="O198">
        <f t="shared" ref="O198:Z198" si="16">IF($K195&gt;0,ROUND(O196*$E195/100,DpCU),IF(O199&gt;10000,ROUND(HLOOKUP(O199,$O195:$Z198,4,FALSE)/100*O196,DpCU),IF(OR(O195&lt;20001,O195&gt;95000,AND(60000&lt;O195,O195&lt;70001)),ROUND(ROUND(O196*JL/$C195,DcCU)*O197,DpCU),IF(OR(AND(20000&lt;O195,O195&lt;22501),AND(30000&lt;O195,O195&lt;50001),77500&lt;O195),ROUND(O197*O196,DpCU),IF(OR(AND(22500&lt;O195,O195&lt;25001),AND(50000&lt;O195,O195&lt;53501),AND(70000&lt;O195,O195&lt;72501)),ROUND($F195/100*O196,DpCU),IF(OR(AND(25000&lt;O195,O195&lt;27501),AND(53500&lt;O195,O195&lt;57001),AND(72500&lt;O195,O195&lt;75001)),ROUND($G195/100*O196,DpCU),ROUND($H195/100*O196,DpCU)))))))</f>
        <v>0.91</v>
      </c>
      <c r="P198">
        <f t="shared" si="16"/>
        <v>15.14</v>
      </c>
      <c r="Q198">
        <f t="shared" si="16"/>
        <v>55.86</v>
      </c>
      <c r="R198">
        <f t="shared" si="16"/>
        <v>7.57</v>
      </c>
      <c r="S198">
        <f t="shared" si="16"/>
        <v>12.43</v>
      </c>
      <c r="T198">
        <f t="shared" si="16"/>
        <v>22.05</v>
      </c>
      <c r="U198">
        <f t="shared" si="16"/>
        <v>31.5</v>
      </c>
      <c r="V198">
        <f t="shared" si="16"/>
        <v>14.85</v>
      </c>
      <c r="W198">
        <f t="shared" si="16"/>
        <v>18</v>
      </c>
      <c r="X198">
        <f t="shared" si="16"/>
        <v>83.25</v>
      </c>
      <c r="Y198">
        <f t="shared" si="16"/>
        <v>11.45</v>
      </c>
      <c r="Z198">
        <f t="shared" si="16"/>
        <v>2.76</v>
      </c>
    </row>
    <row r="199" spans="1:26" x14ac:dyDescent="0.2">
      <c r="B199" s="3" t="str">
        <f>A195&amp;"r"</f>
        <v>10039r</v>
      </c>
    </row>
    <row r="200" spans="1:26" x14ac:dyDescent="0.2">
      <c r="A200">
        <v>10040</v>
      </c>
      <c r="B200" s="3" t="s">
        <v>376</v>
      </c>
      <c r="C200" s="1">
        <f>ROUND(J200*JL*Frto/8,4)</f>
        <v>18</v>
      </c>
      <c r="D200" t="s">
        <v>34</v>
      </c>
      <c r="E200">
        <f>SUM($O203:$W203)</f>
        <v>280.19</v>
      </c>
      <c r="F200">
        <f>SUMIF($O200:$W200,"&lt;22501",$O203:$W203)</f>
        <v>72.56</v>
      </c>
      <c r="G200">
        <f>SUMIFS($O203:$W203,$O200:$W200,"&gt;30000",$O200:$W200,"&lt;50001")</f>
        <v>190</v>
      </c>
      <c r="H200">
        <f>SUMIFS($O203:$W203,$O200:$W200,"&gt;60000",$O200:$W200,"&lt;70001")</f>
        <v>14</v>
      </c>
      <c r="I200">
        <v>9</v>
      </c>
      <c r="J200">
        <v>18</v>
      </c>
      <c r="O200">
        <v>10001</v>
      </c>
      <c r="P200">
        <v>10002</v>
      </c>
      <c r="Q200">
        <v>10003</v>
      </c>
      <c r="R200">
        <v>10008</v>
      </c>
      <c r="S200">
        <v>30002</v>
      </c>
      <c r="T200">
        <v>30004</v>
      </c>
      <c r="U200">
        <v>30023</v>
      </c>
      <c r="V200">
        <v>60010</v>
      </c>
      <c r="W200">
        <v>70001</v>
      </c>
    </row>
    <row r="201" spans="1:26" x14ac:dyDescent="0.2">
      <c r="B201" s="3" t="str">
        <f>A200&amp;"C"</f>
        <v>10040C</v>
      </c>
      <c r="O201">
        <v>0.1</v>
      </c>
      <c r="P201">
        <v>1</v>
      </c>
      <c r="Q201">
        <v>8</v>
      </c>
      <c r="R201">
        <v>1</v>
      </c>
      <c r="S201">
        <v>6</v>
      </c>
      <c r="T201">
        <v>1.3</v>
      </c>
      <c r="U201">
        <v>0.18</v>
      </c>
      <c r="V201">
        <v>1</v>
      </c>
      <c r="W201">
        <v>5</v>
      </c>
    </row>
    <row r="202" spans="1:26" x14ac:dyDescent="0.2">
      <c r="O202">
        <f>IF(O204&gt;10000,HLOOKUP(O204,N200:$O203,4,FALSE),IF(OR(AND(22500&lt;O200,O200&lt;25001),AND(50000&lt;O200,O200&lt;53501),AND(70000&lt;O200,O200&lt;72501)),$F200,IF(OR(AND(25001&lt;O200,O200&lt;27501),AND(53500&lt;O200,O200&lt;57001),AND(72500&lt;O200,O200&lt;75001)),$G200,IF(OR(AND(27500&lt;O200,O200&lt;30001),AND(57000&lt;O200,O200&lt;60001),AND(75000&lt;O200,O200&lt;77500)),$H200,VLOOKUP(O200,BDins,6,FALSE)))))</f>
        <v>24.97</v>
      </c>
      <c r="P202">
        <f>IF(P204&gt;10000,HLOOKUP(P204,O200:$O203,4,FALSE),IF(OR(AND(22500&lt;P200,P200&lt;25001),AND(50000&lt;P200,P200&lt;53501),AND(70000&lt;P200,P200&lt;72501)),$F200,IF(OR(AND(25001&lt;P200,P200&lt;27501),AND(53500&lt;P200,P200&lt;57001),AND(72500&lt;P200,P200&lt;75001)),$G200,IF(OR(AND(27500&lt;P200,P200&lt;30001),AND(57000&lt;P200,P200&lt;60001),AND(75000&lt;P200,P200&lt;77500)),$H200,VLOOKUP(P200,BDins,6,FALSE)))))</f>
        <v>20.81</v>
      </c>
      <c r="Q202">
        <f>IF(Q204&gt;10000,HLOOKUP(Q204,$O200:P203,4,FALSE),IF(OR(AND(22500&lt;Q200,Q200&lt;25001),AND(50000&lt;Q200,Q200&lt;53501),AND(70000&lt;Q200,Q200&lt;72501)),$F200,IF(OR(AND(25001&lt;Q200,Q200&lt;27501),AND(53500&lt;Q200,Q200&lt;57001),AND(72500&lt;Q200,Q200&lt;75001)),$G200,IF(OR(AND(27500&lt;Q200,Q200&lt;30001),AND(57000&lt;Q200,Q200&lt;60001),AND(75000&lt;Q200,Q200&lt;77500)),$H200,VLOOKUP(Q200,BDins,6,FALSE)))))</f>
        <v>15.36</v>
      </c>
      <c r="R202">
        <f>IF(R204&gt;10000,HLOOKUP(R204,$O200:Q203,4,FALSE),IF(OR(AND(22500&lt;R200,R200&lt;25001),AND(50000&lt;R200,R200&lt;53501),AND(70000&lt;R200,R200&lt;72501)),$F200,IF(OR(AND(25001&lt;R200,R200&lt;27501),AND(53500&lt;R200,R200&lt;57001),AND(72500&lt;R200,R200&lt;75001)),$G200,IF(OR(AND(27500&lt;R200,R200&lt;30001),AND(57000&lt;R200,R200&lt;60001),AND(75000&lt;R200,R200&lt;77500)),$H200,VLOOKUP(R200,BDins,6,FALSE)))))</f>
        <v>17.09</v>
      </c>
      <c r="S202">
        <f>IF(S204&gt;10000,HLOOKUP(S204,$O200:R203,4,FALSE),IF(OR(AND(22500&lt;S200,S200&lt;25001),AND(50000&lt;S200,S200&lt;53501),AND(70000&lt;S200,S200&lt;72501)),$F200,IF(OR(AND(25001&lt;S200,S200&lt;27501),AND(53500&lt;S200,S200&lt;57001),AND(72500&lt;S200,S200&lt;75001)),$G200,IF(OR(AND(27500&lt;S200,S200&lt;30001),AND(57000&lt;S200,S200&lt;60001),AND(75000&lt;S200,S200&lt;77500)),$H200,VLOOKUP(S200,BDins,6,FALSE)))))</f>
        <v>18.5</v>
      </c>
      <c r="T202">
        <f>IF(T204&gt;10000,HLOOKUP(T204,$O200:S203,4,FALSE),IF(OR(AND(22500&lt;T200,T200&lt;25001),AND(50000&lt;T200,T200&lt;53501),AND(70000&lt;T200,T200&lt;72501)),$F200,IF(OR(AND(25001&lt;T200,T200&lt;27501),AND(53500&lt;T200,T200&lt;57001),AND(72500&lt;T200,T200&lt;75001)),$G200,IF(OR(AND(27500&lt;T200,T200&lt;30001),AND(57000&lt;T200,T200&lt;60001),AND(75000&lt;T200,T200&lt;77500)),$H200,VLOOKUP(T200,BDins,6,FALSE)))))</f>
        <v>40</v>
      </c>
      <c r="U202">
        <f>IF(U204&gt;10000,HLOOKUP(U204,$O200:T203,4,FALSE),IF(OR(AND(22500&lt;U200,U200&lt;25001),AND(50000&lt;U200,U200&lt;53501),AND(70000&lt;U200,U200&lt;72501)),$F200,IF(OR(AND(25001&lt;U200,U200&lt;27501),AND(53500&lt;U200,U200&lt;57001),AND(72500&lt;U200,U200&lt;75001)),$G200,IF(OR(AND(27500&lt;U200,U200&lt;30001),AND(57000&lt;U200,U200&lt;60001),AND(75000&lt;U200,U200&lt;77500)),$H200,VLOOKUP(U200,BDins,6,FALSE)))))</f>
        <v>150</v>
      </c>
      <c r="V202">
        <f>IF(V204&gt;10000,HLOOKUP(V204,$O200:U203,4,FALSE),IF(OR(AND(22500&lt;V200,V200&lt;25001),AND(50000&lt;V200,V200&lt;53501),AND(70000&lt;V200,V200&lt;72501)),$F200,IF(OR(AND(25001&lt;V200,V200&lt;27501),AND(53500&lt;V200,V200&lt;57001),AND(72500&lt;V200,V200&lt;75001)),$G200,IF(OR(AND(27500&lt;V200,V200&lt;30001),AND(57000&lt;V200,V200&lt;60001),AND(75000&lt;V200,V200&lt;77500)),$H200,VLOOKUP(V200,BDins,6,FALSE)))))</f>
        <v>31.5</v>
      </c>
      <c r="W202">
        <f>IF(W204&gt;10000,HLOOKUP(W204,$O200:V203,4,FALSE),IF(OR(AND(22500&lt;W200,W200&lt;25001),AND(50000&lt;W200,W200&lt;53501),AND(70000&lt;W200,W200&lt;72501)),$F200,IF(OR(AND(25001&lt;W200,W200&lt;27501),AND(53500&lt;W200,W200&lt;57001),AND(72500&lt;W200,W200&lt;75001)),$G200,IF(OR(AND(27500&lt;W200,W200&lt;30001),AND(57000&lt;W200,W200&lt;60001),AND(75000&lt;W200,W200&lt;77500)),$H200,VLOOKUP(W200,BDins,6,FALSE)))))</f>
        <v>72.56</v>
      </c>
    </row>
    <row r="203" spans="1:26" x14ac:dyDescent="0.2">
      <c r="O203">
        <f t="shared" ref="O203:W203" si="17">IF($K200&gt;0,ROUND(O201*$E200/100,DpCU),IF(O204&gt;10000,ROUND(HLOOKUP(O204,$O200:$W203,4,FALSE)/100*O201,DpCU),IF(OR(O200&lt;20001,O200&gt;95000,AND(60000&lt;O200,O200&lt;70001)),ROUND(ROUND(O201*JL/$C200,DcCU)*O202,DpCU),IF(OR(AND(20000&lt;O200,O200&lt;22501),AND(30000&lt;O200,O200&lt;50001),77500&lt;O200),ROUND(O202*O201,DpCU),IF(OR(AND(22500&lt;O200,O200&lt;25001),AND(50000&lt;O200,O200&lt;53501),AND(70000&lt;O200,O200&lt;72501)),ROUND($F200/100*O201,DpCU),IF(OR(AND(25000&lt;O200,O200&lt;27501),AND(53500&lt;O200,O200&lt;57001),AND(72500&lt;O200,O200&lt;75001)),ROUND($G200/100*O201,DpCU),ROUND($H200/100*O201,DpCU)))))))</f>
        <v>1.1100000000000001</v>
      </c>
      <c r="P203">
        <f t="shared" si="17"/>
        <v>9.25</v>
      </c>
      <c r="Q203">
        <f t="shared" si="17"/>
        <v>54.61</v>
      </c>
      <c r="R203">
        <f t="shared" si="17"/>
        <v>7.59</v>
      </c>
      <c r="S203">
        <f t="shared" si="17"/>
        <v>111</v>
      </c>
      <c r="T203">
        <f t="shared" si="17"/>
        <v>52</v>
      </c>
      <c r="U203">
        <f t="shared" si="17"/>
        <v>27</v>
      </c>
      <c r="V203">
        <f t="shared" si="17"/>
        <v>14</v>
      </c>
      <c r="W203">
        <f t="shared" si="17"/>
        <v>3.63</v>
      </c>
    </row>
    <row r="204" spans="1:26" x14ac:dyDescent="0.2">
      <c r="B204" s="3" t="str">
        <f>A200&amp;"r"</f>
        <v>10040r</v>
      </c>
    </row>
    <row r="205" spans="1:26" x14ac:dyDescent="0.2">
      <c r="A205">
        <v>10041</v>
      </c>
      <c r="B205" s="3" t="s">
        <v>378</v>
      </c>
      <c r="C205" s="1">
        <f>ROUND(J205*JL*Frto/8,4)</f>
        <v>8</v>
      </c>
      <c r="D205" t="s">
        <v>210</v>
      </c>
      <c r="E205">
        <f>SUM($O208:$U208)</f>
        <v>47.79</v>
      </c>
      <c r="F205">
        <f>SUMIF($O205:$U205,"&lt;22501",$O208:$U208)</f>
        <v>40.4</v>
      </c>
      <c r="G205">
        <f>SUMIFS($O208:$U208,$O205:$U205,"&gt;30000",$O205:$U205,"&lt;50001")</f>
        <v>5.37</v>
      </c>
      <c r="H205">
        <f>SUMIFS($O208:$U208,$O205:$U205,"&gt;60000",$O205:$U205,"&lt;70001")</f>
        <v>0</v>
      </c>
      <c r="I205">
        <v>7</v>
      </c>
      <c r="J205">
        <v>8</v>
      </c>
      <c r="O205">
        <v>10001</v>
      </c>
      <c r="P205">
        <v>10002</v>
      </c>
      <c r="Q205">
        <v>10008</v>
      </c>
      <c r="R205">
        <v>30051</v>
      </c>
      <c r="S205">
        <v>30054</v>
      </c>
      <c r="T205">
        <v>30055</v>
      </c>
      <c r="U205">
        <v>70001</v>
      </c>
    </row>
    <row r="206" spans="1:26" x14ac:dyDescent="0.2">
      <c r="B206" s="3" t="str">
        <f>A205&amp;"C"</f>
        <v>10041C</v>
      </c>
      <c r="O206">
        <v>0.1</v>
      </c>
      <c r="P206">
        <v>1</v>
      </c>
      <c r="Q206">
        <v>1</v>
      </c>
      <c r="R206">
        <v>0.16</v>
      </c>
      <c r="S206">
        <v>0.26</v>
      </c>
      <c r="T206">
        <v>1</v>
      </c>
      <c r="U206">
        <v>5</v>
      </c>
    </row>
    <row r="207" spans="1:26" x14ac:dyDescent="0.2">
      <c r="O207">
        <f>IF(O209&gt;10000,HLOOKUP(O209,N205:$O208,4,FALSE),IF(OR(AND(22500&lt;O205,O205&lt;25001),AND(50000&lt;O205,O205&lt;53501),AND(70000&lt;O205,O205&lt;72501)),$F205,IF(OR(AND(25001&lt;O205,O205&lt;27501),AND(53500&lt;O205,O205&lt;57001),AND(72500&lt;O205,O205&lt;75001)),$G205,IF(OR(AND(27500&lt;O205,O205&lt;30001),AND(57000&lt;O205,O205&lt;60001),AND(75000&lt;O205,O205&lt;77500)),$H205,VLOOKUP(O205,BDins,6,FALSE)))))</f>
        <v>24.97</v>
      </c>
      <c r="P207">
        <f>IF(P209&gt;10000,HLOOKUP(P209,O205:$O208,4,FALSE),IF(OR(AND(22500&lt;P205,P205&lt;25001),AND(50000&lt;P205,P205&lt;53501),AND(70000&lt;P205,P205&lt;72501)),$F205,IF(OR(AND(25001&lt;P205,P205&lt;27501),AND(53500&lt;P205,P205&lt;57001),AND(72500&lt;P205,P205&lt;75001)),$G205,IF(OR(AND(27500&lt;P205,P205&lt;30001),AND(57000&lt;P205,P205&lt;60001),AND(75000&lt;P205,P205&lt;77500)),$H205,VLOOKUP(P205,BDins,6,FALSE)))))</f>
        <v>20.81</v>
      </c>
      <c r="Q207">
        <f>IF(Q209&gt;10000,HLOOKUP(Q209,$O205:P208,4,FALSE),IF(OR(AND(22500&lt;Q205,Q205&lt;25001),AND(50000&lt;Q205,Q205&lt;53501),AND(70000&lt;Q205,Q205&lt;72501)),$F205,IF(OR(AND(25001&lt;Q205,Q205&lt;27501),AND(53500&lt;Q205,Q205&lt;57001),AND(72500&lt;Q205,Q205&lt;75001)),$G205,IF(OR(AND(27500&lt;Q205,Q205&lt;30001),AND(57000&lt;Q205,Q205&lt;60001),AND(75000&lt;Q205,Q205&lt;77500)),$H205,VLOOKUP(Q205,BDins,6,FALSE)))))</f>
        <v>17.09</v>
      </c>
      <c r="R207">
        <f>IF(R209&gt;10000,HLOOKUP(R209,$O205:Q208,4,FALSE),IF(OR(AND(22500&lt;R205,R205&lt;25001),AND(50000&lt;R205,R205&lt;53501),AND(70000&lt;R205,R205&lt;72501)),$F205,IF(OR(AND(25001&lt;R205,R205&lt;27501),AND(53500&lt;R205,R205&lt;57001),AND(72500&lt;R205,R205&lt;75001)),$G205,IF(OR(AND(27500&lt;R205,R205&lt;30001),AND(57000&lt;R205,R205&lt;60001),AND(75000&lt;R205,R205&lt;77500)),$H205,VLOOKUP(R205,BDins,6,FALSE)))))</f>
        <v>3.5</v>
      </c>
      <c r="S207">
        <f>IF(S209&gt;10000,HLOOKUP(S209,$O205:R208,4,FALSE),IF(OR(AND(22500&lt;S205,S205&lt;25001),AND(50000&lt;S205,S205&lt;53501),AND(70000&lt;S205,S205&lt;72501)),$F205,IF(OR(AND(25001&lt;S205,S205&lt;27501),AND(53500&lt;S205,S205&lt;57001),AND(72500&lt;S205,S205&lt;75001)),$G205,IF(OR(AND(27500&lt;S205,S205&lt;30001),AND(57000&lt;S205,S205&lt;60001),AND(75000&lt;S205,S205&lt;77500)),$H205,VLOOKUP(S205,BDins,6,FALSE)))))</f>
        <v>3.5</v>
      </c>
      <c r="T207">
        <f>IF(T209&gt;10000,HLOOKUP(T209,$O205:S208,4,FALSE),IF(OR(AND(22500&lt;T205,T205&lt;25001),AND(50000&lt;T205,T205&lt;53501),AND(70000&lt;T205,T205&lt;72501)),$F205,IF(OR(AND(25001&lt;T205,T205&lt;27501),AND(53500&lt;T205,T205&lt;57001),AND(72500&lt;T205,T205&lt;75001)),$G205,IF(OR(AND(27500&lt;T205,T205&lt;30001),AND(57000&lt;T205,T205&lt;60001),AND(75000&lt;T205,T205&lt;77500)),$H205,VLOOKUP(T205,BDins,6,FALSE)))))</f>
        <v>3.9</v>
      </c>
      <c r="U207">
        <f>IF(U209&gt;10000,HLOOKUP(U209,$O205:T208,4,FALSE),IF(OR(AND(22500&lt;U205,U205&lt;25001),AND(50000&lt;U205,U205&lt;53501),AND(70000&lt;U205,U205&lt;72501)),$F205,IF(OR(AND(25001&lt;U205,U205&lt;27501),AND(53500&lt;U205,U205&lt;57001),AND(72500&lt;U205,U205&lt;75001)),$G205,IF(OR(AND(27500&lt;U205,U205&lt;30001),AND(57000&lt;U205,U205&lt;60001),AND(75000&lt;U205,U205&lt;77500)),$H205,VLOOKUP(U205,BDins,6,FALSE)))))</f>
        <v>40.4</v>
      </c>
    </row>
    <row r="208" spans="1:26" x14ac:dyDescent="0.2">
      <c r="O208">
        <f t="shared" ref="O208:U208" si="18">IF($K205&gt;0,ROUND(O206*$E205/100,DpCU),IF(O209&gt;10000,ROUND(HLOOKUP(O209,$O205:$U208,4,FALSE)/100*O206,DpCU),IF(OR(O205&lt;20001,O205&gt;95000,AND(60000&lt;O205,O205&lt;70001)),ROUND(ROUND(O206*JL/$C205,DcCU)*O207,DpCU),IF(OR(AND(20000&lt;O205,O205&lt;22501),AND(30000&lt;O205,O205&lt;50001),77500&lt;O205),ROUND(O207*O206,DpCU),IF(OR(AND(22500&lt;O205,O205&lt;25001),AND(50000&lt;O205,O205&lt;53501),AND(70000&lt;O205,O205&lt;72501)),ROUND($F205/100*O206,DpCU),IF(OR(AND(25000&lt;O205,O205&lt;27501),AND(53500&lt;O205,O205&lt;57001),AND(72500&lt;O205,O205&lt;75001)),ROUND($G205/100*O206,DpCU),ROUND($H205/100*O206,DpCU)))))))</f>
        <v>2.5</v>
      </c>
      <c r="P208">
        <f t="shared" si="18"/>
        <v>20.81</v>
      </c>
      <c r="Q208">
        <f t="shared" si="18"/>
        <v>17.09</v>
      </c>
      <c r="R208">
        <f t="shared" si="18"/>
        <v>0.56000000000000005</v>
      </c>
      <c r="S208">
        <f t="shared" si="18"/>
        <v>0.91</v>
      </c>
      <c r="T208">
        <f t="shared" si="18"/>
        <v>3.9</v>
      </c>
      <c r="U208">
        <f t="shared" si="18"/>
        <v>2.02</v>
      </c>
    </row>
    <row r="209" spans="1:24" x14ac:dyDescent="0.2">
      <c r="B209" s="3" t="str">
        <f>A205&amp;"r"</f>
        <v>10041r</v>
      </c>
    </row>
    <row r="210" spans="1:24" x14ac:dyDescent="0.2">
      <c r="A210">
        <v>10042</v>
      </c>
      <c r="B210" s="3" t="s">
        <v>382</v>
      </c>
      <c r="C210" s="1">
        <f>ROUND(J210*JL*Frto/8,4)</f>
        <v>20</v>
      </c>
      <c r="D210" t="s">
        <v>34</v>
      </c>
      <c r="E210">
        <f>SUM($O213:$W213)</f>
        <v>280.72999999999996</v>
      </c>
      <c r="F210">
        <f>SUMIF($O210:$W210,"&lt;22501",$O213:$W213)</f>
        <v>66.789999999999992</v>
      </c>
      <c r="G210">
        <f>SUMIFS($O213:$W213,$O210:$W210,"&gt;30000",$O210:$W210,"&lt;50001")</f>
        <v>198</v>
      </c>
      <c r="H210">
        <f>SUMIFS($O213:$W213,$O210:$W210,"&gt;60000",$O210:$W210,"&lt;70001")</f>
        <v>12.6</v>
      </c>
      <c r="I210">
        <v>9</v>
      </c>
      <c r="J210">
        <v>20</v>
      </c>
      <c r="O210">
        <v>10001</v>
      </c>
      <c r="P210">
        <v>10002</v>
      </c>
      <c r="Q210">
        <v>10003</v>
      </c>
      <c r="R210">
        <v>10004</v>
      </c>
      <c r="S210">
        <v>30002</v>
      </c>
      <c r="T210">
        <v>30004</v>
      </c>
      <c r="U210">
        <v>30023</v>
      </c>
      <c r="V210">
        <v>60010</v>
      </c>
      <c r="W210">
        <v>70001</v>
      </c>
    </row>
    <row r="211" spans="1:24" x14ac:dyDescent="0.2">
      <c r="B211" s="3" t="str">
        <f>A210&amp;"C"</f>
        <v>10042C</v>
      </c>
      <c r="O211">
        <v>0.1</v>
      </c>
      <c r="P211">
        <v>1</v>
      </c>
      <c r="Q211">
        <v>8</v>
      </c>
      <c r="R211">
        <v>1</v>
      </c>
      <c r="S211">
        <v>6</v>
      </c>
      <c r="T211">
        <v>1.5</v>
      </c>
      <c r="U211">
        <v>0.18</v>
      </c>
      <c r="V211">
        <v>1</v>
      </c>
      <c r="W211">
        <v>5</v>
      </c>
    </row>
    <row r="212" spans="1:24" x14ac:dyDescent="0.2">
      <c r="O212">
        <f>IF(O214&gt;10000,HLOOKUP(O214,N210:$O213,4,FALSE),IF(OR(AND(22500&lt;O210,O210&lt;25001),AND(50000&lt;O210,O210&lt;53501),AND(70000&lt;O210,O210&lt;72501)),$F210,IF(OR(AND(25001&lt;O210,O210&lt;27501),AND(53500&lt;O210,O210&lt;57001),AND(72500&lt;O210,O210&lt;75001)),$G210,IF(OR(AND(27500&lt;O210,O210&lt;30001),AND(57000&lt;O210,O210&lt;60001),AND(75000&lt;O210,O210&lt;77500)),$H210,VLOOKUP(O210,BDins,6,FALSE)))))</f>
        <v>24.97</v>
      </c>
      <c r="P212">
        <f>IF(P214&gt;10000,HLOOKUP(P214,O210:$O213,4,FALSE),IF(OR(AND(22500&lt;P210,P210&lt;25001),AND(50000&lt;P210,P210&lt;53501),AND(70000&lt;P210,P210&lt;72501)),$F210,IF(OR(AND(25001&lt;P210,P210&lt;27501),AND(53500&lt;P210,P210&lt;57001),AND(72500&lt;P210,P210&lt;75001)),$G210,IF(OR(AND(27500&lt;P210,P210&lt;30001),AND(57000&lt;P210,P210&lt;60001),AND(75000&lt;P210,P210&lt;77500)),$H210,VLOOKUP(P210,BDins,6,FALSE)))))</f>
        <v>20.81</v>
      </c>
      <c r="Q212">
        <f>IF(Q214&gt;10000,HLOOKUP(Q214,$O210:P213,4,FALSE),IF(OR(AND(22500&lt;Q210,Q210&lt;25001),AND(50000&lt;Q210,Q210&lt;53501),AND(70000&lt;Q210,Q210&lt;72501)),$F210,IF(OR(AND(25001&lt;Q210,Q210&lt;27501),AND(53500&lt;Q210,Q210&lt;57001),AND(72500&lt;Q210,Q210&lt;75001)),$G210,IF(OR(AND(27500&lt;Q210,Q210&lt;30001),AND(57000&lt;Q210,Q210&lt;60001),AND(75000&lt;Q210,Q210&lt;77500)),$H210,VLOOKUP(Q210,BDins,6,FALSE)))))</f>
        <v>15.36</v>
      </c>
      <c r="R212">
        <f>IF(R214&gt;10000,HLOOKUP(R214,$O210:Q213,4,FALSE),IF(OR(AND(22500&lt;R210,R210&lt;25001),AND(50000&lt;R210,R210&lt;53501),AND(70000&lt;R210,R210&lt;72501)),$F210,IF(OR(AND(25001&lt;R210,R210&lt;27501),AND(53500&lt;R210,R210&lt;57001),AND(72500&lt;R210,R210&lt;75001)),$G210,IF(OR(AND(27500&lt;R210,R210&lt;30001),AND(57000&lt;R210,R210&lt;60001),AND(75000&lt;R210,R210&lt;77500)),$H210,VLOOKUP(R210,BDins,6,FALSE)))))</f>
        <v>20.81</v>
      </c>
      <c r="S212">
        <f>IF(S214&gt;10000,HLOOKUP(S214,$O210:R213,4,FALSE),IF(OR(AND(22500&lt;S210,S210&lt;25001),AND(50000&lt;S210,S210&lt;53501),AND(70000&lt;S210,S210&lt;72501)),$F210,IF(OR(AND(25001&lt;S210,S210&lt;27501),AND(53500&lt;S210,S210&lt;57001),AND(72500&lt;S210,S210&lt;75001)),$G210,IF(OR(AND(27500&lt;S210,S210&lt;30001),AND(57000&lt;S210,S210&lt;60001),AND(75000&lt;S210,S210&lt;77500)),$H210,VLOOKUP(S210,BDins,6,FALSE)))))</f>
        <v>18.5</v>
      </c>
      <c r="T212">
        <f>IF(T214&gt;10000,HLOOKUP(T214,$O210:S213,4,FALSE),IF(OR(AND(22500&lt;T210,T210&lt;25001),AND(50000&lt;T210,T210&lt;53501),AND(70000&lt;T210,T210&lt;72501)),$F210,IF(OR(AND(25001&lt;T210,T210&lt;27501),AND(53500&lt;T210,T210&lt;57001),AND(72500&lt;T210,T210&lt;75001)),$G210,IF(OR(AND(27500&lt;T210,T210&lt;30001),AND(57000&lt;T210,T210&lt;60001),AND(75000&lt;T210,T210&lt;77500)),$H210,VLOOKUP(T210,BDins,6,FALSE)))))</f>
        <v>40</v>
      </c>
      <c r="U212">
        <f>IF(U214&gt;10000,HLOOKUP(U214,$O210:T213,4,FALSE),IF(OR(AND(22500&lt;U210,U210&lt;25001),AND(50000&lt;U210,U210&lt;53501),AND(70000&lt;U210,U210&lt;72501)),$F210,IF(OR(AND(25001&lt;U210,U210&lt;27501),AND(53500&lt;U210,U210&lt;57001),AND(72500&lt;U210,U210&lt;75001)),$G210,IF(OR(AND(27500&lt;U210,U210&lt;30001),AND(57000&lt;U210,U210&lt;60001),AND(75000&lt;U210,U210&lt;77500)),$H210,VLOOKUP(U210,BDins,6,FALSE)))))</f>
        <v>150</v>
      </c>
      <c r="V212">
        <f>IF(V214&gt;10000,HLOOKUP(V214,$O210:U213,4,FALSE),IF(OR(AND(22500&lt;V210,V210&lt;25001),AND(50000&lt;V210,V210&lt;53501),AND(70000&lt;V210,V210&lt;72501)),$F210,IF(OR(AND(25001&lt;V210,V210&lt;27501),AND(53500&lt;V210,V210&lt;57001),AND(72500&lt;V210,V210&lt;75001)),$G210,IF(OR(AND(27500&lt;V210,V210&lt;30001),AND(57000&lt;V210,V210&lt;60001),AND(75000&lt;V210,V210&lt;77500)),$H210,VLOOKUP(V210,BDins,6,FALSE)))))</f>
        <v>31.5</v>
      </c>
      <c r="W212">
        <f>IF(W214&gt;10000,HLOOKUP(W214,$O210:V213,4,FALSE),IF(OR(AND(22500&lt;W210,W210&lt;25001),AND(50000&lt;W210,W210&lt;53501),AND(70000&lt;W210,W210&lt;72501)),$F210,IF(OR(AND(25001&lt;W210,W210&lt;27501),AND(53500&lt;W210,W210&lt;57001),AND(72500&lt;W210,W210&lt;75001)),$G210,IF(OR(AND(27500&lt;W210,W210&lt;30001),AND(57000&lt;W210,W210&lt;60001),AND(75000&lt;W210,W210&lt;77500)),$H210,VLOOKUP(W210,BDins,6,FALSE)))))</f>
        <v>66.789999999999992</v>
      </c>
    </row>
    <row r="213" spans="1:24" x14ac:dyDescent="0.2">
      <c r="O213">
        <f t="shared" ref="O213:W213" si="19">IF($K210&gt;0,ROUND(O211*$E210/100,DpCU),IF(O214&gt;10000,ROUND(HLOOKUP(O214,$O210:$W213,4,FALSE)/100*O211,DpCU),IF(OR(O210&lt;20001,O210&gt;95000,AND(60000&lt;O210,O210&lt;70001)),ROUND(ROUND(O211*JL/$C210,DcCU)*O212,DpCU),IF(OR(AND(20000&lt;O210,O210&lt;22501),AND(30000&lt;O210,O210&lt;50001),77500&lt;O210),ROUND(O212*O211,DpCU),IF(OR(AND(22500&lt;O210,O210&lt;25001),AND(50000&lt;O210,O210&lt;53501),AND(70000&lt;O210,O210&lt;72501)),ROUND($F210/100*O211,DpCU),IF(OR(AND(25000&lt;O210,O210&lt;27501),AND(53500&lt;O210,O210&lt;57001),AND(72500&lt;O210,O210&lt;75001)),ROUND($G210/100*O211,DpCU),ROUND($H210/100*O211,DpCU)))))))</f>
        <v>1</v>
      </c>
      <c r="P213">
        <f t="shared" si="19"/>
        <v>8.32</v>
      </c>
      <c r="Q213">
        <f t="shared" si="19"/>
        <v>49.15</v>
      </c>
      <c r="R213">
        <f t="shared" si="19"/>
        <v>8.32</v>
      </c>
      <c r="S213">
        <f t="shared" si="19"/>
        <v>111</v>
      </c>
      <c r="T213">
        <f t="shared" si="19"/>
        <v>60</v>
      </c>
      <c r="U213">
        <f t="shared" si="19"/>
        <v>27</v>
      </c>
      <c r="V213">
        <f t="shared" si="19"/>
        <v>12.6</v>
      </c>
      <c r="W213">
        <f t="shared" si="19"/>
        <v>3.34</v>
      </c>
    </row>
    <row r="214" spans="1:24" x14ac:dyDescent="0.2">
      <c r="B214" s="3" t="str">
        <f>A210&amp;"r"</f>
        <v>10042r</v>
      </c>
    </row>
    <row r="215" spans="1:24" x14ac:dyDescent="0.2">
      <c r="A215">
        <v>10043</v>
      </c>
      <c r="B215" s="3" t="s">
        <v>384</v>
      </c>
      <c r="C215" s="1">
        <f>ROUND(J215*JL*Frto/8,4)</f>
        <v>10</v>
      </c>
      <c r="D215" t="s">
        <v>210</v>
      </c>
      <c r="E215">
        <f>SUM($O218:$U218)</f>
        <v>42.79</v>
      </c>
      <c r="F215">
        <f>SUMIF($O215:$U215,"&lt;22501",$O218:$U218)</f>
        <v>32.32</v>
      </c>
      <c r="G215">
        <f>SUMIFS($O218:$U218,$O215:$U215,"&gt;30000",$O215:$U215,"&lt;50001")</f>
        <v>8.85</v>
      </c>
      <c r="H215">
        <f>SUMIFS($O218:$U218,$O215:$U215,"&gt;60000",$O215:$U215,"&lt;70001")</f>
        <v>0</v>
      </c>
      <c r="I215">
        <v>7</v>
      </c>
      <c r="J215">
        <v>10</v>
      </c>
      <c r="O215">
        <v>10001</v>
      </c>
      <c r="P215">
        <v>10002</v>
      </c>
      <c r="Q215">
        <v>10008</v>
      </c>
      <c r="R215">
        <v>30051</v>
      </c>
      <c r="S215">
        <v>30054</v>
      </c>
      <c r="T215">
        <v>30055</v>
      </c>
      <c r="U215">
        <v>70001</v>
      </c>
    </row>
    <row r="216" spans="1:24" x14ac:dyDescent="0.2">
      <c r="B216" s="3" t="str">
        <f>A215&amp;"C"</f>
        <v>10043C</v>
      </c>
      <c r="O216">
        <v>0.1</v>
      </c>
      <c r="P216">
        <v>1</v>
      </c>
      <c r="Q216">
        <v>1</v>
      </c>
      <c r="R216">
        <v>0.2</v>
      </c>
      <c r="S216">
        <v>0.1</v>
      </c>
      <c r="T216">
        <v>2</v>
      </c>
      <c r="U216">
        <v>5</v>
      </c>
    </row>
    <row r="217" spans="1:24" x14ac:dyDescent="0.2">
      <c r="O217">
        <f>IF(O219&gt;10000,HLOOKUP(O219,N215:$O218,4,FALSE),IF(OR(AND(22500&lt;O215,O215&lt;25001),AND(50000&lt;O215,O215&lt;53501),AND(70000&lt;O215,O215&lt;72501)),$F215,IF(OR(AND(25001&lt;O215,O215&lt;27501),AND(53500&lt;O215,O215&lt;57001),AND(72500&lt;O215,O215&lt;75001)),$G215,IF(OR(AND(27500&lt;O215,O215&lt;30001),AND(57000&lt;O215,O215&lt;60001),AND(75000&lt;O215,O215&lt;77500)),$H215,VLOOKUP(O215,BDins,6,FALSE)))))</f>
        <v>24.97</v>
      </c>
      <c r="P217">
        <f>IF(P219&gt;10000,HLOOKUP(P219,O215:$O218,4,FALSE),IF(OR(AND(22500&lt;P215,P215&lt;25001),AND(50000&lt;P215,P215&lt;53501),AND(70000&lt;P215,P215&lt;72501)),$F215,IF(OR(AND(25001&lt;P215,P215&lt;27501),AND(53500&lt;P215,P215&lt;57001),AND(72500&lt;P215,P215&lt;75001)),$G215,IF(OR(AND(27500&lt;P215,P215&lt;30001),AND(57000&lt;P215,P215&lt;60001),AND(75000&lt;P215,P215&lt;77500)),$H215,VLOOKUP(P215,BDins,6,FALSE)))))</f>
        <v>20.81</v>
      </c>
      <c r="Q217">
        <f>IF(Q219&gt;10000,HLOOKUP(Q219,$O215:P218,4,FALSE),IF(OR(AND(22500&lt;Q215,Q215&lt;25001),AND(50000&lt;Q215,Q215&lt;53501),AND(70000&lt;Q215,Q215&lt;72501)),$F215,IF(OR(AND(25001&lt;Q215,Q215&lt;27501),AND(53500&lt;Q215,Q215&lt;57001),AND(72500&lt;Q215,Q215&lt;75001)),$G215,IF(OR(AND(27500&lt;Q215,Q215&lt;30001),AND(57000&lt;Q215,Q215&lt;60001),AND(75000&lt;Q215,Q215&lt;77500)),$H215,VLOOKUP(Q215,BDins,6,FALSE)))))</f>
        <v>17.09</v>
      </c>
      <c r="R217">
        <f>IF(R219&gt;10000,HLOOKUP(R219,$O215:Q218,4,FALSE),IF(OR(AND(22500&lt;R215,R215&lt;25001),AND(50000&lt;R215,R215&lt;53501),AND(70000&lt;R215,R215&lt;72501)),$F215,IF(OR(AND(25001&lt;R215,R215&lt;27501),AND(53500&lt;R215,R215&lt;57001),AND(72500&lt;R215,R215&lt;75001)),$G215,IF(OR(AND(27500&lt;R215,R215&lt;30001),AND(57000&lt;R215,R215&lt;60001),AND(75000&lt;R215,R215&lt;77500)),$H215,VLOOKUP(R215,BDins,6,FALSE)))))</f>
        <v>3.5</v>
      </c>
      <c r="S217">
        <f>IF(S219&gt;10000,HLOOKUP(S219,$O215:R218,4,FALSE),IF(OR(AND(22500&lt;S215,S215&lt;25001),AND(50000&lt;S215,S215&lt;53501),AND(70000&lt;S215,S215&lt;72501)),$F215,IF(OR(AND(25001&lt;S215,S215&lt;27501),AND(53500&lt;S215,S215&lt;57001),AND(72500&lt;S215,S215&lt;75001)),$G215,IF(OR(AND(27500&lt;S215,S215&lt;30001),AND(57000&lt;S215,S215&lt;60001),AND(75000&lt;S215,S215&lt;77500)),$H215,VLOOKUP(S215,BDins,6,FALSE)))))</f>
        <v>3.5</v>
      </c>
      <c r="T217">
        <f>IF(T219&gt;10000,HLOOKUP(T219,$O215:S218,4,FALSE),IF(OR(AND(22500&lt;T215,T215&lt;25001),AND(50000&lt;T215,T215&lt;53501),AND(70000&lt;T215,T215&lt;72501)),$F215,IF(OR(AND(25001&lt;T215,T215&lt;27501),AND(53500&lt;T215,T215&lt;57001),AND(72500&lt;T215,T215&lt;75001)),$G215,IF(OR(AND(27500&lt;T215,T215&lt;30001),AND(57000&lt;T215,T215&lt;60001),AND(75000&lt;T215,T215&lt;77500)),$H215,VLOOKUP(T215,BDins,6,FALSE)))))</f>
        <v>3.9</v>
      </c>
      <c r="U217">
        <f>IF(U219&gt;10000,HLOOKUP(U219,$O215:T218,4,FALSE),IF(OR(AND(22500&lt;U215,U215&lt;25001),AND(50000&lt;U215,U215&lt;53501),AND(70000&lt;U215,U215&lt;72501)),$F215,IF(OR(AND(25001&lt;U215,U215&lt;27501),AND(53500&lt;U215,U215&lt;57001),AND(72500&lt;U215,U215&lt;75001)),$G215,IF(OR(AND(27500&lt;U215,U215&lt;30001),AND(57000&lt;U215,U215&lt;60001),AND(75000&lt;U215,U215&lt;77500)),$H215,VLOOKUP(U215,BDins,6,FALSE)))))</f>
        <v>32.32</v>
      </c>
    </row>
    <row r="218" spans="1:24" x14ac:dyDescent="0.2">
      <c r="O218">
        <f t="shared" ref="O218:U218" si="20">IF($K215&gt;0,ROUND(O216*$E215/100,DpCU),IF(O219&gt;10000,ROUND(HLOOKUP(O219,$O215:$U218,4,FALSE)/100*O216,DpCU),IF(OR(O215&lt;20001,O215&gt;95000,AND(60000&lt;O215,O215&lt;70001)),ROUND(ROUND(O216*JL/$C215,DcCU)*O217,DpCU),IF(OR(AND(20000&lt;O215,O215&lt;22501),AND(30000&lt;O215,O215&lt;50001),77500&lt;O215),ROUND(O217*O216,DpCU),IF(OR(AND(22500&lt;O215,O215&lt;25001),AND(50000&lt;O215,O215&lt;53501),AND(70000&lt;O215,O215&lt;72501)),ROUND($F215/100*O216,DpCU),IF(OR(AND(25000&lt;O215,O215&lt;27501),AND(53500&lt;O215,O215&lt;57001),AND(72500&lt;O215,O215&lt;75001)),ROUND($G215/100*O216,DpCU),ROUND($H215/100*O216,DpCU)))))))</f>
        <v>2</v>
      </c>
      <c r="P218">
        <f t="shared" si="20"/>
        <v>16.649999999999999</v>
      </c>
      <c r="Q218">
        <f t="shared" si="20"/>
        <v>13.67</v>
      </c>
      <c r="R218">
        <f t="shared" si="20"/>
        <v>0.7</v>
      </c>
      <c r="S218">
        <f t="shared" si="20"/>
        <v>0.35</v>
      </c>
      <c r="T218">
        <f t="shared" si="20"/>
        <v>7.8</v>
      </c>
      <c r="U218">
        <f t="shared" si="20"/>
        <v>1.62</v>
      </c>
    </row>
    <row r="219" spans="1:24" x14ac:dyDescent="0.2">
      <c r="B219" s="3" t="str">
        <f>A215&amp;"r"</f>
        <v>10043r</v>
      </c>
    </row>
    <row r="220" spans="1:24" x14ac:dyDescent="0.2">
      <c r="A220">
        <v>10044</v>
      </c>
      <c r="B220" s="3" t="s">
        <v>388</v>
      </c>
      <c r="C220" s="1">
        <f>ROUND(J220*JL*Frto/8,4)</f>
        <v>140</v>
      </c>
      <c r="D220" t="s">
        <v>210</v>
      </c>
      <c r="E220">
        <f>SUM($O223:$X223)</f>
        <v>21.12</v>
      </c>
      <c r="F220">
        <f>SUMIF($O220:$X220,"&lt;22501",$O223:$X223)</f>
        <v>10.1</v>
      </c>
      <c r="G220">
        <f>SUMIFS($O223:$X223,$O220:$X220,"&gt;30000",$O220:$X220,"&lt;50001")</f>
        <v>9.86</v>
      </c>
      <c r="H220">
        <f>SUMIFS($O223:$X223,$O220:$X220,"&gt;60000",$O220:$X220,"&lt;70001")</f>
        <v>0.86</v>
      </c>
      <c r="I220">
        <v>10</v>
      </c>
      <c r="J220">
        <v>140</v>
      </c>
      <c r="O220">
        <v>10001</v>
      </c>
      <c r="P220">
        <v>10002</v>
      </c>
      <c r="Q220">
        <v>10003</v>
      </c>
      <c r="R220">
        <v>10004</v>
      </c>
      <c r="S220">
        <v>10008</v>
      </c>
      <c r="T220">
        <v>30004</v>
      </c>
      <c r="U220">
        <v>30048</v>
      </c>
      <c r="V220">
        <v>30059</v>
      </c>
      <c r="W220">
        <v>60011</v>
      </c>
      <c r="X220">
        <v>70001</v>
      </c>
    </row>
    <row r="221" spans="1:24" x14ac:dyDescent="0.2">
      <c r="B221" s="3" t="str">
        <f>A220&amp;"C"</f>
        <v>10044C</v>
      </c>
      <c r="O221">
        <v>0.2</v>
      </c>
      <c r="P221">
        <v>2</v>
      </c>
      <c r="Q221">
        <v>6</v>
      </c>
      <c r="R221">
        <v>1</v>
      </c>
      <c r="S221">
        <v>1</v>
      </c>
      <c r="T221">
        <v>9.4E-2</v>
      </c>
      <c r="U221">
        <v>0.1</v>
      </c>
      <c r="V221">
        <v>0.28399999999999997</v>
      </c>
      <c r="W221">
        <v>1</v>
      </c>
      <c r="X221">
        <v>3</v>
      </c>
    </row>
    <row r="222" spans="1:24" x14ac:dyDescent="0.2">
      <c r="O222">
        <f>IF(O224&gt;10000,HLOOKUP(O224,N220:$O223,4,FALSE),IF(OR(AND(22500&lt;O220,O220&lt;25001),AND(50000&lt;O220,O220&lt;53501),AND(70000&lt;O220,O220&lt;72501)),$F220,IF(OR(AND(25001&lt;O220,O220&lt;27501),AND(53500&lt;O220,O220&lt;57001),AND(72500&lt;O220,O220&lt;75001)),$G220,IF(OR(AND(27500&lt;O220,O220&lt;30001),AND(57000&lt;O220,O220&lt;60001),AND(75000&lt;O220,O220&lt;77500)),$H220,VLOOKUP(O220,BDins,6,FALSE)))))</f>
        <v>24.97</v>
      </c>
      <c r="P222">
        <f>IF(P224&gt;10000,HLOOKUP(P224,O220:$O223,4,FALSE),IF(OR(AND(22500&lt;P220,P220&lt;25001),AND(50000&lt;P220,P220&lt;53501),AND(70000&lt;P220,P220&lt;72501)),$F220,IF(OR(AND(25001&lt;P220,P220&lt;27501),AND(53500&lt;P220,P220&lt;57001),AND(72500&lt;P220,P220&lt;75001)),$G220,IF(OR(AND(27500&lt;P220,P220&lt;30001),AND(57000&lt;P220,P220&lt;60001),AND(75000&lt;P220,P220&lt;77500)),$H220,VLOOKUP(P220,BDins,6,FALSE)))))</f>
        <v>20.81</v>
      </c>
      <c r="Q222">
        <f>IF(Q224&gt;10000,HLOOKUP(Q224,$O220:P223,4,FALSE),IF(OR(AND(22500&lt;Q220,Q220&lt;25001),AND(50000&lt;Q220,Q220&lt;53501),AND(70000&lt;Q220,Q220&lt;72501)),$F220,IF(OR(AND(25001&lt;Q220,Q220&lt;27501),AND(53500&lt;Q220,Q220&lt;57001),AND(72500&lt;Q220,Q220&lt;75001)),$G220,IF(OR(AND(27500&lt;Q220,Q220&lt;30001),AND(57000&lt;Q220,Q220&lt;60001),AND(75000&lt;Q220,Q220&lt;77500)),$H220,VLOOKUP(Q220,BDins,6,FALSE)))))</f>
        <v>15.36</v>
      </c>
      <c r="R222">
        <f>IF(R224&gt;10000,HLOOKUP(R224,$O220:Q223,4,FALSE),IF(OR(AND(22500&lt;R220,R220&lt;25001),AND(50000&lt;R220,R220&lt;53501),AND(70000&lt;R220,R220&lt;72501)),$F220,IF(OR(AND(25001&lt;R220,R220&lt;27501),AND(53500&lt;R220,R220&lt;57001),AND(72500&lt;R220,R220&lt;75001)),$G220,IF(OR(AND(27500&lt;R220,R220&lt;30001),AND(57000&lt;R220,R220&lt;60001),AND(75000&lt;R220,R220&lt;77500)),$H220,VLOOKUP(R220,BDins,6,FALSE)))))</f>
        <v>20.81</v>
      </c>
      <c r="S222">
        <f>IF(S224&gt;10000,HLOOKUP(S224,$O220:R223,4,FALSE),IF(OR(AND(22500&lt;S220,S220&lt;25001),AND(50000&lt;S220,S220&lt;53501),AND(70000&lt;S220,S220&lt;72501)),$F220,IF(OR(AND(25001&lt;S220,S220&lt;27501),AND(53500&lt;S220,S220&lt;57001),AND(72500&lt;S220,S220&lt;75001)),$G220,IF(OR(AND(27500&lt;S220,S220&lt;30001),AND(57000&lt;S220,S220&lt;60001),AND(75000&lt;S220,S220&lt;77500)),$H220,VLOOKUP(S220,BDins,6,FALSE)))))</f>
        <v>17.09</v>
      </c>
      <c r="T222">
        <f>IF(T224&gt;10000,HLOOKUP(T224,$O220:S223,4,FALSE),IF(OR(AND(22500&lt;T220,T220&lt;25001),AND(50000&lt;T220,T220&lt;53501),AND(70000&lt;T220,T220&lt;72501)),$F220,IF(OR(AND(25001&lt;T220,T220&lt;27501),AND(53500&lt;T220,T220&lt;57001),AND(72500&lt;T220,T220&lt;75001)),$G220,IF(OR(AND(27500&lt;T220,T220&lt;30001),AND(57000&lt;T220,T220&lt;60001),AND(75000&lt;T220,T220&lt;77500)),$H220,VLOOKUP(T220,BDins,6,FALSE)))))</f>
        <v>40</v>
      </c>
      <c r="U222">
        <f>IF(U224&gt;10000,HLOOKUP(U224,$O220:T223,4,FALSE),IF(OR(AND(22500&lt;U220,U220&lt;25001),AND(50000&lt;U220,U220&lt;53501),AND(70000&lt;U220,U220&lt;72501)),$F220,IF(OR(AND(25001&lt;U220,U220&lt;27501),AND(53500&lt;U220,U220&lt;57001),AND(72500&lt;U220,U220&lt;75001)),$G220,IF(OR(AND(27500&lt;U220,U220&lt;30001),AND(57000&lt;U220,U220&lt;60001),AND(75000&lt;U220,U220&lt;77500)),$H220,VLOOKUP(U220,BDins,6,FALSE)))))</f>
        <v>8.5</v>
      </c>
      <c r="V222">
        <f>IF(V224&gt;10000,HLOOKUP(V224,$O220:U223,4,FALSE),IF(OR(AND(22500&lt;V220,V220&lt;25001),AND(50000&lt;V220,V220&lt;53501),AND(70000&lt;V220,V220&lt;72501)),$F220,IF(OR(AND(25001&lt;V220,V220&lt;27501),AND(53500&lt;V220,V220&lt;57001),AND(72500&lt;V220,V220&lt;75001)),$G220,IF(OR(AND(27500&lt;V220,V220&lt;30001),AND(57000&lt;V220,V220&lt;60001),AND(75000&lt;V220,V220&lt;77500)),$H220,VLOOKUP(V220,BDins,6,FALSE)))))</f>
        <v>18.5</v>
      </c>
      <c r="W222">
        <f>IF(W224&gt;10000,HLOOKUP(W224,$O220:V223,4,FALSE),IF(OR(AND(22500&lt;W220,W220&lt;25001),AND(50000&lt;W220,W220&lt;53501),AND(70000&lt;W220,W220&lt;72501)),$F220,IF(OR(AND(25001&lt;W220,W220&lt;27501),AND(53500&lt;W220,W220&lt;57001),AND(72500&lt;W220,W220&lt;75001)),$G220,IF(OR(AND(27500&lt;W220,W220&lt;30001),AND(57000&lt;W220,W220&lt;60001),AND(75000&lt;W220,W220&lt;77500)),$H220,VLOOKUP(W220,BDins,6,FALSE)))))</f>
        <v>15.05</v>
      </c>
      <c r="X222">
        <f>IF(X224&gt;10000,HLOOKUP(X224,$O220:W223,4,FALSE),IF(OR(AND(22500&lt;X220,X220&lt;25001),AND(50000&lt;X220,X220&lt;53501),AND(70000&lt;X220,X220&lt;72501)),$F220,IF(OR(AND(25001&lt;X220,X220&lt;27501),AND(53500&lt;X220,X220&lt;57001),AND(72500&lt;X220,X220&lt;75001)),$G220,IF(OR(AND(27500&lt;X220,X220&lt;30001),AND(57000&lt;X220,X220&lt;60001),AND(75000&lt;X220,X220&lt;77500)),$H220,VLOOKUP(X220,BDins,6,FALSE)))))</f>
        <v>10.1</v>
      </c>
    </row>
    <row r="223" spans="1:24" x14ac:dyDescent="0.2">
      <c r="O223">
        <f t="shared" ref="O223:X223" si="21">IF($K220&gt;0,ROUND(O221*$E220/100,DpCU),IF(O224&gt;10000,ROUND(HLOOKUP(O224,$O220:$X223,4,FALSE)/100*O221,DpCU),IF(OR(O220&lt;20001,O220&gt;95000,AND(60000&lt;O220,O220&lt;70001)),ROUND(ROUND(O221*JL/$C220,DcCU)*O222,DpCU),IF(OR(AND(20000&lt;O220,O220&lt;22501),AND(30000&lt;O220,O220&lt;50001),77500&lt;O220),ROUND(O222*O221,DpCU),IF(OR(AND(22500&lt;O220,O220&lt;25001),AND(50000&lt;O220,O220&lt;53501),AND(70000&lt;O220,O220&lt;72501)),ROUND($F220/100*O221,DpCU),IF(OR(AND(25000&lt;O220,O220&lt;27501),AND(53500&lt;O220,O220&lt;57001),AND(72500&lt;O220,O220&lt;75001)),ROUND($G220/100*O221,DpCU),ROUND($H220/100*O221,DpCU)))))))</f>
        <v>0.28000000000000003</v>
      </c>
      <c r="P223">
        <f t="shared" si="21"/>
        <v>2.38</v>
      </c>
      <c r="Q223">
        <f t="shared" si="21"/>
        <v>5.27</v>
      </c>
      <c r="R223">
        <f t="shared" si="21"/>
        <v>1.19</v>
      </c>
      <c r="S223">
        <f t="shared" si="21"/>
        <v>0.98</v>
      </c>
      <c r="T223">
        <f t="shared" si="21"/>
        <v>3.76</v>
      </c>
      <c r="U223">
        <f t="shared" si="21"/>
        <v>0.85</v>
      </c>
      <c r="V223">
        <f t="shared" si="21"/>
        <v>5.25</v>
      </c>
      <c r="W223">
        <f t="shared" si="21"/>
        <v>0.86</v>
      </c>
      <c r="X223">
        <f t="shared" si="21"/>
        <v>0.3</v>
      </c>
    </row>
    <row r="224" spans="1:24" x14ac:dyDescent="0.2">
      <c r="B224" s="3" t="str">
        <f>A220&amp;"r"</f>
        <v>10044r</v>
      </c>
    </row>
    <row r="225" spans="1:28" x14ac:dyDescent="0.2">
      <c r="A225">
        <v>10045</v>
      </c>
      <c r="B225" s="3" t="s">
        <v>394</v>
      </c>
      <c r="C225" s="1">
        <f>ROUND(J225*JL*Frto/8,4)</f>
        <v>150</v>
      </c>
      <c r="D225" t="s">
        <v>210</v>
      </c>
      <c r="E225">
        <f>SUM($O228:$AA228)</f>
        <v>44.15</v>
      </c>
      <c r="F225">
        <f>SUMIF($O225:$AA225,"&lt;22501",$O228:$AA228)</f>
        <v>13.23</v>
      </c>
      <c r="G225">
        <f>SUMIFS($O228:$AA228,$O225:$AA225,"&gt;30000",$O225:$AA225,"&lt;50001")</f>
        <v>28.529999999999998</v>
      </c>
      <c r="H225">
        <f>SUMIFS($O228:$AA228,$O225:$AA225,"&gt;60000",$O225:$AA225,"&lt;70001")</f>
        <v>1.99</v>
      </c>
      <c r="I225">
        <v>13</v>
      </c>
      <c r="J225">
        <v>150</v>
      </c>
      <c r="O225">
        <v>10001</v>
      </c>
      <c r="P225">
        <v>10002</v>
      </c>
      <c r="Q225">
        <v>10003</v>
      </c>
      <c r="R225">
        <v>10008</v>
      </c>
      <c r="S225">
        <v>30002</v>
      </c>
      <c r="T225">
        <v>30023</v>
      </c>
      <c r="U225">
        <v>30056</v>
      </c>
      <c r="V225">
        <v>30060</v>
      </c>
      <c r="W225">
        <v>30061</v>
      </c>
      <c r="X225">
        <v>30062</v>
      </c>
      <c r="Y225">
        <v>60010</v>
      </c>
      <c r="Z225">
        <v>60012</v>
      </c>
      <c r="AA225">
        <v>70001</v>
      </c>
    </row>
    <row r="226" spans="1:28" x14ac:dyDescent="0.2">
      <c r="B226" s="3" t="str">
        <f>A225&amp;"C"</f>
        <v>10045C</v>
      </c>
      <c r="O226">
        <v>0.2</v>
      </c>
      <c r="P226">
        <v>2</v>
      </c>
      <c r="Q226">
        <v>12</v>
      </c>
      <c r="R226">
        <v>1</v>
      </c>
      <c r="S226">
        <v>0.9</v>
      </c>
      <c r="T226">
        <v>0.02</v>
      </c>
      <c r="U226">
        <v>4.4999999999999998E-2</v>
      </c>
      <c r="V226">
        <v>8.0000000000000002E-3</v>
      </c>
      <c r="W226">
        <v>0.09</v>
      </c>
      <c r="X226">
        <v>0.06</v>
      </c>
      <c r="Y226">
        <v>1</v>
      </c>
      <c r="Z226">
        <v>1</v>
      </c>
      <c r="AA226">
        <v>3</v>
      </c>
    </row>
    <row r="227" spans="1:28" x14ac:dyDescent="0.2">
      <c r="O227">
        <f>IF(O229&gt;10000,HLOOKUP(O229,N225:$O228,4,FALSE),IF(OR(AND(22500&lt;O225,O225&lt;25001),AND(50000&lt;O225,O225&lt;53501),AND(70000&lt;O225,O225&lt;72501)),$F225,IF(OR(AND(25001&lt;O225,O225&lt;27501),AND(53500&lt;O225,O225&lt;57001),AND(72500&lt;O225,O225&lt;75001)),$G225,IF(OR(AND(27500&lt;O225,O225&lt;30001),AND(57000&lt;O225,O225&lt;60001),AND(75000&lt;O225,O225&lt;77500)),$H225,VLOOKUP(O225,BDins,6,FALSE)))))</f>
        <v>24.97</v>
      </c>
      <c r="P227">
        <f>IF(P229&gt;10000,HLOOKUP(P229,O225:$O228,4,FALSE),IF(OR(AND(22500&lt;P225,P225&lt;25001),AND(50000&lt;P225,P225&lt;53501),AND(70000&lt;P225,P225&lt;72501)),$F225,IF(OR(AND(25001&lt;P225,P225&lt;27501),AND(53500&lt;P225,P225&lt;57001),AND(72500&lt;P225,P225&lt;75001)),$G225,IF(OR(AND(27500&lt;P225,P225&lt;30001),AND(57000&lt;P225,P225&lt;60001),AND(75000&lt;P225,P225&lt;77500)),$H225,VLOOKUP(P225,BDins,6,FALSE)))))</f>
        <v>20.81</v>
      </c>
      <c r="Q227">
        <f>IF(Q229&gt;10000,HLOOKUP(Q229,$O225:P228,4,FALSE),IF(OR(AND(22500&lt;Q225,Q225&lt;25001),AND(50000&lt;Q225,Q225&lt;53501),AND(70000&lt;Q225,Q225&lt;72501)),$F225,IF(OR(AND(25001&lt;Q225,Q225&lt;27501),AND(53500&lt;Q225,Q225&lt;57001),AND(72500&lt;Q225,Q225&lt;75001)),$G225,IF(OR(AND(27500&lt;Q225,Q225&lt;30001),AND(57000&lt;Q225,Q225&lt;60001),AND(75000&lt;Q225,Q225&lt;77500)),$H225,VLOOKUP(Q225,BDins,6,FALSE)))))</f>
        <v>15.36</v>
      </c>
      <c r="R227">
        <f>IF(R229&gt;10000,HLOOKUP(R229,$O225:Q228,4,FALSE),IF(OR(AND(22500&lt;R225,R225&lt;25001),AND(50000&lt;R225,R225&lt;53501),AND(70000&lt;R225,R225&lt;72501)),$F225,IF(OR(AND(25001&lt;R225,R225&lt;27501),AND(53500&lt;R225,R225&lt;57001),AND(72500&lt;R225,R225&lt;75001)),$G225,IF(OR(AND(27500&lt;R225,R225&lt;30001),AND(57000&lt;R225,R225&lt;60001),AND(75000&lt;R225,R225&lt;77500)),$H225,VLOOKUP(R225,BDins,6,FALSE)))))</f>
        <v>17.09</v>
      </c>
      <c r="S227">
        <f>IF(S229&gt;10000,HLOOKUP(S229,$O225:R228,4,FALSE),IF(OR(AND(22500&lt;S225,S225&lt;25001),AND(50000&lt;S225,S225&lt;53501),AND(70000&lt;S225,S225&lt;72501)),$F225,IF(OR(AND(25001&lt;S225,S225&lt;27501),AND(53500&lt;S225,S225&lt;57001),AND(72500&lt;S225,S225&lt;75001)),$G225,IF(OR(AND(27500&lt;S225,S225&lt;30001),AND(57000&lt;S225,S225&lt;60001),AND(75000&lt;S225,S225&lt;77500)),$H225,VLOOKUP(S225,BDins,6,FALSE)))))</f>
        <v>18.5</v>
      </c>
      <c r="T227">
        <f>IF(T229&gt;10000,HLOOKUP(T229,$O225:S228,4,FALSE),IF(OR(AND(22500&lt;T225,T225&lt;25001),AND(50000&lt;T225,T225&lt;53501),AND(70000&lt;T225,T225&lt;72501)),$F225,IF(OR(AND(25001&lt;T225,T225&lt;27501),AND(53500&lt;T225,T225&lt;57001),AND(72500&lt;T225,T225&lt;75001)),$G225,IF(OR(AND(27500&lt;T225,T225&lt;30001),AND(57000&lt;T225,T225&lt;60001),AND(75000&lt;T225,T225&lt;77500)),$H225,VLOOKUP(T225,BDins,6,FALSE)))))</f>
        <v>150</v>
      </c>
      <c r="U227">
        <f>IF(U229&gt;10000,HLOOKUP(U229,$O225:T228,4,FALSE),IF(OR(AND(22500&lt;U225,U225&lt;25001),AND(50000&lt;U225,U225&lt;53501),AND(70000&lt;U225,U225&lt;72501)),$F225,IF(OR(AND(25001&lt;U225,U225&lt;27501),AND(53500&lt;U225,U225&lt;57001),AND(72500&lt;U225,U225&lt;75001)),$G225,IF(OR(AND(27500&lt;U225,U225&lt;30001),AND(57000&lt;U225,U225&lt;60001),AND(75000&lt;U225,U225&lt;77500)),$H225,VLOOKUP(U225,BDins,6,FALSE)))))</f>
        <v>45</v>
      </c>
      <c r="V227">
        <f>IF(V229&gt;10000,HLOOKUP(V229,$O225:U228,4,FALSE),IF(OR(AND(22500&lt;V225,V225&lt;25001),AND(50000&lt;V225,V225&lt;53501),AND(70000&lt;V225,V225&lt;72501)),$F225,IF(OR(AND(25001&lt;V225,V225&lt;27501),AND(53500&lt;V225,V225&lt;57001),AND(72500&lt;V225,V225&lt;75001)),$G225,IF(OR(AND(27500&lt;V225,V225&lt;30001),AND(57000&lt;V225,V225&lt;60001),AND(75000&lt;V225,V225&lt;77500)),$H225,VLOOKUP(V225,BDins,6,FALSE)))))</f>
        <v>46.84</v>
      </c>
      <c r="W227">
        <f>IF(W229&gt;10000,HLOOKUP(W229,$O225:V228,4,FALSE),IF(OR(AND(22500&lt;W225,W225&lt;25001),AND(50000&lt;W225,W225&lt;53501),AND(70000&lt;W225,W225&lt;72501)),$F225,IF(OR(AND(25001&lt;W225,W225&lt;27501),AND(53500&lt;W225,W225&lt;57001),AND(72500&lt;W225,W225&lt;75001)),$G225,IF(OR(AND(27500&lt;W225,W225&lt;30001),AND(57000&lt;W225,W225&lt;60001),AND(75000&lt;W225,W225&lt;77500)),$H225,VLOOKUP(W225,BDins,6,FALSE)))))</f>
        <v>65</v>
      </c>
      <c r="X227">
        <f>IF(X229&gt;10000,HLOOKUP(X229,$O225:W228,4,FALSE),IF(OR(AND(22500&lt;X225,X225&lt;25001),AND(50000&lt;X225,X225&lt;53501),AND(70000&lt;X225,X225&lt;72501)),$F225,IF(OR(AND(25001&lt;X225,X225&lt;27501),AND(53500&lt;X225,X225&lt;57001),AND(72500&lt;X225,X225&lt;75001)),$G225,IF(OR(AND(27500&lt;X225,X225&lt;30001),AND(57000&lt;X225,X225&lt;60001),AND(75000&lt;X225,X225&lt;77500)),$H225,VLOOKUP(X225,BDins,6,FALSE)))))</f>
        <v>10.5</v>
      </c>
      <c r="Y227">
        <f>IF(Y229&gt;10000,HLOOKUP(Y229,$O225:X228,4,FALSE),IF(OR(AND(22500&lt;Y225,Y225&lt;25001),AND(50000&lt;Y225,Y225&lt;53501),AND(70000&lt;Y225,Y225&lt;72501)),$F225,IF(OR(AND(25001&lt;Y225,Y225&lt;27501),AND(53500&lt;Y225,Y225&lt;57001),AND(72500&lt;Y225,Y225&lt;75001)),$G225,IF(OR(AND(27500&lt;Y225,Y225&lt;30001),AND(57000&lt;Y225,Y225&lt;60001),AND(75000&lt;Y225,Y225&lt;77500)),$H225,VLOOKUP(Y225,BDins,6,FALSE)))))</f>
        <v>31.5</v>
      </c>
      <c r="Z227">
        <f>IF(Z229&gt;10000,HLOOKUP(Z229,$O225:Y228,4,FALSE),IF(OR(AND(22500&lt;Z225,Z225&lt;25001),AND(50000&lt;Z225,Z225&lt;53501),AND(70000&lt;Z225,Z225&lt;72501)),$F225,IF(OR(AND(25001&lt;Z225,Z225&lt;27501),AND(53500&lt;Z225,Z225&lt;57001),AND(72500&lt;Z225,Z225&lt;75001)),$G225,IF(OR(AND(27500&lt;Z225,Z225&lt;30001),AND(57000&lt;Z225,Z225&lt;60001),AND(75000&lt;Z225,Z225&lt;77500)),$H225,VLOOKUP(Z225,BDins,6,FALSE)))))</f>
        <v>5.9</v>
      </c>
      <c r="AA227">
        <f>IF(AA229&gt;10000,HLOOKUP(AA229,$O225:Z228,4,FALSE),IF(OR(AND(22500&lt;AA225,AA225&lt;25001),AND(50000&lt;AA225,AA225&lt;53501),AND(70000&lt;AA225,AA225&lt;72501)),$F225,IF(OR(AND(25001&lt;AA225,AA225&lt;27501),AND(53500&lt;AA225,AA225&lt;57001),AND(72500&lt;AA225,AA225&lt;75001)),$G225,IF(OR(AND(27500&lt;AA225,AA225&lt;30001),AND(57000&lt;AA225,AA225&lt;60001),AND(75000&lt;AA225,AA225&lt;77500)),$H225,VLOOKUP(AA225,BDins,6,FALSE)))))</f>
        <v>13.23</v>
      </c>
    </row>
    <row r="228" spans="1:28" x14ac:dyDescent="0.2">
      <c r="O228">
        <f t="shared" ref="O228:AA228" si="22">IF($K225&gt;0,ROUND(O226*$E225/100,DpCU),IF(O229&gt;10000,ROUND(HLOOKUP(O229,$O225:$AA228,4,FALSE)/100*O226,DpCU),IF(OR(O225&lt;20001,O225&gt;95000,AND(60000&lt;O225,O225&lt;70001)),ROUND(ROUND(O226*JL/$C225,DcCU)*O227,DpCU),IF(OR(AND(20000&lt;O225,O225&lt;22501),AND(30000&lt;O225,O225&lt;50001),77500&lt;O225),ROUND(O227*O226,DpCU),IF(OR(AND(22500&lt;O225,O225&lt;25001),AND(50000&lt;O225,O225&lt;53501),AND(70000&lt;O225,O225&lt;72501)),ROUND($F225/100*O226,DpCU),IF(OR(AND(25000&lt;O225,O225&lt;27501),AND(53500&lt;O225,O225&lt;57001),AND(72500&lt;O225,O225&lt;75001)),ROUND($G225/100*O226,DpCU),ROUND($H225/100*O226,DpCU)))))))</f>
        <v>0.27</v>
      </c>
      <c r="P228">
        <f t="shared" si="22"/>
        <v>2.2200000000000002</v>
      </c>
      <c r="Q228">
        <f t="shared" si="22"/>
        <v>9.83</v>
      </c>
      <c r="R228">
        <f t="shared" si="22"/>
        <v>0.91</v>
      </c>
      <c r="S228">
        <f t="shared" si="22"/>
        <v>16.649999999999999</v>
      </c>
      <c r="T228">
        <f t="shared" si="22"/>
        <v>3</v>
      </c>
      <c r="U228">
        <f t="shared" si="22"/>
        <v>2.0299999999999998</v>
      </c>
      <c r="V228">
        <f t="shared" si="22"/>
        <v>0.37</v>
      </c>
      <c r="W228">
        <f t="shared" si="22"/>
        <v>5.85</v>
      </c>
      <c r="X228">
        <f t="shared" si="22"/>
        <v>0.63</v>
      </c>
      <c r="Y228">
        <f t="shared" si="22"/>
        <v>1.68</v>
      </c>
      <c r="Z228">
        <f t="shared" si="22"/>
        <v>0.31</v>
      </c>
      <c r="AA228">
        <f t="shared" si="22"/>
        <v>0.4</v>
      </c>
    </row>
    <row r="229" spans="1:28" x14ac:dyDescent="0.2">
      <c r="B229" s="3" t="str">
        <f>A225&amp;"r"</f>
        <v>10045r</v>
      </c>
    </row>
    <row r="230" spans="1:28" x14ac:dyDescent="0.2">
      <c r="A230">
        <v>10046</v>
      </c>
      <c r="B230" s="3" t="s">
        <v>399</v>
      </c>
      <c r="C230" s="1">
        <f>ROUND(J230*JL*Frto/8,4)</f>
        <v>15</v>
      </c>
      <c r="D230" t="s">
        <v>210</v>
      </c>
      <c r="E230">
        <f>SUM($O233:$V233)</f>
        <v>38.19</v>
      </c>
      <c r="F230">
        <f>SUMIF($O230:$V230,"&lt;22501",$O233:$V233)</f>
        <v>29.729999999999997</v>
      </c>
      <c r="G230">
        <f>SUMIFS($O233:$V233,$O230:$V230,"&gt;30000",$O230:$V230,"&lt;50001")</f>
        <v>6.97</v>
      </c>
      <c r="H230">
        <f>SUMIFS($O233:$V233,$O230:$V230,"&gt;60000",$O230:$V230,"&lt;70001")</f>
        <v>0</v>
      </c>
      <c r="I230">
        <v>8</v>
      </c>
      <c r="J230">
        <v>15</v>
      </c>
      <c r="O230">
        <v>10001</v>
      </c>
      <c r="P230">
        <v>10002</v>
      </c>
      <c r="Q230">
        <v>10003</v>
      </c>
      <c r="R230">
        <v>10008</v>
      </c>
      <c r="S230">
        <v>30051</v>
      </c>
      <c r="T230">
        <v>30054</v>
      </c>
      <c r="U230">
        <v>30055</v>
      </c>
      <c r="V230">
        <v>70001</v>
      </c>
    </row>
    <row r="231" spans="1:28" x14ac:dyDescent="0.2">
      <c r="B231" s="3" t="str">
        <f>A230&amp;"C"</f>
        <v>10046C</v>
      </c>
      <c r="O231">
        <v>0.1</v>
      </c>
      <c r="P231">
        <v>1</v>
      </c>
      <c r="Q231">
        <v>1</v>
      </c>
      <c r="R231">
        <v>1</v>
      </c>
      <c r="S231">
        <v>0.1</v>
      </c>
      <c r="T231">
        <v>0.22</v>
      </c>
      <c r="U231">
        <v>1.5</v>
      </c>
      <c r="V231">
        <v>5</v>
      </c>
    </row>
    <row r="232" spans="1:28" x14ac:dyDescent="0.2">
      <c r="O232">
        <f>IF(O234&gt;10000,HLOOKUP(O234,N230:$O233,4,FALSE),IF(OR(AND(22500&lt;O230,O230&lt;25001),AND(50000&lt;O230,O230&lt;53501),AND(70000&lt;O230,O230&lt;72501)),$F230,IF(OR(AND(25001&lt;O230,O230&lt;27501),AND(53500&lt;O230,O230&lt;57001),AND(72500&lt;O230,O230&lt;75001)),$G230,IF(OR(AND(27500&lt;O230,O230&lt;30001),AND(57000&lt;O230,O230&lt;60001),AND(75000&lt;O230,O230&lt;77500)),$H230,VLOOKUP(O230,BDins,6,FALSE)))))</f>
        <v>24.97</v>
      </c>
      <c r="P232">
        <f>IF(P234&gt;10000,HLOOKUP(P234,O230:$O233,4,FALSE),IF(OR(AND(22500&lt;P230,P230&lt;25001),AND(50000&lt;P230,P230&lt;53501),AND(70000&lt;P230,P230&lt;72501)),$F230,IF(OR(AND(25001&lt;P230,P230&lt;27501),AND(53500&lt;P230,P230&lt;57001),AND(72500&lt;P230,P230&lt;75001)),$G230,IF(OR(AND(27500&lt;P230,P230&lt;30001),AND(57000&lt;P230,P230&lt;60001),AND(75000&lt;P230,P230&lt;77500)),$H230,VLOOKUP(P230,BDins,6,FALSE)))))</f>
        <v>20.81</v>
      </c>
      <c r="Q232">
        <f>IF(Q234&gt;10000,HLOOKUP(Q234,$O230:P233,4,FALSE),IF(OR(AND(22500&lt;Q230,Q230&lt;25001),AND(50000&lt;Q230,Q230&lt;53501),AND(70000&lt;Q230,Q230&lt;72501)),$F230,IF(OR(AND(25001&lt;Q230,Q230&lt;27501),AND(53500&lt;Q230,Q230&lt;57001),AND(72500&lt;Q230,Q230&lt;75001)),$G230,IF(OR(AND(27500&lt;Q230,Q230&lt;30001),AND(57000&lt;Q230,Q230&lt;60001),AND(75000&lt;Q230,Q230&lt;77500)),$H230,VLOOKUP(Q230,BDins,6,FALSE)))))</f>
        <v>15.36</v>
      </c>
      <c r="R232">
        <f>IF(R234&gt;10000,HLOOKUP(R234,$O230:Q233,4,FALSE),IF(OR(AND(22500&lt;R230,R230&lt;25001),AND(50000&lt;R230,R230&lt;53501),AND(70000&lt;R230,R230&lt;72501)),$F230,IF(OR(AND(25001&lt;R230,R230&lt;27501),AND(53500&lt;R230,R230&lt;57001),AND(72500&lt;R230,R230&lt;75001)),$G230,IF(OR(AND(27500&lt;R230,R230&lt;30001),AND(57000&lt;R230,R230&lt;60001),AND(75000&lt;R230,R230&lt;77500)),$H230,VLOOKUP(R230,BDins,6,FALSE)))))</f>
        <v>17.09</v>
      </c>
      <c r="S232">
        <f>IF(S234&gt;10000,HLOOKUP(S234,$O230:R233,4,FALSE),IF(OR(AND(22500&lt;S230,S230&lt;25001),AND(50000&lt;S230,S230&lt;53501),AND(70000&lt;S230,S230&lt;72501)),$F230,IF(OR(AND(25001&lt;S230,S230&lt;27501),AND(53500&lt;S230,S230&lt;57001),AND(72500&lt;S230,S230&lt;75001)),$G230,IF(OR(AND(27500&lt;S230,S230&lt;30001),AND(57000&lt;S230,S230&lt;60001),AND(75000&lt;S230,S230&lt;77500)),$H230,VLOOKUP(S230,BDins,6,FALSE)))))</f>
        <v>3.5</v>
      </c>
      <c r="T232">
        <f>IF(T234&gt;10000,HLOOKUP(T234,$O230:S233,4,FALSE),IF(OR(AND(22500&lt;T230,T230&lt;25001),AND(50000&lt;T230,T230&lt;53501),AND(70000&lt;T230,T230&lt;72501)),$F230,IF(OR(AND(25001&lt;T230,T230&lt;27501),AND(53500&lt;T230,T230&lt;57001),AND(72500&lt;T230,T230&lt;75001)),$G230,IF(OR(AND(27500&lt;T230,T230&lt;30001),AND(57000&lt;T230,T230&lt;60001),AND(75000&lt;T230,T230&lt;77500)),$H230,VLOOKUP(T230,BDins,6,FALSE)))))</f>
        <v>3.5</v>
      </c>
      <c r="U232">
        <f>IF(U234&gt;10000,HLOOKUP(U234,$O230:T233,4,FALSE),IF(OR(AND(22500&lt;U230,U230&lt;25001),AND(50000&lt;U230,U230&lt;53501),AND(70000&lt;U230,U230&lt;72501)),$F230,IF(OR(AND(25001&lt;U230,U230&lt;27501),AND(53500&lt;U230,U230&lt;57001),AND(72500&lt;U230,U230&lt;75001)),$G230,IF(OR(AND(27500&lt;U230,U230&lt;30001),AND(57000&lt;U230,U230&lt;60001),AND(75000&lt;U230,U230&lt;77500)),$H230,VLOOKUP(U230,BDins,6,FALSE)))))</f>
        <v>3.9</v>
      </c>
      <c r="V232">
        <f>IF(V234&gt;10000,HLOOKUP(V234,$O230:U233,4,FALSE),IF(OR(AND(22500&lt;V230,V230&lt;25001),AND(50000&lt;V230,V230&lt;53501),AND(70000&lt;V230,V230&lt;72501)),$F230,IF(OR(AND(25001&lt;V230,V230&lt;27501),AND(53500&lt;V230,V230&lt;57001),AND(72500&lt;V230,V230&lt;75001)),$G230,IF(OR(AND(27500&lt;V230,V230&lt;30001),AND(57000&lt;V230,V230&lt;60001),AND(75000&lt;V230,V230&lt;77500)),$H230,VLOOKUP(V230,BDins,6,FALSE)))))</f>
        <v>29.729999999999997</v>
      </c>
    </row>
    <row r="233" spans="1:28" x14ac:dyDescent="0.2">
      <c r="O233">
        <f t="shared" ref="O233:V233" si="23">IF($K230&gt;0,ROUND(O231*$E230/100,DpCU),IF(O234&gt;10000,ROUND(HLOOKUP(O234,$O230:$V233,4,FALSE)/100*O231,DpCU),IF(OR(O230&lt;20001,O230&gt;95000,AND(60000&lt;O230,O230&lt;70001)),ROUND(ROUND(O231*JL/$C230,DcCU)*O232,DpCU),IF(OR(AND(20000&lt;O230,O230&lt;22501),AND(30000&lt;O230,O230&lt;50001),77500&lt;O230),ROUND(O232*O231,DpCU),IF(OR(AND(22500&lt;O230,O230&lt;25001),AND(50000&lt;O230,O230&lt;53501),AND(70000&lt;O230,O230&lt;72501)),ROUND($F230/100*O231,DpCU),IF(OR(AND(25000&lt;O230,O230&lt;27501),AND(53500&lt;O230,O230&lt;57001),AND(72500&lt;O230,O230&lt;75001)),ROUND($G230/100*O231,DpCU),ROUND($H230/100*O231,DpCU)))))))</f>
        <v>1.33</v>
      </c>
      <c r="P233">
        <f t="shared" si="23"/>
        <v>11.1</v>
      </c>
      <c r="Q233">
        <f t="shared" si="23"/>
        <v>8.19</v>
      </c>
      <c r="R233">
        <f t="shared" si="23"/>
        <v>9.11</v>
      </c>
      <c r="S233">
        <f t="shared" si="23"/>
        <v>0.35</v>
      </c>
      <c r="T233">
        <f t="shared" si="23"/>
        <v>0.77</v>
      </c>
      <c r="U233">
        <f t="shared" si="23"/>
        <v>5.85</v>
      </c>
      <c r="V233">
        <f t="shared" si="23"/>
        <v>1.49</v>
      </c>
    </row>
    <row r="234" spans="1:28" x14ac:dyDescent="0.2">
      <c r="B234" s="3" t="str">
        <f>A230&amp;"r"</f>
        <v>10046r</v>
      </c>
    </row>
    <row r="235" spans="1:28" x14ac:dyDescent="0.2">
      <c r="A235">
        <v>10047</v>
      </c>
      <c r="B235" s="3" t="s">
        <v>403</v>
      </c>
      <c r="C235" s="1">
        <f>ROUND(J235*JL*Frto/8,4)</f>
        <v>100</v>
      </c>
      <c r="D235" t="s">
        <v>210</v>
      </c>
      <c r="E235">
        <f>SUM($O238:$X238)</f>
        <v>66.44</v>
      </c>
      <c r="F235">
        <f>SUMIF($O235:$X235,"&lt;22501",$O238:$X238)</f>
        <v>18.850000000000001</v>
      </c>
      <c r="G235">
        <f>SUMIFS($O238:$X238,$O235:$X235,"&gt;30000",$O235:$X235,"&lt;50001")</f>
        <v>44.629999999999995</v>
      </c>
      <c r="H235">
        <f>SUMIFS($O238:$X238,$O235:$X235,"&gt;60000",$O235:$X235,"&lt;70001")</f>
        <v>2.02</v>
      </c>
      <c r="I235">
        <v>10</v>
      </c>
      <c r="J235">
        <v>100</v>
      </c>
      <c r="O235">
        <v>10001</v>
      </c>
      <c r="P235">
        <v>10002</v>
      </c>
      <c r="Q235">
        <v>10003</v>
      </c>
      <c r="R235">
        <v>10004</v>
      </c>
      <c r="S235">
        <v>10008</v>
      </c>
      <c r="T235">
        <v>30002</v>
      </c>
      <c r="U235">
        <v>30004</v>
      </c>
      <c r="V235">
        <v>30023</v>
      </c>
      <c r="W235">
        <v>60010</v>
      </c>
      <c r="X235">
        <v>70001</v>
      </c>
    </row>
    <row r="236" spans="1:28" x14ac:dyDescent="0.2">
      <c r="B236" s="3" t="str">
        <f>A235&amp;"C"</f>
        <v>10047C</v>
      </c>
      <c r="O236">
        <v>0.1</v>
      </c>
      <c r="P236">
        <v>2</v>
      </c>
      <c r="Q236">
        <v>10</v>
      </c>
      <c r="R236">
        <v>1</v>
      </c>
      <c r="S236">
        <v>1</v>
      </c>
      <c r="T236">
        <v>0.65</v>
      </c>
      <c r="U236">
        <v>0.14000000000000001</v>
      </c>
      <c r="V236">
        <v>0.18</v>
      </c>
      <c r="W236">
        <v>0.8</v>
      </c>
      <c r="X236">
        <v>5</v>
      </c>
    </row>
    <row r="237" spans="1:28" x14ac:dyDescent="0.2">
      <c r="O237">
        <f>IF(O239&gt;10000,HLOOKUP(O239,N235:$O238,4,FALSE),IF(OR(AND(22500&lt;O235,O235&lt;25001),AND(50000&lt;O235,O235&lt;53501),AND(70000&lt;O235,O235&lt;72501)),$F235,IF(OR(AND(25001&lt;O235,O235&lt;27501),AND(53500&lt;O235,O235&lt;57001),AND(72500&lt;O235,O235&lt;75001)),$G235,IF(OR(AND(27500&lt;O235,O235&lt;30001),AND(57000&lt;O235,O235&lt;60001),AND(75000&lt;O235,O235&lt;77500)),$H235,VLOOKUP(O235,BDins,6,FALSE)))))</f>
        <v>24.97</v>
      </c>
      <c r="P237">
        <f>IF(P239&gt;10000,HLOOKUP(P239,O235:$O238,4,FALSE),IF(OR(AND(22500&lt;P235,P235&lt;25001),AND(50000&lt;P235,P235&lt;53501),AND(70000&lt;P235,P235&lt;72501)),$F235,IF(OR(AND(25001&lt;P235,P235&lt;27501),AND(53500&lt;P235,P235&lt;57001),AND(72500&lt;P235,P235&lt;75001)),$G235,IF(OR(AND(27500&lt;P235,P235&lt;30001),AND(57000&lt;P235,P235&lt;60001),AND(75000&lt;P235,P235&lt;77500)),$H235,VLOOKUP(P235,BDins,6,FALSE)))))</f>
        <v>20.81</v>
      </c>
      <c r="Q237">
        <f>IF(Q239&gt;10000,HLOOKUP(Q239,$O235:P238,4,FALSE),IF(OR(AND(22500&lt;Q235,Q235&lt;25001),AND(50000&lt;Q235,Q235&lt;53501),AND(70000&lt;Q235,Q235&lt;72501)),$F235,IF(OR(AND(25001&lt;Q235,Q235&lt;27501),AND(53500&lt;Q235,Q235&lt;57001),AND(72500&lt;Q235,Q235&lt;75001)),$G235,IF(OR(AND(27500&lt;Q235,Q235&lt;30001),AND(57000&lt;Q235,Q235&lt;60001),AND(75000&lt;Q235,Q235&lt;77500)),$H235,VLOOKUP(Q235,BDins,6,FALSE)))))</f>
        <v>15.36</v>
      </c>
      <c r="R237">
        <f>IF(R239&gt;10000,HLOOKUP(R239,$O235:Q238,4,FALSE),IF(OR(AND(22500&lt;R235,R235&lt;25001),AND(50000&lt;R235,R235&lt;53501),AND(70000&lt;R235,R235&lt;72501)),$F235,IF(OR(AND(25001&lt;R235,R235&lt;27501),AND(53500&lt;R235,R235&lt;57001),AND(72500&lt;R235,R235&lt;75001)),$G235,IF(OR(AND(27500&lt;R235,R235&lt;30001),AND(57000&lt;R235,R235&lt;60001),AND(75000&lt;R235,R235&lt;77500)),$H235,VLOOKUP(R235,BDins,6,FALSE)))))</f>
        <v>20.81</v>
      </c>
      <c r="S237">
        <f>IF(S239&gt;10000,HLOOKUP(S239,$O235:R238,4,FALSE),IF(OR(AND(22500&lt;S235,S235&lt;25001),AND(50000&lt;S235,S235&lt;53501),AND(70000&lt;S235,S235&lt;72501)),$F235,IF(OR(AND(25001&lt;S235,S235&lt;27501),AND(53500&lt;S235,S235&lt;57001),AND(72500&lt;S235,S235&lt;75001)),$G235,IF(OR(AND(27500&lt;S235,S235&lt;30001),AND(57000&lt;S235,S235&lt;60001),AND(75000&lt;S235,S235&lt;77500)),$H235,VLOOKUP(S235,BDins,6,FALSE)))))</f>
        <v>17.09</v>
      </c>
      <c r="T237">
        <f>IF(T239&gt;10000,HLOOKUP(T239,$O235:S238,4,FALSE),IF(OR(AND(22500&lt;T235,T235&lt;25001),AND(50000&lt;T235,T235&lt;53501),AND(70000&lt;T235,T235&lt;72501)),$F235,IF(OR(AND(25001&lt;T235,T235&lt;27501),AND(53500&lt;T235,T235&lt;57001),AND(72500&lt;T235,T235&lt;75001)),$G235,IF(OR(AND(27500&lt;T235,T235&lt;30001),AND(57000&lt;T235,T235&lt;60001),AND(75000&lt;T235,T235&lt;77500)),$H235,VLOOKUP(T235,BDins,6,FALSE)))))</f>
        <v>18.5</v>
      </c>
      <c r="U237">
        <f>IF(U239&gt;10000,HLOOKUP(U239,$O235:T238,4,FALSE),IF(OR(AND(22500&lt;U235,U235&lt;25001),AND(50000&lt;U235,U235&lt;53501),AND(70000&lt;U235,U235&lt;72501)),$F235,IF(OR(AND(25001&lt;U235,U235&lt;27501),AND(53500&lt;U235,U235&lt;57001),AND(72500&lt;U235,U235&lt;75001)),$G235,IF(OR(AND(27500&lt;U235,U235&lt;30001),AND(57000&lt;U235,U235&lt;60001),AND(75000&lt;U235,U235&lt;77500)),$H235,VLOOKUP(U235,BDins,6,FALSE)))))</f>
        <v>40</v>
      </c>
      <c r="V237">
        <f>IF(V239&gt;10000,HLOOKUP(V239,$O235:U238,4,FALSE),IF(OR(AND(22500&lt;V235,V235&lt;25001),AND(50000&lt;V235,V235&lt;53501),AND(70000&lt;V235,V235&lt;72501)),$F235,IF(OR(AND(25001&lt;V235,V235&lt;27501),AND(53500&lt;V235,V235&lt;57001),AND(72500&lt;V235,V235&lt;75001)),$G235,IF(OR(AND(27500&lt;V235,V235&lt;30001),AND(57000&lt;V235,V235&lt;60001),AND(75000&lt;V235,V235&lt;77500)),$H235,VLOOKUP(V235,BDins,6,FALSE)))))</f>
        <v>150</v>
      </c>
      <c r="W237">
        <f>IF(W239&gt;10000,HLOOKUP(W239,$O235:V238,4,FALSE),IF(OR(AND(22500&lt;W235,W235&lt;25001),AND(50000&lt;W235,W235&lt;53501),AND(70000&lt;W235,W235&lt;72501)),$F235,IF(OR(AND(25001&lt;W235,W235&lt;27501),AND(53500&lt;W235,W235&lt;57001),AND(72500&lt;W235,W235&lt;75001)),$G235,IF(OR(AND(27500&lt;W235,W235&lt;30001),AND(57000&lt;W235,W235&lt;60001),AND(75000&lt;W235,W235&lt;77500)),$H235,VLOOKUP(W235,BDins,6,FALSE)))))</f>
        <v>31.5</v>
      </c>
      <c r="X237">
        <f>IF(X239&gt;10000,HLOOKUP(X239,$O235:W238,4,FALSE),IF(OR(AND(22500&lt;X235,X235&lt;25001),AND(50000&lt;X235,X235&lt;53501),AND(70000&lt;X235,X235&lt;72501)),$F235,IF(OR(AND(25001&lt;X235,X235&lt;27501),AND(53500&lt;X235,X235&lt;57001),AND(72500&lt;X235,X235&lt;75001)),$G235,IF(OR(AND(27500&lt;X235,X235&lt;30001),AND(57000&lt;X235,X235&lt;60001),AND(75000&lt;X235,X235&lt;77500)),$H235,VLOOKUP(X235,BDins,6,FALSE)))))</f>
        <v>18.850000000000001</v>
      </c>
    </row>
    <row r="238" spans="1:28" x14ac:dyDescent="0.2">
      <c r="O238">
        <f t="shared" ref="O238:X238" si="24">IF($K235&gt;0,ROUND(O236*$E235/100,DpCU),IF(O239&gt;10000,ROUND(HLOOKUP(O239,$O235:$X238,4,FALSE)/100*O236,DpCU),IF(OR(O235&lt;20001,O235&gt;95000,AND(60000&lt;O235,O235&lt;70001)),ROUND(ROUND(O236*JL/$C235,DcCU)*O237,DpCU),IF(OR(AND(20000&lt;O235,O235&lt;22501),AND(30000&lt;O235,O235&lt;50001),77500&lt;O235),ROUND(O237*O236,DpCU),IF(OR(AND(22500&lt;O235,O235&lt;25001),AND(50000&lt;O235,O235&lt;53501),AND(70000&lt;O235,O235&lt;72501)),ROUND($F235/100*O236,DpCU),IF(OR(AND(25000&lt;O235,O235&lt;27501),AND(53500&lt;O235,O235&lt;57001),AND(72500&lt;O235,O235&lt;75001)),ROUND($G235/100*O236,DpCU),ROUND($H235/100*O236,DpCU)))))))</f>
        <v>0.2</v>
      </c>
      <c r="P238">
        <f t="shared" si="24"/>
        <v>3.33</v>
      </c>
      <c r="Q238">
        <f t="shared" si="24"/>
        <v>12.29</v>
      </c>
      <c r="R238">
        <f t="shared" si="24"/>
        <v>1.66</v>
      </c>
      <c r="S238">
        <f t="shared" si="24"/>
        <v>1.37</v>
      </c>
      <c r="T238">
        <f t="shared" si="24"/>
        <v>12.03</v>
      </c>
      <c r="U238">
        <f t="shared" si="24"/>
        <v>5.6</v>
      </c>
      <c r="V238">
        <f t="shared" si="24"/>
        <v>27</v>
      </c>
      <c r="W238">
        <f t="shared" si="24"/>
        <v>2.02</v>
      </c>
      <c r="X238">
        <f t="shared" si="24"/>
        <v>0.94</v>
      </c>
    </row>
    <row r="239" spans="1:28" x14ac:dyDescent="0.2">
      <c r="B239" s="3" t="str">
        <f>A235&amp;"r"</f>
        <v>10047r</v>
      </c>
    </row>
    <row r="240" spans="1:28" x14ac:dyDescent="0.2">
      <c r="A240">
        <v>10048</v>
      </c>
      <c r="B240" s="3" t="s">
        <v>409</v>
      </c>
      <c r="C240" s="1">
        <f>ROUND(J240*JL*Frto/8,4)</f>
        <v>35</v>
      </c>
      <c r="D240" t="s">
        <v>34</v>
      </c>
      <c r="E240">
        <f>SUM($O243:$AB243)</f>
        <v>334.83</v>
      </c>
      <c r="F240">
        <f>SUMIF($O240:$AB240,"&lt;22501",$O243:$AB243)</f>
        <v>61.39</v>
      </c>
      <c r="G240">
        <f>SUMIFS($O243:$AB243,$O240:$AB240,"&gt;30000",$O240:$AB240,"&lt;50001")</f>
        <v>261.82</v>
      </c>
      <c r="H240">
        <f>SUMIFS($O243:$AB243,$O240:$AB240,"&gt;60000",$O240:$AB240,"&lt;70001")</f>
        <v>8.5500000000000007</v>
      </c>
      <c r="I240">
        <v>14</v>
      </c>
      <c r="J240">
        <v>35</v>
      </c>
      <c r="O240">
        <v>10001</v>
      </c>
      <c r="P240">
        <v>10002</v>
      </c>
      <c r="Q240">
        <v>10003</v>
      </c>
      <c r="R240">
        <v>10004</v>
      </c>
      <c r="S240">
        <v>10008</v>
      </c>
      <c r="T240">
        <v>30002</v>
      </c>
      <c r="U240">
        <v>30023</v>
      </c>
      <c r="V240">
        <v>30056</v>
      </c>
      <c r="W240">
        <v>30060</v>
      </c>
      <c r="X240">
        <v>30061</v>
      </c>
      <c r="Y240">
        <v>30062</v>
      </c>
      <c r="Z240">
        <v>60010</v>
      </c>
      <c r="AA240">
        <v>60012</v>
      </c>
      <c r="AB240">
        <v>70001</v>
      </c>
    </row>
    <row r="241" spans="1:28" x14ac:dyDescent="0.2">
      <c r="B241" s="3" t="str">
        <f>A240&amp;"C"</f>
        <v>10048C</v>
      </c>
      <c r="O241">
        <v>0.3</v>
      </c>
      <c r="P241">
        <v>3</v>
      </c>
      <c r="Q241">
        <v>8</v>
      </c>
      <c r="R241">
        <v>2</v>
      </c>
      <c r="S241">
        <v>2</v>
      </c>
      <c r="T241">
        <v>8.5</v>
      </c>
      <c r="U241">
        <v>0.184</v>
      </c>
      <c r="V241">
        <v>0.42</v>
      </c>
      <c r="W241">
        <v>4.0000000000000001E-3</v>
      </c>
      <c r="X241">
        <v>0.85</v>
      </c>
      <c r="Y241">
        <v>0.25</v>
      </c>
      <c r="Z241">
        <v>1</v>
      </c>
      <c r="AA241">
        <v>1</v>
      </c>
      <c r="AB241">
        <v>5</v>
      </c>
    </row>
    <row r="242" spans="1:28" x14ac:dyDescent="0.2">
      <c r="O242">
        <f>IF(O244&gt;10000,HLOOKUP(O244,N240:$O243,4,FALSE),IF(OR(AND(22500&lt;O240,O240&lt;25001),AND(50000&lt;O240,O240&lt;53501),AND(70000&lt;O240,O240&lt;72501)),$F240,IF(OR(AND(25001&lt;O240,O240&lt;27501),AND(53500&lt;O240,O240&lt;57001),AND(72500&lt;O240,O240&lt;75001)),$G240,IF(OR(AND(27500&lt;O240,O240&lt;30001),AND(57000&lt;O240,O240&lt;60001),AND(75000&lt;O240,O240&lt;77500)),$H240,VLOOKUP(O240,BDins,6,FALSE)))))</f>
        <v>24.97</v>
      </c>
      <c r="P242">
        <f>IF(P244&gt;10000,HLOOKUP(P244,O240:$O243,4,FALSE),IF(OR(AND(22500&lt;P240,P240&lt;25001),AND(50000&lt;P240,P240&lt;53501),AND(70000&lt;P240,P240&lt;72501)),$F240,IF(OR(AND(25001&lt;P240,P240&lt;27501),AND(53500&lt;P240,P240&lt;57001),AND(72500&lt;P240,P240&lt;75001)),$G240,IF(OR(AND(27500&lt;P240,P240&lt;30001),AND(57000&lt;P240,P240&lt;60001),AND(75000&lt;P240,P240&lt;77500)),$H240,VLOOKUP(P240,BDins,6,FALSE)))))</f>
        <v>20.81</v>
      </c>
      <c r="Q242">
        <f>IF(Q244&gt;10000,HLOOKUP(Q244,$O240:P243,4,FALSE),IF(OR(AND(22500&lt;Q240,Q240&lt;25001),AND(50000&lt;Q240,Q240&lt;53501),AND(70000&lt;Q240,Q240&lt;72501)),$F240,IF(OR(AND(25001&lt;Q240,Q240&lt;27501),AND(53500&lt;Q240,Q240&lt;57001),AND(72500&lt;Q240,Q240&lt;75001)),$G240,IF(OR(AND(27500&lt;Q240,Q240&lt;30001),AND(57000&lt;Q240,Q240&lt;60001),AND(75000&lt;Q240,Q240&lt;77500)),$H240,VLOOKUP(Q240,BDins,6,FALSE)))))</f>
        <v>15.36</v>
      </c>
      <c r="R242">
        <f>IF(R244&gt;10000,HLOOKUP(R244,$O240:Q243,4,FALSE),IF(OR(AND(22500&lt;R240,R240&lt;25001),AND(50000&lt;R240,R240&lt;53501),AND(70000&lt;R240,R240&lt;72501)),$F240,IF(OR(AND(25001&lt;R240,R240&lt;27501),AND(53500&lt;R240,R240&lt;57001),AND(72500&lt;R240,R240&lt;75001)),$G240,IF(OR(AND(27500&lt;R240,R240&lt;30001),AND(57000&lt;R240,R240&lt;60001),AND(75000&lt;R240,R240&lt;77500)),$H240,VLOOKUP(R240,BDins,6,FALSE)))))</f>
        <v>20.81</v>
      </c>
      <c r="S242">
        <f>IF(S244&gt;10000,HLOOKUP(S244,$O240:R243,4,FALSE),IF(OR(AND(22500&lt;S240,S240&lt;25001),AND(50000&lt;S240,S240&lt;53501),AND(70000&lt;S240,S240&lt;72501)),$F240,IF(OR(AND(25001&lt;S240,S240&lt;27501),AND(53500&lt;S240,S240&lt;57001),AND(72500&lt;S240,S240&lt;75001)),$G240,IF(OR(AND(27500&lt;S240,S240&lt;30001),AND(57000&lt;S240,S240&lt;60001),AND(75000&lt;S240,S240&lt;77500)),$H240,VLOOKUP(S240,BDins,6,FALSE)))))</f>
        <v>17.09</v>
      </c>
      <c r="T242">
        <f>IF(T244&gt;10000,HLOOKUP(T244,$O240:S243,4,FALSE),IF(OR(AND(22500&lt;T240,T240&lt;25001),AND(50000&lt;T240,T240&lt;53501),AND(70000&lt;T240,T240&lt;72501)),$F240,IF(OR(AND(25001&lt;T240,T240&lt;27501),AND(53500&lt;T240,T240&lt;57001),AND(72500&lt;T240,T240&lt;75001)),$G240,IF(OR(AND(27500&lt;T240,T240&lt;30001),AND(57000&lt;T240,T240&lt;60001),AND(75000&lt;T240,T240&lt;77500)),$H240,VLOOKUP(T240,BDins,6,FALSE)))))</f>
        <v>18.5</v>
      </c>
      <c r="U242">
        <f>IF(U244&gt;10000,HLOOKUP(U244,$O240:T243,4,FALSE),IF(OR(AND(22500&lt;U240,U240&lt;25001),AND(50000&lt;U240,U240&lt;53501),AND(70000&lt;U240,U240&lt;72501)),$F240,IF(OR(AND(25001&lt;U240,U240&lt;27501),AND(53500&lt;U240,U240&lt;57001),AND(72500&lt;U240,U240&lt;75001)),$G240,IF(OR(AND(27500&lt;U240,U240&lt;30001),AND(57000&lt;U240,U240&lt;60001),AND(75000&lt;U240,U240&lt;77500)),$H240,VLOOKUP(U240,BDins,6,FALSE)))))</f>
        <v>150</v>
      </c>
      <c r="V242">
        <f>IF(V244&gt;10000,HLOOKUP(V244,$O240:U243,4,FALSE),IF(OR(AND(22500&lt;V240,V240&lt;25001),AND(50000&lt;V240,V240&lt;53501),AND(70000&lt;V240,V240&lt;72501)),$F240,IF(OR(AND(25001&lt;V240,V240&lt;27501),AND(53500&lt;V240,V240&lt;57001),AND(72500&lt;V240,V240&lt;75001)),$G240,IF(OR(AND(27500&lt;V240,V240&lt;30001),AND(57000&lt;V240,V240&lt;60001),AND(75000&lt;V240,V240&lt;77500)),$H240,VLOOKUP(V240,BDins,6,FALSE)))))</f>
        <v>45</v>
      </c>
      <c r="W242">
        <f>IF(W244&gt;10000,HLOOKUP(W244,$O240:V243,4,FALSE),IF(OR(AND(22500&lt;W240,W240&lt;25001),AND(50000&lt;W240,W240&lt;53501),AND(70000&lt;W240,W240&lt;72501)),$F240,IF(OR(AND(25001&lt;W240,W240&lt;27501),AND(53500&lt;W240,W240&lt;57001),AND(72500&lt;W240,W240&lt;75001)),$G240,IF(OR(AND(27500&lt;W240,W240&lt;30001),AND(57000&lt;W240,W240&lt;60001),AND(75000&lt;W240,W240&lt;77500)),$H240,VLOOKUP(W240,BDins,6,FALSE)))))</f>
        <v>46.84</v>
      </c>
      <c r="X242">
        <f>IF(X244&gt;10000,HLOOKUP(X244,$O240:W243,4,FALSE),IF(OR(AND(22500&lt;X240,X240&lt;25001),AND(50000&lt;X240,X240&lt;53501),AND(70000&lt;X240,X240&lt;72501)),$F240,IF(OR(AND(25001&lt;X240,X240&lt;27501),AND(53500&lt;X240,X240&lt;57001),AND(72500&lt;X240,X240&lt;75001)),$G240,IF(OR(AND(27500&lt;X240,X240&lt;30001),AND(57000&lt;X240,X240&lt;60001),AND(75000&lt;X240,X240&lt;77500)),$H240,VLOOKUP(X240,BDins,6,FALSE)))))</f>
        <v>65</v>
      </c>
      <c r="Y242">
        <f>IF(Y244&gt;10000,HLOOKUP(Y244,$O240:X243,4,FALSE),IF(OR(AND(22500&lt;Y240,Y240&lt;25001),AND(50000&lt;Y240,Y240&lt;53501),AND(70000&lt;Y240,Y240&lt;72501)),$F240,IF(OR(AND(25001&lt;Y240,Y240&lt;27501),AND(53500&lt;Y240,Y240&lt;57001),AND(72500&lt;Y240,Y240&lt;75001)),$G240,IF(OR(AND(27500&lt;Y240,Y240&lt;30001),AND(57000&lt;Y240,Y240&lt;60001),AND(75000&lt;Y240,Y240&lt;77500)),$H240,VLOOKUP(Y240,BDins,6,FALSE)))))</f>
        <v>10.5</v>
      </c>
      <c r="Z242">
        <f>IF(Z244&gt;10000,HLOOKUP(Z244,$O240:Y243,4,FALSE),IF(OR(AND(22500&lt;Z240,Z240&lt;25001),AND(50000&lt;Z240,Z240&lt;53501),AND(70000&lt;Z240,Z240&lt;72501)),$F240,IF(OR(AND(25001&lt;Z240,Z240&lt;27501),AND(53500&lt;Z240,Z240&lt;57001),AND(72500&lt;Z240,Z240&lt;75001)),$G240,IF(OR(AND(27500&lt;Z240,Z240&lt;30001),AND(57000&lt;Z240,Z240&lt;60001),AND(75000&lt;Z240,Z240&lt;77500)),$H240,VLOOKUP(Z240,BDins,6,FALSE)))))</f>
        <v>31.5</v>
      </c>
      <c r="AA242">
        <f>IF(AA244&gt;10000,HLOOKUP(AA244,$O240:Z243,4,FALSE),IF(OR(AND(22500&lt;AA240,AA240&lt;25001),AND(50000&lt;AA240,AA240&lt;53501),AND(70000&lt;AA240,AA240&lt;72501)),$F240,IF(OR(AND(25001&lt;AA240,AA240&lt;27501),AND(53500&lt;AA240,AA240&lt;57001),AND(72500&lt;AA240,AA240&lt;75001)),$G240,IF(OR(AND(27500&lt;AA240,AA240&lt;30001),AND(57000&lt;AA240,AA240&lt;60001),AND(75000&lt;AA240,AA240&lt;77500)),$H240,VLOOKUP(AA240,BDins,6,FALSE)))))</f>
        <v>5.9</v>
      </c>
      <c r="AB242">
        <f>IF(AB244&gt;10000,HLOOKUP(AB244,$O240:AA243,4,FALSE),IF(OR(AND(22500&lt;AB240,AB240&lt;25001),AND(50000&lt;AB240,AB240&lt;53501),AND(70000&lt;AB240,AB240&lt;72501)),$F240,IF(OR(AND(25001&lt;AB240,AB240&lt;27501),AND(53500&lt;AB240,AB240&lt;57001),AND(72500&lt;AB240,AB240&lt;75001)),$G240,IF(OR(AND(27500&lt;AB240,AB240&lt;30001),AND(57000&lt;AB240,AB240&lt;60001),AND(75000&lt;AB240,AB240&lt;77500)),$H240,VLOOKUP(AB240,BDins,6,FALSE)))))</f>
        <v>61.39</v>
      </c>
    </row>
    <row r="243" spans="1:28" x14ac:dyDescent="0.2">
      <c r="O243">
        <f t="shared" ref="O243:AB243" si="25">IF($K240&gt;0,ROUND(O241*$E240/100,DpCU),IF(O244&gt;10000,ROUND(HLOOKUP(O244,$O240:$AB243,4,FALSE)/100*O241,DpCU),IF(OR(O240&lt;20001,O240&gt;95000,AND(60000&lt;O240,O240&lt;70001)),ROUND(ROUND(O241*JL/$C240,DcCU)*O242,DpCU),IF(OR(AND(20000&lt;O240,O240&lt;22501),AND(30000&lt;O240,O240&lt;50001),77500&lt;O240),ROUND(O242*O241,DpCU),IF(OR(AND(22500&lt;O240,O240&lt;25001),AND(50000&lt;O240,O240&lt;53501),AND(70000&lt;O240,O240&lt;72501)),ROUND($F240/100*O241,DpCU),IF(OR(AND(25000&lt;O240,O240&lt;27501),AND(53500&lt;O240,O240&lt;57001),AND(72500&lt;O240,O240&lt;75001)),ROUND($G240/100*O241,DpCU),ROUND($H240/100*O241,DpCU)))))))</f>
        <v>1.71</v>
      </c>
      <c r="P243">
        <f t="shared" si="25"/>
        <v>14.27</v>
      </c>
      <c r="Q243">
        <f t="shared" si="25"/>
        <v>28.09</v>
      </c>
      <c r="R243">
        <f t="shared" si="25"/>
        <v>9.51</v>
      </c>
      <c r="S243">
        <f t="shared" si="25"/>
        <v>7.81</v>
      </c>
      <c r="T243">
        <f t="shared" si="25"/>
        <v>157.25</v>
      </c>
      <c r="U243">
        <f t="shared" si="25"/>
        <v>27.6</v>
      </c>
      <c r="V243">
        <f t="shared" si="25"/>
        <v>18.899999999999999</v>
      </c>
      <c r="W243">
        <f t="shared" si="25"/>
        <v>0.19</v>
      </c>
      <c r="X243">
        <f t="shared" si="25"/>
        <v>55.25</v>
      </c>
      <c r="Y243">
        <f t="shared" si="25"/>
        <v>2.63</v>
      </c>
      <c r="Z243">
        <f t="shared" si="25"/>
        <v>7.2</v>
      </c>
      <c r="AA243">
        <f t="shared" si="25"/>
        <v>1.35</v>
      </c>
      <c r="AB243">
        <f t="shared" si="25"/>
        <v>3.07</v>
      </c>
    </row>
    <row r="244" spans="1:28" x14ac:dyDescent="0.2">
      <c r="B244" s="3" t="str">
        <f>A240&amp;"r"</f>
        <v>10048r</v>
      </c>
    </row>
    <row r="245" spans="1:28" x14ac:dyDescent="0.2">
      <c r="A245">
        <v>10049</v>
      </c>
      <c r="B245" s="3" t="s">
        <v>413</v>
      </c>
      <c r="C245" s="1">
        <f>ROUND(J245*JL*Frto/8,4)</f>
        <v>15</v>
      </c>
      <c r="D245" t="s">
        <v>34</v>
      </c>
      <c r="E245">
        <f>SUM($O248:$AA248)</f>
        <v>401.87</v>
      </c>
      <c r="F245">
        <f>SUMIF($O245:$AA245,"&lt;22501",$O248:$AA248)</f>
        <v>114.55999999999999</v>
      </c>
      <c r="G245">
        <f>SUMIFS($O248:$AA248,$O245:$AA245,"&gt;30000",$O245:$AA245,"&lt;50001")</f>
        <v>261.63</v>
      </c>
      <c r="H245">
        <f>SUMIFS($O248:$AA248,$O245:$AA245,"&gt;60000",$O245:$AA245,"&lt;70001")</f>
        <v>19.95</v>
      </c>
      <c r="I245">
        <v>13</v>
      </c>
      <c r="J245">
        <v>15</v>
      </c>
      <c r="O245">
        <v>10001</v>
      </c>
      <c r="P245">
        <v>10002</v>
      </c>
      <c r="Q245">
        <v>10003</v>
      </c>
      <c r="R245">
        <v>10004</v>
      </c>
      <c r="S245">
        <v>10008</v>
      </c>
      <c r="T245">
        <v>30002</v>
      </c>
      <c r="U245">
        <v>30023</v>
      </c>
      <c r="V245">
        <v>30056</v>
      </c>
      <c r="W245">
        <v>30061</v>
      </c>
      <c r="X245">
        <v>30062</v>
      </c>
      <c r="Y245">
        <v>60010</v>
      </c>
      <c r="Z245">
        <v>60012</v>
      </c>
      <c r="AA245">
        <v>70001</v>
      </c>
    </row>
    <row r="246" spans="1:28" x14ac:dyDescent="0.2">
      <c r="B246" s="3" t="str">
        <f>A245&amp;"C"</f>
        <v>10049C</v>
      </c>
      <c r="O246">
        <v>0.1</v>
      </c>
      <c r="P246">
        <v>1</v>
      </c>
      <c r="Q246">
        <v>10</v>
      </c>
      <c r="R246">
        <v>1</v>
      </c>
      <c r="S246">
        <v>1</v>
      </c>
      <c r="T246">
        <v>8.5</v>
      </c>
      <c r="U246">
        <v>0.184</v>
      </c>
      <c r="V246">
        <v>0.42</v>
      </c>
      <c r="W246">
        <v>0.85</v>
      </c>
      <c r="X246">
        <v>0.25</v>
      </c>
      <c r="Y246">
        <v>1</v>
      </c>
      <c r="Z246">
        <v>1</v>
      </c>
      <c r="AA246">
        <v>5</v>
      </c>
    </row>
    <row r="247" spans="1:28" x14ac:dyDescent="0.2">
      <c r="O247">
        <f>IF(O249&gt;10000,HLOOKUP(O249,N245:$O248,4,FALSE),IF(OR(AND(22500&lt;O245,O245&lt;25001),AND(50000&lt;O245,O245&lt;53501),AND(70000&lt;O245,O245&lt;72501)),$F245,IF(OR(AND(25001&lt;O245,O245&lt;27501),AND(53500&lt;O245,O245&lt;57001),AND(72500&lt;O245,O245&lt;75001)),$G245,IF(OR(AND(27500&lt;O245,O245&lt;30001),AND(57000&lt;O245,O245&lt;60001),AND(75000&lt;O245,O245&lt;77500)),$H245,VLOOKUP(O245,BDins,6,FALSE)))))</f>
        <v>24.97</v>
      </c>
      <c r="P247">
        <f>IF(P249&gt;10000,HLOOKUP(P249,O245:$O248,4,FALSE),IF(OR(AND(22500&lt;P245,P245&lt;25001),AND(50000&lt;P245,P245&lt;53501),AND(70000&lt;P245,P245&lt;72501)),$F245,IF(OR(AND(25001&lt;P245,P245&lt;27501),AND(53500&lt;P245,P245&lt;57001),AND(72500&lt;P245,P245&lt;75001)),$G245,IF(OR(AND(27500&lt;P245,P245&lt;30001),AND(57000&lt;P245,P245&lt;60001),AND(75000&lt;P245,P245&lt;77500)),$H245,VLOOKUP(P245,BDins,6,FALSE)))))</f>
        <v>20.81</v>
      </c>
      <c r="Q247">
        <f>IF(Q249&gt;10000,HLOOKUP(Q249,$O245:P248,4,FALSE),IF(OR(AND(22500&lt;Q245,Q245&lt;25001),AND(50000&lt;Q245,Q245&lt;53501),AND(70000&lt;Q245,Q245&lt;72501)),$F245,IF(OR(AND(25001&lt;Q245,Q245&lt;27501),AND(53500&lt;Q245,Q245&lt;57001),AND(72500&lt;Q245,Q245&lt;75001)),$G245,IF(OR(AND(27500&lt;Q245,Q245&lt;30001),AND(57000&lt;Q245,Q245&lt;60001),AND(75000&lt;Q245,Q245&lt;77500)),$H245,VLOOKUP(Q245,BDins,6,FALSE)))))</f>
        <v>15.36</v>
      </c>
      <c r="R247">
        <f>IF(R249&gt;10000,HLOOKUP(R249,$O245:Q248,4,FALSE),IF(OR(AND(22500&lt;R245,R245&lt;25001),AND(50000&lt;R245,R245&lt;53501),AND(70000&lt;R245,R245&lt;72501)),$F245,IF(OR(AND(25001&lt;R245,R245&lt;27501),AND(53500&lt;R245,R245&lt;57001),AND(72500&lt;R245,R245&lt;75001)),$G245,IF(OR(AND(27500&lt;R245,R245&lt;30001),AND(57000&lt;R245,R245&lt;60001),AND(75000&lt;R245,R245&lt;77500)),$H245,VLOOKUP(R245,BDins,6,FALSE)))))</f>
        <v>20.81</v>
      </c>
      <c r="S247">
        <f>IF(S249&gt;10000,HLOOKUP(S249,$O245:R248,4,FALSE),IF(OR(AND(22500&lt;S245,S245&lt;25001),AND(50000&lt;S245,S245&lt;53501),AND(70000&lt;S245,S245&lt;72501)),$F245,IF(OR(AND(25001&lt;S245,S245&lt;27501),AND(53500&lt;S245,S245&lt;57001),AND(72500&lt;S245,S245&lt;75001)),$G245,IF(OR(AND(27500&lt;S245,S245&lt;30001),AND(57000&lt;S245,S245&lt;60001),AND(75000&lt;S245,S245&lt;77500)),$H245,VLOOKUP(S245,BDins,6,FALSE)))))</f>
        <v>17.09</v>
      </c>
      <c r="T247">
        <f>IF(T249&gt;10000,HLOOKUP(T249,$O245:S248,4,FALSE),IF(OR(AND(22500&lt;T245,T245&lt;25001),AND(50000&lt;T245,T245&lt;53501),AND(70000&lt;T245,T245&lt;72501)),$F245,IF(OR(AND(25001&lt;T245,T245&lt;27501),AND(53500&lt;T245,T245&lt;57001),AND(72500&lt;T245,T245&lt;75001)),$G245,IF(OR(AND(27500&lt;T245,T245&lt;30001),AND(57000&lt;T245,T245&lt;60001),AND(75000&lt;T245,T245&lt;77500)),$H245,VLOOKUP(T245,BDins,6,FALSE)))))</f>
        <v>18.5</v>
      </c>
      <c r="U247">
        <f>IF(U249&gt;10000,HLOOKUP(U249,$O245:T248,4,FALSE),IF(OR(AND(22500&lt;U245,U245&lt;25001),AND(50000&lt;U245,U245&lt;53501),AND(70000&lt;U245,U245&lt;72501)),$F245,IF(OR(AND(25001&lt;U245,U245&lt;27501),AND(53500&lt;U245,U245&lt;57001),AND(72500&lt;U245,U245&lt;75001)),$G245,IF(OR(AND(27500&lt;U245,U245&lt;30001),AND(57000&lt;U245,U245&lt;60001),AND(75000&lt;U245,U245&lt;77500)),$H245,VLOOKUP(U245,BDins,6,FALSE)))))</f>
        <v>150</v>
      </c>
      <c r="V247">
        <f>IF(V249&gt;10000,HLOOKUP(V249,$O245:U248,4,FALSE),IF(OR(AND(22500&lt;V245,V245&lt;25001),AND(50000&lt;V245,V245&lt;53501),AND(70000&lt;V245,V245&lt;72501)),$F245,IF(OR(AND(25001&lt;V245,V245&lt;27501),AND(53500&lt;V245,V245&lt;57001),AND(72500&lt;V245,V245&lt;75001)),$G245,IF(OR(AND(27500&lt;V245,V245&lt;30001),AND(57000&lt;V245,V245&lt;60001),AND(75000&lt;V245,V245&lt;77500)),$H245,VLOOKUP(V245,BDins,6,FALSE)))))</f>
        <v>45</v>
      </c>
      <c r="W247">
        <f>IF(W249&gt;10000,HLOOKUP(W249,$O245:V248,4,FALSE),IF(OR(AND(22500&lt;W245,W245&lt;25001),AND(50000&lt;W245,W245&lt;53501),AND(70000&lt;W245,W245&lt;72501)),$F245,IF(OR(AND(25001&lt;W245,W245&lt;27501),AND(53500&lt;W245,W245&lt;57001),AND(72500&lt;W245,W245&lt;75001)),$G245,IF(OR(AND(27500&lt;W245,W245&lt;30001),AND(57000&lt;W245,W245&lt;60001),AND(75000&lt;W245,W245&lt;77500)),$H245,VLOOKUP(W245,BDins,6,FALSE)))))</f>
        <v>65</v>
      </c>
      <c r="X247">
        <f>IF(X249&gt;10000,HLOOKUP(X249,$O245:W248,4,FALSE),IF(OR(AND(22500&lt;X245,X245&lt;25001),AND(50000&lt;X245,X245&lt;53501),AND(70000&lt;X245,X245&lt;72501)),$F245,IF(OR(AND(25001&lt;X245,X245&lt;27501),AND(53500&lt;X245,X245&lt;57001),AND(72500&lt;X245,X245&lt;75001)),$G245,IF(OR(AND(27500&lt;X245,X245&lt;30001),AND(57000&lt;X245,X245&lt;60001),AND(75000&lt;X245,X245&lt;77500)),$H245,VLOOKUP(X245,BDins,6,FALSE)))))</f>
        <v>10.5</v>
      </c>
      <c r="Y247">
        <f>IF(Y249&gt;10000,HLOOKUP(Y249,$O245:X248,4,FALSE),IF(OR(AND(22500&lt;Y245,Y245&lt;25001),AND(50000&lt;Y245,Y245&lt;53501),AND(70000&lt;Y245,Y245&lt;72501)),$F245,IF(OR(AND(25001&lt;Y245,Y245&lt;27501),AND(53500&lt;Y245,Y245&lt;57001),AND(72500&lt;Y245,Y245&lt;75001)),$G245,IF(OR(AND(27500&lt;Y245,Y245&lt;30001),AND(57000&lt;Y245,Y245&lt;60001),AND(75000&lt;Y245,Y245&lt;77500)),$H245,VLOOKUP(Y245,BDins,6,FALSE)))))</f>
        <v>31.5</v>
      </c>
      <c r="Z247">
        <f>IF(Z249&gt;10000,HLOOKUP(Z249,$O245:Y248,4,FALSE),IF(OR(AND(22500&lt;Z245,Z245&lt;25001),AND(50000&lt;Z245,Z245&lt;53501),AND(70000&lt;Z245,Z245&lt;72501)),$F245,IF(OR(AND(25001&lt;Z245,Z245&lt;27501),AND(53500&lt;Z245,Z245&lt;57001),AND(72500&lt;Z245,Z245&lt;75001)),$G245,IF(OR(AND(27500&lt;Z245,Z245&lt;30001),AND(57000&lt;Z245,Z245&lt;60001),AND(75000&lt;Z245,Z245&lt;77500)),$H245,VLOOKUP(Z245,BDins,6,FALSE)))))</f>
        <v>5.9</v>
      </c>
      <c r="AA247">
        <f>IF(AA249&gt;10000,HLOOKUP(AA249,$O245:Z248,4,FALSE),IF(OR(AND(22500&lt;AA245,AA245&lt;25001),AND(50000&lt;AA245,AA245&lt;53501),AND(70000&lt;AA245,AA245&lt;72501)),$F245,IF(OR(AND(25001&lt;AA245,AA245&lt;27501),AND(53500&lt;AA245,AA245&lt;57001),AND(72500&lt;AA245,AA245&lt;75001)),$G245,IF(OR(AND(27500&lt;AA245,AA245&lt;30001),AND(57000&lt;AA245,AA245&lt;60001),AND(75000&lt;AA245,AA245&lt;77500)),$H245,VLOOKUP(AA245,BDins,6,FALSE)))))</f>
        <v>114.55999999999999</v>
      </c>
    </row>
    <row r="248" spans="1:28" x14ac:dyDescent="0.2">
      <c r="O248">
        <f t="shared" ref="O248:AA248" si="26">IF($K245&gt;0,ROUND(O246*$E245/100,DpCU),IF(O249&gt;10000,ROUND(HLOOKUP(O249,$O245:$AA248,4,FALSE)/100*O246,DpCU),IF(OR(O245&lt;20001,O245&gt;95000,AND(60000&lt;O245,O245&lt;70001)),ROUND(ROUND(O246*JL/$C245,DcCU)*O247,DpCU),IF(OR(AND(20000&lt;O245,O245&lt;22501),AND(30000&lt;O245,O245&lt;50001),77500&lt;O245),ROUND(O247*O246,DpCU),IF(OR(AND(22500&lt;O245,O245&lt;25001),AND(50000&lt;O245,O245&lt;53501),AND(70000&lt;O245,O245&lt;72501)),ROUND($F245/100*O246,DpCU),IF(OR(AND(25000&lt;O245,O245&lt;27501),AND(53500&lt;O245,O245&lt;57001),AND(72500&lt;O245,O245&lt;75001)),ROUND($G245/100*O246,DpCU),ROUND($H245/100*O246,DpCU)))))))</f>
        <v>1.33</v>
      </c>
      <c r="P248">
        <f t="shared" si="26"/>
        <v>11.1</v>
      </c>
      <c r="Q248">
        <f t="shared" si="26"/>
        <v>81.92</v>
      </c>
      <c r="R248">
        <f t="shared" si="26"/>
        <v>11.1</v>
      </c>
      <c r="S248">
        <f t="shared" si="26"/>
        <v>9.11</v>
      </c>
      <c r="T248">
        <f t="shared" si="26"/>
        <v>157.25</v>
      </c>
      <c r="U248">
        <f t="shared" si="26"/>
        <v>27.6</v>
      </c>
      <c r="V248">
        <f t="shared" si="26"/>
        <v>18.899999999999999</v>
      </c>
      <c r="W248">
        <f t="shared" si="26"/>
        <v>55.25</v>
      </c>
      <c r="X248">
        <f t="shared" si="26"/>
        <v>2.63</v>
      </c>
      <c r="Y248">
        <f t="shared" si="26"/>
        <v>16.8</v>
      </c>
      <c r="Z248">
        <f t="shared" si="26"/>
        <v>3.15</v>
      </c>
      <c r="AA248">
        <f t="shared" si="26"/>
        <v>5.73</v>
      </c>
    </row>
    <row r="249" spans="1:28" x14ac:dyDescent="0.2">
      <c r="B249" s="3" t="str">
        <f>A245&amp;"r"</f>
        <v>10049r</v>
      </c>
    </row>
    <row r="250" spans="1:28" x14ac:dyDescent="0.2">
      <c r="A250">
        <v>10050</v>
      </c>
      <c r="B250" s="3" t="s">
        <v>415</v>
      </c>
      <c r="C250" s="1">
        <f>ROUND(J250*JL*Frto/8,4)</f>
        <v>20</v>
      </c>
      <c r="D250" t="s">
        <v>210</v>
      </c>
      <c r="E250">
        <f>SUM($O253:$V253)</f>
        <v>28.610000000000003</v>
      </c>
      <c r="F250">
        <f>SUMIF($O250:$V250,"&lt;22501",$O253:$V253)</f>
        <v>20.77</v>
      </c>
      <c r="G250">
        <f>SUMIFS($O253:$V253,$O250:$V250,"&gt;30000",$O250:$V250,"&lt;50001")</f>
        <v>7.22</v>
      </c>
      <c r="H250">
        <f>SUMIFS($O253:$V253,$O250:$V250,"&gt;60000",$O250:$V250,"&lt;70001")</f>
        <v>0</v>
      </c>
      <c r="I250">
        <v>8</v>
      </c>
      <c r="J250">
        <v>20</v>
      </c>
      <c r="O250">
        <v>10001</v>
      </c>
      <c r="P250">
        <v>10002</v>
      </c>
      <c r="Q250">
        <v>10003</v>
      </c>
      <c r="R250">
        <v>10008</v>
      </c>
      <c r="S250">
        <v>30051</v>
      </c>
      <c r="T250">
        <v>30054</v>
      </c>
      <c r="U250">
        <v>30055</v>
      </c>
      <c r="V250">
        <v>70001</v>
      </c>
    </row>
    <row r="251" spans="1:28" x14ac:dyDescent="0.2">
      <c r="B251" s="3" t="str">
        <f>A250&amp;"C"</f>
        <v>10050C</v>
      </c>
      <c r="O251">
        <v>0.1</v>
      </c>
      <c r="P251">
        <v>1</v>
      </c>
      <c r="Q251">
        <v>0.75</v>
      </c>
      <c r="R251">
        <v>1</v>
      </c>
      <c r="S251">
        <v>0.13</v>
      </c>
      <c r="T251">
        <v>0.26</v>
      </c>
      <c r="U251">
        <v>1.5</v>
      </c>
      <c r="V251">
        <v>3</v>
      </c>
    </row>
    <row r="252" spans="1:28" x14ac:dyDescent="0.2">
      <c r="O252">
        <f>IF(O254&gt;10000,HLOOKUP(O254,N250:$O253,4,FALSE),IF(OR(AND(22500&lt;O250,O250&lt;25001),AND(50000&lt;O250,O250&lt;53501),AND(70000&lt;O250,O250&lt;72501)),$F250,IF(OR(AND(25001&lt;O250,O250&lt;27501),AND(53500&lt;O250,O250&lt;57001),AND(72500&lt;O250,O250&lt;75001)),$G250,IF(OR(AND(27500&lt;O250,O250&lt;30001),AND(57000&lt;O250,O250&lt;60001),AND(75000&lt;O250,O250&lt;77500)),$H250,VLOOKUP(O250,BDins,6,FALSE)))))</f>
        <v>24.97</v>
      </c>
      <c r="P252">
        <f>IF(P254&gt;10000,HLOOKUP(P254,O250:$O253,4,FALSE),IF(OR(AND(22500&lt;P250,P250&lt;25001),AND(50000&lt;P250,P250&lt;53501),AND(70000&lt;P250,P250&lt;72501)),$F250,IF(OR(AND(25001&lt;P250,P250&lt;27501),AND(53500&lt;P250,P250&lt;57001),AND(72500&lt;P250,P250&lt;75001)),$G250,IF(OR(AND(27500&lt;P250,P250&lt;30001),AND(57000&lt;P250,P250&lt;60001),AND(75000&lt;P250,P250&lt;77500)),$H250,VLOOKUP(P250,BDins,6,FALSE)))))</f>
        <v>20.81</v>
      </c>
      <c r="Q252">
        <f>IF(Q254&gt;10000,HLOOKUP(Q254,$O250:P253,4,FALSE),IF(OR(AND(22500&lt;Q250,Q250&lt;25001),AND(50000&lt;Q250,Q250&lt;53501),AND(70000&lt;Q250,Q250&lt;72501)),$F250,IF(OR(AND(25001&lt;Q250,Q250&lt;27501),AND(53500&lt;Q250,Q250&lt;57001),AND(72500&lt;Q250,Q250&lt;75001)),$G250,IF(OR(AND(27500&lt;Q250,Q250&lt;30001),AND(57000&lt;Q250,Q250&lt;60001),AND(75000&lt;Q250,Q250&lt;77500)),$H250,VLOOKUP(Q250,BDins,6,FALSE)))))</f>
        <v>15.36</v>
      </c>
      <c r="R252">
        <f>IF(R254&gt;10000,HLOOKUP(R254,$O250:Q253,4,FALSE),IF(OR(AND(22500&lt;R250,R250&lt;25001),AND(50000&lt;R250,R250&lt;53501),AND(70000&lt;R250,R250&lt;72501)),$F250,IF(OR(AND(25001&lt;R250,R250&lt;27501),AND(53500&lt;R250,R250&lt;57001),AND(72500&lt;R250,R250&lt;75001)),$G250,IF(OR(AND(27500&lt;R250,R250&lt;30001),AND(57000&lt;R250,R250&lt;60001),AND(75000&lt;R250,R250&lt;77500)),$H250,VLOOKUP(R250,BDins,6,FALSE)))))</f>
        <v>17.09</v>
      </c>
      <c r="S252">
        <f>IF(S254&gt;10000,HLOOKUP(S254,$O250:R253,4,FALSE),IF(OR(AND(22500&lt;S250,S250&lt;25001),AND(50000&lt;S250,S250&lt;53501),AND(70000&lt;S250,S250&lt;72501)),$F250,IF(OR(AND(25001&lt;S250,S250&lt;27501),AND(53500&lt;S250,S250&lt;57001),AND(72500&lt;S250,S250&lt;75001)),$G250,IF(OR(AND(27500&lt;S250,S250&lt;30001),AND(57000&lt;S250,S250&lt;60001),AND(75000&lt;S250,S250&lt;77500)),$H250,VLOOKUP(S250,BDins,6,FALSE)))))</f>
        <v>3.5</v>
      </c>
      <c r="T252">
        <f>IF(T254&gt;10000,HLOOKUP(T254,$O250:S253,4,FALSE),IF(OR(AND(22500&lt;T250,T250&lt;25001),AND(50000&lt;T250,T250&lt;53501),AND(70000&lt;T250,T250&lt;72501)),$F250,IF(OR(AND(25001&lt;T250,T250&lt;27501),AND(53500&lt;T250,T250&lt;57001),AND(72500&lt;T250,T250&lt;75001)),$G250,IF(OR(AND(27500&lt;T250,T250&lt;30001),AND(57000&lt;T250,T250&lt;60001),AND(75000&lt;T250,T250&lt;77500)),$H250,VLOOKUP(T250,BDins,6,FALSE)))))</f>
        <v>3.5</v>
      </c>
      <c r="U252">
        <f>IF(U254&gt;10000,HLOOKUP(U254,$O250:T253,4,FALSE),IF(OR(AND(22500&lt;U250,U250&lt;25001),AND(50000&lt;U250,U250&lt;53501),AND(70000&lt;U250,U250&lt;72501)),$F250,IF(OR(AND(25001&lt;U250,U250&lt;27501),AND(53500&lt;U250,U250&lt;57001),AND(72500&lt;U250,U250&lt;75001)),$G250,IF(OR(AND(27500&lt;U250,U250&lt;30001),AND(57000&lt;U250,U250&lt;60001),AND(75000&lt;U250,U250&lt;77500)),$H250,VLOOKUP(U250,BDins,6,FALSE)))))</f>
        <v>3.9</v>
      </c>
      <c r="V252">
        <f>IF(V254&gt;10000,HLOOKUP(V254,$O250:U253,4,FALSE),IF(OR(AND(22500&lt;V250,V250&lt;25001),AND(50000&lt;V250,V250&lt;53501),AND(70000&lt;V250,V250&lt;72501)),$F250,IF(OR(AND(25001&lt;V250,V250&lt;27501),AND(53500&lt;V250,V250&lt;57001),AND(72500&lt;V250,V250&lt;75001)),$G250,IF(OR(AND(27500&lt;V250,V250&lt;30001),AND(57000&lt;V250,V250&lt;60001),AND(75000&lt;V250,V250&lt;77500)),$H250,VLOOKUP(V250,BDins,6,FALSE)))))</f>
        <v>20.77</v>
      </c>
    </row>
    <row r="253" spans="1:28" x14ac:dyDescent="0.2">
      <c r="O253">
        <f t="shared" ref="O253:V253" si="27">IF($K250&gt;0,ROUND(O251*$E250/100,DpCU),IF(O254&gt;10000,ROUND(HLOOKUP(O254,$O250:$V253,4,FALSE)/100*O251,DpCU),IF(OR(O250&lt;20001,O250&gt;95000,AND(60000&lt;O250,O250&lt;70001)),ROUND(ROUND(O251*JL/$C250,DcCU)*O252,DpCU),IF(OR(AND(20000&lt;O250,O250&lt;22501),AND(30000&lt;O250,O250&lt;50001),77500&lt;O250),ROUND(O252*O251,DpCU),IF(OR(AND(22500&lt;O250,O250&lt;25001),AND(50000&lt;O250,O250&lt;53501),AND(70000&lt;O250,O250&lt;72501)),ROUND($F250/100*O251,DpCU),IF(OR(AND(25000&lt;O250,O250&lt;27501),AND(53500&lt;O250,O250&lt;57001),AND(72500&lt;O250,O250&lt;75001)),ROUND($G250/100*O251,DpCU),ROUND($H250/100*O251,DpCU)))))))</f>
        <v>1</v>
      </c>
      <c r="P253">
        <f t="shared" si="27"/>
        <v>8.32</v>
      </c>
      <c r="Q253">
        <f t="shared" si="27"/>
        <v>4.6100000000000003</v>
      </c>
      <c r="R253">
        <f t="shared" si="27"/>
        <v>6.84</v>
      </c>
      <c r="S253">
        <f t="shared" si="27"/>
        <v>0.46</v>
      </c>
      <c r="T253">
        <f t="shared" si="27"/>
        <v>0.91</v>
      </c>
      <c r="U253">
        <f t="shared" si="27"/>
        <v>5.85</v>
      </c>
      <c r="V253">
        <f t="shared" si="27"/>
        <v>0.62</v>
      </c>
    </row>
    <row r="254" spans="1:28" x14ac:dyDescent="0.2">
      <c r="B254" s="3" t="str">
        <f>A250&amp;"r"</f>
        <v>10050r</v>
      </c>
    </row>
    <row r="255" spans="1:28" x14ac:dyDescent="0.2">
      <c r="A255">
        <v>10051</v>
      </c>
      <c r="B255" s="3" t="s">
        <v>417</v>
      </c>
      <c r="C255" s="1">
        <f>ROUND(J255*JL*Frto/8,4)</f>
        <v>220</v>
      </c>
      <c r="D255" t="s">
        <v>33</v>
      </c>
      <c r="E255">
        <f>SUM($O258:$U258)</f>
        <v>5.2700000000000005</v>
      </c>
      <c r="F255">
        <f>SUMIF($O255:$U255,"&lt;22501",$O258:$U258)</f>
        <v>1.47</v>
      </c>
      <c r="G255">
        <f>SUMIFS($O258:$U258,$O255:$U255,"&gt;30000",$O255:$U255,"&lt;50001")</f>
        <v>2.68</v>
      </c>
      <c r="H255">
        <f>SUMIFS($O258:$U258,$O255:$U255,"&gt;60000",$O255:$U255,"&lt;70001")</f>
        <v>0</v>
      </c>
      <c r="I255">
        <v>7</v>
      </c>
      <c r="J255">
        <v>220</v>
      </c>
      <c r="O255">
        <v>10001</v>
      </c>
      <c r="P255">
        <v>10002</v>
      </c>
      <c r="Q255">
        <v>10008</v>
      </c>
      <c r="R255">
        <v>30063</v>
      </c>
      <c r="S255">
        <v>30064</v>
      </c>
      <c r="T255">
        <v>70001</v>
      </c>
      <c r="U255">
        <v>77507</v>
      </c>
    </row>
    <row r="256" spans="1:28" x14ac:dyDescent="0.2">
      <c r="B256" s="3" t="str">
        <f>A255&amp;"C"</f>
        <v>10051C</v>
      </c>
      <c r="O256">
        <v>0.1</v>
      </c>
      <c r="P256">
        <v>1</v>
      </c>
      <c r="Q256">
        <v>1</v>
      </c>
      <c r="R256">
        <v>0.05</v>
      </c>
      <c r="S256">
        <v>1.05</v>
      </c>
      <c r="T256">
        <v>5</v>
      </c>
      <c r="U256">
        <v>3.0000000000000001E-3</v>
      </c>
    </row>
    <row r="257" spans="1:27" x14ac:dyDescent="0.2">
      <c r="O257">
        <f>IF(O259&gt;10000,HLOOKUP(O259,N255:$O258,4,FALSE),IF(OR(AND(22500&lt;O255,O255&lt;25001),AND(50000&lt;O255,O255&lt;53501),AND(70000&lt;O255,O255&lt;72501)),$F255,IF(OR(AND(25001&lt;O255,O255&lt;27501),AND(53500&lt;O255,O255&lt;57001),AND(72500&lt;O255,O255&lt;75001)),$G255,IF(OR(AND(27500&lt;O255,O255&lt;30001),AND(57000&lt;O255,O255&lt;60001),AND(75000&lt;O255,O255&lt;77500)),$H255,VLOOKUP(O255,BDins,6,FALSE)))))</f>
        <v>24.97</v>
      </c>
      <c r="P257">
        <f>IF(P259&gt;10000,HLOOKUP(P259,O255:$O258,4,FALSE),IF(OR(AND(22500&lt;P255,P255&lt;25001),AND(50000&lt;P255,P255&lt;53501),AND(70000&lt;P255,P255&lt;72501)),$F255,IF(OR(AND(25001&lt;P255,P255&lt;27501),AND(53500&lt;P255,P255&lt;57001),AND(72500&lt;P255,P255&lt;75001)),$G255,IF(OR(AND(27500&lt;P255,P255&lt;30001),AND(57000&lt;P255,P255&lt;60001),AND(75000&lt;P255,P255&lt;77500)),$H255,VLOOKUP(P255,BDins,6,FALSE)))))</f>
        <v>20.81</v>
      </c>
      <c r="Q257">
        <f>IF(Q259&gt;10000,HLOOKUP(Q259,$O255:P258,4,FALSE),IF(OR(AND(22500&lt;Q255,Q255&lt;25001),AND(50000&lt;Q255,Q255&lt;53501),AND(70000&lt;Q255,Q255&lt;72501)),$F255,IF(OR(AND(25001&lt;Q255,Q255&lt;27501),AND(53500&lt;Q255,Q255&lt;57001),AND(72500&lt;Q255,Q255&lt;75001)),$G255,IF(OR(AND(27500&lt;Q255,Q255&lt;30001),AND(57000&lt;Q255,Q255&lt;60001),AND(75000&lt;Q255,Q255&lt;77500)),$H255,VLOOKUP(Q255,BDins,6,FALSE)))))</f>
        <v>17.09</v>
      </c>
      <c r="R257">
        <f>IF(R259&gt;10000,HLOOKUP(R259,$O255:Q258,4,FALSE),IF(OR(AND(22500&lt;R255,R255&lt;25001),AND(50000&lt;R255,R255&lt;53501),AND(70000&lt;R255,R255&lt;72501)),$F255,IF(OR(AND(25001&lt;R255,R255&lt;27501),AND(53500&lt;R255,R255&lt;57001),AND(72500&lt;R255,R255&lt;75001)),$G255,IF(OR(AND(27500&lt;R255,R255&lt;30001),AND(57000&lt;R255,R255&lt;60001),AND(75000&lt;R255,R255&lt;77500)),$H255,VLOOKUP(R255,BDins,6,FALSE)))))</f>
        <v>3.5</v>
      </c>
      <c r="S257">
        <f>IF(S259&gt;10000,HLOOKUP(S259,$O255:R258,4,FALSE),IF(OR(AND(22500&lt;S255,S255&lt;25001),AND(50000&lt;S255,S255&lt;53501),AND(70000&lt;S255,S255&lt;72501)),$F255,IF(OR(AND(25001&lt;S255,S255&lt;27501),AND(53500&lt;S255,S255&lt;57001),AND(72500&lt;S255,S255&lt;75001)),$G255,IF(OR(AND(27500&lt;S255,S255&lt;30001),AND(57000&lt;S255,S255&lt;60001),AND(75000&lt;S255,S255&lt;77500)),$H255,VLOOKUP(S255,BDins,6,FALSE)))))</f>
        <v>2.38</v>
      </c>
      <c r="T257">
        <f>IF(T259&gt;10000,HLOOKUP(T259,$O255:S258,4,FALSE),IF(OR(AND(22500&lt;T255,T255&lt;25001),AND(50000&lt;T255,T255&lt;53501),AND(70000&lt;T255,T255&lt;72501)),$F255,IF(OR(AND(25001&lt;T255,T255&lt;27501),AND(53500&lt;T255,T255&lt;57001),AND(72500&lt;T255,T255&lt;75001)),$G255,IF(OR(AND(27500&lt;T255,T255&lt;30001),AND(57000&lt;T255,T255&lt;60001),AND(75000&lt;T255,T255&lt;77500)),$H255,VLOOKUP(T255,BDins,6,FALSE)))))</f>
        <v>1.47</v>
      </c>
      <c r="U257">
        <f>IF(U259&gt;10000,HLOOKUP(U259,$O255:T258,4,FALSE),IF(OR(AND(22500&lt;U255,U255&lt;25001),AND(50000&lt;U255,U255&lt;53501),AND(70000&lt;U255,U255&lt;72501)),$F255,IF(OR(AND(25001&lt;U255,U255&lt;27501),AND(53500&lt;U255,U255&lt;57001),AND(72500&lt;U255,U255&lt;75001)),$G255,IF(OR(AND(27500&lt;U255,U255&lt;30001),AND(57000&lt;U255,U255&lt;60001),AND(75000&lt;U255,U255&lt;77500)),$H255,VLOOKUP(U255,BDins,6,FALSE)))))</f>
        <v>350</v>
      </c>
    </row>
    <row r="258" spans="1:27" x14ac:dyDescent="0.2">
      <c r="O258">
        <f t="shared" ref="O258:U258" si="28">IF($K255&gt;0,ROUND(O256*$E255/100,DpCU),IF(O259&gt;10000,ROUND(HLOOKUP(O259,$O255:$U258,4,FALSE)/100*O256,DpCU),IF(OR(O255&lt;20001,O255&gt;95000,AND(60000&lt;O255,O255&lt;70001)),ROUND(ROUND(O256*JL/$C255,DcCU)*O257,DpCU),IF(OR(AND(20000&lt;O255,O255&lt;22501),AND(30000&lt;O255,O255&lt;50001),77500&lt;O255),ROUND(O257*O256,DpCU),IF(OR(AND(22500&lt;O255,O255&lt;25001),AND(50000&lt;O255,O255&lt;53501),AND(70000&lt;O255,O255&lt;72501)),ROUND($F255/100*O256,DpCU),IF(OR(AND(25000&lt;O255,O255&lt;27501),AND(53500&lt;O255,O255&lt;57001),AND(72500&lt;O255,O255&lt;75001)),ROUND($G255/100*O256,DpCU),ROUND($H255/100*O256,DpCU)))))))</f>
        <v>0.09</v>
      </c>
      <c r="P258">
        <f t="shared" si="28"/>
        <v>0.76</v>
      </c>
      <c r="Q258">
        <f t="shared" si="28"/>
        <v>0.62</v>
      </c>
      <c r="R258">
        <f t="shared" si="28"/>
        <v>0.18</v>
      </c>
      <c r="S258">
        <f t="shared" si="28"/>
        <v>2.5</v>
      </c>
      <c r="T258">
        <f t="shared" si="28"/>
        <v>7.0000000000000007E-2</v>
      </c>
      <c r="U258">
        <f t="shared" si="28"/>
        <v>1.05</v>
      </c>
    </row>
    <row r="259" spans="1:27" x14ac:dyDescent="0.2">
      <c r="B259" s="3" t="str">
        <f>A255&amp;"r"</f>
        <v>10051r</v>
      </c>
    </row>
    <row r="260" spans="1:27" x14ac:dyDescent="0.2">
      <c r="A260">
        <v>10052</v>
      </c>
      <c r="B260" s="3" t="s">
        <v>424</v>
      </c>
      <c r="C260" s="1">
        <f>ROUND(J260*JL*Frto/8,4)</f>
        <v>25</v>
      </c>
      <c r="D260" t="s">
        <v>34</v>
      </c>
      <c r="E260">
        <f>SUM($O263:$AA263)</f>
        <v>345.78</v>
      </c>
      <c r="F260">
        <f>SUMIF($O260:$AA260,"&lt;22501",$O263:$AA263)</f>
        <v>68.739999999999995</v>
      </c>
      <c r="G260">
        <f>SUMIFS($O263:$AA263,$O260:$AA260,"&gt;30000",$O260:$AA260,"&lt;50001")</f>
        <v>261.63</v>
      </c>
      <c r="H260">
        <f>SUMIFS($O263:$AA263,$O260:$AA260,"&gt;60000",$O260:$AA260,"&lt;70001")</f>
        <v>11.97</v>
      </c>
      <c r="I260">
        <v>13</v>
      </c>
      <c r="J260">
        <v>25</v>
      </c>
      <c r="O260">
        <v>10001</v>
      </c>
      <c r="P260">
        <v>10002</v>
      </c>
      <c r="Q260">
        <v>10003</v>
      </c>
      <c r="R260">
        <v>10004</v>
      </c>
      <c r="S260">
        <v>10008</v>
      </c>
      <c r="T260">
        <v>30002</v>
      </c>
      <c r="U260">
        <v>30023</v>
      </c>
      <c r="V260">
        <v>30056</v>
      </c>
      <c r="W260">
        <v>30061</v>
      </c>
      <c r="X260">
        <v>30062</v>
      </c>
      <c r="Y260">
        <v>60010</v>
      </c>
      <c r="Z260">
        <v>60012</v>
      </c>
      <c r="AA260">
        <v>70001</v>
      </c>
    </row>
    <row r="261" spans="1:27" x14ac:dyDescent="0.2">
      <c r="B261" s="3" t="str">
        <f>A260&amp;"C"</f>
        <v>10052C</v>
      </c>
      <c r="O261">
        <v>0.1</v>
      </c>
      <c r="P261">
        <v>1</v>
      </c>
      <c r="Q261">
        <v>10</v>
      </c>
      <c r="R261">
        <v>1</v>
      </c>
      <c r="S261">
        <v>1</v>
      </c>
      <c r="T261">
        <v>8.5</v>
      </c>
      <c r="U261">
        <v>0.184</v>
      </c>
      <c r="V261">
        <v>0.42</v>
      </c>
      <c r="W261">
        <v>0.85</v>
      </c>
      <c r="X261">
        <v>0.25</v>
      </c>
      <c r="Y261">
        <v>1</v>
      </c>
      <c r="Z261">
        <v>1</v>
      </c>
      <c r="AA261">
        <v>5</v>
      </c>
    </row>
    <row r="262" spans="1:27" x14ac:dyDescent="0.2">
      <c r="O262">
        <f>IF(O264&gt;10000,HLOOKUP(O264,N260:$O263,4,FALSE),IF(OR(AND(22500&lt;O260,O260&lt;25001),AND(50000&lt;O260,O260&lt;53501),AND(70000&lt;O260,O260&lt;72501)),$F260,IF(OR(AND(25001&lt;O260,O260&lt;27501),AND(53500&lt;O260,O260&lt;57001),AND(72500&lt;O260,O260&lt;75001)),$G260,IF(OR(AND(27500&lt;O260,O260&lt;30001),AND(57000&lt;O260,O260&lt;60001),AND(75000&lt;O260,O260&lt;77500)),$H260,VLOOKUP(O260,BDins,6,FALSE)))))</f>
        <v>24.97</v>
      </c>
      <c r="P262">
        <f>IF(P264&gt;10000,HLOOKUP(P264,O260:$O263,4,FALSE),IF(OR(AND(22500&lt;P260,P260&lt;25001),AND(50000&lt;P260,P260&lt;53501),AND(70000&lt;P260,P260&lt;72501)),$F260,IF(OR(AND(25001&lt;P260,P260&lt;27501),AND(53500&lt;P260,P260&lt;57001),AND(72500&lt;P260,P260&lt;75001)),$G260,IF(OR(AND(27500&lt;P260,P260&lt;30001),AND(57000&lt;P260,P260&lt;60001),AND(75000&lt;P260,P260&lt;77500)),$H260,VLOOKUP(P260,BDins,6,FALSE)))))</f>
        <v>20.81</v>
      </c>
      <c r="Q262">
        <f>IF(Q264&gt;10000,HLOOKUP(Q264,$O260:P263,4,FALSE),IF(OR(AND(22500&lt;Q260,Q260&lt;25001),AND(50000&lt;Q260,Q260&lt;53501),AND(70000&lt;Q260,Q260&lt;72501)),$F260,IF(OR(AND(25001&lt;Q260,Q260&lt;27501),AND(53500&lt;Q260,Q260&lt;57001),AND(72500&lt;Q260,Q260&lt;75001)),$G260,IF(OR(AND(27500&lt;Q260,Q260&lt;30001),AND(57000&lt;Q260,Q260&lt;60001),AND(75000&lt;Q260,Q260&lt;77500)),$H260,VLOOKUP(Q260,BDins,6,FALSE)))))</f>
        <v>15.36</v>
      </c>
      <c r="R262">
        <f>IF(R264&gt;10000,HLOOKUP(R264,$O260:Q263,4,FALSE),IF(OR(AND(22500&lt;R260,R260&lt;25001),AND(50000&lt;R260,R260&lt;53501),AND(70000&lt;R260,R260&lt;72501)),$F260,IF(OR(AND(25001&lt;R260,R260&lt;27501),AND(53500&lt;R260,R260&lt;57001),AND(72500&lt;R260,R260&lt;75001)),$G260,IF(OR(AND(27500&lt;R260,R260&lt;30001),AND(57000&lt;R260,R260&lt;60001),AND(75000&lt;R260,R260&lt;77500)),$H260,VLOOKUP(R260,BDins,6,FALSE)))))</f>
        <v>20.81</v>
      </c>
      <c r="S262">
        <f>IF(S264&gt;10000,HLOOKUP(S264,$O260:R263,4,FALSE),IF(OR(AND(22500&lt;S260,S260&lt;25001),AND(50000&lt;S260,S260&lt;53501),AND(70000&lt;S260,S260&lt;72501)),$F260,IF(OR(AND(25001&lt;S260,S260&lt;27501),AND(53500&lt;S260,S260&lt;57001),AND(72500&lt;S260,S260&lt;75001)),$G260,IF(OR(AND(27500&lt;S260,S260&lt;30001),AND(57000&lt;S260,S260&lt;60001),AND(75000&lt;S260,S260&lt;77500)),$H260,VLOOKUP(S260,BDins,6,FALSE)))))</f>
        <v>17.09</v>
      </c>
      <c r="T262">
        <f>IF(T264&gt;10000,HLOOKUP(T264,$O260:S263,4,FALSE),IF(OR(AND(22500&lt;T260,T260&lt;25001),AND(50000&lt;T260,T260&lt;53501),AND(70000&lt;T260,T260&lt;72501)),$F260,IF(OR(AND(25001&lt;T260,T260&lt;27501),AND(53500&lt;T260,T260&lt;57001),AND(72500&lt;T260,T260&lt;75001)),$G260,IF(OR(AND(27500&lt;T260,T260&lt;30001),AND(57000&lt;T260,T260&lt;60001),AND(75000&lt;T260,T260&lt;77500)),$H260,VLOOKUP(T260,BDins,6,FALSE)))))</f>
        <v>18.5</v>
      </c>
      <c r="U262">
        <f>IF(U264&gt;10000,HLOOKUP(U264,$O260:T263,4,FALSE),IF(OR(AND(22500&lt;U260,U260&lt;25001),AND(50000&lt;U260,U260&lt;53501),AND(70000&lt;U260,U260&lt;72501)),$F260,IF(OR(AND(25001&lt;U260,U260&lt;27501),AND(53500&lt;U260,U260&lt;57001),AND(72500&lt;U260,U260&lt;75001)),$G260,IF(OR(AND(27500&lt;U260,U260&lt;30001),AND(57000&lt;U260,U260&lt;60001),AND(75000&lt;U260,U260&lt;77500)),$H260,VLOOKUP(U260,BDins,6,FALSE)))))</f>
        <v>150</v>
      </c>
      <c r="V262">
        <f>IF(V264&gt;10000,HLOOKUP(V264,$O260:U263,4,FALSE),IF(OR(AND(22500&lt;V260,V260&lt;25001),AND(50000&lt;V260,V260&lt;53501),AND(70000&lt;V260,V260&lt;72501)),$F260,IF(OR(AND(25001&lt;V260,V260&lt;27501),AND(53500&lt;V260,V260&lt;57001),AND(72500&lt;V260,V260&lt;75001)),$G260,IF(OR(AND(27500&lt;V260,V260&lt;30001),AND(57000&lt;V260,V260&lt;60001),AND(75000&lt;V260,V260&lt;77500)),$H260,VLOOKUP(V260,BDins,6,FALSE)))))</f>
        <v>45</v>
      </c>
      <c r="W262">
        <f>IF(W264&gt;10000,HLOOKUP(W264,$O260:V263,4,FALSE),IF(OR(AND(22500&lt;W260,W260&lt;25001),AND(50000&lt;W260,W260&lt;53501),AND(70000&lt;W260,W260&lt;72501)),$F260,IF(OR(AND(25001&lt;W260,W260&lt;27501),AND(53500&lt;W260,W260&lt;57001),AND(72500&lt;W260,W260&lt;75001)),$G260,IF(OR(AND(27500&lt;W260,W260&lt;30001),AND(57000&lt;W260,W260&lt;60001),AND(75000&lt;W260,W260&lt;77500)),$H260,VLOOKUP(W260,BDins,6,FALSE)))))</f>
        <v>65</v>
      </c>
      <c r="X262">
        <f>IF(X264&gt;10000,HLOOKUP(X264,$O260:W263,4,FALSE),IF(OR(AND(22500&lt;X260,X260&lt;25001),AND(50000&lt;X260,X260&lt;53501),AND(70000&lt;X260,X260&lt;72501)),$F260,IF(OR(AND(25001&lt;X260,X260&lt;27501),AND(53500&lt;X260,X260&lt;57001),AND(72500&lt;X260,X260&lt;75001)),$G260,IF(OR(AND(27500&lt;X260,X260&lt;30001),AND(57000&lt;X260,X260&lt;60001),AND(75000&lt;X260,X260&lt;77500)),$H260,VLOOKUP(X260,BDins,6,FALSE)))))</f>
        <v>10.5</v>
      </c>
      <c r="Y262">
        <f>IF(Y264&gt;10000,HLOOKUP(Y264,$O260:X263,4,FALSE),IF(OR(AND(22500&lt;Y260,Y260&lt;25001),AND(50000&lt;Y260,Y260&lt;53501),AND(70000&lt;Y260,Y260&lt;72501)),$F260,IF(OR(AND(25001&lt;Y260,Y260&lt;27501),AND(53500&lt;Y260,Y260&lt;57001),AND(72500&lt;Y260,Y260&lt;75001)),$G260,IF(OR(AND(27500&lt;Y260,Y260&lt;30001),AND(57000&lt;Y260,Y260&lt;60001),AND(75000&lt;Y260,Y260&lt;77500)),$H260,VLOOKUP(Y260,BDins,6,FALSE)))))</f>
        <v>31.5</v>
      </c>
      <c r="Z262">
        <f>IF(Z264&gt;10000,HLOOKUP(Z264,$O260:Y263,4,FALSE),IF(OR(AND(22500&lt;Z260,Z260&lt;25001),AND(50000&lt;Z260,Z260&lt;53501),AND(70000&lt;Z260,Z260&lt;72501)),$F260,IF(OR(AND(25001&lt;Z260,Z260&lt;27501),AND(53500&lt;Z260,Z260&lt;57001),AND(72500&lt;Z260,Z260&lt;75001)),$G260,IF(OR(AND(27500&lt;Z260,Z260&lt;30001),AND(57000&lt;Z260,Z260&lt;60001),AND(75000&lt;Z260,Z260&lt;77500)),$H260,VLOOKUP(Z260,BDins,6,FALSE)))))</f>
        <v>5.9</v>
      </c>
      <c r="AA262">
        <f>IF(AA264&gt;10000,HLOOKUP(AA264,$O260:Z263,4,FALSE),IF(OR(AND(22500&lt;AA260,AA260&lt;25001),AND(50000&lt;AA260,AA260&lt;53501),AND(70000&lt;AA260,AA260&lt;72501)),$F260,IF(OR(AND(25001&lt;AA260,AA260&lt;27501),AND(53500&lt;AA260,AA260&lt;57001),AND(72500&lt;AA260,AA260&lt;75001)),$G260,IF(OR(AND(27500&lt;AA260,AA260&lt;30001),AND(57000&lt;AA260,AA260&lt;60001),AND(75000&lt;AA260,AA260&lt;77500)),$H260,VLOOKUP(AA260,BDins,6,FALSE)))))</f>
        <v>68.739999999999995</v>
      </c>
    </row>
    <row r="263" spans="1:27" x14ac:dyDescent="0.2">
      <c r="O263">
        <f t="shared" ref="O263:AA263" si="29">IF($K260&gt;0,ROUND(O261*$E260/100,DpCU),IF(O264&gt;10000,ROUND(HLOOKUP(O264,$O260:$AA263,4,FALSE)/100*O261,DpCU),IF(OR(O260&lt;20001,O260&gt;95000,AND(60000&lt;O260,O260&lt;70001)),ROUND(ROUND(O261*JL/$C260,DcCU)*O262,DpCU),IF(OR(AND(20000&lt;O260,O260&lt;22501),AND(30000&lt;O260,O260&lt;50001),77500&lt;O260),ROUND(O262*O261,DpCU),IF(OR(AND(22500&lt;O260,O260&lt;25001),AND(50000&lt;O260,O260&lt;53501),AND(70000&lt;O260,O260&lt;72501)),ROUND($F260/100*O261,DpCU),IF(OR(AND(25000&lt;O260,O260&lt;27501),AND(53500&lt;O260,O260&lt;57001),AND(72500&lt;O260,O260&lt;75001)),ROUND($G260/100*O261,DpCU),ROUND($H260/100*O261,DpCU)))))))</f>
        <v>0.8</v>
      </c>
      <c r="P263">
        <f t="shared" si="29"/>
        <v>6.66</v>
      </c>
      <c r="Q263">
        <f t="shared" si="29"/>
        <v>49.15</v>
      </c>
      <c r="R263">
        <f t="shared" si="29"/>
        <v>6.66</v>
      </c>
      <c r="S263">
        <f t="shared" si="29"/>
        <v>5.47</v>
      </c>
      <c r="T263">
        <f t="shared" si="29"/>
        <v>157.25</v>
      </c>
      <c r="U263">
        <f t="shared" si="29"/>
        <v>27.6</v>
      </c>
      <c r="V263">
        <f t="shared" si="29"/>
        <v>18.899999999999999</v>
      </c>
      <c r="W263">
        <f t="shared" si="29"/>
        <v>55.25</v>
      </c>
      <c r="X263">
        <f t="shared" si="29"/>
        <v>2.63</v>
      </c>
      <c r="Y263">
        <f t="shared" si="29"/>
        <v>10.08</v>
      </c>
      <c r="Z263">
        <f t="shared" si="29"/>
        <v>1.89</v>
      </c>
      <c r="AA263">
        <f t="shared" si="29"/>
        <v>3.44</v>
      </c>
    </row>
    <row r="264" spans="1:27" x14ac:dyDescent="0.2">
      <c r="B264" s="3" t="str">
        <f>A260&amp;"r"</f>
        <v>10052r</v>
      </c>
    </row>
    <row r="265" spans="1:27" x14ac:dyDescent="0.2">
      <c r="A265">
        <v>10053</v>
      </c>
      <c r="B265" s="3" t="s">
        <v>426</v>
      </c>
      <c r="C265" s="1">
        <f>ROUND(J265*JL*Frto/8,4)</f>
        <v>10</v>
      </c>
      <c r="D265" t="s">
        <v>210</v>
      </c>
      <c r="E265">
        <f>SUM($O268:$T268)</f>
        <v>39.67</v>
      </c>
      <c r="F265">
        <f>SUMIF($O265:$T265,"&lt;22501",$O268:$T268)</f>
        <v>32.32</v>
      </c>
      <c r="G265">
        <f>SUMIFS($O268:$T268,$O265:$T265,"&gt;30000",$O265:$T265,"&lt;50001")</f>
        <v>6.38</v>
      </c>
      <c r="H265">
        <f>SUMIFS($O268:$T268,$O265:$T265,"&gt;60000",$O265:$T265,"&lt;70001")</f>
        <v>0</v>
      </c>
      <c r="I265">
        <v>6</v>
      </c>
      <c r="J265">
        <v>10</v>
      </c>
      <c r="O265">
        <v>10001</v>
      </c>
      <c r="P265">
        <v>10002</v>
      </c>
      <c r="Q265">
        <v>10008</v>
      </c>
      <c r="R265">
        <v>30026</v>
      </c>
      <c r="S265">
        <v>30051</v>
      </c>
      <c r="T265">
        <v>70001</v>
      </c>
    </row>
    <row r="266" spans="1:27" x14ac:dyDescent="0.2">
      <c r="B266" s="3" t="str">
        <f>A265&amp;"C"</f>
        <v>10053C</v>
      </c>
      <c r="O266">
        <v>0.1</v>
      </c>
      <c r="P266">
        <v>1</v>
      </c>
      <c r="Q266">
        <v>1</v>
      </c>
      <c r="R266">
        <v>1.5</v>
      </c>
      <c r="S266">
        <v>0.15</v>
      </c>
      <c r="T266">
        <v>3</v>
      </c>
    </row>
    <row r="267" spans="1:27" x14ac:dyDescent="0.2">
      <c r="O267">
        <f>IF(O269&gt;10000,HLOOKUP(O269,N265:$O268,4,FALSE),IF(OR(AND(22500&lt;O265,O265&lt;25001),AND(50000&lt;O265,O265&lt;53501),AND(70000&lt;O265,O265&lt;72501)),$F265,IF(OR(AND(25001&lt;O265,O265&lt;27501),AND(53500&lt;O265,O265&lt;57001),AND(72500&lt;O265,O265&lt;75001)),$G265,IF(OR(AND(27500&lt;O265,O265&lt;30001),AND(57000&lt;O265,O265&lt;60001),AND(75000&lt;O265,O265&lt;77500)),$H265,VLOOKUP(O265,BDins,6,FALSE)))))</f>
        <v>24.97</v>
      </c>
      <c r="P267">
        <f>IF(P269&gt;10000,HLOOKUP(P269,O265:$O268,4,FALSE),IF(OR(AND(22500&lt;P265,P265&lt;25001),AND(50000&lt;P265,P265&lt;53501),AND(70000&lt;P265,P265&lt;72501)),$F265,IF(OR(AND(25001&lt;P265,P265&lt;27501),AND(53500&lt;P265,P265&lt;57001),AND(72500&lt;P265,P265&lt;75001)),$G265,IF(OR(AND(27500&lt;P265,P265&lt;30001),AND(57000&lt;P265,P265&lt;60001),AND(75000&lt;P265,P265&lt;77500)),$H265,VLOOKUP(P265,BDins,6,FALSE)))))</f>
        <v>20.81</v>
      </c>
      <c r="Q267">
        <f>IF(Q269&gt;10000,HLOOKUP(Q269,$O265:P268,4,FALSE),IF(OR(AND(22500&lt;Q265,Q265&lt;25001),AND(50000&lt;Q265,Q265&lt;53501),AND(70000&lt;Q265,Q265&lt;72501)),$F265,IF(OR(AND(25001&lt;Q265,Q265&lt;27501),AND(53500&lt;Q265,Q265&lt;57001),AND(72500&lt;Q265,Q265&lt;75001)),$G265,IF(OR(AND(27500&lt;Q265,Q265&lt;30001),AND(57000&lt;Q265,Q265&lt;60001),AND(75000&lt;Q265,Q265&lt;77500)),$H265,VLOOKUP(Q265,BDins,6,FALSE)))))</f>
        <v>17.09</v>
      </c>
      <c r="R267">
        <f>IF(R269&gt;10000,HLOOKUP(R269,$O265:Q268,4,FALSE),IF(OR(AND(22500&lt;R265,R265&lt;25001),AND(50000&lt;R265,R265&lt;53501),AND(70000&lt;R265,R265&lt;72501)),$F265,IF(OR(AND(25001&lt;R265,R265&lt;27501),AND(53500&lt;R265,R265&lt;57001),AND(72500&lt;R265,R265&lt;75001)),$G265,IF(OR(AND(27500&lt;R265,R265&lt;30001),AND(57000&lt;R265,R265&lt;60001),AND(75000&lt;R265,R265&lt;77500)),$H265,VLOOKUP(R265,BDins,6,FALSE)))))</f>
        <v>3.9</v>
      </c>
      <c r="S267">
        <f>IF(S269&gt;10000,HLOOKUP(S269,$O265:R268,4,FALSE),IF(OR(AND(22500&lt;S265,S265&lt;25001),AND(50000&lt;S265,S265&lt;53501),AND(70000&lt;S265,S265&lt;72501)),$F265,IF(OR(AND(25001&lt;S265,S265&lt;27501),AND(53500&lt;S265,S265&lt;57001),AND(72500&lt;S265,S265&lt;75001)),$G265,IF(OR(AND(27500&lt;S265,S265&lt;30001),AND(57000&lt;S265,S265&lt;60001),AND(75000&lt;S265,S265&lt;77500)),$H265,VLOOKUP(S265,BDins,6,FALSE)))))</f>
        <v>3.5</v>
      </c>
      <c r="T267">
        <f>IF(T269&gt;10000,HLOOKUP(T269,$O265:S268,4,FALSE),IF(OR(AND(22500&lt;T265,T265&lt;25001),AND(50000&lt;T265,T265&lt;53501),AND(70000&lt;T265,T265&lt;72501)),$F265,IF(OR(AND(25001&lt;T265,T265&lt;27501),AND(53500&lt;T265,T265&lt;57001),AND(72500&lt;T265,T265&lt;75001)),$G265,IF(OR(AND(27500&lt;T265,T265&lt;30001),AND(57000&lt;T265,T265&lt;60001),AND(75000&lt;T265,T265&lt;77500)),$H265,VLOOKUP(T265,BDins,6,FALSE)))))</f>
        <v>32.32</v>
      </c>
    </row>
    <row r="268" spans="1:27" x14ac:dyDescent="0.2">
      <c r="O268">
        <f t="shared" ref="O268:T268" si="30">IF($K265&gt;0,ROUND(O266*$E265/100,DpCU),IF(O269&gt;10000,ROUND(HLOOKUP(O269,$O265:$T268,4,FALSE)/100*O266,DpCU),IF(OR(O265&lt;20001,O265&gt;95000,AND(60000&lt;O265,O265&lt;70001)),ROUND(ROUND(O266*JL/$C265,DcCU)*O267,DpCU),IF(OR(AND(20000&lt;O265,O265&lt;22501),AND(30000&lt;O265,O265&lt;50001),77500&lt;O265),ROUND(O267*O266,DpCU),IF(OR(AND(22500&lt;O265,O265&lt;25001),AND(50000&lt;O265,O265&lt;53501),AND(70000&lt;O265,O265&lt;72501)),ROUND($F265/100*O266,DpCU),IF(OR(AND(25000&lt;O265,O265&lt;27501),AND(53500&lt;O265,O265&lt;57001),AND(72500&lt;O265,O265&lt;75001)),ROUND($G265/100*O266,DpCU),ROUND($H265/100*O266,DpCU)))))))</f>
        <v>2</v>
      </c>
      <c r="P268">
        <f t="shared" si="30"/>
        <v>16.649999999999999</v>
      </c>
      <c r="Q268">
        <f t="shared" si="30"/>
        <v>13.67</v>
      </c>
      <c r="R268">
        <f t="shared" si="30"/>
        <v>5.85</v>
      </c>
      <c r="S268">
        <f t="shared" si="30"/>
        <v>0.53</v>
      </c>
      <c r="T268">
        <f t="shared" si="30"/>
        <v>0.97</v>
      </c>
    </row>
    <row r="269" spans="1:27" x14ac:dyDescent="0.2">
      <c r="B269" s="3" t="str">
        <f>A265&amp;"r"</f>
        <v>10053r</v>
      </c>
    </row>
    <row r="270" spans="1:27" x14ac:dyDescent="0.2">
      <c r="A270">
        <v>10054</v>
      </c>
      <c r="B270" s="3" t="s">
        <v>428</v>
      </c>
      <c r="C270" s="1">
        <f>ROUND(J270*JL*Frto/8,4)</f>
        <v>240</v>
      </c>
      <c r="D270" t="s">
        <v>33</v>
      </c>
      <c r="E270">
        <f>SUM($O273:$U273)</f>
        <v>9.34</v>
      </c>
      <c r="F270">
        <f>SUMIF($O270:$U270,"&lt;22501",$O273:$U273)</f>
        <v>1.3399999999999999</v>
      </c>
      <c r="G270">
        <f>SUMIFS($O273:$U273,$O270:$U270,"&gt;30000",$O270:$U270,"&lt;50001")</f>
        <v>2.68</v>
      </c>
      <c r="H270">
        <f>SUMIFS($O273:$U273,$O270:$U270,"&gt;60000",$O270:$U270,"&lt;70001")</f>
        <v>0</v>
      </c>
      <c r="I270">
        <v>7</v>
      </c>
      <c r="J270">
        <v>240</v>
      </c>
      <c r="O270">
        <v>10001</v>
      </c>
      <c r="P270">
        <v>10002</v>
      </c>
      <c r="Q270">
        <v>10008</v>
      </c>
      <c r="R270">
        <v>30063</v>
      </c>
      <c r="S270">
        <v>30064</v>
      </c>
      <c r="T270">
        <v>70001</v>
      </c>
      <c r="U270">
        <v>77507</v>
      </c>
    </row>
    <row r="271" spans="1:27" x14ac:dyDescent="0.2">
      <c r="B271" s="3" t="str">
        <f>A270&amp;"C"</f>
        <v>10054C</v>
      </c>
      <c r="O271">
        <v>0.1</v>
      </c>
      <c r="P271">
        <v>1</v>
      </c>
      <c r="Q271">
        <v>1</v>
      </c>
      <c r="R271">
        <v>0.05</v>
      </c>
      <c r="S271">
        <v>1.05</v>
      </c>
      <c r="T271">
        <v>5</v>
      </c>
      <c r="U271">
        <v>1.4999999999999999E-2</v>
      </c>
    </row>
    <row r="272" spans="1:27" x14ac:dyDescent="0.2">
      <c r="O272">
        <f>IF(O274&gt;10000,HLOOKUP(O274,N270:$O273,4,FALSE),IF(OR(AND(22500&lt;O270,O270&lt;25001),AND(50000&lt;O270,O270&lt;53501),AND(70000&lt;O270,O270&lt;72501)),$F270,IF(OR(AND(25001&lt;O270,O270&lt;27501),AND(53500&lt;O270,O270&lt;57001),AND(72500&lt;O270,O270&lt;75001)),$G270,IF(OR(AND(27500&lt;O270,O270&lt;30001),AND(57000&lt;O270,O270&lt;60001),AND(75000&lt;O270,O270&lt;77500)),$H270,VLOOKUP(O270,BDins,6,FALSE)))))</f>
        <v>24.97</v>
      </c>
      <c r="P272">
        <f>IF(P274&gt;10000,HLOOKUP(P274,O270:$O273,4,FALSE),IF(OR(AND(22500&lt;P270,P270&lt;25001),AND(50000&lt;P270,P270&lt;53501),AND(70000&lt;P270,P270&lt;72501)),$F270,IF(OR(AND(25001&lt;P270,P270&lt;27501),AND(53500&lt;P270,P270&lt;57001),AND(72500&lt;P270,P270&lt;75001)),$G270,IF(OR(AND(27500&lt;P270,P270&lt;30001),AND(57000&lt;P270,P270&lt;60001),AND(75000&lt;P270,P270&lt;77500)),$H270,VLOOKUP(P270,BDins,6,FALSE)))))</f>
        <v>20.81</v>
      </c>
      <c r="Q272">
        <f>IF(Q274&gt;10000,HLOOKUP(Q274,$O270:P273,4,FALSE),IF(OR(AND(22500&lt;Q270,Q270&lt;25001),AND(50000&lt;Q270,Q270&lt;53501),AND(70000&lt;Q270,Q270&lt;72501)),$F270,IF(OR(AND(25001&lt;Q270,Q270&lt;27501),AND(53500&lt;Q270,Q270&lt;57001),AND(72500&lt;Q270,Q270&lt;75001)),$G270,IF(OR(AND(27500&lt;Q270,Q270&lt;30001),AND(57000&lt;Q270,Q270&lt;60001),AND(75000&lt;Q270,Q270&lt;77500)),$H270,VLOOKUP(Q270,BDins,6,FALSE)))))</f>
        <v>17.09</v>
      </c>
      <c r="R272">
        <f>IF(R274&gt;10000,HLOOKUP(R274,$O270:Q273,4,FALSE),IF(OR(AND(22500&lt;R270,R270&lt;25001),AND(50000&lt;R270,R270&lt;53501),AND(70000&lt;R270,R270&lt;72501)),$F270,IF(OR(AND(25001&lt;R270,R270&lt;27501),AND(53500&lt;R270,R270&lt;57001),AND(72500&lt;R270,R270&lt;75001)),$G270,IF(OR(AND(27500&lt;R270,R270&lt;30001),AND(57000&lt;R270,R270&lt;60001),AND(75000&lt;R270,R270&lt;77500)),$H270,VLOOKUP(R270,BDins,6,FALSE)))))</f>
        <v>3.5</v>
      </c>
      <c r="S272">
        <f>IF(S274&gt;10000,HLOOKUP(S274,$O270:R273,4,FALSE),IF(OR(AND(22500&lt;S270,S270&lt;25001),AND(50000&lt;S270,S270&lt;53501),AND(70000&lt;S270,S270&lt;72501)),$F270,IF(OR(AND(25001&lt;S270,S270&lt;27501),AND(53500&lt;S270,S270&lt;57001),AND(72500&lt;S270,S270&lt;75001)),$G270,IF(OR(AND(27500&lt;S270,S270&lt;30001),AND(57000&lt;S270,S270&lt;60001),AND(75000&lt;S270,S270&lt;77500)),$H270,VLOOKUP(S270,BDins,6,FALSE)))))</f>
        <v>2.38</v>
      </c>
      <c r="T272">
        <f>IF(T274&gt;10000,HLOOKUP(T274,$O270:S273,4,FALSE),IF(OR(AND(22500&lt;T270,T270&lt;25001),AND(50000&lt;T270,T270&lt;53501),AND(70000&lt;T270,T270&lt;72501)),$F270,IF(OR(AND(25001&lt;T270,T270&lt;27501),AND(53500&lt;T270,T270&lt;57001),AND(72500&lt;T270,T270&lt;75001)),$G270,IF(OR(AND(27500&lt;T270,T270&lt;30001),AND(57000&lt;T270,T270&lt;60001),AND(75000&lt;T270,T270&lt;77500)),$H270,VLOOKUP(T270,BDins,6,FALSE)))))</f>
        <v>1.3399999999999999</v>
      </c>
      <c r="U272">
        <f>IF(U274&gt;10000,HLOOKUP(U274,$O270:T273,4,FALSE),IF(OR(AND(22500&lt;U270,U270&lt;25001),AND(50000&lt;U270,U270&lt;53501),AND(70000&lt;U270,U270&lt;72501)),$F270,IF(OR(AND(25001&lt;U270,U270&lt;27501),AND(53500&lt;U270,U270&lt;57001),AND(72500&lt;U270,U270&lt;75001)),$G270,IF(OR(AND(27500&lt;U270,U270&lt;30001),AND(57000&lt;U270,U270&lt;60001),AND(75000&lt;U270,U270&lt;77500)),$H270,VLOOKUP(U270,BDins,6,FALSE)))))</f>
        <v>350</v>
      </c>
    </row>
    <row r="273" spans="1:28" x14ac:dyDescent="0.2">
      <c r="O273">
        <f t="shared" ref="O273:U273" si="31">IF($K270&gt;0,ROUND(O271*$E270/100,DpCU),IF(O274&gt;10000,ROUND(HLOOKUP(O274,$O270:$U273,4,FALSE)/100*O271,DpCU),IF(OR(O270&lt;20001,O270&gt;95000,AND(60000&lt;O270,O270&lt;70001)),ROUND(ROUND(O271*JL/$C270,DcCU)*O272,DpCU),IF(OR(AND(20000&lt;O270,O270&lt;22501),AND(30000&lt;O270,O270&lt;50001),77500&lt;O270),ROUND(O272*O271,DpCU),IF(OR(AND(22500&lt;O270,O270&lt;25001),AND(50000&lt;O270,O270&lt;53501),AND(70000&lt;O270,O270&lt;72501)),ROUND($F270/100*O271,DpCU),IF(OR(AND(25000&lt;O270,O270&lt;27501),AND(53500&lt;O270,O270&lt;57001),AND(72500&lt;O270,O270&lt;75001)),ROUND($G270/100*O271,DpCU),ROUND($H270/100*O271,DpCU)))))))</f>
        <v>0.08</v>
      </c>
      <c r="P273">
        <f t="shared" si="31"/>
        <v>0.69</v>
      </c>
      <c r="Q273">
        <f t="shared" si="31"/>
        <v>0.56999999999999995</v>
      </c>
      <c r="R273">
        <f t="shared" si="31"/>
        <v>0.18</v>
      </c>
      <c r="S273">
        <f t="shared" si="31"/>
        <v>2.5</v>
      </c>
      <c r="T273">
        <f t="shared" si="31"/>
        <v>7.0000000000000007E-2</v>
      </c>
      <c r="U273">
        <f t="shared" si="31"/>
        <v>5.25</v>
      </c>
    </row>
    <row r="274" spans="1:28" x14ac:dyDescent="0.2">
      <c r="B274" s="3" t="str">
        <f>A270&amp;"r"</f>
        <v>10054r</v>
      </c>
    </row>
    <row r="275" spans="1:28" x14ac:dyDescent="0.2">
      <c r="A275">
        <v>10055</v>
      </c>
      <c r="B275" s="3" t="s">
        <v>432</v>
      </c>
      <c r="C275" s="1">
        <f>ROUND(J275*JL*Frto/8,4)</f>
        <v>8</v>
      </c>
      <c r="D275" t="s">
        <v>34</v>
      </c>
      <c r="E275">
        <f>SUM($O278:$AB278)</f>
        <v>485.84000000000003</v>
      </c>
      <c r="F275">
        <f>SUMIF($O275:$AB275,"&lt;22501",$O278:$AB278)</f>
        <v>184.09</v>
      </c>
      <c r="G275">
        <f>SUMIFS($O278:$AB278,$O275:$AB275,"&gt;30000",$O275:$AB275,"&lt;50001")</f>
        <v>268.68</v>
      </c>
      <c r="H275">
        <f>SUMIFS($O278:$AB278,$O275:$AB275,"&gt;60000",$O275:$AB275,"&lt;70001")</f>
        <v>20.12</v>
      </c>
      <c r="I275">
        <v>14</v>
      </c>
      <c r="J275">
        <v>8</v>
      </c>
      <c r="O275">
        <v>10001</v>
      </c>
      <c r="P275">
        <v>10002</v>
      </c>
      <c r="Q275">
        <v>10003</v>
      </c>
      <c r="R275">
        <v>10007</v>
      </c>
      <c r="S275">
        <v>10008</v>
      </c>
      <c r="T275">
        <v>30002</v>
      </c>
      <c r="U275">
        <v>30023</v>
      </c>
      <c r="V275">
        <v>30056</v>
      </c>
      <c r="W275">
        <v>30062</v>
      </c>
      <c r="X275">
        <v>30065</v>
      </c>
      <c r="Y275">
        <v>60010</v>
      </c>
      <c r="Z275">
        <v>60013</v>
      </c>
      <c r="AA275">
        <v>70001</v>
      </c>
      <c r="AB275">
        <v>77508</v>
      </c>
    </row>
    <row r="276" spans="1:28" x14ac:dyDescent="0.2">
      <c r="B276" s="3" t="str">
        <f>A275&amp;"C"</f>
        <v>10055C</v>
      </c>
      <c r="O276">
        <v>0.1</v>
      </c>
      <c r="P276">
        <v>1</v>
      </c>
      <c r="Q276">
        <v>8</v>
      </c>
      <c r="R276">
        <v>1</v>
      </c>
      <c r="S276">
        <v>1</v>
      </c>
      <c r="T276">
        <v>8.5</v>
      </c>
      <c r="U276">
        <v>0.21</v>
      </c>
      <c r="V276">
        <v>0.49</v>
      </c>
      <c r="W276">
        <v>0.25</v>
      </c>
      <c r="X276">
        <v>0.85</v>
      </c>
      <c r="Y276">
        <v>0.5</v>
      </c>
      <c r="Z276">
        <v>0.5</v>
      </c>
      <c r="AA276">
        <v>5</v>
      </c>
      <c r="AB276">
        <v>0.75</v>
      </c>
    </row>
    <row r="277" spans="1:28" x14ac:dyDescent="0.2">
      <c r="O277">
        <f>IF(O279&gt;10000,HLOOKUP(O279,N275:$O278,4,FALSE),IF(OR(AND(22500&lt;O275,O275&lt;25001),AND(50000&lt;O275,O275&lt;53501),AND(70000&lt;O275,O275&lt;72501)),$F275,IF(OR(AND(25001&lt;O275,O275&lt;27501),AND(53500&lt;O275,O275&lt;57001),AND(72500&lt;O275,O275&lt;75001)),$G275,IF(OR(AND(27500&lt;O275,O275&lt;30001),AND(57000&lt;O275,O275&lt;60001),AND(75000&lt;O275,O275&lt;77500)),$H275,VLOOKUP(O275,BDins,6,FALSE)))))</f>
        <v>24.97</v>
      </c>
      <c r="P277">
        <f>IF(P279&gt;10000,HLOOKUP(P279,O275:$O278,4,FALSE),IF(OR(AND(22500&lt;P275,P275&lt;25001),AND(50000&lt;P275,P275&lt;53501),AND(70000&lt;P275,P275&lt;72501)),$F275,IF(OR(AND(25001&lt;P275,P275&lt;27501),AND(53500&lt;P275,P275&lt;57001),AND(72500&lt;P275,P275&lt;75001)),$G275,IF(OR(AND(27500&lt;P275,P275&lt;30001),AND(57000&lt;P275,P275&lt;60001),AND(75000&lt;P275,P275&lt;77500)),$H275,VLOOKUP(P275,BDins,6,FALSE)))))</f>
        <v>20.81</v>
      </c>
      <c r="Q277">
        <f>IF(Q279&gt;10000,HLOOKUP(Q279,$O275:P278,4,FALSE),IF(OR(AND(22500&lt;Q275,Q275&lt;25001),AND(50000&lt;Q275,Q275&lt;53501),AND(70000&lt;Q275,Q275&lt;72501)),$F275,IF(OR(AND(25001&lt;Q275,Q275&lt;27501),AND(53500&lt;Q275,Q275&lt;57001),AND(72500&lt;Q275,Q275&lt;75001)),$G275,IF(OR(AND(27500&lt;Q275,Q275&lt;30001),AND(57000&lt;Q275,Q275&lt;60001),AND(75000&lt;Q275,Q275&lt;77500)),$H275,VLOOKUP(Q275,BDins,6,FALSE)))))</f>
        <v>15.36</v>
      </c>
      <c r="R277">
        <f>IF(R279&gt;10000,HLOOKUP(R279,$O275:Q278,4,FALSE),IF(OR(AND(22500&lt;R275,R275&lt;25001),AND(50000&lt;R275,R275&lt;53501),AND(70000&lt;R275,R275&lt;72501)),$F275,IF(OR(AND(25001&lt;R275,R275&lt;27501),AND(53500&lt;R275,R275&lt;57001),AND(72500&lt;R275,R275&lt;75001)),$G275,IF(OR(AND(27500&lt;R275,R275&lt;30001),AND(57000&lt;R275,R275&lt;60001),AND(75000&lt;R275,R275&lt;77500)),$H275,VLOOKUP(R275,BDins,6,FALSE)))))</f>
        <v>20.81</v>
      </c>
      <c r="S277">
        <f>IF(S279&gt;10000,HLOOKUP(S279,$O275:R278,4,FALSE),IF(OR(AND(22500&lt;S275,S275&lt;25001),AND(50000&lt;S275,S275&lt;53501),AND(70000&lt;S275,S275&lt;72501)),$F275,IF(OR(AND(25001&lt;S275,S275&lt;27501),AND(53500&lt;S275,S275&lt;57001),AND(72500&lt;S275,S275&lt;75001)),$G275,IF(OR(AND(27500&lt;S275,S275&lt;30001),AND(57000&lt;S275,S275&lt;60001),AND(75000&lt;S275,S275&lt;77500)),$H275,VLOOKUP(S275,BDins,6,FALSE)))))</f>
        <v>17.09</v>
      </c>
      <c r="T277">
        <f>IF(T279&gt;10000,HLOOKUP(T279,$O275:S278,4,FALSE),IF(OR(AND(22500&lt;T275,T275&lt;25001),AND(50000&lt;T275,T275&lt;53501),AND(70000&lt;T275,T275&lt;72501)),$F275,IF(OR(AND(25001&lt;T275,T275&lt;27501),AND(53500&lt;T275,T275&lt;57001),AND(72500&lt;T275,T275&lt;75001)),$G275,IF(OR(AND(27500&lt;T275,T275&lt;30001),AND(57000&lt;T275,T275&lt;60001),AND(75000&lt;T275,T275&lt;77500)),$H275,VLOOKUP(T275,BDins,6,FALSE)))))</f>
        <v>18.5</v>
      </c>
      <c r="U277">
        <f>IF(U279&gt;10000,HLOOKUP(U279,$O275:T278,4,FALSE),IF(OR(AND(22500&lt;U275,U275&lt;25001),AND(50000&lt;U275,U275&lt;53501),AND(70000&lt;U275,U275&lt;72501)),$F275,IF(OR(AND(25001&lt;U275,U275&lt;27501),AND(53500&lt;U275,U275&lt;57001),AND(72500&lt;U275,U275&lt;75001)),$G275,IF(OR(AND(27500&lt;U275,U275&lt;30001),AND(57000&lt;U275,U275&lt;60001),AND(75000&lt;U275,U275&lt;77500)),$H275,VLOOKUP(U275,BDins,6,FALSE)))))</f>
        <v>150</v>
      </c>
      <c r="V277">
        <f>IF(V279&gt;10000,HLOOKUP(V279,$O275:U278,4,FALSE),IF(OR(AND(22500&lt;V275,V275&lt;25001),AND(50000&lt;V275,V275&lt;53501),AND(70000&lt;V275,V275&lt;72501)),$F275,IF(OR(AND(25001&lt;V275,V275&lt;27501),AND(53500&lt;V275,V275&lt;57001),AND(72500&lt;V275,V275&lt;75001)),$G275,IF(OR(AND(27500&lt;V275,V275&lt;30001),AND(57000&lt;V275,V275&lt;60001),AND(75000&lt;V275,V275&lt;77500)),$H275,VLOOKUP(V275,BDins,6,FALSE)))))</f>
        <v>45</v>
      </c>
      <c r="W277">
        <f>IF(W279&gt;10000,HLOOKUP(W279,$O275:V278,4,FALSE),IF(OR(AND(22500&lt;W275,W275&lt;25001),AND(50000&lt;W275,W275&lt;53501),AND(70000&lt;W275,W275&lt;72501)),$F275,IF(OR(AND(25001&lt;W275,W275&lt;27501),AND(53500&lt;W275,W275&lt;57001),AND(72500&lt;W275,W275&lt;75001)),$G275,IF(OR(AND(27500&lt;W275,W275&lt;30001),AND(57000&lt;W275,W275&lt;60001),AND(75000&lt;W275,W275&lt;77500)),$H275,VLOOKUP(W275,BDins,6,FALSE)))))</f>
        <v>10.5</v>
      </c>
      <c r="X277">
        <f>IF(X279&gt;10000,HLOOKUP(X279,$O275:W278,4,FALSE),IF(OR(AND(22500&lt;X275,X275&lt;25001),AND(50000&lt;X275,X275&lt;53501),AND(70000&lt;X275,X275&lt;72501)),$F275,IF(OR(AND(25001&lt;X275,X275&lt;27501),AND(53500&lt;X275,X275&lt;57001),AND(72500&lt;X275,X275&lt;75001)),$G275,IF(OR(AND(27500&lt;X275,X275&lt;30001),AND(57000&lt;X275,X275&lt;60001),AND(75000&lt;X275,X275&lt;77500)),$H275,VLOOKUP(X275,BDins,6,FALSE)))))</f>
        <v>65</v>
      </c>
      <c r="Y277">
        <f>IF(Y279&gt;10000,HLOOKUP(Y279,$O275:X278,4,FALSE),IF(OR(AND(22500&lt;Y275,Y275&lt;25001),AND(50000&lt;Y275,Y275&lt;53501),AND(70000&lt;Y275,Y275&lt;72501)),$F275,IF(OR(AND(25001&lt;Y275,Y275&lt;27501),AND(53500&lt;Y275,Y275&lt;57001),AND(72500&lt;Y275,Y275&lt;75001)),$G275,IF(OR(AND(27500&lt;Y275,Y275&lt;30001),AND(57000&lt;Y275,Y275&lt;60001),AND(75000&lt;Y275,Y275&lt;77500)),$H275,VLOOKUP(Y275,BDins,6,FALSE)))))</f>
        <v>31.5</v>
      </c>
      <c r="Z277">
        <f>IF(Z279&gt;10000,HLOOKUP(Z279,$O275:Y278,4,FALSE),IF(OR(AND(22500&lt;Z275,Z275&lt;25001),AND(50000&lt;Z275,Z275&lt;53501),AND(70000&lt;Z275,Z275&lt;72501)),$F275,IF(OR(AND(25001&lt;Z275,Z275&lt;27501),AND(53500&lt;Z275,Z275&lt;57001),AND(72500&lt;Z275,Z275&lt;75001)),$G275,IF(OR(AND(27500&lt;Z275,Z275&lt;30001),AND(57000&lt;Z275,Z275&lt;60001),AND(75000&lt;Z275,Z275&lt;77500)),$H275,VLOOKUP(Z275,BDins,6,FALSE)))))</f>
        <v>8.74</v>
      </c>
      <c r="AA277">
        <f>IF(AA279&gt;10000,HLOOKUP(AA279,$O275:Z278,4,FALSE),IF(OR(AND(22500&lt;AA275,AA275&lt;25001),AND(50000&lt;AA275,AA275&lt;53501),AND(70000&lt;AA275,AA275&lt;72501)),$F275,IF(OR(AND(25001&lt;AA275,AA275&lt;27501),AND(53500&lt;AA275,AA275&lt;57001),AND(72500&lt;AA275,AA275&lt;75001)),$G275,IF(OR(AND(27500&lt;AA275,AA275&lt;30001),AND(57000&lt;AA275,AA275&lt;60001),AND(75000&lt;AA275,AA275&lt;77500)),$H275,VLOOKUP(AA275,BDins,6,FALSE)))))</f>
        <v>184.09</v>
      </c>
      <c r="AB277">
        <f>IF(AB279&gt;10000,HLOOKUP(AB279,$O275:AA278,4,FALSE),IF(OR(AND(22500&lt;AB275,AB275&lt;25001),AND(50000&lt;AB275,AB275&lt;53501),AND(70000&lt;AB275,AB275&lt;72501)),$F275,IF(OR(AND(25001&lt;AB275,AB275&lt;27501),AND(53500&lt;AB275,AB275&lt;57001),AND(72500&lt;AB275,AB275&lt;75001)),$G275,IF(OR(AND(27500&lt;AB275,AB275&lt;30001),AND(57000&lt;AB275,AB275&lt;60001),AND(75000&lt;AB275,AB275&lt;77500)),$H275,VLOOKUP(AB275,BDins,6,FALSE)))))</f>
        <v>5</v>
      </c>
    </row>
    <row r="278" spans="1:28" x14ac:dyDescent="0.2">
      <c r="O278">
        <f t="shared" ref="O278:AB278" si="32">IF($K275&gt;0,ROUND(O276*$E275/100,DpCU),IF(O279&gt;10000,ROUND(HLOOKUP(O279,$O275:$AB278,4,FALSE)/100*O276,DpCU),IF(OR(O275&lt;20001,O275&gt;95000,AND(60000&lt;O275,O275&lt;70001)),ROUND(ROUND(O276*JL/$C275,DcCU)*O277,DpCU),IF(OR(AND(20000&lt;O275,O275&lt;22501),AND(30000&lt;O275,O275&lt;50001),77500&lt;O275),ROUND(O277*O276,DpCU),IF(OR(AND(22500&lt;O275,O275&lt;25001),AND(50000&lt;O275,O275&lt;53501),AND(70000&lt;O275,O275&lt;72501)),ROUND($F275/100*O276,DpCU),IF(OR(AND(25000&lt;O275,O275&lt;27501),AND(53500&lt;O275,O275&lt;57001),AND(72500&lt;O275,O275&lt;75001)),ROUND($G275/100*O276,DpCU),ROUND($H275/100*O276,DpCU)))))))</f>
        <v>2.5</v>
      </c>
      <c r="P278">
        <f t="shared" si="32"/>
        <v>20.81</v>
      </c>
      <c r="Q278">
        <f t="shared" si="32"/>
        <v>122.88</v>
      </c>
      <c r="R278">
        <f t="shared" si="32"/>
        <v>20.81</v>
      </c>
      <c r="S278">
        <f t="shared" si="32"/>
        <v>17.09</v>
      </c>
      <c r="T278">
        <f t="shared" si="32"/>
        <v>157.25</v>
      </c>
      <c r="U278">
        <f t="shared" si="32"/>
        <v>31.5</v>
      </c>
      <c r="V278">
        <f t="shared" si="32"/>
        <v>22.05</v>
      </c>
      <c r="W278">
        <f t="shared" si="32"/>
        <v>2.63</v>
      </c>
      <c r="X278">
        <f t="shared" si="32"/>
        <v>55.25</v>
      </c>
      <c r="Y278">
        <f t="shared" si="32"/>
        <v>15.75</v>
      </c>
      <c r="Z278">
        <f t="shared" si="32"/>
        <v>4.37</v>
      </c>
      <c r="AA278">
        <f t="shared" si="32"/>
        <v>9.1999999999999993</v>
      </c>
      <c r="AB278">
        <f t="shared" si="32"/>
        <v>3.75</v>
      </c>
    </row>
    <row r="279" spans="1:28" x14ac:dyDescent="0.2">
      <c r="B279" s="3" t="str">
        <f>A275&amp;"r"</f>
        <v>10055r</v>
      </c>
    </row>
    <row r="280" spans="1:28" x14ac:dyDescent="0.2">
      <c r="A280">
        <v>10056</v>
      </c>
      <c r="B280" s="3" t="s">
        <v>437</v>
      </c>
      <c r="C280" s="1">
        <f>ROUND(J280*JL*Frto/8,4)</f>
        <v>12</v>
      </c>
      <c r="D280" t="s">
        <v>210</v>
      </c>
      <c r="E280">
        <f>SUM($O283:$U283)</f>
        <v>39.68</v>
      </c>
      <c r="F280">
        <f>SUMIF($O280:$U280,"&lt;22501",$O283:$U283)</f>
        <v>26.93</v>
      </c>
      <c r="G280">
        <f>SUMIFS($O283:$U283,$O280:$U280,"&gt;30000",$O280:$U280,"&lt;50001")</f>
        <v>11.4</v>
      </c>
      <c r="H280">
        <f>SUMIFS($O283:$U283,$O280:$U280,"&gt;60000",$O280:$U280,"&lt;70001")</f>
        <v>0</v>
      </c>
      <c r="I280">
        <v>7</v>
      </c>
      <c r="J280">
        <v>12</v>
      </c>
      <c r="O280">
        <v>10001</v>
      </c>
      <c r="P280">
        <v>10002</v>
      </c>
      <c r="Q280">
        <v>10008</v>
      </c>
      <c r="R280">
        <v>30026</v>
      </c>
      <c r="S280">
        <v>30051</v>
      </c>
      <c r="T280">
        <v>30054</v>
      </c>
      <c r="U280">
        <v>70001</v>
      </c>
    </row>
    <row r="281" spans="1:28" x14ac:dyDescent="0.2">
      <c r="B281" s="3" t="str">
        <f>A280&amp;"C"</f>
        <v>10056C</v>
      </c>
      <c r="O281">
        <v>0.1</v>
      </c>
      <c r="P281">
        <v>1</v>
      </c>
      <c r="Q281">
        <v>1</v>
      </c>
      <c r="R281">
        <v>2.5</v>
      </c>
      <c r="S281">
        <v>0.17</v>
      </c>
      <c r="T281">
        <v>0.3</v>
      </c>
      <c r="U281">
        <v>5</v>
      </c>
    </row>
    <row r="282" spans="1:28" x14ac:dyDescent="0.2">
      <c r="O282">
        <f>IF(O284&gt;10000,HLOOKUP(O284,N280:$O283,4,FALSE),IF(OR(AND(22500&lt;O280,O280&lt;25001),AND(50000&lt;O280,O280&lt;53501),AND(70000&lt;O280,O280&lt;72501)),$F280,IF(OR(AND(25001&lt;O280,O280&lt;27501),AND(53500&lt;O280,O280&lt;57001),AND(72500&lt;O280,O280&lt;75001)),$G280,IF(OR(AND(27500&lt;O280,O280&lt;30001),AND(57000&lt;O280,O280&lt;60001),AND(75000&lt;O280,O280&lt;77500)),$H280,VLOOKUP(O280,BDins,6,FALSE)))))</f>
        <v>24.97</v>
      </c>
      <c r="P282">
        <f>IF(P284&gt;10000,HLOOKUP(P284,O280:$O283,4,FALSE),IF(OR(AND(22500&lt;P280,P280&lt;25001),AND(50000&lt;P280,P280&lt;53501),AND(70000&lt;P280,P280&lt;72501)),$F280,IF(OR(AND(25001&lt;P280,P280&lt;27501),AND(53500&lt;P280,P280&lt;57001),AND(72500&lt;P280,P280&lt;75001)),$G280,IF(OR(AND(27500&lt;P280,P280&lt;30001),AND(57000&lt;P280,P280&lt;60001),AND(75000&lt;P280,P280&lt;77500)),$H280,VLOOKUP(P280,BDins,6,FALSE)))))</f>
        <v>20.81</v>
      </c>
      <c r="Q282">
        <f>IF(Q284&gt;10000,HLOOKUP(Q284,$O280:P283,4,FALSE),IF(OR(AND(22500&lt;Q280,Q280&lt;25001),AND(50000&lt;Q280,Q280&lt;53501),AND(70000&lt;Q280,Q280&lt;72501)),$F280,IF(OR(AND(25001&lt;Q280,Q280&lt;27501),AND(53500&lt;Q280,Q280&lt;57001),AND(72500&lt;Q280,Q280&lt;75001)),$G280,IF(OR(AND(27500&lt;Q280,Q280&lt;30001),AND(57000&lt;Q280,Q280&lt;60001),AND(75000&lt;Q280,Q280&lt;77500)),$H280,VLOOKUP(Q280,BDins,6,FALSE)))))</f>
        <v>17.09</v>
      </c>
      <c r="R282">
        <f>IF(R284&gt;10000,HLOOKUP(R284,$O280:Q283,4,FALSE),IF(OR(AND(22500&lt;R280,R280&lt;25001),AND(50000&lt;R280,R280&lt;53501),AND(70000&lt;R280,R280&lt;72501)),$F280,IF(OR(AND(25001&lt;R280,R280&lt;27501),AND(53500&lt;R280,R280&lt;57001),AND(72500&lt;R280,R280&lt;75001)),$G280,IF(OR(AND(27500&lt;R280,R280&lt;30001),AND(57000&lt;R280,R280&lt;60001),AND(75000&lt;R280,R280&lt;77500)),$H280,VLOOKUP(R280,BDins,6,FALSE)))))</f>
        <v>3.9</v>
      </c>
      <c r="S282">
        <f>IF(S284&gt;10000,HLOOKUP(S284,$O280:R283,4,FALSE),IF(OR(AND(22500&lt;S280,S280&lt;25001),AND(50000&lt;S280,S280&lt;53501),AND(70000&lt;S280,S280&lt;72501)),$F280,IF(OR(AND(25001&lt;S280,S280&lt;27501),AND(53500&lt;S280,S280&lt;57001),AND(72500&lt;S280,S280&lt;75001)),$G280,IF(OR(AND(27500&lt;S280,S280&lt;30001),AND(57000&lt;S280,S280&lt;60001),AND(75000&lt;S280,S280&lt;77500)),$H280,VLOOKUP(S280,BDins,6,FALSE)))))</f>
        <v>3.5</v>
      </c>
      <c r="T282">
        <f>IF(T284&gt;10000,HLOOKUP(T284,$O280:S283,4,FALSE),IF(OR(AND(22500&lt;T280,T280&lt;25001),AND(50000&lt;T280,T280&lt;53501),AND(70000&lt;T280,T280&lt;72501)),$F280,IF(OR(AND(25001&lt;T280,T280&lt;27501),AND(53500&lt;T280,T280&lt;57001),AND(72500&lt;T280,T280&lt;75001)),$G280,IF(OR(AND(27500&lt;T280,T280&lt;30001),AND(57000&lt;T280,T280&lt;60001),AND(75000&lt;T280,T280&lt;77500)),$H280,VLOOKUP(T280,BDins,6,FALSE)))))</f>
        <v>3.5</v>
      </c>
      <c r="U282">
        <f>IF(U284&gt;10000,HLOOKUP(U284,$O280:T283,4,FALSE),IF(OR(AND(22500&lt;U280,U280&lt;25001),AND(50000&lt;U280,U280&lt;53501),AND(70000&lt;U280,U280&lt;72501)),$F280,IF(OR(AND(25001&lt;U280,U280&lt;27501),AND(53500&lt;U280,U280&lt;57001),AND(72500&lt;U280,U280&lt;75001)),$G280,IF(OR(AND(27500&lt;U280,U280&lt;30001),AND(57000&lt;U280,U280&lt;60001),AND(75000&lt;U280,U280&lt;77500)),$H280,VLOOKUP(U280,BDins,6,FALSE)))))</f>
        <v>26.93</v>
      </c>
    </row>
    <row r="283" spans="1:28" x14ac:dyDescent="0.2">
      <c r="O283">
        <f t="shared" ref="O283:U283" si="33">IF($K280&gt;0,ROUND(O281*$E280/100,DpCU),IF(O284&gt;10000,ROUND(HLOOKUP(O284,$O280:$U283,4,FALSE)/100*O281,DpCU),IF(OR(O280&lt;20001,O280&gt;95000,AND(60000&lt;O280,O280&lt;70001)),ROUND(ROUND(O281*JL/$C280,DcCU)*O282,DpCU),IF(OR(AND(20000&lt;O280,O280&lt;22501),AND(30000&lt;O280,O280&lt;50001),77500&lt;O280),ROUND(O282*O281,DpCU),IF(OR(AND(22500&lt;O280,O280&lt;25001),AND(50000&lt;O280,O280&lt;53501),AND(70000&lt;O280,O280&lt;72501)),ROUND($F280/100*O281,DpCU),IF(OR(AND(25000&lt;O280,O280&lt;27501),AND(53500&lt;O280,O280&lt;57001),AND(72500&lt;O280,O280&lt;75001)),ROUND($G280/100*O281,DpCU),ROUND($H280/100*O281,DpCU)))))))</f>
        <v>1.67</v>
      </c>
      <c r="P283">
        <f t="shared" si="33"/>
        <v>13.87</v>
      </c>
      <c r="Q283">
        <f t="shared" si="33"/>
        <v>11.39</v>
      </c>
      <c r="R283">
        <f t="shared" si="33"/>
        <v>9.75</v>
      </c>
      <c r="S283">
        <f t="shared" si="33"/>
        <v>0.6</v>
      </c>
      <c r="T283">
        <f t="shared" si="33"/>
        <v>1.05</v>
      </c>
      <c r="U283">
        <f t="shared" si="33"/>
        <v>1.35</v>
      </c>
    </row>
    <row r="284" spans="1:28" x14ac:dyDescent="0.2">
      <c r="B284" s="3" t="str">
        <f>A280&amp;"r"</f>
        <v>10056r</v>
      </c>
    </row>
    <row r="285" spans="1:28" x14ac:dyDescent="0.2">
      <c r="A285">
        <v>10057</v>
      </c>
      <c r="B285" s="3" t="s">
        <v>439</v>
      </c>
      <c r="C285" s="1">
        <f>ROUND(J285*JL*Frto/8,4)</f>
        <v>240</v>
      </c>
      <c r="D285" t="s">
        <v>33</v>
      </c>
      <c r="E285">
        <f>SUM($O288:$U288)</f>
        <v>9.42</v>
      </c>
      <c r="F285">
        <f>SUMIF($O285:$U285,"&lt;22501",$O288:$U288)</f>
        <v>1.3399999999999999</v>
      </c>
      <c r="G285">
        <f>SUMIFS($O288:$U288,$O285:$U285,"&gt;30000",$O285:$U285,"&lt;50001")</f>
        <v>2.76</v>
      </c>
      <c r="H285">
        <f>SUMIFS($O288:$U288,$O285:$U285,"&gt;60000",$O285:$U285,"&lt;70001")</f>
        <v>0</v>
      </c>
      <c r="I285">
        <v>7</v>
      </c>
      <c r="J285">
        <v>240</v>
      </c>
      <c r="O285">
        <v>10001</v>
      </c>
      <c r="P285">
        <v>10002</v>
      </c>
      <c r="Q285">
        <v>10008</v>
      </c>
      <c r="R285">
        <v>30063</v>
      </c>
      <c r="S285">
        <v>30066</v>
      </c>
      <c r="T285">
        <v>70001</v>
      </c>
      <c r="U285">
        <v>77507</v>
      </c>
    </row>
    <row r="286" spans="1:28" x14ac:dyDescent="0.2">
      <c r="B286" s="3" t="str">
        <f>A285&amp;"C"</f>
        <v>10057C</v>
      </c>
      <c r="O286">
        <v>0.1</v>
      </c>
      <c r="P286">
        <v>1</v>
      </c>
      <c r="Q286">
        <v>1</v>
      </c>
      <c r="R286">
        <v>0.06</v>
      </c>
      <c r="S286">
        <v>1.07</v>
      </c>
      <c r="T286">
        <v>5</v>
      </c>
      <c r="U286">
        <v>1.4999999999999999E-2</v>
      </c>
    </row>
    <row r="287" spans="1:28" x14ac:dyDescent="0.2">
      <c r="O287">
        <f>IF(O289&gt;10000,HLOOKUP(O289,N285:$O288,4,FALSE),IF(OR(AND(22500&lt;O285,O285&lt;25001),AND(50000&lt;O285,O285&lt;53501),AND(70000&lt;O285,O285&lt;72501)),$F285,IF(OR(AND(25001&lt;O285,O285&lt;27501),AND(53500&lt;O285,O285&lt;57001),AND(72500&lt;O285,O285&lt;75001)),$G285,IF(OR(AND(27500&lt;O285,O285&lt;30001),AND(57000&lt;O285,O285&lt;60001),AND(75000&lt;O285,O285&lt;77500)),$H285,VLOOKUP(O285,BDins,6,FALSE)))))</f>
        <v>24.97</v>
      </c>
      <c r="P287">
        <f>IF(P289&gt;10000,HLOOKUP(P289,O285:$O288,4,FALSE),IF(OR(AND(22500&lt;P285,P285&lt;25001),AND(50000&lt;P285,P285&lt;53501),AND(70000&lt;P285,P285&lt;72501)),$F285,IF(OR(AND(25001&lt;P285,P285&lt;27501),AND(53500&lt;P285,P285&lt;57001),AND(72500&lt;P285,P285&lt;75001)),$G285,IF(OR(AND(27500&lt;P285,P285&lt;30001),AND(57000&lt;P285,P285&lt;60001),AND(75000&lt;P285,P285&lt;77500)),$H285,VLOOKUP(P285,BDins,6,FALSE)))))</f>
        <v>20.81</v>
      </c>
      <c r="Q287">
        <f>IF(Q289&gt;10000,HLOOKUP(Q289,$O285:P288,4,FALSE),IF(OR(AND(22500&lt;Q285,Q285&lt;25001),AND(50000&lt;Q285,Q285&lt;53501),AND(70000&lt;Q285,Q285&lt;72501)),$F285,IF(OR(AND(25001&lt;Q285,Q285&lt;27501),AND(53500&lt;Q285,Q285&lt;57001),AND(72500&lt;Q285,Q285&lt;75001)),$G285,IF(OR(AND(27500&lt;Q285,Q285&lt;30001),AND(57000&lt;Q285,Q285&lt;60001),AND(75000&lt;Q285,Q285&lt;77500)),$H285,VLOOKUP(Q285,BDins,6,FALSE)))))</f>
        <v>17.09</v>
      </c>
      <c r="R287">
        <f>IF(R289&gt;10000,HLOOKUP(R289,$O285:Q288,4,FALSE),IF(OR(AND(22500&lt;R285,R285&lt;25001),AND(50000&lt;R285,R285&lt;53501),AND(70000&lt;R285,R285&lt;72501)),$F285,IF(OR(AND(25001&lt;R285,R285&lt;27501),AND(53500&lt;R285,R285&lt;57001),AND(72500&lt;R285,R285&lt;75001)),$G285,IF(OR(AND(27500&lt;R285,R285&lt;30001),AND(57000&lt;R285,R285&lt;60001),AND(75000&lt;R285,R285&lt;77500)),$H285,VLOOKUP(R285,BDins,6,FALSE)))))</f>
        <v>3.5</v>
      </c>
      <c r="S287">
        <f>IF(S289&gt;10000,HLOOKUP(S289,$O285:R288,4,FALSE),IF(OR(AND(22500&lt;S285,S285&lt;25001),AND(50000&lt;S285,S285&lt;53501),AND(70000&lt;S285,S285&lt;72501)),$F285,IF(OR(AND(25001&lt;S285,S285&lt;27501),AND(53500&lt;S285,S285&lt;57001),AND(72500&lt;S285,S285&lt;75001)),$G285,IF(OR(AND(27500&lt;S285,S285&lt;30001),AND(57000&lt;S285,S285&lt;60001),AND(75000&lt;S285,S285&lt;77500)),$H285,VLOOKUP(S285,BDins,6,FALSE)))))</f>
        <v>2.38</v>
      </c>
      <c r="T287">
        <f>IF(T289&gt;10000,HLOOKUP(T289,$O285:S288,4,FALSE),IF(OR(AND(22500&lt;T285,T285&lt;25001),AND(50000&lt;T285,T285&lt;53501),AND(70000&lt;T285,T285&lt;72501)),$F285,IF(OR(AND(25001&lt;T285,T285&lt;27501),AND(53500&lt;T285,T285&lt;57001),AND(72500&lt;T285,T285&lt;75001)),$G285,IF(OR(AND(27500&lt;T285,T285&lt;30001),AND(57000&lt;T285,T285&lt;60001),AND(75000&lt;T285,T285&lt;77500)),$H285,VLOOKUP(T285,BDins,6,FALSE)))))</f>
        <v>1.3399999999999999</v>
      </c>
      <c r="U287">
        <f>IF(U289&gt;10000,HLOOKUP(U289,$O285:T288,4,FALSE),IF(OR(AND(22500&lt;U285,U285&lt;25001),AND(50000&lt;U285,U285&lt;53501),AND(70000&lt;U285,U285&lt;72501)),$F285,IF(OR(AND(25001&lt;U285,U285&lt;27501),AND(53500&lt;U285,U285&lt;57001),AND(72500&lt;U285,U285&lt;75001)),$G285,IF(OR(AND(27500&lt;U285,U285&lt;30001),AND(57000&lt;U285,U285&lt;60001),AND(75000&lt;U285,U285&lt;77500)),$H285,VLOOKUP(U285,BDins,6,FALSE)))))</f>
        <v>350</v>
      </c>
    </row>
    <row r="288" spans="1:28" x14ac:dyDescent="0.2">
      <c r="O288">
        <f t="shared" ref="O288:U288" si="34">IF($K285&gt;0,ROUND(O286*$E285/100,DpCU),IF(O289&gt;10000,ROUND(HLOOKUP(O289,$O285:$U288,4,FALSE)/100*O286,DpCU),IF(OR(O285&lt;20001,O285&gt;95000,AND(60000&lt;O285,O285&lt;70001)),ROUND(ROUND(O286*JL/$C285,DcCU)*O287,DpCU),IF(OR(AND(20000&lt;O285,O285&lt;22501),AND(30000&lt;O285,O285&lt;50001),77500&lt;O285),ROUND(O287*O286,DpCU),IF(OR(AND(22500&lt;O285,O285&lt;25001),AND(50000&lt;O285,O285&lt;53501),AND(70000&lt;O285,O285&lt;72501)),ROUND($F285/100*O286,DpCU),IF(OR(AND(25000&lt;O285,O285&lt;27501),AND(53500&lt;O285,O285&lt;57001),AND(72500&lt;O285,O285&lt;75001)),ROUND($G285/100*O286,DpCU),ROUND($H285/100*O286,DpCU)))))))</f>
        <v>0.08</v>
      </c>
      <c r="P288">
        <f t="shared" si="34"/>
        <v>0.69</v>
      </c>
      <c r="Q288">
        <f t="shared" si="34"/>
        <v>0.56999999999999995</v>
      </c>
      <c r="R288">
        <f t="shared" si="34"/>
        <v>0.21</v>
      </c>
      <c r="S288">
        <f t="shared" si="34"/>
        <v>2.5499999999999998</v>
      </c>
      <c r="T288">
        <f t="shared" si="34"/>
        <v>7.0000000000000007E-2</v>
      </c>
      <c r="U288">
        <f t="shared" si="34"/>
        <v>5.25</v>
      </c>
    </row>
    <row r="289" spans="1:28" x14ac:dyDescent="0.2">
      <c r="B289" s="3" t="str">
        <f>A285&amp;"r"</f>
        <v>10057r</v>
      </c>
    </row>
    <row r="290" spans="1:28" x14ac:dyDescent="0.2">
      <c r="A290">
        <v>10058</v>
      </c>
      <c r="B290" s="3" t="s">
        <v>444</v>
      </c>
      <c r="C290" s="1">
        <f>ROUND(J290*JL*Frto/8,4)</f>
        <v>8</v>
      </c>
      <c r="D290" t="s">
        <v>34</v>
      </c>
      <c r="E290">
        <f>SUM($O293:$AB293)</f>
        <v>485.84000000000003</v>
      </c>
      <c r="F290">
        <f>SUMIF($O290:$AB290,"&lt;22501",$O293:$AB293)</f>
        <v>184.09</v>
      </c>
      <c r="G290">
        <f>SUMIFS($O293:$AB293,$O290:$AB290,"&gt;30000",$O290:$AB290,"&lt;50001")</f>
        <v>268.68</v>
      </c>
      <c r="H290">
        <f>SUMIFS($O293:$AB293,$O290:$AB290,"&gt;60000",$O290:$AB290,"&lt;70001")</f>
        <v>20.12</v>
      </c>
      <c r="I290">
        <v>14</v>
      </c>
      <c r="J290">
        <v>8</v>
      </c>
      <c r="O290">
        <v>10001</v>
      </c>
      <c r="P290">
        <v>10002</v>
      </c>
      <c r="Q290">
        <v>10003</v>
      </c>
      <c r="R290">
        <v>10007</v>
      </c>
      <c r="S290">
        <v>10008</v>
      </c>
      <c r="T290">
        <v>30002</v>
      </c>
      <c r="U290">
        <v>30023</v>
      </c>
      <c r="V290">
        <v>30056</v>
      </c>
      <c r="W290">
        <v>30062</v>
      </c>
      <c r="X290">
        <v>30065</v>
      </c>
      <c r="Y290">
        <v>60010</v>
      </c>
      <c r="Z290">
        <v>60013</v>
      </c>
      <c r="AA290">
        <v>70001</v>
      </c>
      <c r="AB290">
        <v>77508</v>
      </c>
    </row>
    <row r="291" spans="1:28" x14ac:dyDescent="0.2">
      <c r="B291" s="3" t="str">
        <f>A290&amp;"C"</f>
        <v>10058C</v>
      </c>
      <c r="O291">
        <v>0.1</v>
      </c>
      <c r="P291">
        <v>1</v>
      </c>
      <c r="Q291">
        <v>8</v>
      </c>
      <c r="R291">
        <v>1</v>
      </c>
      <c r="S291">
        <v>1</v>
      </c>
      <c r="T291">
        <v>8.5</v>
      </c>
      <c r="U291">
        <v>0.21</v>
      </c>
      <c r="V291">
        <v>0.49</v>
      </c>
      <c r="W291">
        <v>0.25</v>
      </c>
      <c r="X291">
        <v>0.85</v>
      </c>
      <c r="Y291">
        <v>0.5</v>
      </c>
      <c r="Z291">
        <v>0.5</v>
      </c>
      <c r="AA291">
        <v>5</v>
      </c>
      <c r="AB291">
        <v>0.75</v>
      </c>
    </row>
    <row r="292" spans="1:28" x14ac:dyDescent="0.2">
      <c r="O292">
        <f>IF(O294&gt;10000,HLOOKUP(O294,N290:$O293,4,FALSE),IF(OR(AND(22500&lt;O290,O290&lt;25001),AND(50000&lt;O290,O290&lt;53501),AND(70000&lt;O290,O290&lt;72501)),$F290,IF(OR(AND(25001&lt;O290,O290&lt;27501),AND(53500&lt;O290,O290&lt;57001),AND(72500&lt;O290,O290&lt;75001)),$G290,IF(OR(AND(27500&lt;O290,O290&lt;30001),AND(57000&lt;O290,O290&lt;60001),AND(75000&lt;O290,O290&lt;77500)),$H290,VLOOKUP(O290,BDins,6,FALSE)))))</f>
        <v>24.97</v>
      </c>
      <c r="P292">
        <f>IF(P294&gt;10000,HLOOKUP(P294,O290:$O293,4,FALSE),IF(OR(AND(22500&lt;P290,P290&lt;25001),AND(50000&lt;P290,P290&lt;53501),AND(70000&lt;P290,P290&lt;72501)),$F290,IF(OR(AND(25001&lt;P290,P290&lt;27501),AND(53500&lt;P290,P290&lt;57001),AND(72500&lt;P290,P290&lt;75001)),$G290,IF(OR(AND(27500&lt;P290,P290&lt;30001),AND(57000&lt;P290,P290&lt;60001),AND(75000&lt;P290,P290&lt;77500)),$H290,VLOOKUP(P290,BDins,6,FALSE)))))</f>
        <v>20.81</v>
      </c>
      <c r="Q292">
        <f>IF(Q294&gt;10000,HLOOKUP(Q294,$O290:P293,4,FALSE),IF(OR(AND(22500&lt;Q290,Q290&lt;25001),AND(50000&lt;Q290,Q290&lt;53501),AND(70000&lt;Q290,Q290&lt;72501)),$F290,IF(OR(AND(25001&lt;Q290,Q290&lt;27501),AND(53500&lt;Q290,Q290&lt;57001),AND(72500&lt;Q290,Q290&lt;75001)),$G290,IF(OR(AND(27500&lt;Q290,Q290&lt;30001),AND(57000&lt;Q290,Q290&lt;60001),AND(75000&lt;Q290,Q290&lt;77500)),$H290,VLOOKUP(Q290,BDins,6,FALSE)))))</f>
        <v>15.36</v>
      </c>
      <c r="R292">
        <f>IF(R294&gt;10000,HLOOKUP(R294,$O290:Q293,4,FALSE),IF(OR(AND(22500&lt;R290,R290&lt;25001),AND(50000&lt;R290,R290&lt;53501),AND(70000&lt;R290,R290&lt;72501)),$F290,IF(OR(AND(25001&lt;R290,R290&lt;27501),AND(53500&lt;R290,R290&lt;57001),AND(72500&lt;R290,R290&lt;75001)),$G290,IF(OR(AND(27500&lt;R290,R290&lt;30001),AND(57000&lt;R290,R290&lt;60001),AND(75000&lt;R290,R290&lt;77500)),$H290,VLOOKUP(R290,BDins,6,FALSE)))))</f>
        <v>20.81</v>
      </c>
      <c r="S292">
        <f>IF(S294&gt;10000,HLOOKUP(S294,$O290:R293,4,FALSE),IF(OR(AND(22500&lt;S290,S290&lt;25001),AND(50000&lt;S290,S290&lt;53501),AND(70000&lt;S290,S290&lt;72501)),$F290,IF(OR(AND(25001&lt;S290,S290&lt;27501),AND(53500&lt;S290,S290&lt;57001),AND(72500&lt;S290,S290&lt;75001)),$G290,IF(OR(AND(27500&lt;S290,S290&lt;30001),AND(57000&lt;S290,S290&lt;60001),AND(75000&lt;S290,S290&lt;77500)),$H290,VLOOKUP(S290,BDins,6,FALSE)))))</f>
        <v>17.09</v>
      </c>
      <c r="T292">
        <f>IF(T294&gt;10000,HLOOKUP(T294,$O290:S293,4,FALSE),IF(OR(AND(22500&lt;T290,T290&lt;25001),AND(50000&lt;T290,T290&lt;53501),AND(70000&lt;T290,T290&lt;72501)),$F290,IF(OR(AND(25001&lt;T290,T290&lt;27501),AND(53500&lt;T290,T290&lt;57001),AND(72500&lt;T290,T290&lt;75001)),$G290,IF(OR(AND(27500&lt;T290,T290&lt;30001),AND(57000&lt;T290,T290&lt;60001),AND(75000&lt;T290,T290&lt;77500)),$H290,VLOOKUP(T290,BDins,6,FALSE)))))</f>
        <v>18.5</v>
      </c>
      <c r="U292">
        <f>IF(U294&gt;10000,HLOOKUP(U294,$O290:T293,4,FALSE),IF(OR(AND(22500&lt;U290,U290&lt;25001),AND(50000&lt;U290,U290&lt;53501),AND(70000&lt;U290,U290&lt;72501)),$F290,IF(OR(AND(25001&lt;U290,U290&lt;27501),AND(53500&lt;U290,U290&lt;57001),AND(72500&lt;U290,U290&lt;75001)),$G290,IF(OR(AND(27500&lt;U290,U290&lt;30001),AND(57000&lt;U290,U290&lt;60001),AND(75000&lt;U290,U290&lt;77500)),$H290,VLOOKUP(U290,BDins,6,FALSE)))))</f>
        <v>150</v>
      </c>
      <c r="V292">
        <f>IF(V294&gt;10000,HLOOKUP(V294,$O290:U293,4,FALSE),IF(OR(AND(22500&lt;V290,V290&lt;25001),AND(50000&lt;V290,V290&lt;53501),AND(70000&lt;V290,V290&lt;72501)),$F290,IF(OR(AND(25001&lt;V290,V290&lt;27501),AND(53500&lt;V290,V290&lt;57001),AND(72500&lt;V290,V290&lt;75001)),$G290,IF(OR(AND(27500&lt;V290,V290&lt;30001),AND(57000&lt;V290,V290&lt;60001),AND(75000&lt;V290,V290&lt;77500)),$H290,VLOOKUP(V290,BDins,6,FALSE)))))</f>
        <v>45</v>
      </c>
      <c r="W292">
        <f>IF(W294&gt;10000,HLOOKUP(W294,$O290:V293,4,FALSE),IF(OR(AND(22500&lt;W290,W290&lt;25001),AND(50000&lt;W290,W290&lt;53501),AND(70000&lt;W290,W290&lt;72501)),$F290,IF(OR(AND(25001&lt;W290,W290&lt;27501),AND(53500&lt;W290,W290&lt;57001),AND(72500&lt;W290,W290&lt;75001)),$G290,IF(OR(AND(27500&lt;W290,W290&lt;30001),AND(57000&lt;W290,W290&lt;60001),AND(75000&lt;W290,W290&lt;77500)),$H290,VLOOKUP(W290,BDins,6,FALSE)))))</f>
        <v>10.5</v>
      </c>
      <c r="X292">
        <f>IF(X294&gt;10000,HLOOKUP(X294,$O290:W293,4,FALSE),IF(OR(AND(22500&lt;X290,X290&lt;25001),AND(50000&lt;X290,X290&lt;53501),AND(70000&lt;X290,X290&lt;72501)),$F290,IF(OR(AND(25001&lt;X290,X290&lt;27501),AND(53500&lt;X290,X290&lt;57001),AND(72500&lt;X290,X290&lt;75001)),$G290,IF(OR(AND(27500&lt;X290,X290&lt;30001),AND(57000&lt;X290,X290&lt;60001),AND(75000&lt;X290,X290&lt;77500)),$H290,VLOOKUP(X290,BDins,6,FALSE)))))</f>
        <v>65</v>
      </c>
      <c r="Y292">
        <f>IF(Y294&gt;10000,HLOOKUP(Y294,$O290:X293,4,FALSE),IF(OR(AND(22500&lt;Y290,Y290&lt;25001),AND(50000&lt;Y290,Y290&lt;53501),AND(70000&lt;Y290,Y290&lt;72501)),$F290,IF(OR(AND(25001&lt;Y290,Y290&lt;27501),AND(53500&lt;Y290,Y290&lt;57001),AND(72500&lt;Y290,Y290&lt;75001)),$G290,IF(OR(AND(27500&lt;Y290,Y290&lt;30001),AND(57000&lt;Y290,Y290&lt;60001),AND(75000&lt;Y290,Y290&lt;77500)),$H290,VLOOKUP(Y290,BDins,6,FALSE)))))</f>
        <v>31.5</v>
      </c>
      <c r="Z292">
        <f>IF(Z294&gt;10000,HLOOKUP(Z294,$O290:Y293,4,FALSE),IF(OR(AND(22500&lt;Z290,Z290&lt;25001),AND(50000&lt;Z290,Z290&lt;53501),AND(70000&lt;Z290,Z290&lt;72501)),$F290,IF(OR(AND(25001&lt;Z290,Z290&lt;27501),AND(53500&lt;Z290,Z290&lt;57001),AND(72500&lt;Z290,Z290&lt;75001)),$G290,IF(OR(AND(27500&lt;Z290,Z290&lt;30001),AND(57000&lt;Z290,Z290&lt;60001),AND(75000&lt;Z290,Z290&lt;77500)),$H290,VLOOKUP(Z290,BDins,6,FALSE)))))</f>
        <v>8.74</v>
      </c>
      <c r="AA292">
        <f>IF(AA294&gt;10000,HLOOKUP(AA294,$O290:Z293,4,FALSE),IF(OR(AND(22500&lt;AA290,AA290&lt;25001),AND(50000&lt;AA290,AA290&lt;53501),AND(70000&lt;AA290,AA290&lt;72501)),$F290,IF(OR(AND(25001&lt;AA290,AA290&lt;27501),AND(53500&lt;AA290,AA290&lt;57001),AND(72500&lt;AA290,AA290&lt;75001)),$G290,IF(OR(AND(27500&lt;AA290,AA290&lt;30001),AND(57000&lt;AA290,AA290&lt;60001),AND(75000&lt;AA290,AA290&lt;77500)),$H290,VLOOKUP(AA290,BDins,6,FALSE)))))</f>
        <v>184.09</v>
      </c>
      <c r="AB292">
        <f>IF(AB294&gt;10000,HLOOKUP(AB294,$O290:AA293,4,FALSE),IF(OR(AND(22500&lt;AB290,AB290&lt;25001),AND(50000&lt;AB290,AB290&lt;53501),AND(70000&lt;AB290,AB290&lt;72501)),$F290,IF(OR(AND(25001&lt;AB290,AB290&lt;27501),AND(53500&lt;AB290,AB290&lt;57001),AND(72500&lt;AB290,AB290&lt;75001)),$G290,IF(OR(AND(27500&lt;AB290,AB290&lt;30001),AND(57000&lt;AB290,AB290&lt;60001),AND(75000&lt;AB290,AB290&lt;77500)),$H290,VLOOKUP(AB290,BDins,6,FALSE)))))</f>
        <v>5</v>
      </c>
    </row>
    <row r="293" spans="1:28" x14ac:dyDescent="0.2">
      <c r="O293">
        <f t="shared" ref="O293:AB293" si="35">IF($K290&gt;0,ROUND(O291*$E290/100,DpCU),IF(O294&gt;10000,ROUND(HLOOKUP(O294,$O290:$AB293,4,FALSE)/100*O291,DpCU),IF(OR(O290&lt;20001,O290&gt;95000,AND(60000&lt;O290,O290&lt;70001)),ROUND(ROUND(O291*JL/$C290,DcCU)*O292,DpCU),IF(OR(AND(20000&lt;O290,O290&lt;22501),AND(30000&lt;O290,O290&lt;50001),77500&lt;O290),ROUND(O292*O291,DpCU),IF(OR(AND(22500&lt;O290,O290&lt;25001),AND(50000&lt;O290,O290&lt;53501),AND(70000&lt;O290,O290&lt;72501)),ROUND($F290/100*O291,DpCU),IF(OR(AND(25000&lt;O290,O290&lt;27501),AND(53500&lt;O290,O290&lt;57001),AND(72500&lt;O290,O290&lt;75001)),ROUND($G290/100*O291,DpCU),ROUND($H290/100*O291,DpCU)))))))</f>
        <v>2.5</v>
      </c>
      <c r="P293">
        <f t="shared" si="35"/>
        <v>20.81</v>
      </c>
      <c r="Q293">
        <f t="shared" si="35"/>
        <v>122.88</v>
      </c>
      <c r="R293">
        <f t="shared" si="35"/>
        <v>20.81</v>
      </c>
      <c r="S293">
        <f t="shared" si="35"/>
        <v>17.09</v>
      </c>
      <c r="T293">
        <f t="shared" si="35"/>
        <v>157.25</v>
      </c>
      <c r="U293">
        <f t="shared" si="35"/>
        <v>31.5</v>
      </c>
      <c r="V293">
        <f t="shared" si="35"/>
        <v>22.05</v>
      </c>
      <c r="W293">
        <f t="shared" si="35"/>
        <v>2.63</v>
      </c>
      <c r="X293">
        <f t="shared" si="35"/>
        <v>55.25</v>
      </c>
      <c r="Y293">
        <f t="shared" si="35"/>
        <v>15.75</v>
      </c>
      <c r="Z293">
        <f t="shared" si="35"/>
        <v>4.37</v>
      </c>
      <c r="AA293">
        <f t="shared" si="35"/>
        <v>9.1999999999999993</v>
      </c>
      <c r="AB293">
        <f t="shared" si="35"/>
        <v>3.75</v>
      </c>
    </row>
    <row r="294" spans="1:28" x14ac:dyDescent="0.2">
      <c r="B294" s="3" t="str">
        <f>A290&amp;"r"</f>
        <v>10058r</v>
      </c>
    </row>
    <row r="295" spans="1:28" x14ac:dyDescent="0.2">
      <c r="A295">
        <v>10059</v>
      </c>
      <c r="B295" s="3" t="s">
        <v>446</v>
      </c>
      <c r="C295" s="1">
        <f>ROUND(J295*JL*Frto/8,4)</f>
        <v>15</v>
      </c>
      <c r="D295" t="s">
        <v>210</v>
      </c>
      <c r="E295">
        <f>SUM($O298:$Y298)</f>
        <v>38.419999999999995</v>
      </c>
      <c r="F295">
        <f>SUMIF($O295:$Y295,"&lt;22501",$O298:$Y298)</f>
        <v>23.14</v>
      </c>
      <c r="G295">
        <f>SUMIFS($O298:$Y298,$O295:$Y295,"&gt;30000",$O295:$Y295,"&lt;50001")</f>
        <v>1.74</v>
      </c>
      <c r="H295">
        <f>SUMIFS($O298:$Y298,$O295:$Y295,"&gt;60000",$O295:$Y295,"&lt;70001")</f>
        <v>0</v>
      </c>
      <c r="I295">
        <v>11</v>
      </c>
      <c r="J295">
        <v>15</v>
      </c>
      <c r="O295">
        <v>10001</v>
      </c>
      <c r="P295">
        <v>10002</v>
      </c>
      <c r="Q295">
        <v>10008</v>
      </c>
      <c r="R295">
        <v>30014</v>
      </c>
      <c r="S295">
        <v>30067</v>
      </c>
      <c r="T295">
        <v>30068</v>
      </c>
      <c r="U295">
        <v>30069</v>
      </c>
      <c r="V295">
        <v>30070</v>
      </c>
      <c r="W295">
        <v>70001</v>
      </c>
      <c r="X295">
        <v>80006</v>
      </c>
      <c r="Y295">
        <v>80007</v>
      </c>
    </row>
    <row r="296" spans="1:28" x14ac:dyDescent="0.2">
      <c r="B296" s="3" t="str">
        <f>A295&amp;"C"</f>
        <v>10059C</v>
      </c>
      <c r="O296">
        <v>0.22</v>
      </c>
      <c r="P296">
        <v>1</v>
      </c>
      <c r="Q296">
        <v>1</v>
      </c>
      <c r="R296">
        <v>0.02</v>
      </c>
      <c r="S296">
        <v>5.0000000000000001E-3</v>
      </c>
      <c r="T296">
        <v>8.9999999999999993E-3</v>
      </c>
      <c r="U296">
        <v>1E-3</v>
      </c>
      <c r="V296">
        <v>0.05</v>
      </c>
      <c r="W296">
        <v>5</v>
      </c>
      <c r="X296">
        <v>1.875</v>
      </c>
      <c r="Y296">
        <v>1.875</v>
      </c>
    </row>
    <row r="297" spans="1:28" x14ac:dyDescent="0.2">
      <c r="O297">
        <f>IF(O299&gt;10000,HLOOKUP(O299,N295:$O298,4,FALSE),IF(OR(AND(22500&lt;O295,O295&lt;25001),AND(50000&lt;O295,O295&lt;53501),AND(70000&lt;O295,O295&lt;72501)),$F295,IF(OR(AND(25001&lt;O295,O295&lt;27501),AND(53500&lt;O295,O295&lt;57001),AND(72500&lt;O295,O295&lt;75001)),$G295,IF(OR(AND(27500&lt;O295,O295&lt;30001),AND(57000&lt;O295,O295&lt;60001),AND(75000&lt;O295,O295&lt;77500)),$H295,VLOOKUP(O295,BDins,6,FALSE)))))</f>
        <v>24.97</v>
      </c>
      <c r="P297">
        <f>IF(P299&gt;10000,HLOOKUP(P299,O295:$O298,4,FALSE),IF(OR(AND(22500&lt;P295,P295&lt;25001),AND(50000&lt;P295,P295&lt;53501),AND(70000&lt;P295,P295&lt;72501)),$F295,IF(OR(AND(25001&lt;P295,P295&lt;27501),AND(53500&lt;P295,P295&lt;57001),AND(72500&lt;P295,P295&lt;75001)),$G295,IF(OR(AND(27500&lt;P295,P295&lt;30001),AND(57000&lt;P295,P295&lt;60001),AND(75000&lt;P295,P295&lt;77500)),$H295,VLOOKUP(P295,BDins,6,FALSE)))))</f>
        <v>20.81</v>
      </c>
      <c r="Q297">
        <f>IF(Q299&gt;10000,HLOOKUP(Q299,$O295:P298,4,FALSE),IF(OR(AND(22500&lt;Q295,Q295&lt;25001),AND(50000&lt;Q295,Q295&lt;53501),AND(70000&lt;Q295,Q295&lt;72501)),$F295,IF(OR(AND(25001&lt;Q295,Q295&lt;27501),AND(53500&lt;Q295,Q295&lt;57001),AND(72500&lt;Q295,Q295&lt;75001)),$G295,IF(OR(AND(27500&lt;Q295,Q295&lt;30001),AND(57000&lt;Q295,Q295&lt;60001),AND(75000&lt;Q295,Q295&lt;77500)),$H295,VLOOKUP(Q295,BDins,6,FALSE)))))</f>
        <v>17.09</v>
      </c>
      <c r="R297">
        <f>IF(R299&gt;10000,HLOOKUP(R299,$O295:Q298,4,FALSE),IF(OR(AND(22500&lt;R295,R295&lt;25001),AND(50000&lt;R295,R295&lt;53501),AND(70000&lt;R295,R295&lt;72501)),$F295,IF(OR(AND(25001&lt;R295,R295&lt;27501),AND(53500&lt;R295,R295&lt;57001),AND(72500&lt;R295,R295&lt;75001)),$G295,IF(OR(AND(27500&lt;R295,R295&lt;30001),AND(57000&lt;R295,R295&lt;60001),AND(75000&lt;R295,R295&lt;77500)),$H295,VLOOKUP(R295,BDins,6,FALSE)))))</f>
        <v>12</v>
      </c>
      <c r="S297">
        <f>IF(S299&gt;10000,HLOOKUP(S299,$O295:R298,4,FALSE),IF(OR(AND(22500&lt;S295,S295&lt;25001),AND(50000&lt;S295,S295&lt;53501),AND(70000&lt;S295,S295&lt;72501)),$F295,IF(OR(AND(25001&lt;S295,S295&lt;27501),AND(53500&lt;S295,S295&lt;57001),AND(72500&lt;S295,S295&lt;75001)),$G295,IF(OR(AND(27500&lt;S295,S295&lt;30001),AND(57000&lt;S295,S295&lt;60001),AND(75000&lt;S295,S295&lt;77500)),$H295,VLOOKUP(S295,BDins,6,FALSE)))))</f>
        <v>1</v>
      </c>
      <c r="T297">
        <f>IF(T299&gt;10000,HLOOKUP(T299,$O295:S298,4,FALSE),IF(OR(AND(22500&lt;T295,T295&lt;25001),AND(50000&lt;T295,T295&lt;53501),AND(70000&lt;T295,T295&lt;72501)),$F295,IF(OR(AND(25001&lt;T295,T295&lt;27501),AND(53500&lt;T295,T295&lt;57001),AND(72500&lt;T295,T295&lt;75001)),$G295,IF(OR(AND(27500&lt;T295,T295&lt;30001),AND(57000&lt;T295,T295&lt;60001),AND(75000&lt;T295,T295&lt;77500)),$H295,VLOOKUP(T295,BDins,6,FALSE)))))</f>
        <v>44.45</v>
      </c>
      <c r="U297">
        <f>IF(U299&gt;10000,HLOOKUP(U299,$O295:T298,4,FALSE),IF(OR(AND(22500&lt;U295,U295&lt;25001),AND(50000&lt;U295,U295&lt;53501),AND(70000&lt;U295,U295&lt;72501)),$F295,IF(OR(AND(25001&lt;U295,U295&lt;27501),AND(53500&lt;U295,U295&lt;57001),AND(72500&lt;U295,U295&lt;75001)),$G295,IF(OR(AND(27500&lt;U295,U295&lt;30001),AND(57000&lt;U295,U295&lt;60001),AND(75000&lt;U295,U295&lt;77500)),$H295,VLOOKUP(U295,BDins,6,FALSE)))))</f>
        <v>93.6</v>
      </c>
      <c r="V297">
        <f>IF(V299&gt;10000,HLOOKUP(V299,$O295:U298,4,FALSE),IF(OR(AND(22500&lt;V295,V295&lt;25001),AND(50000&lt;V295,V295&lt;53501),AND(70000&lt;V295,V295&lt;72501)),$F295,IF(OR(AND(25001&lt;V295,V295&lt;27501),AND(53500&lt;V295,V295&lt;57001),AND(72500&lt;V295,V295&lt;75001)),$G295,IF(OR(AND(27500&lt;V295,V295&lt;30001),AND(57000&lt;V295,V295&lt;60001),AND(75000&lt;V295,V295&lt;77500)),$H295,VLOOKUP(V295,BDins,6,FALSE)))))</f>
        <v>20</v>
      </c>
      <c r="W297">
        <f>IF(W299&gt;10000,HLOOKUP(W299,$O295:V298,4,FALSE),IF(OR(AND(22500&lt;W295,W295&lt;25001),AND(50000&lt;W295,W295&lt;53501),AND(70000&lt;W295,W295&lt;72501)),$F295,IF(OR(AND(25001&lt;W295,W295&lt;27501),AND(53500&lt;W295,W295&lt;57001),AND(72500&lt;W295,W295&lt;75001)),$G295,IF(OR(AND(27500&lt;W295,W295&lt;30001),AND(57000&lt;W295,W295&lt;60001),AND(75000&lt;W295,W295&lt;77500)),$H295,VLOOKUP(W295,BDins,6,FALSE)))))</f>
        <v>23.14</v>
      </c>
      <c r="X297">
        <f>IF(X299&gt;10000,HLOOKUP(X299,$O295:W298,4,FALSE),IF(OR(AND(22500&lt;X295,X295&lt;25001),AND(50000&lt;X295,X295&lt;53501),AND(70000&lt;X295,X295&lt;72501)),$F295,IF(OR(AND(25001&lt;X295,X295&lt;27501),AND(53500&lt;X295,X295&lt;57001),AND(72500&lt;X295,X295&lt;75001)),$G295,IF(OR(AND(27500&lt;X295,X295&lt;30001),AND(57000&lt;X295,X295&lt;60001),AND(75000&lt;X295,X295&lt;77500)),$H295,VLOOKUP(X295,BDins,6,FALSE)))))</f>
        <v>4.0999999999999996</v>
      </c>
      <c r="Y297">
        <f>IF(Y299&gt;10000,HLOOKUP(Y299,$O295:X298,4,FALSE),IF(OR(AND(22500&lt;Y295,Y295&lt;25001),AND(50000&lt;Y295,Y295&lt;53501),AND(70000&lt;Y295,Y295&lt;72501)),$F295,IF(OR(AND(25001&lt;Y295,Y295&lt;27501),AND(53500&lt;Y295,Y295&lt;57001),AND(72500&lt;Y295,Y295&lt;75001)),$G295,IF(OR(AND(27500&lt;Y295,Y295&lt;30001),AND(57000&lt;Y295,Y295&lt;60001),AND(75000&lt;Y295,Y295&lt;77500)),$H295,VLOOKUP(Y295,BDins,6,FALSE)))))</f>
        <v>2.5</v>
      </c>
    </row>
    <row r="298" spans="1:28" x14ac:dyDescent="0.2">
      <c r="O298">
        <f t="shared" ref="O298:Y298" si="36">IF($K295&gt;0,ROUND(O296*$E295/100,DpCU),IF(O299&gt;10000,ROUND(HLOOKUP(O299,$O295:$Y298,4,FALSE)/100*O296,DpCU),IF(OR(O295&lt;20001,O295&gt;95000,AND(60000&lt;O295,O295&lt;70001)),ROUND(ROUND(O296*JL/$C295,DcCU)*O297,DpCU),IF(OR(AND(20000&lt;O295,O295&lt;22501),AND(30000&lt;O295,O295&lt;50001),77500&lt;O295),ROUND(O297*O296,DpCU),IF(OR(AND(22500&lt;O295,O295&lt;25001),AND(50000&lt;O295,O295&lt;53501),AND(70000&lt;O295,O295&lt;72501)),ROUND($F295/100*O296,DpCU),IF(OR(AND(25000&lt;O295,O295&lt;27501),AND(53500&lt;O295,O295&lt;57001),AND(72500&lt;O295,O295&lt;75001)),ROUND($G295/100*O296,DpCU),ROUND($H295/100*O296,DpCU)))))))</f>
        <v>2.93</v>
      </c>
      <c r="P298">
        <f t="shared" si="36"/>
        <v>11.1</v>
      </c>
      <c r="Q298">
        <f t="shared" si="36"/>
        <v>9.11</v>
      </c>
      <c r="R298">
        <f t="shared" si="36"/>
        <v>0.24</v>
      </c>
      <c r="S298">
        <f t="shared" si="36"/>
        <v>0.01</v>
      </c>
      <c r="T298">
        <f t="shared" si="36"/>
        <v>0.4</v>
      </c>
      <c r="U298">
        <f t="shared" si="36"/>
        <v>0.09</v>
      </c>
      <c r="V298">
        <f t="shared" si="36"/>
        <v>1</v>
      </c>
      <c r="W298">
        <f t="shared" si="36"/>
        <v>1.1599999999999999</v>
      </c>
      <c r="X298">
        <f t="shared" si="36"/>
        <v>7.69</v>
      </c>
      <c r="Y298">
        <f t="shared" si="36"/>
        <v>4.6900000000000004</v>
      </c>
    </row>
    <row r="299" spans="1:28" x14ac:dyDescent="0.2">
      <c r="B299" s="3" t="str">
        <f>A295&amp;"r"</f>
        <v>10059r</v>
      </c>
    </row>
    <row r="300" spans="1:28" x14ac:dyDescent="0.2">
      <c r="A300">
        <v>10060</v>
      </c>
      <c r="B300" s="3" t="s">
        <v>454</v>
      </c>
      <c r="C300" s="1">
        <f>ROUND(J300*JL*Frto/8,4)</f>
        <v>16.5</v>
      </c>
      <c r="D300" t="s">
        <v>210</v>
      </c>
      <c r="E300">
        <f>SUM($O303:$X303)</f>
        <v>33.409999999999997</v>
      </c>
      <c r="F300">
        <f>SUMIF($O300:$X300,"&lt;22501",$O303:$X303)</f>
        <v>21.04</v>
      </c>
      <c r="G300">
        <f>SUMIFS($O303:$X303,$O300:$X300,"&gt;30000",$O300:$X300,"&lt;50001")</f>
        <v>2.8600000000000003</v>
      </c>
      <c r="H300">
        <f>SUMIFS($O303:$X303,$O300:$X300,"&gt;60000",$O300:$X300,"&lt;70001")</f>
        <v>0</v>
      </c>
      <c r="I300">
        <v>10</v>
      </c>
      <c r="J300">
        <v>16.5</v>
      </c>
      <c r="O300">
        <v>10001</v>
      </c>
      <c r="P300">
        <v>10002</v>
      </c>
      <c r="Q300">
        <v>10008</v>
      </c>
      <c r="R300">
        <v>30014</v>
      </c>
      <c r="S300">
        <v>30067</v>
      </c>
      <c r="T300">
        <v>30068</v>
      </c>
      <c r="U300">
        <v>30069</v>
      </c>
      <c r="V300">
        <v>30070</v>
      </c>
      <c r="W300">
        <v>70001</v>
      </c>
      <c r="X300">
        <v>80006</v>
      </c>
    </row>
    <row r="301" spans="1:28" x14ac:dyDescent="0.2">
      <c r="B301" s="3" t="str">
        <f>A300&amp;"C"</f>
        <v>10060C</v>
      </c>
      <c r="O301">
        <v>0.22</v>
      </c>
      <c r="P301">
        <v>1</v>
      </c>
      <c r="Q301">
        <v>1</v>
      </c>
      <c r="R301">
        <v>0.02</v>
      </c>
      <c r="S301">
        <v>0.75</v>
      </c>
      <c r="T301">
        <v>8.9999999999999993E-3</v>
      </c>
      <c r="U301">
        <v>5.0000000000000001E-3</v>
      </c>
      <c r="V301">
        <v>0.05</v>
      </c>
      <c r="W301">
        <v>5</v>
      </c>
      <c r="X301">
        <v>2.0625</v>
      </c>
    </row>
    <row r="302" spans="1:28" x14ac:dyDescent="0.2">
      <c r="O302">
        <f>IF(O304&gt;10000,HLOOKUP(O304,N300:$O303,4,FALSE),IF(OR(AND(22500&lt;O300,O300&lt;25001),AND(50000&lt;O300,O300&lt;53501),AND(70000&lt;O300,O300&lt;72501)),$F300,IF(OR(AND(25001&lt;O300,O300&lt;27501),AND(53500&lt;O300,O300&lt;57001),AND(72500&lt;O300,O300&lt;75001)),$G300,IF(OR(AND(27500&lt;O300,O300&lt;30001),AND(57000&lt;O300,O300&lt;60001),AND(75000&lt;O300,O300&lt;77500)),$H300,VLOOKUP(O300,BDins,6,FALSE)))))</f>
        <v>24.97</v>
      </c>
      <c r="P302">
        <f>IF(P304&gt;10000,HLOOKUP(P304,O300:$O303,4,FALSE),IF(OR(AND(22500&lt;P300,P300&lt;25001),AND(50000&lt;P300,P300&lt;53501),AND(70000&lt;P300,P300&lt;72501)),$F300,IF(OR(AND(25001&lt;P300,P300&lt;27501),AND(53500&lt;P300,P300&lt;57001),AND(72500&lt;P300,P300&lt;75001)),$G300,IF(OR(AND(27500&lt;P300,P300&lt;30001),AND(57000&lt;P300,P300&lt;60001),AND(75000&lt;P300,P300&lt;77500)),$H300,VLOOKUP(P300,BDins,6,FALSE)))))</f>
        <v>20.81</v>
      </c>
      <c r="Q302">
        <f>IF(Q304&gt;10000,HLOOKUP(Q304,$O300:P303,4,FALSE),IF(OR(AND(22500&lt;Q300,Q300&lt;25001),AND(50000&lt;Q300,Q300&lt;53501),AND(70000&lt;Q300,Q300&lt;72501)),$F300,IF(OR(AND(25001&lt;Q300,Q300&lt;27501),AND(53500&lt;Q300,Q300&lt;57001),AND(72500&lt;Q300,Q300&lt;75001)),$G300,IF(OR(AND(27500&lt;Q300,Q300&lt;30001),AND(57000&lt;Q300,Q300&lt;60001),AND(75000&lt;Q300,Q300&lt;77500)),$H300,VLOOKUP(Q300,BDins,6,FALSE)))))</f>
        <v>17.09</v>
      </c>
      <c r="R302">
        <f>IF(R304&gt;10000,HLOOKUP(R304,$O300:Q303,4,FALSE),IF(OR(AND(22500&lt;R300,R300&lt;25001),AND(50000&lt;R300,R300&lt;53501),AND(70000&lt;R300,R300&lt;72501)),$F300,IF(OR(AND(25001&lt;R300,R300&lt;27501),AND(53500&lt;R300,R300&lt;57001),AND(72500&lt;R300,R300&lt;75001)),$G300,IF(OR(AND(27500&lt;R300,R300&lt;30001),AND(57000&lt;R300,R300&lt;60001),AND(75000&lt;R300,R300&lt;77500)),$H300,VLOOKUP(R300,BDins,6,FALSE)))))</f>
        <v>12</v>
      </c>
      <c r="S302">
        <f>IF(S304&gt;10000,HLOOKUP(S304,$O300:R303,4,FALSE),IF(OR(AND(22500&lt;S300,S300&lt;25001),AND(50000&lt;S300,S300&lt;53501),AND(70000&lt;S300,S300&lt;72501)),$F300,IF(OR(AND(25001&lt;S300,S300&lt;27501),AND(53500&lt;S300,S300&lt;57001),AND(72500&lt;S300,S300&lt;75001)),$G300,IF(OR(AND(27500&lt;S300,S300&lt;30001),AND(57000&lt;S300,S300&lt;60001),AND(75000&lt;S300,S300&lt;77500)),$H300,VLOOKUP(S300,BDins,6,FALSE)))))</f>
        <v>1</v>
      </c>
      <c r="T302">
        <f>IF(T304&gt;10000,HLOOKUP(T304,$O300:S303,4,FALSE),IF(OR(AND(22500&lt;T300,T300&lt;25001),AND(50000&lt;T300,T300&lt;53501),AND(70000&lt;T300,T300&lt;72501)),$F300,IF(OR(AND(25001&lt;T300,T300&lt;27501),AND(53500&lt;T300,T300&lt;57001),AND(72500&lt;T300,T300&lt;75001)),$G300,IF(OR(AND(27500&lt;T300,T300&lt;30001),AND(57000&lt;T300,T300&lt;60001),AND(75000&lt;T300,T300&lt;77500)),$H300,VLOOKUP(T300,BDins,6,FALSE)))))</f>
        <v>44.45</v>
      </c>
      <c r="U302">
        <f>IF(U304&gt;10000,HLOOKUP(U304,$O300:T303,4,FALSE),IF(OR(AND(22500&lt;U300,U300&lt;25001),AND(50000&lt;U300,U300&lt;53501),AND(70000&lt;U300,U300&lt;72501)),$F300,IF(OR(AND(25001&lt;U300,U300&lt;27501),AND(53500&lt;U300,U300&lt;57001),AND(72500&lt;U300,U300&lt;75001)),$G300,IF(OR(AND(27500&lt;U300,U300&lt;30001),AND(57000&lt;U300,U300&lt;60001),AND(75000&lt;U300,U300&lt;77500)),$H300,VLOOKUP(U300,BDins,6,FALSE)))))</f>
        <v>93.6</v>
      </c>
      <c r="V302">
        <f>IF(V304&gt;10000,HLOOKUP(V304,$O300:U303,4,FALSE),IF(OR(AND(22500&lt;V300,V300&lt;25001),AND(50000&lt;V300,V300&lt;53501),AND(70000&lt;V300,V300&lt;72501)),$F300,IF(OR(AND(25001&lt;V300,V300&lt;27501),AND(53500&lt;V300,V300&lt;57001),AND(72500&lt;V300,V300&lt;75001)),$G300,IF(OR(AND(27500&lt;V300,V300&lt;30001),AND(57000&lt;V300,V300&lt;60001),AND(75000&lt;V300,V300&lt;77500)),$H300,VLOOKUP(V300,BDins,6,FALSE)))))</f>
        <v>20</v>
      </c>
      <c r="W302">
        <f>IF(W304&gt;10000,HLOOKUP(W304,$O300:V303,4,FALSE),IF(OR(AND(22500&lt;W300,W300&lt;25001),AND(50000&lt;W300,W300&lt;53501),AND(70000&lt;W300,W300&lt;72501)),$F300,IF(OR(AND(25001&lt;W300,W300&lt;27501),AND(53500&lt;W300,W300&lt;57001),AND(72500&lt;W300,W300&lt;75001)),$G300,IF(OR(AND(27500&lt;W300,W300&lt;30001),AND(57000&lt;W300,W300&lt;60001),AND(75000&lt;W300,W300&lt;77500)),$H300,VLOOKUP(W300,BDins,6,FALSE)))))</f>
        <v>21.04</v>
      </c>
      <c r="X302">
        <f>IF(X304&gt;10000,HLOOKUP(X304,$O300:W303,4,FALSE),IF(OR(AND(22500&lt;X300,X300&lt;25001),AND(50000&lt;X300,X300&lt;53501),AND(70000&lt;X300,X300&lt;72501)),$F300,IF(OR(AND(25001&lt;X300,X300&lt;27501),AND(53500&lt;X300,X300&lt;57001),AND(72500&lt;X300,X300&lt;75001)),$G300,IF(OR(AND(27500&lt;X300,X300&lt;30001),AND(57000&lt;X300,X300&lt;60001),AND(75000&lt;X300,X300&lt;77500)),$H300,VLOOKUP(X300,BDins,6,FALSE)))))</f>
        <v>4.0999999999999996</v>
      </c>
    </row>
    <row r="303" spans="1:28" x14ac:dyDescent="0.2">
      <c r="O303">
        <f t="shared" ref="O303:X303" si="37">IF($K300&gt;0,ROUND(O301*$E300/100,DpCU),IF(O304&gt;10000,ROUND(HLOOKUP(O304,$O300:$X303,4,FALSE)/100*O301,DpCU),IF(OR(O300&lt;20001,O300&gt;95000,AND(60000&lt;O300,O300&lt;70001)),ROUND(ROUND(O301*JL/$C300,DcCU)*O302,DpCU),IF(OR(AND(20000&lt;O300,O300&lt;22501),AND(30000&lt;O300,O300&lt;50001),77500&lt;O300),ROUND(O302*O301,DpCU),IF(OR(AND(22500&lt;O300,O300&lt;25001),AND(50000&lt;O300,O300&lt;53501),AND(70000&lt;O300,O300&lt;72501)),ROUND($F300/100*O301,DpCU),IF(OR(AND(25000&lt;O300,O300&lt;27501),AND(53500&lt;O300,O300&lt;57001),AND(72500&lt;O300,O300&lt;75001)),ROUND($G300/100*O301,DpCU),ROUND($H300/100*O301,DpCU)))))))</f>
        <v>2.66</v>
      </c>
      <c r="P303">
        <f t="shared" si="37"/>
        <v>10.09</v>
      </c>
      <c r="Q303">
        <f t="shared" si="37"/>
        <v>8.2899999999999991</v>
      </c>
      <c r="R303">
        <f t="shared" si="37"/>
        <v>0.24</v>
      </c>
      <c r="S303">
        <f t="shared" si="37"/>
        <v>0.75</v>
      </c>
      <c r="T303">
        <f t="shared" si="37"/>
        <v>0.4</v>
      </c>
      <c r="U303">
        <f t="shared" si="37"/>
        <v>0.47</v>
      </c>
      <c r="V303">
        <f t="shared" si="37"/>
        <v>1</v>
      </c>
      <c r="W303">
        <f t="shared" si="37"/>
        <v>1.05</v>
      </c>
      <c r="X303">
        <f t="shared" si="37"/>
        <v>8.4600000000000009</v>
      </c>
    </row>
    <row r="304" spans="1:28" x14ac:dyDescent="0.2">
      <c r="B304" s="3" t="str">
        <f>A300&amp;"r"</f>
        <v>10060r</v>
      </c>
    </row>
    <row r="305" spans="1:28" x14ac:dyDescent="0.2">
      <c r="A305">
        <v>10061</v>
      </c>
      <c r="B305" s="3" t="s">
        <v>456</v>
      </c>
      <c r="C305" s="1">
        <f>ROUND(J305*JL*Frto/8,4)</f>
        <v>240</v>
      </c>
      <c r="D305" t="s">
        <v>33</v>
      </c>
      <c r="E305">
        <f>SUM($O308:$U308)</f>
        <v>9.42</v>
      </c>
      <c r="F305">
        <f>SUMIF($O305:$U305,"&lt;22501",$O308:$U308)</f>
        <v>1.3399999999999999</v>
      </c>
      <c r="G305">
        <f>SUMIFS($O308:$U308,$O305:$U305,"&gt;30000",$O305:$U305,"&lt;50001")</f>
        <v>2.76</v>
      </c>
      <c r="H305">
        <f>SUMIFS($O308:$U308,$O305:$U305,"&gt;60000",$O305:$U305,"&lt;70001")</f>
        <v>0</v>
      </c>
      <c r="I305">
        <v>7</v>
      </c>
      <c r="J305">
        <v>240</v>
      </c>
      <c r="O305">
        <v>10001</v>
      </c>
      <c r="P305">
        <v>10002</v>
      </c>
      <c r="Q305">
        <v>10008</v>
      </c>
      <c r="R305">
        <v>30063</v>
      </c>
      <c r="S305">
        <v>30064</v>
      </c>
      <c r="T305">
        <v>70001</v>
      </c>
      <c r="U305">
        <v>77507</v>
      </c>
    </row>
    <row r="306" spans="1:28" x14ac:dyDescent="0.2">
      <c r="B306" s="3" t="str">
        <f>A305&amp;"C"</f>
        <v>10061C</v>
      </c>
      <c r="O306">
        <v>0.1</v>
      </c>
      <c r="P306">
        <v>1</v>
      </c>
      <c r="Q306">
        <v>1</v>
      </c>
      <c r="R306">
        <v>0.06</v>
      </c>
      <c r="S306">
        <v>1.07</v>
      </c>
      <c r="T306">
        <v>5</v>
      </c>
      <c r="U306">
        <v>1.4999999999999999E-2</v>
      </c>
    </row>
    <row r="307" spans="1:28" x14ac:dyDescent="0.2">
      <c r="O307">
        <f>IF(O309&gt;10000,HLOOKUP(O309,N305:$O308,4,FALSE),IF(OR(AND(22500&lt;O305,O305&lt;25001),AND(50000&lt;O305,O305&lt;53501),AND(70000&lt;O305,O305&lt;72501)),$F305,IF(OR(AND(25001&lt;O305,O305&lt;27501),AND(53500&lt;O305,O305&lt;57001),AND(72500&lt;O305,O305&lt;75001)),$G305,IF(OR(AND(27500&lt;O305,O305&lt;30001),AND(57000&lt;O305,O305&lt;60001),AND(75000&lt;O305,O305&lt;77500)),$H305,VLOOKUP(O305,BDins,6,FALSE)))))</f>
        <v>24.97</v>
      </c>
      <c r="P307">
        <f>IF(P309&gt;10000,HLOOKUP(P309,O305:$O308,4,FALSE),IF(OR(AND(22500&lt;P305,P305&lt;25001),AND(50000&lt;P305,P305&lt;53501),AND(70000&lt;P305,P305&lt;72501)),$F305,IF(OR(AND(25001&lt;P305,P305&lt;27501),AND(53500&lt;P305,P305&lt;57001),AND(72500&lt;P305,P305&lt;75001)),$G305,IF(OR(AND(27500&lt;P305,P305&lt;30001),AND(57000&lt;P305,P305&lt;60001),AND(75000&lt;P305,P305&lt;77500)),$H305,VLOOKUP(P305,BDins,6,FALSE)))))</f>
        <v>20.81</v>
      </c>
      <c r="Q307">
        <f>IF(Q309&gt;10000,HLOOKUP(Q309,$O305:P308,4,FALSE),IF(OR(AND(22500&lt;Q305,Q305&lt;25001),AND(50000&lt;Q305,Q305&lt;53501),AND(70000&lt;Q305,Q305&lt;72501)),$F305,IF(OR(AND(25001&lt;Q305,Q305&lt;27501),AND(53500&lt;Q305,Q305&lt;57001),AND(72500&lt;Q305,Q305&lt;75001)),$G305,IF(OR(AND(27500&lt;Q305,Q305&lt;30001),AND(57000&lt;Q305,Q305&lt;60001),AND(75000&lt;Q305,Q305&lt;77500)),$H305,VLOOKUP(Q305,BDins,6,FALSE)))))</f>
        <v>17.09</v>
      </c>
      <c r="R307">
        <f>IF(R309&gt;10000,HLOOKUP(R309,$O305:Q308,4,FALSE),IF(OR(AND(22500&lt;R305,R305&lt;25001),AND(50000&lt;R305,R305&lt;53501),AND(70000&lt;R305,R305&lt;72501)),$F305,IF(OR(AND(25001&lt;R305,R305&lt;27501),AND(53500&lt;R305,R305&lt;57001),AND(72500&lt;R305,R305&lt;75001)),$G305,IF(OR(AND(27500&lt;R305,R305&lt;30001),AND(57000&lt;R305,R305&lt;60001),AND(75000&lt;R305,R305&lt;77500)),$H305,VLOOKUP(R305,BDins,6,FALSE)))))</f>
        <v>3.5</v>
      </c>
      <c r="S307">
        <f>IF(S309&gt;10000,HLOOKUP(S309,$O305:R308,4,FALSE),IF(OR(AND(22500&lt;S305,S305&lt;25001),AND(50000&lt;S305,S305&lt;53501),AND(70000&lt;S305,S305&lt;72501)),$F305,IF(OR(AND(25001&lt;S305,S305&lt;27501),AND(53500&lt;S305,S305&lt;57001),AND(72500&lt;S305,S305&lt;75001)),$G305,IF(OR(AND(27500&lt;S305,S305&lt;30001),AND(57000&lt;S305,S305&lt;60001),AND(75000&lt;S305,S305&lt;77500)),$H305,VLOOKUP(S305,BDins,6,FALSE)))))</f>
        <v>2.38</v>
      </c>
      <c r="T307">
        <f>IF(T309&gt;10000,HLOOKUP(T309,$O305:S308,4,FALSE),IF(OR(AND(22500&lt;T305,T305&lt;25001),AND(50000&lt;T305,T305&lt;53501),AND(70000&lt;T305,T305&lt;72501)),$F305,IF(OR(AND(25001&lt;T305,T305&lt;27501),AND(53500&lt;T305,T305&lt;57001),AND(72500&lt;T305,T305&lt;75001)),$G305,IF(OR(AND(27500&lt;T305,T305&lt;30001),AND(57000&lt;T305,T305&lt;60001),AND(75000&lt;T305,T305&lt;77500)),$H305,VLOOKUP(T305,BDins,6,FALSE)))))</f>
        <v>1.3399999999999999</v>
      </c>
      <c r="U307">
        <f>IF(U309&gt;10000,HLOOKUP(U309,$O305:T308,4,FALSE),IF(OR(AND(22500&lt;U305,U305&lt;25001),AND(50000&lt;U305,U305&lt;53501),AND(70000&lt;U305,U305&lt;72501)),$F305,IF(OR(AND(25001&lt;U305,U305&lt;27501),AND(53500&lt;U305,U305&lt;57001),AND(72500&lt;U305,U305&lt;75001)),$G305,IF(OR(AND(27500&lt;U305,U305&lt;30001),AND(57000&lt;U305,U305&lt;60001),AND(75000&lt;U305,U305&lt;77500)),$H305,VLOOKUP(U305,BDins,6,FALSE)))))</f>
        <v>350</v>
      </c>
    </row>
    <row r="308" spans="1:28" x14ac:dyDescent="0.2">
      <c r="O308">
        <f t="shared" ref="O308:U308" si="38">IF($K305&gt;0,ROUND(O306*$E305/100,DpCU),IF(O309&gt;10000,ROUND(HLOOKUP(O309,$O305:$U308,4,FALSE)/100*O306,DpCU),IF(OR(O305&lt;20001,O305&gt;95000,AND(60000&lt;O305,O305&lt;70001)),ROUND(ROUND(O306*JL/$C305,DcCU)*O307,DpCU),IF(OR(AND(20000&lt;O305,O305&lt;22501),AND(30000&lt;O305,O305&lt;50001),77500&lt;O305),ROUND(O307*O306,DpCU),IF(OR(AND(22500&lt;O305,O305&lt;25001),AND(50000&lt;O305,O305&lt;53501),AND(70000&lt;O305,O305&lt;72501)),ROUND($F305/100*O306,DpCU),IF(OR(AND(25000&lt;O305,O305&lt;27501),AND(53500&lt;O305,O305&lt;57001),AND(72500&lt;O305,O305&lt;75001)),ROUND($G305/100*O306,DpCU),ROUND($H305/100*O306,DpCU)))))))</f>
        <v>0.08</v>
      </c>
      <c r="P308">
        <f t="shared" si="38"/>
        <v>0.69</v>
      </c>
      <c r="Q308">
        <f t="shared" si="38"/>
        <v>0.56999999999999995</v>
      </c>
      <c r="R308">
        <f t="shared" si="38"/>
        <v>0.21</v>
      </c>
      <c r="S308">
        <f t="shared" si="38"/>
        <v>2.5499999999999998</v>
      </c>
      <c r="T308">
        <f t="shared" si="38"/>
        <v>7.0000000000000007E-2</v>
      </c>
      <c r="U308">
        <f t="shared" si="38"/>
        <v>5.25</v>
      </c>
    </row>
    <row r="309" spans="1:28" x14ac:dyDescent="0.2">
      <c r="B309" s="3" t="str">
        <f>A305&amp;"r"</f>
        <v>10061r</v>
      </c>
    </row>
    <row r="310" spans="1:28" x14ac:dyDescent="0.2">
      <c r="A310">
        <v>10062</v>
      </c>
      <c r="B310" s="3" t="s">
        <v>460</v>
      </c>
      <c r="C310" s="1">
        <f>ROUND(J310*JL*Frto/8,4)</f>
        <v>20</v>
      </c>
      <c r="D310" t="s">
        <v>34</v>
      </c>
      <c r="E310">
        <f>SUM($O313:$AB313)</f>
        <v>357.79</v>
      </c>
      <c r="F310">
        <f>SUMIF($O310:$AB310,"&lt;22501",$O313:$AB313)</f>
        <v>73.63</v>
      </c>
      <c r="G310">
        <f>SUMIFS($O313:$AB313,$O310:$AB310,"&gt;30000",$O310:$AB310,"&lt;50001")</f>
        <v>268.68</v>
      </c>
      <c r="H310">
        <f>SUMIFS($O313:$AB313,$O310:$AB310,"&gt;60000",$O310:$AB310,"&lt;70001")</f>
        <v>8.0500000000000007</v>
      </c>
      <c r="I310">
        <v>14</v>
      </c>
      <c r="J310">
        <v>20</v>
      </c>
      <c r="O310">
        <v>10001</v>
      </c>
      <c r="P310">
        <v>10002</v>
      </c>
      <c r="Q310">
        <v>10003</v>
      </c>
      <c r="R310">
        <v>10007</v>
      </c>
      <c r="S310">
        <v>10008</v>
      </c>
      <c r="T310">
        <v>30002</v>
      </c>
      <c r="U310">
        <v>30023</v>
      </c>
      <c r="V310">
        <v>30056</v>
      </c>
      <c r="W310">
        <v>30062</v>
      </c>
      <c r="X310">
        <v>30065</v>
      </c>
      <c r="Y310">
        <v>60010</v>
      </c>
      <c r="Z310">
        <v>60013</v>
      </c>
      <c r="AA310">
        <v>70001</v>
      </c>
      <c r="AB310">
        <v>77508</v>
      </c>
    </row>
    <row r="311" spans="1:28" x14ac:dyDescent="0.2">
      <c r="B311" s="3" t="str">
        <f>A310&amp;"C"</f>
        <v>10062C</v>
      </c>
      <c r="O311">
        <v>0.1</v>
      </c>
      <c r="P311">
        <v>1</v>
      </c>
      <c r="Q311">
        <v>8</v>
      </c>
      <c r="R311">
        <v>1</v>
      </c>
      <c r="S311">
        <v>1</v>
      </c>
      <c r="T311">
        <v>8.5</v>
      </c>
      <c r="U311">
        <v>0.21</v>
      </c>
      <c r="V311">
        <v>0.49</v>
      </c>
      <c r="W311">
        <v>0.25</v>
      </c>
      <c r="X311">
        <v>0.85</v>
      </c>
      <c r="Y311">
        <v>0.5</v>
      </c>
      <c r="Z311">
        <v>0.5</v>
      </c>
      <c r="AA311">
        <v>5</v>
      </c>
      <c r="AB311">
        <v>0.75</v>
      </c>
    </row>
    <row r="312" spans="1:28" x14ac:dyDescent="0.2">
      <c r="O312">
        <f>IF(O314&gt;10000,HLOOKUP(O314,N310:$O313,4,FALSE),IF(OR(AND(22500&lt;O310,O310&lt;25001),AND(50000&lt;O310,O310&lt;53501),AND(70000&lt;O310,O310&lt;72501)),$F310,IF(OR(AND(25001&lt;O310,O310&lt;27501),AND(53500&lt;O310,O310&lt;57001),AND(72500&lt;O310,O310&lt;75001)),$G310,IF(OR(AND(27500&lt;O310,O310&lt;30001),AND(57000&lt;O310,O310&lt;60001),AND(75000&lt;O310,O310&lt;77500)),$H310,VLOOKUP(O310,BDins,6,FALSE)))))</f>
        <v>24.97</v>
      </c>
      <c r="P312">
        <f>IF(P314&gt;10000,HLOOKUP(P314,O310:$O313,4,FALSE),IF(OR(AND(22500&lt;P310,P310&lt;25001),AND(50000&lt;P310,P310&lt;53501),AND(70000&lt;P310,P310&lt;72501)),$F310,IF(OR(AND(25001&lt;P310,P310&lt;27501),AND(53500&lt;P310,P310&lt;57001),AND(72500&lt;P310,P310&lt;75001)),$G310,IF(OR(AND(27500&lt;P310,P310&lt;30001),AND(57000&lt;P310,P310&lt;60001),AND(75000&lt;P310,P310&lt;77500)),$H310,VLOOKUP(P310,BDins,6,FALSE)))))</f>
        <v>20.81</v>
      </c>
      <c r="Q312">
        <f>IF(Q314&gt;10000,HLOOKUP(Q314,$O310:P313,4,FALSE),IF(OR(AND(22500&lt;Q310,Q310&lt;25001),AND(50000&lt;Q310,Q310&lt;53501),AND(70000&lt;Q310,Q310&lt;72501)),$F310,IF(OR(AND(25001&lt;Q310,Q310&lt;27501),AND(53500&lt;Q310,Q310&lt;57001),AND(72500&lt;Q310,Q310&lt;75001)),$G310,IF(OR(AND(27500&lt;Q310,Q310&lt;30001),AND(57000&lt;Q310,Q310&lt;60001),AND(75000&lt;Q310,Q310&lt;77500)),$H310,VLOOKUP(Q310,BDins,6,FALSE)))))</f>
        <v>15.36</v>
      </c>
      <c r="R312">
        <f>IF(R314&gt;10000,HLOOKUP(R314,$O310:Q313,4,FALSE),IF(OR(AND(22500&lt;R310,R310&lt;25001),AND(50000&lt;R310,R310&lt;53501),AND(70000&lt;R310,R310&lt;72501)),$F310,IF(OR(AND(25001&lt;R310,R310&lt;27501),AND(53500&lt;R310,R310&lt;57001),AND(72500&lt;R310,R310&lt;75001)),$G310,IF(OR(AND(27500&lt;R310,R310&lt;30001),AND(57000&lt;R310,R310&lt;60001),AND(75000&lt;R310,R310&lt;77500)),$H310,VLOOKUP(R310,BDins,6,FALSE)))))</f>
        <v>20.81</v>
      </c>
      <c r="S312">
        <f>IF(S314&gt;10000,HLOOKUP(S314,$O310:R313,4,FALSE),IF(OR(AND(22500&lt;S310,S310&lt;25001),AND(50000&lt;S310,S310&lt;53501),AND(70000&lt;S310,S310&lt;72501)),$F310,IF(OR(AND(25001&lt;S310,S310&lt;27501),AND(53500&lt;S310,S310&lt;57001),AND(72500&lt;S310,S310&lt;75001)),$G310,IF(OR(AND(27500&lt;S310,S310&lt;30001),AND(57000&lt;S310,S310&lt;60001),AND(75000&lt;S310,S310&lt;77500)),$H310,VLOOKUP(S310,BDins,6,FALSE)))))</f>
        <v>17.09</v>
      </c>
      <c r="T312">
        <f>IF(T314&gt;10000,HLOOKUP(T314,$O310:S313,4,FALSE),IF(OR(AND(22500&lt;T310,T310&lt;25001),AND(50000&lt;T310,T310&lt;53501),AND(70000&lt;T310,T310&lt;72501)),$F310,IF(OR(AND(25001&lt;T310,T310&lt;27501),AND(53500&lt;T310,T310&lt;57001),AND(72500&lt;T310,T310&lt;75001)),$G310,IF(OR(AND(27500&lt;T310,T310&lt;30001),AND(57000&lt;T310,T310&lt;60001),AND(75000&lt;T310,T310&lt;77500)),$H310,VLOOKUP(T310,BDins,6,FALSE)))))</f>
        <v>18.5</v>
      </c>
      <c r="U312">
        <f>IF(U314&gt;10000,HLOOKUP(U314,$O310:T313,4,FALSE),IF(OR(AND(22500&lt;U310,U310&lt;25001),AND(50000&lt;U310,U310&lt;53501),AND(70000&lt;U310,U310&lt;72501)),$F310,IF(OR(AND(25001&lt;U310,U310&lt;27501),AND(53500&lt;U310,U310&lt;57001),AND(72500&lt;U310,U310&lt;75001)),$G310,IF(OR(AND(27500&lt;U310,U310&lt;30001),AND(57000&lt;U310,U310&lt;60001),AND(75000&lt;U310,U310&lt;77500)),$H310,VLOOKUP(U310,BDins,6,FALSE)))))</f>
        <v>150</v>
      </c>
      <c r="V312">
        <f>IF(V314&gt;10000,HLOOKUP(V314,$O310:U313,4,FALSE),IF(OR(AND(22500&lt;V310,V310&lt;25001),AND(50000&lt;V310,V310&lt;53501),AND(70000&lt;V310,V310&lt;72501)),$F310,IF(OR(AND(25001&lt;V310,V310&lt;27501),AND(53500&lt;V310,V310&lt;57001),AND(72500&lt;V310,V310&lt;75001)),$G310,IF(OR(AND(27500&lt;V310,V310&lt;30001),AND(57000&lt;V310,V310&lt;60001),AND(75000&lt;V310,V310&lt;77500)),$H310,VLOOKUP(V310,BDins,6,FALSE)))))</f>
        <v>45</v>
      </c>
      <c r="W312">
        <f>IF(W314&gt;10000,HLOOKUP(W314,$O310:V313,4,FALSE),IF(OR(AND(22500&lt;W310,W310&lt;25001),AND(50000&lt;W310,W310&lt;53501),AND(70000&lt;W310,W310&lt;72501)),$F310,IF(OR(AND(25001&lt;W310,W310&lt;27501),AND(53500&lt;W310,W310&lt;57001),AND(72500&lt;W310,W310&lt;75001)),$G310,IF(OR(AND(27500&lt;W310,W310&lt;30001),AND(57000&lt;W310,W310&lt;60001),AND(75000&lt;W310,W310&lt;77500)),$H310,VLOOKUP(W310,BDins,6,FALSE)))))</f>
        <v>10.5</v>
      </c>
      <c r="X312">
        <f>IF(X314&gt;10000,HLOOKUP(X314,$O310:W313,4,FALSE),IF(OR(AND(22500&lt;X310,X310&lt;25001),AND(50000&lt;X310,X310&lt;53501),AND(70000&lt;X310,X310&lt;72501)),$F310,IF(OR(AND(25001&lt;X310,X310&lt;27501),AND(53500&lt;X310,X310&lt;57001),AND(72500&lt;X310,X310&lt;75001)),$G310,IF(OR(AND(27500&lt;X310,X310&lt;30001),AND(57000&lt;X310,X310&lt;60001),AND(75000&lt;X310,X310&lt;77500)),$H310,VLOOKUP(X310,BDins,6,FALSE)))))</f>
        <v>65</v>
      </c>
      <c r="Y312">
        <f>IF(Y314&gt;10000,HLOOKUP(Y314,$O310:X313,4,FALSE),IF(OR(AND(22500&lt;Y310,Y310&lt;25001),AND(50000&lt;Y310,Y310&lt;53501),AND(70000&lt;Y310,Y310&lt;72501)),$F310,IF(OR(AND(25001&lt;Y310,Y310&lt;27501),AND(53500&lt;Y310,Y310&lt;57001),AND(72500&lt;Y310,Y310&lt;75001)),$G310,IF(OR(AND(27500&lt;Y310,Y310&lt;30001),AND(57000&lt;Y310,Y310&lt;60001),AND(75000&lt;Y310,Y310&lt;77500)),$H310,VLOOKUP(Y310,BDins,6,FALSE)))))</f>
        <v>31.5</v>
      </c>
      <c r="Z312">
        <f>IF(Z314&gt;10000,HLOOKUP(Z314,$O310:Y313,4,FALSE),IF(OR(AND(22500&lt;Z310,Z310&lt;25001),AND(50000&lt;Z310,Z310&lt;53501),AND(70000&lt;Z310,Z310&lt;72501)),$F310,IF(OR(AND(25001&lt;Z310,Z310&lt;27501),AND(53500&lt;Z310,Z310&lt;57001),AND(72500&lt;Z310,Z310&lt;75001)),$G310,IF(OR(AND(27500&lt;Z310,Z310&lt;30001),AND(57000&lt;Z310,Z310&lt;60001),AND(75000&lt;Z310,Z310&lt;77500)),$H310,VLOOKUP(Z310,BDins,6,FALSE)))))</f>
        <v>8.74</v>
      </c>
      <c r="AA312">
        <f>IF(AA314&gt;10000,HLOOKUP(AA314,$O310:Z313,4,FALSE),IF(OR(AND(22500&lt;AA310,AA310&lt;25001),AND(50000&lt;AA310,AA310&lt;53501),AND(70000&lt;AA310,AA310&lt;72501)),$F310,IF(OR(AND(25001&lt;AA310,AA310&lt;27501),AND(53500&lt;AA310,AA310&lt;57001),AND(72500&lt;AA310,AA310&lt;75001)),$G310,IF(OR(AND(27500&lt;AA310,AA310&lt;30001),AND(57000&lt;AA310,AA310&lt;60001),AND(75000&lt;AA310,AA310&lt;77500)),$H310,VLOOKUP(AA310,BDins,6,FALSE)))))</f>
        <v>73.63</v>
      </c>
      <c r="AB312">
        <f>IF(AB314&gt;10000,HLOOKUP(AB314,$O310:AA313,4,FALSE),IF(OR(AND(22500&lt;AB310,AB310&lt;25001),AND(50000&lt;AB310,AB310&lt;53501),AND(70000&lt;AB310,AB310&lt;72501)),$F310,IF(OR(AND(25001&lt;AB310,AB310&lt;27501),AND(53500&lt;AB310,AB310&lt;57001),AND(72500&lt;AB310,AB310&lt;75001)),$G310,IF(OR(AND(27500&lt;AB310,AB310&lt;30001),AND(57000&lt;AB310,AB310&lt;60001),AND(75000&lt;AB310,AB310&lt;77500)),$H310,VLOOKUP(AB310,BDins,6,FALSE)))))</f>
        <v>5</v>
      </c>
    </row>
    <row r="313" spans="1:28" x14ac:dyDescent="0.2">
      <c r="O313">
        <f t="shared" ref="O313:AB313" si="39">IF($K310&gt;0,ROUND(O311*$E310/100,DpCU),IF(O314&gt;10000,ROUND(HLOOKUP(O314,$O310:$AB313,4,FALSE)/100*O311,DpCU),IF(OR(O310&lt;20001,O310&gt;95000,AND(60000&lt;O310,O310&lt;70001)),ROUND(ROUND(O311*JL/$C310,DcCU)*O312,DpCU),IF(OR(AND(20000&lt;O310,O310&lt;22501),AND(30000&lt;O310,O310&lt;50001),77500&lt;O310),ROUND(O312*O311,DpCU),IF(OR(AND(22500&lt;O310,O310&lt;25001),AND(50000&lt;O310,O310&lt;53501),AND(70000&lt;O310,O310&lt;72501)),ROUND($F310/100*O311,DpCU),IF(OR(AND(25000&lt;O310,O310&lt;27501),AND(53500&lt;O310,O310&lt;57001),AND(72500&lt;O310,O310&lt;75001)),ROUND($G310/100*O311,DpCU),ROUND($H310/100*O311,DpCU)))))))</f>
        <v>1</v>
      </c>
      <c r="P313">
        <f t="shared" si="39"/>
        <v>8.32</v>
      </c>
      <c r="Q313">
        <f t="shared" si="39"/>
        <v>49.15</v>
      </c>
      <c r="R313">
        <f t="shared" si="39"/>
        <v>8.32</v>
      </c>
      <c r="S313">
        <f t="shared" si="39"/>
        <v>6.84</v>
      </c>
      <c r="T313">
        <f t="shared" si="39"/>
        <v>157.25</v>
      </c>
      <c r="U313">
        <f t="shared" si="39"/>
        <v>31.5</v>
      </c>
      <c r="V313">
        <f t="shared" si="39"/>
        <v>22.05</v>
      </c>
      <c r="W313">
        <f t="shared" si="39"/>
        <v>2.63</v>
      </c>
      <c r="X313">
        <f t="shared" si="39"/>
        <v>55.25</v>
      </c>
      <c r="Y313">
        <f t="shared" si="39"/>
        <v>6.3</v>
      </c>
      <c r="Z313">
        <f t="shared" si="39"/>
        <v>1.75</v>
      </c>
      <c r="AA313">
        <f t="shared" si="39"/>
        <v>3.68</v>
      </c>
      <c r="AB313">
        <f t="shared" si="39"/>
        <v>3.75</v>
      </c>
    </row>
    <row r="314" spans="1:28" x14ac:dyDescent="0.2">
      <c r="B314" s="3" t="str">
        <f>A310&amp;"r"</f>
        <v>10062r</v>
      </c>
    </row>
    <row r="315" spans="1:28" x14ac:dyDescent="0.2">
      <c r="A315">
        <v>10063</v>
      </c>
      <c r="B315" s="3" t="s">
        <v>462</v>
      </c>
      <c r="C315" s="1">
        <f>ROUND(J315*JL*Frto/8,4)</f>
        <v>10</v>
      </c>
      <c r="D315" t="s">
        <v>210</v>
      </c>
      <c r="E315">
        <f>SUM($O318:$U318)</f>
        <v>45.339999999999996</v>
      </c>
      <c r="F315">
        <f>SUMIF($O315:$U315,"&lt;22501",$O318:$U318)</f>
        <v>32.32</v>
      </c>
      <c r="G315">
        <f>SUMIFS($O318:$U318,$O315:$U315,"&gt;30000",$O315:$U315,"&lt;50001")</f>
        <v>11.4</v>
      </c>
      <c r="H315">
        <f>SUMIFS($O318:$U318,$O315:$U315,"&gt;60000",$O315:$U315,"&lt;70001")</f>
        <v>0</v>
      </c>
      <c r="I315">
        <v>7</v>
      </c>
      <c r="J315">
        <v>10</v>
      </c>
      <c r="O315">
        <v>10001</v>
      </c>
      <c r="P315">
        <v>10002</v>
      </c>
      <c r="Q315">
        <v>10008</v>
      </c>
      <c r="R315">
        <v>30026</v>
      </c>
      <c r="S315">
        <v>30051</v>
      </c>
      <c r="T315">
        <v>30054</v>
      </c>
      <c r="U315">
        <v>70001</v>
      </c>
    </row>
    <row r="316" spans="1:28" x14ac:dyDescent="0.2">
      <c r="B316" s="3" t="str">
        <f>A315&amp;"C"</f>
        <v>10063C</v>
      </c>
      <c r="O316">
        <v>0.1</v>
      </c>
      <c r="P316">
        <v>1</v>
      </c>
      <c r="Q316">
        <v>1</v>
      </c>
      <c r="R316">
        <v>2.5</v>
      </c>
      <c r="S316">
        <v>0.17</v>
      </c>
      <c r="T316">
        <v>0.3</v>
      </c>
      <c r="U316">
        <v>5</v>
      </c>
    </row>
    <row r="317" spans="1:28" x14ac:dyDescent="0.2">
      <c r="O317">
        <f>IF(O319&gt;10000,HLOOKUP(O319,N315:$O318,4,FALSE),IF(OR(AND(22500&lt;O315,O315&lt;25001),AND(50000&lt;O315,O315&lt;53501),AND(70000&lt;O315,O315&lt;72501)),$F315,IF(OR(AND(25001&lt;O315,O315&lt;27501),AND(53500&lt;O315,O315&lt;57001),AND(72500&lt;O315,O315&lt;75001)),$G315,IF(OR(AND(27500&lt;O315,O315&lt;30001),AND(57000&lt;O315,O315&lt;60001),AND(75000&lt;O315,O315&lt;77500)),$H315,VLOOKUP(O315,BDins,6,FALSE)))))</f>
        <v>24.97</v>
      </c>
      <c r="P317">
        <f>IF(P319&gt;10000,HLOOKUP(P319,O315:$O318,4,FALSE),IF(OR(AND(22500&lt;P315,P315&lt;25001),AND(50000&lt;P315,P315&lt;53501),AND(70000&lt;P315,P315&lt;72501)),$F315,IF(OR(AND(25001&lt;P315,P315&lt;27501),AND(53500&lt;P315,P315&lt;57001),AND(72500&lt;P315,P315&lt;75001)),$G315,IF(OR(AND(27500&lt;P315,P315&lt;30001),AND(57000&lt;P315,P315&lt;60001),AND(75000&lt;P315,P315&lt;77500)),$H315,VLOOKUP(P315,BDins,6,FALSE)))))</f>
        <v>20.81</v>
      </c>
      <c r="Q317">
        <f>IF(Q319&gt;10000,HLOOKUP(Q319,$O315:P318,4,FALSE),IF(OR(AND(22500&lt;Q315,Q315&lt;25001),AND(50000&lt;Q315,Q315&lt;53501),AND(70000&lt;Q315,Q315&lt;72501)),$F315,IF(OR(AND(25001&lt;Q315,Q315&lt;27501),AND(53500&lt;Q315,Q315&lt;57001),AND(72500&lt;Q315,Q315&lt;75001)),$G315,IF(OR(AND(27500&lt;Q315,Q315&lt;30001),AND(57000&lt;Q315,Q315&lt;60001),AND(75000&lt;Q315,Q315&lt;77500)),$H315,VLOOKUP(Q315,BDins,6,FALSE)))))</f>
        <v>17.09</v>
      </c>
      <c r="R317">
        <f>IF(R319&gt;10000,HLOOKUP(R319,$O315:Q318,4,FALSE),IF(OR(AND(22500&lt;R315,R315&lt;25001),AND(50000&lt;R315,R315&lt;53501),AND(70000&lt;R315,R315&lt;72501)),$F315,IF(OR(AND(25001&lt;R315,R315&lt;27501),AND(53500&lt;R315,R315&lt;57001),AND(72500&lt;R315,R315&lt;75001)),$G315,IF(OR(AND(27500&lt;R315,R315&lt;30001),AND(57000&lt;R315,R315&lt;60001),AND(75000&lt;R315,R315&lt;77500)),$H315,VLOOKUP(R315,BDins,6,FALSE)))))</f>
        <v>3.9</v>
      </c>
      <c r="S317">
        <f>IF(S319&gt;10000,HLOOKUP(S319,$O315:R318,4,FALSE),IF(OR(AND(22500&lt;S315,S315&lt;25001),AND(50000&lt;S315,S315&lt;53501),AND(70000&lt;S315,S315&lt;72501)),$F315,IF(OR(AND(25001&lt;S315,S315&lt;27501),AND(53500&lt;S315,S315&lt;57001),AND(72500&lt;S315,S315&lt;75001)),$G315,IF(OR(AND(27500&lt;S315,S315&lt;30001),AND(57000&lt;S315,S315&lt;60001),AND(75000&lt;S315,S315&lt;77500)),$H315,VLOOKUP(S315,BDins,6,FALSE)))))</f>
        <v>3.5</v>
      </c>
      <c r="T317">
        <f>IF(T319&gt;10000,HLOOKUP(T319,$O315:S318,4,FALSE),IF(OR(AND(22500&lt;T315,T315&lt;25001),AND(50000&lt;T315,T315&lt;53501),AND(70000&lt;T315,T315&lt;72501)),$F315,IF(OR(AND(25001&lt;T315,T315&lt;27501),AND(53500&lt;T315,T315&lt;57001),AND(72500&lt;T315,T315&lt;75001)),$G315,IF(OR(AND(27500&lt;T315,T315&lt;30001),AND(57000&lt;T315,T315&lt;60001),AND(75000&lt;T315,T315&lt;77500)),$H315,VLOOKUP(T315,BDins,6,FALSE)))))</f>
        <v>3.5</v>
      </c>
      <c r="U317">
        <f>IF(U319&gt;10000,HLOOKUP(U319,$O315:T318,4,FALSE),IF(OR(AND(22500&lt;U315,U315&lt;25001),AND(50000&lt;U315,U315&lt;53501),AND(70000&lt;U315,U315&lt;72501)),$F315,IF(OR(AND(25001&lt;U315,U315&lt;27501),AND(53500&lt;U315,U315&lt;57001),AND(72500&lt;U315,U315&lt;75001)),$G315,IF(OR(AND(27500&lt;U315,U315&lt;30001),AND(57000&lt;U315,U315&lt;60001),AND(75000&lt;U315,U315&lt;77500)),$H315,VLOOKUP(U315,BDins,6,FALSE)))))</f>
        <v>32.32</v>
      </c>
    </row>
    <row r="318" spans="1:28" x14ac:dyDescent="0.2">
      <c r="O318">
        <f t="shared" ref="O318:U318" si="40">IF($K315&gt;0,ROUND(O316*$E315/100,DpCU),IF(O319&gt;10000,ROUND(HLOOKUP(O319,$O315:$U318,4,FALSE)/100*O316,DpCU),IF(OR(O315&lt;20001,O315&gt;95000,AND(60000&lt;O315,O315&lt;70001)),ROUND(ROUND(O316*JL/$C315,DcCU)*O317,DpCU),IF(OR(AND(20000&lt;O315,O315&lt;22501),AND(30000&lt;O315,O315&lt;50001),77500&lt;O315),ROUND(O317*O316,DpCU),IF(OR(AND(22500&lt;O315,O315&lt;25001),AND(50000&lt;O315,O315&lt;53501),AND(70000&lt;O315,O315&lt;72501)),ROUND($F315/100*O316,DpCU),IF(OR(AND(25000&lt;O315,O315&lt;27501),AND(53500&lt;O315,O315&lt;57001),AND(72500&lt;O315,O315&lt;75001)),ROUND($G315/100*O316,DpCU),ROUND($H315/100*O316,DpCU)))))))</f>
        <v>2</v>
      </c>
      <c r="P318">
        <f t="shared" si="40"/>
        <v>16.649999999999999</v>
      </c>
      <c r="Q318">
        <f t="shared" si="40"/>
        <v>13.67</v>
      </c>
      <c r="R318">
        <f t="shared" si="40"/>
        <v>9.75</v>
      </c>
      <c r="S318">
        <f t="shared" si="40"/>
        <v>0.6</v>
      </c>
      <c r="T318">
        <f t="shared" si="40"/>
        <v>1.05</v>
      </c>
      <c r="U318">
        <f t="shared" si="40"/>
        <v>1.62</v>
      </c>
    </row>
    <row r="319" spans="1:28" x14ac:dyDescent="0.2">
      <c r="B319" s="3" t="str">
        <f>A315&amp;"r"</f>
        <v>10063r</v>
      </c>
    </row>
    <row r="320" spans="1:28" x14ac:dyDescent="0.2">
      <c r="A320">
        <v>10064</v>
      </c>
      <c r="B320" s="3" t="s">
        <v>464</v>
      </c>
      <c r="C320" s="1">
        <f>ROUND(J320*JL*Frto/8,4)</f>
        <v>240</v>
      </c>
      <c r="D320" t="s">
        <v>33</v>
      </c>
      <c r="E320">
        <f>SUM($O323:$U323)</f>
        <v>9.42</v>
      </c>
      <c r="F320">
        <f>SUMIF($O320:$U320,"&lt;22501",$O323:$U323)</f>
        <v>1.3399999999999999</v>
      </c>
      <c r="G320">
        <f>SUMIFS($O323:$U323,$O320:$U320,"&gt;30000",$O320:$U320,"&lt;50001")</f>
        <v>2.76</v>
      </c>
      <c r="H320">
        <f>SUMIFS($O323:$U323,$O320:$U320,"&gt;60000",$O320:$U320,"&lt;70001")</f>
        <v>0</v>
      </c>
      <c r="I320">
        <v>7</v>
      </c>
      <c r="J320">
        <v>240</v>
      </c>
      <c r="O320">
        <v>10001</v>
      </c>
      <c r="P320">
        <v>10002</v>
      </c>
      <c r="Q320">
        <v>10008</v>
      </c>
      <c r="R320">
        <v>30063</v>
      </c>
      <c r="S320">
        <v>30066</v>
      </c>
      <c r="T320">
        <v>70001</v>
      </c>
      <c r="U320">
        <v>77507</v>
      </c>
    </row>
    <row r="321" spans="1:23" x14ac:dyDescent="0.2">
      <c r="B321" s="3" t="str">
        <f>A320&amp;"C"</f>
        <v>10064C</v>
      </c>
      <c r="O321">
        <v>0.1</v>
      </c>
      <c r="P321">
        <v>1</v>
      </c>
      <c r="Q321">
        <v>1</v>
      </c>
      <c r="R321">
        <v>0.06</v>
      </c>
      <c r="S321">
        <v>1.07</v>
      </c>
      <c r="T321">
        <v>5</v>
      </c>
      <c r="U321">
        <v>1.4999999999999999E-2</v>
      </c>
    </row>
    <row r="322" spans="1:23" x14ac:dyDescent="0.2">
      <c r="O322">
        <f>IF(O324&gt;10000,HLOOKUP(O324,N320:$O323,4,FALSE),IF(OR(AND(22500&lt;O320,O320&lt;25001),AND(50000&lt;O320,O320&lt;53501),AND(70000&lt;O320,O320&lt;72501)),$F320,IF(OR(AND(25001&lt;O320,O320&lt;27501),AND(53500&lt;O320,O320&lt;57001),AND(72500&lt;O320,O320&lt;75001)),$G320,IF(OR(AND(27500&lt;O320,O320&lt;30001),AND(57000&lt;O320,O320&lt;60001),AND(75000&lt;O320,O320&lt;77500)),$H320,VLOOKUP(O320,BDins,6,FALSE)))))</f>
        <v>24.97</v>
      </c>
      <c r="P322">
        <f>IF(P324&gt;10000,HLOOKUP(P324,O320:$O323,4,FALSE),IF(OR(AND(22500&lt;P320,P320&lt;25001),AND(50000&lt;P320,P320&lt;53501),AND(70000&lt;P320,P320&lt;72501)),$F320,IF(OR(AND(25001&lt;P320,P320&lt;27501),AND(53500&lt;P320,P320&lt;57001),AND(72500&lt;P320,P320&lt;75001)),$G320,IF(OR(AND(27500&lt;P320,P320&lt;30001),AND(57000&lt;P320,P320&lt;60001),AND(75000&lt;P320,P320&lt;77500)),$H320,VLOOKUP(P320,BDins,6,FALSE)))))</f>
        <v>20.81</v>
      </c>
      <c r="Q322">
        <f>IF(Q324&gt;10000,HLOOKUP(Q324,$O320:P323,4,FALSE),IF(OR(AND(22500&lt;Q320,Q320&lt;25001),AND(50000&lt;Q320,Q320&lt;53501),AND(70000&lt;Q320,Q320&lt;72501)),$F320,IF(OR(AND(25001&lt;Q320,Q320&lt;27501),AND(53500&lt;Q320,Q320&lt;57001),AND(72500&lt;Q320,Q320&lt;75001)),$G320,IF(OR(AND(27500&lt;Q320,Q320&lt;30001),AND(57000&lt;Q320,Q320&lt;60001),AND(75000&lt;Q320,Q320&lt;77500)),$H320,VLOOKUP(Q320,BDins,6,FALSE)))))</f>
        <v>17.09</v>
      </c>
      <c r="R322">
        <f>IF(R324&gt;10000,HLOOKUP(R324,$O320:Q323,4,FALSE),IF(OR(AND(22500&lt;R320,R320&lt;25001),AND(50000&lt;R320,R320&lt;53501),AND(70000&lt;R320,R320&lt;72501)),$F320,IF(OR(AND(25001&lt;R320,R320&lt;27501),AND(53500&lt;R320,R320&lt;57001),AND(72500&lt;R320,R320&lt;75001)),$G320,IF(OR(AND(27500&lt;R320,R320&lt;30001),AND(57000&lt;R320,R320&lt;60001),AND(75000&lt;R320,R320&lt;77500)),$H320,VLOOKUP(R320,BDins,6,FALSE)))))</f>
        <v>3.5</v>
      </c>
      <c r="S322">
        <f>IF(S324&gt;10000,HLOOKUP(S324,$O320:R323,4,FALSE),IF(OR(AND(22500&lt;S320,S320&lt;25001),AND(50000&lt;S320,S320&lt;53501),AND(70000&lt;S320,S320&lt;72501)),$F320,IF(OR(AND(25001&lt;S320,S320&lt;27501),AND(53500&lt;S320,S320&lt;57001),AND(72500&lt;S320,S320&lt;75001)),$G320,IF(OR(AND(27500&lt;S320,S320&lt;30001),AND(57000&lt;S320,S320&lt;60001),AND(75000&lt;S320,S320&lt;77500)),$H320,VLOOKUP(S320,BDins,6,FALSE)))))</f>
        <v>2.38</v>
      </c>
      <c r="T322">
        <f>IF(T324&gt;10000,HLOOKUP(T324,$O320:S323,4,FALSE),IF(OR(AND(22500&lt;T320,T320&lt;25001),AND(50000&lt;T320,T320&lt;53501),AND(70000&lt;T320,T320&lt;72501)),$F320,IF(OR(AND(25001&lt;T320,T320&lt;27501),AND(53500&lt;T320,T320&lt;57001),AND(72500&lt;T320,T320&lt;75001)),$G320,IF(OR(AND(27500&lt;T320,T320&lt;30001),AND(57000&lt;T320,T320&lt;60001),AND(75000&lt;T320,T320&lt;77500)),$H320,VLOOKUP(T320,BDins,6,FALSE)))))</f>
        <v>1.3399999999999999</v>
      </c>
      <c r="U322">
        <f>IF(U324&gt;10000,HLOOKUP(U324,$O320:T323,4,FALSE),IF(OR(AND(22500&lt;U320,U320&lt;25001),AND(50000&lt;U320,U320&lt;53501),AND(70000&lt;U320,U320&lt;72501)),$F320,IF(OR(AND(25001&lt;U320,U320&lt;27501),AND(53500&lt;U320,U320&lt;57001),AND(72500&lt;U320,U320&lt;75001)),$G320,IF(OR(AND(27500&lt;U320,U320&lt;30001),AND(57000&lt;U320,U320&lt;60001),AND(75000&lt;U320,U320&lt;77500)),$H320,VLOOKUP(U320,BDins,6,FALSE)))))</f>
        <v>350</v>
      </c>
    </row>
    <row r="323" spans="1:23" x14ac:dyDescent="0.2">
      <c r="O323">
        <f t="shared" ref="O323:U323" si="41">IF($K320&gt;0,ROUND(O321*$E320/100,DpCU),IF(O324&gt;10000,ROUND(HLOOKUP(O324,$O320:$U323,4,FALSE)/100*O321,DpCU),IF(OR(O320&lt;20001,O320&gt;95000,AND(60000&lt;O320,O320&lt;70001)),ROUND(ROUND(O321*JL/$C320,DcCU)*O322,DpCU),IF(OR(AND(20000&lt;O320,O320&lt;22501),AND(30000&lt;O320,O320&lt;50001),77500&lt;O320),ROUND(O322*O321,DpCU),IF(OR(AND(22500&lt;O320,O320&lt;25001),AND(50000&lt;O320,O320&lt;53501),AND(70000&lt;O320,O320&lt;72501)),ROUND($F320/100*O321,DpCU),IF(OR(AND(25000&lt;O320,O320&lt;27501),AND(53500&lt;O320,O320&lt;57001),AND(72500&lt;O320,O320&lt;75001)),ROUND($G320/100*O321,DpCU),ROUND($H320/100*O321,DpCU)))))))</f>
        <v>0.08</v>
      </c>
      <c r="P323">
        <f t="shared" si="41"/>
        <v>0.69</v>
      </c>
      <c r="Q323">
        <f t="shared" si="41"/>
        <v>0.56999999999999995</v>
      </c>
      <c r="R323">
        <f t="shared" si="41"/>
        <v>0.21</v>
      </c>
      <c r="S323">
        <f t="shared" si="41"/>
        <v>2.5499999999999998</v>
      </c>
      <c r="T323">
        <f t="shared" si="41"/>
        <v>7.0000000000000007E-2</v>
      </c>
      <c r="U323">
        <f t="shared" si="41"/>
        <v>5.25</v>
      </c>
    </row>
    <row r="324" spans="1:23" x14ac:dyDescent="0.2">
      <c r="B324" s="3" t="str">
        <f>A320&amp;"r"</f>
        <v>10064r</v>
      </c>
    </row>
    <row r="325" spans="1:23" x14ac:dyDescent="0.2">
      <c r="A325">
        <v>10065</v>
      </c>
      <c r="B325" s="3" t="s">
        <v>468</v>
      </c>
      <c r="C325" s="1">
        <f>ROUND(J325*JL*Frto/8,4)</f>
        <v>50</v>
      </c>
      <c r="D325" t="s">
        <v>34</v>
      </c>
      <c r="E325">
        <f>SUM($O328:$W328)</f>
        <v>509.16</v>
      </c>
      <c r="F325">
        <f>SUMIF($O325:$W325,"&lt;22501",$O328:$W328)</f>
        <v>31.04</v>
      </c>
      <c r="G325">
        <f>SUMIFS($O328:$W328,$O325:$W325,"&gt;30000",$O325:$W325,"&lt;50001")</f>
        <v>233.26</v>
      </c>
      <c r="H325">
        <f>SUMIFS($O328:$W328,$O325:$W325,"&gt;60000",$O325:$W325,"&lt;70001")</f>
        <v>0.94</v>
      </c>
      <c r="I325">
        <v>9</v>
      </c>
      <c r="J325">
        <v>50</v>
      </c>
      <c r="O325">
        <v>10001</v>
      </c>
      <c r="P325">
        <v>10002</v>
      </c>
      <c r="Q325">
        <v>10003</v>
      </c>
      <c r="R325">
        <v>10008</v>
      </c>
      <c r="S325">
        <v>30071</v>
      </c>
      <c r="T325">
        <v>60014</v>
      </c>
      <c r="U325">
        <v>70001</v>
      </c>
      <c r="V325">
        <v>77509</v>
      </c>
      <c r="W325">
        <v>77510</v>
      </c>
    </row>
    <row r="326" spans="1:23" x14ac:dyDescent="0.2">
      <c r="B326" s="3" t="str">
        <f>A325&amp;"C"</f>
        <v>10065C</v>
      </c>
      <c r="O326">
        <v>0.1</v>
      </c>
      <c r="P326">
        <v>1</v>
      </c>
      <c r="Q326">
        <v>10</v>
      </c>
      <c r="R326">
        <v>1</v>
      </c>
      <c r="S326">
        <v>1.07</v>
      </c>
      <c r="T326">
        <v>1</v>
      </c>
      <c r="U326">
        <v>5</v>
      </c>
      <c r="V326">
        <v>0.5</v>
      </c>
      <c r="W326">
        <v>6.6875</v>
      </c>
    </row>
    <row r="327" spans="1:23" x14ac:dyDescent="0.2">
      <c r="O327">
        <f>IF(O329&gt;10000,HLOOKUP(O329,N325:$O328,4,FALSE),IF(OR(AND(22500&lt;O325,O325&lt;25001),AND(50000&lt;O325,O325&lt;53501),AND(70000&lt;O325,O325&lt;72501)),$F325,IF(OR(AND(25001&lt;O325,O325&lt;27501),AND(53500&lt;O325,O325&lt;57001),AND(72500&lt;O325,O325&lt;75001)),$G325,IF(OR(AND(27500&lt;O325,O325&lt;30001),AND(57000&lt;O325,O325&lt;60001),AND(75000&lt;O325,O325&lt;77500)),$H325,VLOOKUP(O325,BDins,6,FALSE)))))</f>
        <v>24.97</v>
      </c>
      <c r="P327">
        <f>IF(P329&gt;10000,HLOOKUP(P329,O325:$O328,4,FALSE),IF(OR(AND(22500&lt;P325,P325&lt;25001),AND(50000&lt;P325,P325&lt;53501),AND(70000&lt;P325,P325&lt;72501)),$F325,IF(OR(AND(25001&lt;P325,P325&lt;27501),AND(53500&lt;P325,P325&lt;57001),AND(72500&lt;P325,P325&lt;75001)),$G325,IF(OR(AND(27500&lt;P325,P325&lt;30001),AND(57000&lt;P325,P325&lt;60001),AND(75000&lt;P325,P325&lt;77500)),$H325,VLOOKUP(P325,BDins,6,FALSE)))))</f>
        <v>20.81</v>
      </c>
      <c r="Q327">
        <f>IF(Q329&gt;10000,HLOOKUP(Q329,$O325:P328,4,FALSE),IF(OR(AND(22500&lt;Q325,Q325&lt;25001),AND(50000&lt;Q325,Q325&lt;53501),AND(70000&lt;Q325,Q325&lt;72501)),$F325,IF(OR(AND(25001&lt;Q325,Q325&lt;27501),AND(53500&lt;Q325,Q325&lt;57001),AND(72500&lt;Q325,Q325&lt;75001)),$G325,IF(OR(AND(27500&lt;Q325,Q325&lt;30001),AND(57000&lt;Q325,Q325&lt;60001),AND(75000&lt;Q325,Q325&lt;77500)),$H325,VLOOKUP(Q325,BDins,6,FALSE)))))</f>
        <v>15.36</v>
      </c>
      <c r="R327">
        <f>IF(R329&gt;10000,HLOOKUP(R329,$O325:Q328,4,FALSE),IF(OR(AND(22500&lt;R325,R325&lt;25001),AND(50000&lt;R325,R325&lt;53501),AND(70000&lt;R325,R325&lt;72501)),$F325,IF(OR(AND(25001&lt;R325,R325&lt;27501),AND(53500&lt;R325,R325&lt;57001),AND(72500&lt;R325,R325&lt;75001)),$G325,IF(OR(AND(27500&lt;R325,R325&lt;30001),AND(57000&lt;R325,R325&lt;60001),AND(75000&lt;R325,R325&lt;77500)),$H325,VLOOKUP(R325,BDins,6,FALSE)))))</f>
        <v>17.09</v>
      </c>
      <c r="S327">
        <f>IF(S329&gt;10000,HLOOKUP(S329,$O325:R328,4,FALSE),IF(OR(AND(22500&lt;S325,S325&lt;25001),AND(50000&lt;S325,S325&lt;53501),AND(70000&lt;S325,S325&lt;72501)),$F325,IF(OR(AND(25001&lt;S325,S325&lt;27501),AND(53500&lt;S325,S325&lt;57001),AND(72500&lt;S325,S325&lt;75001)),$G325,IF(OR(AND(27500&lt;S325,S325&lt;30001),AND(57000&lt;S325,S325&lt;60001),AND(75000&lt;S325,S325&lt;77500)),$H325,VLOOKUP(S325,BDins,6,FALSE)))))</f>
        <v>218</v>
      </c>
      <c r="T327">
        <f>IF(T329&gt;10000,HLOOKUP(T329,$O325:S328,4,FALSE),IF(OR(AND(22500&lt;T325,T325&lt;25001),AND(50000&lt;T325,T325&lt;53501),AND(70000&lt;T325,T325&lt;72501)),$F325,IF(OR(AND(25001&lt;T325,T325&lt;27501),AND(53500&lt;T325,T325&lt;57001),AND(72500&lt;T325,T325&lt;75001)),$G325,IF(OR(AND(27500&lt;T325,T325&lt;30001),AND(57000&lt;T325,T325&lt;60001),AND(75000&lt;T325,T325&lt;77500)),$H325,VLOOKUP(T325,BDins,6,FALSE)))))</f>
        <v>5.9</v>
      </c>
      <c r="U327">
        <f>IF(U329&gt;10000,HLOOKUP(U329,$O325:T328,4,FALSE),IF(OR(AND(22500&lt;U325,U325&lt;25001),AND(50000&lt;U325,U325&lt;53501),AND(70000&lt;U325,U325&lt;72501)),$F325,IF(OR(AND(25001&lt;U325,U325&lt;27501),AND(53500&lt;U325,U325&lt;57001),AND(72500&lt;U325,U325&lt;75001)),$G325,IF(OR(AND(27500&lt;U325,U325&lt;30001),AND(57000&lt;U325,U325&lt;60001),AND(75000&lt;U325,U325&lt;77500)),$H325,VLOOKUP(U325,BDins,6,FALSE)))))</f>
        <v>31.04</v>
      </c>
      <c r="V327">
        <f>IF(V329&gt;10000,HLOOKUP(V329,$O325:U328,4,FALSE),IF(OR(AND(22500&lt;V325,V325&lt;25001),AND(50000&lt;V325,V325&lt;53501),AND(70000&lt;V325,V325&lt;72501)),$F325,IF(OR(AND(25001&lt;V325,V325&lt;27501),AND(53500&lt;V325,V325&lt;57001),AND(72500&lt;V325,V325&lt;75001)),$G325,IF(OR(AND(27500&lt;V325,V325&lt;30001),AND(57000&lt;V325,V325&lt;60001),AND(75000&lt;V325,V325&lt;77500)),$H325,VLOOKUP(V325,BDins,6,FALSE)))))</f>
        <v>29.98</v>
      </c>
      <c r="W327">
        <f>IF(W329&gt;10000,HLOOKUP(W329,$O325:V328,4,FALSE),IF(OR(AND(22500&lt;W325,W325&lt;25001),AND(50000&lt;W325,W325&lt;53501),AND(70000&lt;W325,W325&lt;72501)),$F325,IF(OR(AND(25001&lt;W325,W325&lt;27501),AND(53500&lt;W325,W325&lt;57001),AND(72500&lt;W325,W325&lt;75001)),$G325,IF(OR(AND(27500&lt;W325,W325&lt;30001),AND(57000&lt;W325,W325&lt;60001),AND(75000&lt;W325,W325&lt;77500)),$H325,VLOOKUP(W325,BDins,6,FALSE)))))</f>
        <v>34</v>
      </c>
    </row>
    <row r="328" spans="1:23" x14ac:dyDescent="0.2">
      <c r="O328">
        <f t="shared" ref="O328:W328" si="42">IF($K325&gt;0,ROUND(O326*$E325/100,DpCU),IF(O329&gt;10000,ROUND(HLOOKUP(O329,$O325:$W328,4,FALSE)/100*O326,DpCU),IF(OR(O325&lt;20001,O325&gt;95000,AND(60000&lt;O325,O325&lt;70001)),ROUND(ROUND(O326*JL/$C325,DcCU)*O327,DpCU),IF(OR(AND(20000&lt;O325,O325&lt;22501),AND(30000&lt;O325,O325&lt;50001),77500&lt;O325),ROUND(O327*O326,DpCU),IF(OR(AND(22500&lt;O325,O325&lt;25001),AND(50000&lt;O325,O325&lt;53501),AND(70000&lt;O325,O325&lt;72501)),ROUND($F325/100*O326,DpCU),IF(OR(AND(25000&lt;O325,O325&lt;27501),AND(53500&lt;O325,O325&lt;57001),AND(72500&lt;O325,O325&lt;75001)),ROUND($G325/100*O326,DpCU),ROUND($H325/100*O326,DpCU)))))))</f>
        <v>0.4</v>
      </c>
      <c r="P328">
        <f t="shared" si="42"/>
        <v>3.33</v>
      </c>
      <c r="Q328">
        <f t="shared" si="42"/>
        <v>24.58</v>
      </c>
      <c r="R328">
        <f t="shared" si="42"/>
        <v>2.73</v>
      </c>
      <c r="S328">
        <f t="shared" si="42"/>
        <v>233.26</v>
      </c>
      <c r="T328">
        <f t="shared" si="42"/>
        <v>0.94</v>
      </c>
      <c r="U328">
        <f t="shared" si="42"/>
        <v>1.55</v>
      </c>
      <c r="V328">
        <f t="shared" si="42"/>
        <v>14.99</v>
      </c>
      <c r="W328">
        <f t="shared" si="42"/>
        <v>227.38</v>
      </c>
    </row>
    <row r="329" spans="1:23" x14ac:dyDescent="0.2">
      <c r="B329" s="3" t="str">
        <f>A325&amp;"r"</f>
        <v>10065r</v>
      </c>
    </row>
    <row r="330" spans="1:23" x14ac:dyDescent="0.2">
      <c r="A330">
        <v>10066</v>
      </c>
      <c r="B330" s="3" t="s">
        <v>474</v>
      </c>
      <c r="C330" s="1">
        <f>ROUND(J330*JL*Frto/8,4)</f>
        <v>12.5</v>
      </c>
      <c r="D330" t="s">
        <v>210</v>
      </c>
      <c r="E330">
        <f>SUM($O333:$V333)</f>
        <v>42.769999999999996</v>
      </c>
      <c r="F330">
        <f>SUMIF($O330:$V330,"&lt;22501",$O333:$V333)</f>
        <v>25.86</v>
      </c>
      <c r="G330">
        <f>SUMIFS($O333:$V333,$O330:$V330,"&gt;30000",$O330:$V330,"&lt;50001")</f>
        <v>15.23</v>
      </c>
      <c r="H330">
        <f>SUMIFS($O333:$V333,$O330:$V330,"&gt;60000",$O330:$V330,"&lt;70001")</f>
        <v>0</v>
      </c>
      <c r="I330">
        <v>8</v>
      </c>
      <c r="J330">
        <v>12.5</v>
      </c>
      <c r="O330">
        <v>10001</v>
      </c>
      <c r="P330">
        <v>10002</v>
      </c>
      <c r="Q330">
        <v>10008</v>
      </c>
      <c r="R330">
        <v>30054</v>
      </c>
      <c r="S330">
        <v>30072</v>
      </c>
      <c r="T330">
        <v>30073</v>
      </c>
      <c r="U330">
        <v>70001</v>
      </c>
      <c r="V330">
        <v>77508</v>
      </c>
    </row>
    <row r="331" spans="1:23" x14ac:dyDescent="0.2">
      <c r="B331" s="3" t="str">
        <f>A330&amp;"C"</f>
        <v>10066C</v>
      </c>
      <c r="O331">
        <v>0.1</v>
      </c>
      <c r="P331">
        <v>1</v>
      </c>
      <c r="Q331">
        <v>1</v>
      </c>
      <c r="R331">
        <v>0.21</v>
      </c>
      <c r="S331">
        <v>0.24</v>
      </c>
      <c r="T331">
        <v>3.5</v>
      </c>
      <c r="U331">
        <v>5</v>
      </c>
      <c r="V331">
        <v>7.8125E-2</v>
      </c>
    </row>
    <row r="332" spans="1:23" x14ac:dyDescent="0.2">
      <c r="O332">
        <f>IF(O334&gt;10000,HLOOKUP(O334,N330:$O333,4,FALSE),IF(OR(AND(22500&lt;O330,O330&lt;25001),AND(50000&lt;O330,O330&lt;53501),AND(70000&lt;O330,O330&lt;72501)),$F330,IF(OR(AND(25001&lt;O330,O330&lt;27501),AND(53500&lt;O330,O330&lt;57001),AND(72500&lt;O330,O330&lt;75001)),$G330,IF(OR(AND(27500&lt;O330,O330&lt;30001),AND(57000&lt;O330,O330&lt;60001),AND(75000&lt;O330,O330&lt;77500)),$H330,VLOOKUP(O330,BDins,6,FALSE)))))</f>
        <v>24.97</v>
      </c>
      <c r="P332">
        <f>IF(P334&gt;10000,HLOOKUP(P334,O330:$O333,4,FALSE),IF(OR(AND(22500&lt;P330,P330&lt;25001),AND(50000&lt;P330,P330&lt;53501),AND(70000&lt;P330,P330&lt;72501)),$F330,IF(OR(AND(25001&lt;P330,P330&lt;27501),AND(53500&lt;P330,P330&lt;57001),AND(72500&lt;P330,P330&lt;75001)),$G330,IF(OR(AND(27500&lt;P330,P330&lt;30001),AND(57000&lt;P330,P330&lt;60001),AND(75000&lt;P330,P330&lt;77500)),$H330,VLOOKUP(P330,BDins,6,FALSE)))))</f>
        <v>20.81</v>
      </c>
      <c r="Q332">
        <f>IF(Q334&gt;10000,HLOOKUP(Q334,$O330:P333,4,FALSE),IF(OR(AND(22500&lt;Q330,Q330&lt;25001),AND(50000&lt;Q330,Q330&lt;53501),AND(70000&lt;Q330,Q330&lt;72501)),$F330,IF(OR(AND(25001&lt;Q330,Q330&lt;27501),AND(53500&lt;Q330,Q330&lt;57001),AND(72500&lt;Q330,Q330&lt;75001)),$G330,IF(OR(AND(27500&lt;Q330,Q330&lt;30001),AND(57000&lt;Q330,Q330&lt;60001),AND(75000&lt;Q330,Q330&lt;77500)),$H330,VLOOKUP(Q330,BDins,6,FALSE)))))</f>
        <v>17.09</v>
      </c>
      <c r="R332">
        <f>IF(R334&gt;10000,HLOOKUP(R334,$O330:Q333,4,FALSE),IF(OR(AND(22500&lt;R330,R330&lt;25001),AND(50000&lt;R330,R330&lt;53501),AND(70000&lt;R330,R330&lt;72501)),$F330,IF(OR(AND(25001&lt;R330,R330&lt;27501),AND(53500&lt;R330,R330&lt;57001),AND(72500&lt;R330,R330&lt;75001)),$G330,IF(OR(AND(27500&lt;R330,R330&lt;30001),AND(57000&lt;R330,R330&lt;60001),AND(75000&lt;R330,R330&lt;77500)),$H330,VLOOKUP(R330,BDins,6,FALSE)))))</f>
        <v>3.5</v>
      </c>
      <c r="S332">
        <f>IF(S334&gt;10000,HLOOKUP(S334,$O330:R333,4,FALSE),IF(OR(AND(22500&lt;S330,S330&lt;25001),AND(50000&lt;S330,S330&lt;53501),AND(70000&lt;S330,S330&lt;72501)),$F330,IF(OR(AND(25001&lt;S330,S330&lt;27501),AND(53500&lt;S330,S330&lt;57001),AND(72500&lt;S330,S330&lt;75001)),$G330,IF(OR(AND(27500&lt;S330,S330&lt;30001),AND(57000&lt;S330,S330&lt;60001),AND(75000&lt;S330,S330&lt;77500)),$H330,VLOOKUP(S330,BDins,6,FALSE)))))</f>
        <v>3.5</v>
      </c>
      <c r="T332">
        <f>IF(T334&gt;10000,HLOOKUP(T334,$O330:S333,4,FALSE),IF(OR(AND(22500&lt;T330,T330&lt;25001),AND(50000&lt;T330,T330&lt;53501),AND(70000&lt;T330,T330&lt;72501)),$F330,IF(OR(AND(25001&lt;T330,T330&lt;27501),AND(53500&lt;T330,T330&lt;57001),AND(72500&lt;T330,T330&lt;75001)),$G330,IF(OR(AND(27500&lt;T330,T330&lt;30001),AND(57000&lt;T330,T330&lt;60001),AND(75000&lt;T330,T330&lt;77500)),$H330,VLOOKUP(T330,BDins,6,FALSE)))))</f>
        <v>3.9</v>
      </c>
      <c r="U332">
        <f>IF(U334&gt;10000,HLOOKUP(U334,$O330:T333,4,FALSE),IF(OR(AND(22500&lt;U330,U330&lt;25001),AND(50000&lt;U330,U330&lt;53501),AND(70000&lt;U330,U330&lt;72501)),$F330,IF(OR(AND(25001&lt;U330,U330&lt;27501),AND(53500&lt;U330,U330&lt;57001),AND(72500&lt;U330,U330&lt;75001)),$G330,IF(OR(AND(27500&lt;U330,U330&lt;30001),AND(57000&lt;U330,U330&lt;60001),AND(75000&lt;U330,U330&lt;77500)),$H330,VLOOKUP(U330,BDins,6,FALSE)))))</f>
        <v>25.86</v>
      </c>
      <c r="V332">
        <f>IF(V334&gt;10000,HLOOKUP(V334,$O330:U333,4,FALSE),IF(OR(AND(22500&lt;V330,V330&lt;25001),AND(50000&lt;V330,V330&lt;53501),AND(70000&lt;V330,V330&lt;72501)),$F330,IF(OR(AND(25001&lt;V330,V330&lt;27501),AND(53500&lt;V330,V330&lt;57001),AND(72500&lt;V330,V330&lt;75001)),$G330,IF(OR(AND(27500&lt;V330,V330&lt;30001),AND(57000&lt;V330,V330&lt;60001),AND(75000&lt;V330,V330&lt;77500)),$H330,VLOOKUP(V330,BDins,6,FALSE)))))</f>
        <v>5</v>
      </c>
    </row>
    <row r="333" spans="1:23" x14ac:dyDescent="0.2">
      <c r="O333">
        <f t="shared" ref="O333:V333" si="43">IF($K330&gt;0,ROUND(O331*$E330/100,DpCU),IF(O334&gt;10000,ROUND(HLOOKUP(O334,$O330:$V333,4,FALSE)/100*O331,DpCU),IF(OR(O330&lt;20001,O330&gt;95000,AND(60000&lt;O330,O330&lt;70001)),ROUND(ROUND(O331*JL/$C330,DcCU)*O332,DpCU),IF(OR(AND(20000&lt;O330,O330&lt;22501),AND(30000&lt;O330,O330&lt;50001),77500&lt;O330),ROUND(O332*O331,DpCU),IF(OR(AND(22500&lt;O330,O330&lt;25001),AND(50000&lt;O330,O330&lt;53501),AND(70000&lt;O330,O330&lt;72501)),ROUND($F330/100*O331,DpCU),IF(OR(AND(25000&lt;O330,O330&lt;27501),AND(53500&lt;O330,O330&lt;57001),AND(72500&lt;O330,O330&lt;75001)),ROUND($G330/100*O331,DpCU),ROUND($H330/100*O331,DpCU)))))))</f>
        <v>1.6</v>
      </c>
      <c r="P333">
        <f t="shared" si="43"/>
        <v>13.32</v>
      </c>
      <c r="Q333">
        <f t="shared" si="43"/>
        <v>10.94</v>
      </c>
      <c r="R333">
        <f t="shared" si="43"/>
        <v>0.74</v>
      </c>
      <c r="S333">
        <f t="shared" si="43"/>
        <v>0.84</v>
      </c>
      <c r="T333">
        <f t="shared" si="43"/>
        <v>13.65</v>
      </c>
      <c r="U333">
        <f t="shared" si="43"/>
        <v>1.29</v>
      </c>
      <c r="V333">
        <f t="shared" si="43"/>
        <v>0.39</v>
      </c>
    </row>
    <row r="334" spans="1:23" x14ac:dyDescent="0.2">
      <c r="B334" s="3" t="str">
        <f>A330&amp;"r"</f>
        <v>10066r</v>
      </c>
    </row>
    <row r="335" spans="1:23" x14ac:dyDescent="0.2">
      <c r="A335">
        <v>10067</v>
      </c>
      <c r="B335" s="3" t="s">
        <v>478</v>
      </c>
      <c r="C335" s="1">
        <f>ROUND(J335*JL*Frto/8,4)</f>
        <v>240</v>
      </c>
      <c r="D335" t="s">
        <v>33</v>
      </c>
      <c r="E335">
        <f>SUM($O338:$U338)</f>
        <v>9.42</v>
      </c>
      <c r="F335">
        <f>SUMIF($O335:$U335,"&lt;22501",$O338:$U338)</f>
        <v>1.3399999999999999</v>
      </c>
      <c r="G335">
        <f>SUMIFS($O338:$U338,$O335:$U335,"&gt;30000",$O335:$U335,"&lt;50001")</f>
        <v>2.76</v>
      </c>
      <c r="H335">
        <f>SUMIFS($O338:$U338,$O335:$U335,"&gt;60000",$O335:$U335,"&lt;70001")</f>
        <v>0</v>
      </c>
      <c r="I335">
        <v>7</v>
      </c>
      <c r="J335">
        <v>240</v>
      </c>
      <c r="O335">
        <v>10001</v>
      </c>
      <c r="P335">
        <v>10002</v>
      </c>
      <c r="Q335">
        <v>10008</v>
      </c>
      <c r="R335">
        <v>30063</v>
      </c>
      <c r="S335">
        <v>30066</v>
      </c>
      <c r="T335">
        <v>70001</v>
      </c>
      <c r="U335">
        <v>77507</v>
      </c>
    </row>
    <row r="336" spans="1:23" x14ac:dyDescent="0.2">
      <c r="B336" s="3" t="str">
        <f>A335&amp;"C"</f>
        <v>10067C</v>
      </c>
      <c r="O336">
        <v>0.1</v>
      </c>
      <c r="P336">
        <v>1</v>
      </c>
      <c r="Q336">
        <v>1</v>
      </c>
      <c r="R336">
        <v>0.06</v>
      </c>
      <c r="S336">
        <v>1.07</v>
      </c>
      <c r="T336">
        <v>5</v>
      </c>
      <c r="U336">
        <v>1.4999999999999999E-2</v>
      </c>
    </row>
    <row r="337" spans="1:23" x14ac:dyDescent="0.2">
      <c r="O337">
        <f>IF(O339&gt;10000,HLOOKUP(O339,N335:$O338,4,FALSE),IF(OR(AND(22500&lt;O335,O335&lt;25001),AND(50000&lt;O335,O335&lt;53501),AND(70000&lt;O335,O335&lt;72501)),$F335,IF(OR(AND(25001&lt;O335,O335&lt;27501),AND(53500&lt;O335,O335&lt;57001),AND(72500&lt;O335,O335&lt;75001)),$G335,IF(OR(AND(27500&lt;O335,O335&lt;30001),AND(57000&lt;O335,O335&lt;60001),AND(75000&lt;O335,O335&lt;77500)),$H335,VLOOKUP(O335,BDins,6,FALSE)))))</f>
        <v>24.97</v>
      </c>
      <c r="P337">
        <f>IF(P339&gt;10000,HLOOKUP(P339,O335:$O338,4,FALSE),IF(OR(AND(22500&lt;P335,P335&lt;25001),AND(50000&lt;P335,P335&lt;53501),AND(70000&lt;P335,P335&lt;72501)),$F335,IF(OR(AND(25001&lt;P335,P335&lt;27501),AND(53500&lt;P335,P335&lt;57001),AND(72500&lt;P335,P335&lt;75001)),$G335,IF(OR(AND(27500&lt;P335,P335&lt;30001),AND(57000&lt;P335,P335&lt;60001),AND(75000&lt;P335,P335&lt;77500)),$H335,VLOOKUP(P335,BDins,6,FALSE)))))</f>
        <v>20.81</v>
      </c>
      <c r="Q337">
        <f>IF(Q339&gt;10000,HLOOKUP(Q339,$O335:P338,4,FALSE),IF(OR(AND(22500&lt;Q335,Q335&lt;25001),AND(50000&lt;Q335,Q335&lt;53501),AND(70000&lt;Q335,Q335&lt;72501)),$F335,IF(OR(AND(25001&lt;Q335,Q335&lt;27501),AND(53500&lt;Q335,Q335&lt;57001),AND(72500&lt;Q335,Q335&lt;75001)),$G335,IF(OR(AND(27500&lt;Q335,Q335&lt;30001),AND(57000&lt;Q335,Q335&lt;60001),AND(75000&lt;Q335,Q335&lt;77500)),$H335,VLOOKUP(Q335,BDins,6,FALSE)))))</f>
        <v>17.09</v>
      </c>
      <c r="R337">
        <f>IF(R339&gt;10000,HLOOKUP(R339,$O335:Q338,4,FALSE),IF(OR(AND(22500&lt;R335,R335&lt;25001),AND(50000&lt;R335,R335&lt;53501),AND(70000&lt;R335,R335&lt;72501)),$F335,IF(OR(AND(25001&lt;R335,R335&lt;27501),AND(53500&lt;R335,R335&lt;57001),AND(72500&lt;R335,R335&lt;75001)),$G335,IF(OR(AND(27500&lt;R335,R335&lt;30001),AND(57000&lt;R335,R335&lt;60001),AND(75000&lt;R335,R335&lt;77500)),$H335,VLOOKUP(R335,BDins,6,FALSE)))))</f>
        <v>3.5</v>
      </c>
      <c r="S337">
        <f>IF(S339&gt;10000,HLOOKUP(S339,$O335:R338,4,FALSE),IF(OR(AND(22500&lt;S335,S335&lt;25001),AND(50000&lt;S335,S335&lt;53501),AND(70000&lt;S335,S335&lt;72501)),$F335,IF(OR(AND(25001&lt;S335,S335&lt;27501),AND(53500&lt;S335,S335&lt;57001),AND(72500&lt;S335,S335&lt;75001)),$G335,IF(OR(AND(27500&lt;S335,S335&lt;30001),AND(57000&lt;S335,S335&lt;60001),AND(75000&lt;S335,S335&lt;77500)),$H335,VLOOKUP(S335,BDins,6,FALSE)))))</f>
        <v>2.38</v>
      </c>
      <c r="T337">
        <f>IF(T339&gt;10000,HLOOKUP(T339,$O335:S338,4,FALSE),IF(OR(AND(22500&lt;T335,T335&lt;25001),AND(50000&lt;T335,T335&lt;53501),AND(70000&lt;T335,T335&lt;72501)),$F335,IF(OR(AND(25001&lt;T335,T335&lt;27501),AND(53500&lt;T335,T335&lt;57001),AND(72500&lt;T335,T335&lt;75001)),$G335,IF(OR(AND(27500&lt;T335,T335&lt;30001),AND(57000&lt;T335,T335&lt;60001),AND(75000&lt;T335,T335&lt;77500)),$H335,VLOOKUP(T335,BDins,6,FALSE)))))</f>
        <v>1.3399999999999999</v>
      </c>
      <c r="U337">
        <f>IF(U339&gt;10000,HLOOKUP(U339,$O335:T338,4,FALSE),IF(OR(AND(22500&lt;U335,U335&lt;25001),AND(50000&lt;U335,U335&lt;53501),AND(70000&lt;U335,U335&lt;72501)),$F335,IF(OR(AND(25001&lt;U335,U335&lt;27501),AND(53500&lt;U335,U335&lt;57001),AND(72500&lt;U335,U335&lt;75001)),$G335,IF(OR(AND(27500&lt;U335,U335&lt;30001),AND(57000&lt;U335,U335&lt;60001),AND(75000&lt;U335,U335&lt;77500)),$H335,VLOOKUP(U335,BDins,6,FALSE)))))</f>
        <v>350</v>
      </c>
    </row>
    <row r="338" spans="1:23" x14ac:dyDescent="0.2">
      <c r="O338">
        <f t="shared" ref="O338:U338" si="44">IF($K335&gt;0,ROUND(O336*$E335/100,DpCU),IF(O339&gt;10000,ROUND(HLOOKUP(O339,$O335:$U338,4,FALSE)/100*O336,DpCU),IF(OR(O335&lt;20001,O335&gt;95000,AND(60000&lt;O335,O335&lt;70001)),ROUND(ROUND(O336*JL/$C335,DcCU)*O337,DpCU),IF(OR(AND(20000&lt;O335,O335&lt;22501),AND(30000&lt;O335,O335&lt;50001),77500&lt;O335),ROUND(O337*O336,DpCU),IF(OR(AND(22500&lt;O335,O335&lt;25001),AND(50000&lt;O335,O335&lt;53501),AND(70000&lt;O335,O335&lt;72501)),ROUND($F335/100*O336,DpCU),IF(OR(AND(25000&lt;O335,O335&lt;27501),AND(53500&lt;O335,O335&lt;57001),AND(72500&lt;O335,O335&lt;75001)),ROUND($G335/100*O336,DpCU),ROUND($H335/100*O336,DpCU)))))))</f>
        <v>0.08</v>
      </c>
      <c r="P338">
        <f t="shared" si="44"/>
        <v>0.69</v>
      </c>
      <c r="Q338">
        <f t="shared" si="44"/>
        <v>0.56999999999999995</v>
      </c>
      <c r="R338">
        <f t="shared" si="44"/>
        <v>0.21</v>
      </c>
      <c r="S338">
        <f t="shared" si="44"/>
        <v>2.5499999999999998</v>
      </c>
      <c r="T338">
        <f t="shared" si="44"/>
        <v>7.0000000000000007E-2</v>
      </c>
      <c r="U338">
        <f t="shared" si="44"/>
        <v>5.25</v>
      </c>
    </row>
    <row r="339" spans="1:23" x14ac:dyDescent="0.2">
      <c r="B339" s="3" t="str">
        <f>A335&amp;"r"</f>
        <v>10067r</v>
      </c>
    </row>
    <row r="340" spans="1:23" x14ac:dyDescent="0.2">
      <c r="A340">
        <v>10068</v>
      </c>
      <c r="B340" s="3" t="s">
        <v>482</v>
      </c>
      <c r="C340" s="1">
        <f>ROUND(J340*JL*Frto/8,4)</f>
        <v>50</v>
      </c>
      <c r="D340" t="s">
        <v>34</v>
      </c>
      <c r="E340">
        <f>SUM($O343:$W343)</f>
        <v>509.16</v>
      </c>
      <c r="F340">
        <f>SUMIF($O340:$W340,"&lt;22501",$O343:$W343)</f>
        <v>31.04</v>
      </c>
      <c r="G340">
        <f>SUMIFS($O343:$W343,$O340:$W340,"&gt;30000",$O340:$W340,"&lt;50001")</f>
        <v>233.26</v>
      </c>
      <c r="H340">
        <f>SUMIFS($O343:$W343,$O340:$W340,"&gt;60000",$O340:$W340,"&lt;70001")</f>
        <v>0.94</v>
      </c>
      <c r="I340">
        <v>9</v>
      </c>
      <c r="J340">
        <v>50</v>
      </c>
      <c r="O340">
        <v>10001</v>
      </c>
      <c r="P340">
        <v>10002</v>
      </c>
      <c r="Q340">
        <v>10003</v>
      </c>
      <c r="R340">
        <v>10008</v>
      </c>
      <c r="S340">
        <v>30074</v>
      </c>
      <c r="T340">
        <v>60014</v>
      </c>
      <c r="U340">
        <v>70001</v>
      </c>
      <c r="V340">
        <v>77509</v>
      </c>
      <c r="W340">
        <v>77510</v>
      </c>
    </row>
    <row r="341" spans="1:23" x14ac:dyDescent="0.2">
      <c r="B341" s="3" t="str">
        <f>A340&amp;"C"</f>
        <v>10068C</v>
      </c>
      <c r="O341">
        <v>0.1</v>
      </c>
      <c r="P341">
        <v>1</v>
      </c>
      <c r="Q341">
        <v>10</v>
      </c>
      <c r="R341">
        <v>1</v>
      </c>
      <c r="S341">
        <v>1.07</v>
      </c>
      <c r="T341">
        <v>1</v>
      </c>
      <c r="U341">
        <v>5</v>
      </c>
      <c r="V341">
        <v>0.5</v>
      </c>
      <c r="W341">
        <v>6.6875</v>
      </c>
    </row>
    <row r="342" spans="1:23" x14ac:dyDescent="0.2">
      <c r="O342">
        <f>IF(O344&gt;10000,HLOOKUP(O344,N340:$O343,4,FALSE),IF(OR(AND(22500&lt;O340,O340&lt;25001),AND(50000&lt;O340,O340&lt;53501),AND(70000&lt;O340,O340&lt;72501)),$F340,IF(OR(AND(25001&lt;O340,O340&lt;27501),AND(53500&lt;O340,O340&lt;57001),AND(72500&lt;O340,O340&lt;75001)),$G340,IF(OR(AND(27500&lt;O340,O340&lt;30001),AND(57000&lt;O340,O340&lt;60001),AND(75000&lt;O340,O340&lt;77500)),$H340,VLOOKUP(O340,BDins,6,FALSE)))))</f>
        <v>24.97</v>
      </c>
      <c r="P342">
        <f>IF(P344&gt;10000,HLOOKUP(P344,O340:$O343,4,FALSE),IF(OR(AND(22500&lt;P340,P340&lt;25001),AND(50000&lt;P340,P340&lt;53501),AND(70000&lt;P340,P340&lt;72501)),$F340,IF(OR(AND(25001&lt;P340,P340&lt;27501),AND(53500&lt;P340,P340&lt;57001),AND(72500&lt;P340,P340&lt;75001)),$G340,IF(OR(AND(27500&lt;P340,P340&lt;30001),AND(57000&lt;P340,P340&lt;60001),AND(75000&lt;P340,P340&lt;77500)),$H340,VLOOKUP(P340,BDins,6,FALSE)))))</f>
        <v>20.81</v>
      </c>
      <c r="Q342">
        <f>IF(Q344&gt;10000,HLOOKUP(Q344,$O340:P343,4,FALSE),IF(OR(AND(22500&lt;Q340,Q340&lt;25001),AND(50000&lt;Q340,Q340&lt;53501),AND(70000&lt;Q340,Q340&lt;72501)),$F340,IF(OR(AND(25001&lt;Q340,Q340&lt;27501),AND(53500&lt;Q340,Q340&lt;57001),AND(72500&lt;Q340,Q340&lt;75001)),$G340,IF(OR(AND(27500&lt;Q340,Q340&lt;30001),AND(57000&lt;Q340,Q340&lt;60001),AND(75000&lt;Q340,Q340&lt;77500)),$H340,VLOOKUP(Q340,BDins,6,FALSE)))))</f>
        <v>15.36</v>
      </c>
      <c r="R342">
        <f>IF(R344&gt;10000,HLOOKUP(R344,$O340:Q343,4,FALSE),IF(OR(AND(22500&lt;R340,R340&lt;25001),AND(50000&lt;R340,R340&lt;53501),AND(70000&lt;R340,R340&lt;72501)),$F340,IF(OR(AND(25001&lt;R340,R340&lt;27501),AND(53500&lt;R340,R340&lt;57001),AND(72500&lt;R340,R340&lt;75001)),$G340,IF(OR(AND(27500&lt;R340,R340&lt;30001),AND(57000&lt;R340,R340&lt;60001),AND(75000&lt;R340,R340&lt;77500)),$H340,VLOOKUP(R340,BDins,6,FALSE)))))</f>
        <v>17.09</v>
      </c>
      <c r="S342">
        <f>IF(S344&gt;10000,HLOOKUP(S344,$O340:R343,4,FALSE),IF(OR(AND(22500&lt;S340,S340&lt;25001),AND(50000&lt;S340,S340&lt;53501),AND(70000&lt;S340,S340&lt;72501)),$F340,IF(OR(AND(25001&lt;S340,S340&lt;27501),AND(53500&lt;S340,S340&lt;57001),AND(72500&lt;S340,S340&lt;75001)),$G340,IF(OR(AND(27500&lt;S340,S340&lt;30001),AND(57000&lt;S340,S340&lt;60001),AND(75000&lt;S340,S340&lt;77500)),$H340,VLOOKUP(S340,BDins,6,FALSE)))))</f>
        <v>218</v>
      </c>
      <c r="T342">
        <f>IF(T344&gt;10000,HLOOKUP(T344,$O340:S343,4,FALSE),IF(OR(AND(22500&lt;T340,T340&lt;25001),AND(50000&lt;T340,T340&lt;53501),AND(70000&lt;T340,T340&lt;72501)),$F340,IF(OR(AND(25001&lt;T340,T340&lt;27501),AND(53500&lt;T340,T340&lt;57001),AND(72500&lt;T340,T340&lt;75001)),$G340,IF(OR(AND(27500&lt;T340,T340&lt;30001),AND(57000&lt;T340,T340&lt;60001),AND(75000&lt;T340,T340&lt;77500)),$H340,VLOOKUP(T340,BDins,6,FALSE)))))</f>
        <v>5.9</v>
      </c>
      <c r="U342">
        <f>IF(U344&gt;10000,HLOOKUP(U344,$O340:T343,4,FALSE),IF(OR(AND(22500&lt;U340,U340&lt;25001),AND(50000&lt;U340,U340&lt;53501),AND(70000&lt;U340,U340&lt;72501)),$F340,IF(OR(AND(25001&lt;U340,U340&lt;27501),AND(53500&lt;U340,U340&lt;57001),AND(72500&lt;U340,U340&lt;75001)),$G340,IF(OR(AND(27500&lt;U340,U340&lt;30001),AND(57000&lt;U340,U340&lt;60001),AND(75000&lt;U340,U340&lt;77500)),$H340,VLOOKUP(U340,BDins,6,FALSE)))))</f>
        <v>31.04</v>
      </c>
      <c r="V342">
        <f>IF(V344&gt;10000,HLOOKUP(V344,$O340:U343,4,FALSE),IF(OR(AND(22500&lt;V340,V340&lt;25001),AND(50000&lt;V340,V340&lt;53501),AND(70000&lt;V340,V340&lt;72501)),$F340,IF(OR(AND(25001&lt;V340,V340&lt;27501),AND(53500&lt;V340,V340&lt;57001),AND(72500&lt;V340,V340&lt;75001)),$G340,IF(OR(AND(27500&lt;V340,V340&lt;30001),AND(57000&lt;V340,V340&lt;60001),AND(75000&lt;V340,V340&lt;77500)),$H340,VLOOKUP(V340,BDins,6,FALSE)))))</f>
        <v>29.98</v>
      </c>
      <c r="W342">
        <f>IF(W344&gt;10000,HLOOKUP(W344,$O340:V343,4,FALSE),IF(OR(AND(22500&lt;W340,W340&lt;25001),AND(50000&lt;W340,W340&lt;53501),AND(70000&lt;W340,W340&lt;72501)),$F340,IF(OR(AND(25001&lt;W340,W340&lt;27501),AND(53500&lt;W340,W340&lt;57001),AND(72500&lt;W340,W340&lt;75001)),$G340,IF(OR(AND(27500&lt;W340,W340&lt;30001),AND(57000&lt;W340,W340&lt;60001),AND(75000&lt;W340,W340&lt;77500)),$H340,VLOOKUP(W340,BDins,6,FALSE)))))</f>
        <v>34</v>
      </c>
    </row>
    <row r="343" spans="1:23" x14ac:dyDescent="0.2">
      <c r="O343">
        <f t="shared" ref="O343:W343" si="45">IF($K340&gt;0,ROUND(O341*$E340/100,DpCU),IF(O344&gt;10000,ROUND(HLOOKUP(O344,$O340:$W343,4,FALSE)/100*O341,DpCU),IF(OR(O340&lt;20001,O340&gt;95000,AND(60000&lt;O340,O340&lt;70001)),ROUND(ROUND(O341*JL/$C340,DcCU)*O342,DpCU),IF(OR(AND(20000&lt;O340,O340&lt;22501),AND(30000&lt;O340,O340&lt;50001),77500&lt;O340),ROUND(O342*O341,DpCU),IF(OR(AND(22500&lt;O340,O340&lt;25001),AND(50000&lt;O340,O340&lt;53501),AND(70000&lt;O340,O340&lt;72501)),ROUND($F340/100*O341,DpCU),IF(OR(AND(25000&lt;O340,O340&lt;27501),AND(53500&lt;O340,O340&lt;57001),AND(72500&lt;O340,O340&lt;75001)),ROUND($G340/100*O341,DpCU),ROUND($H340/100*O341,DpCU)))))))</f>
        <v>0.4</v>
      </c>
      <c r="P343">
        <f t="shared" si="45"/>
        <v>3.33</v>
      </c>
      <c r="Q343">
        <f t="shared" si="45"/>
        <v>24.58</v>
      </c>
      <c r="R343">
        <f t="shared" si="45"/>
        <v>2.73</v>
      </c>
      <c r="S343">
        <f t="shared" si="45"/>
        <v>233.26</v>
      </c>
      <c r="T343">
        <f t="shared" si="45"/>
        <v>0.94</v>
      </c>
      <c r="U343">
        <f t="shared" si="45"/>
        <v>1.55</v>
      </c>
      <c r="V343">
        <f t="shared" si="45"/>
        <v>14.99</v>
      </c>
      <c r="W343">
        <f t="shared" si="45"/>
        <v>227.38</v>
      </c>
    </row>
    <row r="344" spans="1:23" x14ac:dyDescent="0.2">
      <c r="B344" s="3" t="str">
        <f>A340&amp;"r"</f>
        <v>10068r</v>
      </c>
    </row>
    <row r="345" spans="1:23" x14ac:dyDescent="0.2">
      <c r="A345">
        <v>10069</v>
      </c>
      <c r="B345" s="3" t="s">
        <v>485</v>
      </c>
      <c r="C345" s="1">
        <f>ROUND(J345*JL*Frto/8,4)</f>
        <v>12.5</v>
      </c>
      <c r="D345" t="s">
        <v>210</v>
      </c>
      <c r="E345">
        <f>SUM($O348:$V348)</f>
        <v>45.93</v>
      </c>
      <c r="F345">
        <f>SUMIF($O345:$V345,"&lt;22501",$O348:$V348)</f>
        <v>25.86</v>
      </c>
      <c r="G345">
        <f>SUMIFS($O348:$V348,$O345:$V345,"&gt;30000",$O345:$V345,"&lt;50001")</f>
        <v>18.39</v>
      </c>
      <c r="H345">
        <f>SUMIFS($O348:$V348,$O345:$V345,"&gt;60000",$O345:$V345,"&lt;70001")</f>
        <v>0</v>
      </c>
      <c r="I345">
        <v>8</v>
      </c>
      <c r="J345">
        <v>12.5</v>
      </c>
      <c r="O345">
        <v>10001</v>
      </c>
      <c r="P345">
        <v>10002</v>
      </c>
      <c r="Q345">
        <v>10008</v>
      </c>
      <c r="R345">
        <v>30054</v>
      </c>
      <c r="S345">
        <v>30072</v>
      </c>
      <c r="T345">
        <v>30073</v>
      </c>
      <c r="U345">
        <v>70001</v>
      </c>
      <c r="V345">
        <v>77508</v>
      </c>
    </row>
    <row r="346" spans="1:23" x14ac:dyDescent="0.2">
      <c r="B346" s="3" t="str">
        <f>A345&amp;"C"</f>
        <v>10069C</v>
      </c>
      <c r="O346">
        <v>0.1</v>
      </c>
      <c r="P346">
        <v>1</v>
      </c>
      <c r="Q346">
        <v>1</v>
      </c>
      <c r="R346">
        <v>0.1</v>
      </c>
      <c r="S346">
        <v>0.14000000000000001</v>
      </c>
      <c r="T346">
        <v>4.5</v>
      </c>
      <c r="U346">
        <v>5</v>
      </c>
      <c r="V346">
        <v>7.8125E-2</v>
      </c>
    </row>
    <row r="347" spans="1:23" x14ac:dyDescent="0.2">
      <c r="O347">
        <f>IF(O349&gt;10000,HLOOKUP(O349,N345:$O348,4,FALSE),IF(OR(AND(22500&lt;O345,O345&lt;25001),AND(50000&lt;O345,O345&lt;53501),AND(70000&lt;O345,O345&lt;72501)),$F345,IF(OR(AND(25001&lt;O345,O345&lt;27501),AND(53500&lt;O345,O345&lt;57001),AND(72500&lt;O345,O345&lt;75001)),$G345,IF(OR(AND(27500&lt;O345,O345&lt;30001),AND(57000&lt;O345,O345&lt;60001),AND(75000&lt;O345,O345&lt;77500)),$H345,VLOOKUP(O345,BDins,6,FALSE)))))</f>
        <v>24.97</v>
      </c>
      <c r="P347">
        <f>IF(P349&gt;10000,HLOOKUP(P349,O345:$O348,4,FALSE),IF(OR(AND(22500&lt;P345,P345&lt;25001),AND(50000&lt;P345,P345&lt;53501),AND(70000&lt;P345,P345&lt;72501)),$F345,IF(OR(AND(25001&lt;P345,P345&lt;27501),AND(53500&lt;P345,P345&lt;57001),AND(72500&lt;P345,P345&lt;75001)),$G345,IF(OR(AND(27500&lt;P345,P345&lt;30001),AND(57000&lt;P345,P345&lt;60001),AND(75000&lt;P345,P345&lt;77500)),$H345,VLOOKUP(P345,BDins,6,FALSE)))))</f>
        <v>20.81</v>
      </c>
      <c r="Q347">
        <f>IF(Q349&gt;10000,HLOOKUP(Q349,$O345:P348,4,FALSE),IF(OR(AND(22500&lt;Q345,Q345&lt;25001),AND(50000&lt;Q345,Q345&lt;53501),AND(70000&lt;Q345,Q345&lt;72501)),$F345,IF(OR(AND(25001&lt;Q345,Q345&lt;27501),AND(53500&lt;Q345,Q345&lt;57001),AND(72500&lt;Q345,Q345&lt;75001)),$G345,IF(OR(AND(27500&lt;Q345,Q345&lt;30001),AND(57000&lt;Q345,Q345&lt;60001),AND(75000&lt;Q345,Q345&lt;77500)),$H345,VLOOKUP(Q345,BDins,6,FALSE)))))</f>
        <v>17.09</v>
      </c>
      <c r="R347">
        <f>IF(R349&gt;10000,HLOOKUP(R349,$O345:Q348,4,FALSE),IF(OR(AND(22500&lt;R345,R345&lt;25001),AND(50000&lt;R345,R345&lt;53501),AND(70000&lt;R345,R345&lt;72501)),$F345,IF(OR(AND(25001&lt;R345,R345&lt;27501),AND(53500&lt;R345,R345&lt;57001),AND(72500&lt;R345,R345&lt;75001)),$G345,IF(OR(AND(27500&lt;R345,R345&lt;30001),AND(57000&lt;R345,R345&lt;60001),AND(75000&lt;R345,R345&lt;77500)),$H345,VLOOKUP(R345,BDins,6,FALSE)))))</f>
        <v>3.5</v>
      </c>
      <c r="S347">
        <f>IF(S349&gt;10000,HLOOKUP(S349,$O345:R348,4,FALSE),IF(OR(AND(22500&lt;S345,S345&lt;25001),AND(50000&lt;S345,S345&lt;53501),AND(70000&lt;S345,S345&lt;72501)),$F345,IF(OR(AND(25001&lt;S345,S345&lt;27501),AND(53500&lt;S345,S345&lt;57001),AND(72500&lt;S345,S345&lt;75001)),$G345,IF(OR(AND(27500&lt;S345,S345&lt;30001),AND(57000&lt;S345,S345&lt;60001),AND(75000&lt;S345,S345&lt;77500)),$H345,VLOOKUP(S345,BDins,6,FALSE)))))</f>
        <v>3.5</v>
      </c>
      <c r="T347">
        <f>IF(T349&gt;10000,HLOOKUP(T349,$O345:S348,4,FALSE),IF(OR(AND(22500&lt;T345,T345&lt;25001),AND(50000&lt;T345,T345&lt;53501),AND(70000&lt;T345,T345&lt;72501)),$F345,IF(OR(AND(25001&lt;T345,T345&lt;27501),AND(53500&lt;T345,T345&lt;57001),AND(72500&lt;T345,T345&lt;75001)),$G345,IF(OR(AND(27500&lt;T345,T345&lt;30001),AND(57000&lt;T345,T345&lt;60001),AND(75000&lt;T345,T345&lt;77500)),$H345,VLOOKUP(T345,BDins,6,FALSE)))))</f>
        <v>3.9</v>
      </c>
      <c r="U347">
        <f>IF(U349&gt;10000,HLOOKUP(U349,$O345:T348,4,FALSE),IF(OR(AND(22500&lt;U345,U345&lt;25001),AND(50000&lt;U345,U345&lt;53501),AND(70000&lt;U345,U345&lt;72501)),$F345,IF(OR(AND(25001&lt;U345,U345&lt;27501),AND(53500&lt;U345,U345&lt;57001),AND(72500&lt;U345,U345&lt;75001)),$G345,IF(OR(AND(27500&lt;U345,U345&lt;30001),AND(57000&lt;U345,U345&lt;60001),AND(75000&lt;U345,U345&lt;77500)),$H345,VLOOKUP(U345,BDins,6,FALSE)))))</f>
        <v>25.86</v>
      </c>
      <c r="V347">
        <f>IF(V349&gt;10000,HLOOKUP(V349,$O345:U348,4,FALSE),IF(OR(AND(22500&lt;V345,V345&lt;25001),AND(50000&lt;V345,V345&lt;53501),AND(70000&lt;V345,V345&lt;72501)),$F345,IF(OR(AND(25001&lt;V345,V345&lt;27501),AND(53500&lt;V345,V345&lt;57001),AND(72500&lt;V345,V345&lt;75001)),$G345,IF(OR(AND(27500&lt;V345,V345&lt;30001),AND(57000&lt;V345,V345&lt;60001),AND(75000&lt;V345,V345&lt;77500)),$H345,VLOOKUP(V345,BDins,6,FALSE)))))</f>
        <v>5</v>
      </c>
    </row>
    <row r="348" spans="1:23" x14ac:dyDescent="0.2">
      <c r="O348">
        <f t="shared" ref="O348:V348" si="46">IF($K345&gt;0,ROUND(O346*$E345/100,DpCU),IF(O349&gt;10000,ROUND(HLOOKUP(O349,$O345:$V348,4,FALSE)/100*O346,DpCU),IF(OR(O345&lt;20001,O345&gt;95000,AND(60000&lt;O345,O345&lt;70001)),ROUND(ROUND(O346*JL/$C345,DcCU)*O347,DpCU),IF(OR(AND(20000&lt;O345,O345&lt;22501),AND(30000&lt;O345,O345&lt;50001),77500&lt;O345),ROUND(O347*O346,DpCU),IF(OR(AND(22500&lt;O345,O345&lt;25001),AND(50000&lt;O345,O345&lt;53501),AND(70000&lt;O345,O345&lt;72501)),ROUND($F345/100*O346,DpCU),IF(OR(AND(25000&lt;O345,O345&lt;27501),AND(53500&lt;O345,O345&lt;57001),AND(72500&lt;O345,O345&lt;75001)),ROUND($G345/100*O346,DpCU),ROUND($H345/100*O346,DpCU)))))))</f>
        <v>1.6</v>
      </c>
      <c r="P348">
        <f t="shared" si="46"/>
        <v>13.32</v>
      </c>
      <c r="Q348">
        <f t="shared" si="46"/>
        <v>10.94</v>
      </c>
      <c r="R348">
        <f t="shared" si="46"/>
        <v>0.35</v>
      </c>
      <c r="S348">
        <f t="shared" si="46"/>
        <v>0.49</v>
      </c>
      <c r="T348">
        <f t="shared" si="46"/>
        <v>17.55</v>
      </c>
      <c r="U348">
        <f t="shared" si="46"/>
        <v>1.29</v>
      </c>
      <c r="V348">
        <f t="shared" si="46"/>
        <v>0.39</v>
      </c>
    </row>
    <row r="349" spans="1:23" x14ac:dyDescent="0.2">
      <c r="B349" s="3" t="str">
        <f>A345&amp;"r"</f>
        <v>10069r</v>
      </c>
    </row>
    <row r="350" spans="1:23" x14ac:dyDescent="0.2">
      <c r="A350">
        <v>10070</v>
      </c>
      <c r="B350" s="3" t="s">
        <v>487</v>
      </c>
      <c r="C350" s="1">
        <f>ROUND(J350*JL*Frto/8,4)</f>
        <v>240</v>
      </c>
      <c r="D350" t="s">
        <v>33</v>
      </c>
      <c r="E350">
        <f>SUM($O353:$U353)</f>
        <v>9.34</v>
      </c>
      <c r="F350">
        <f>SUMIF($O350:$U350,"&lt;22501",$O353:$U353)</f>
        <v>1.3399999999999999</v>
      </c>
      <c r="G350">
        <f>SUMIFS($O353:$U353,$O350:$U350,"&gt;30000",$O350:$U350,"&lt;50001")</f>
        <v>2.68</v>
      </c>
      <c r="H350">
        <f>SUMIFS($O353:$U353,$O350:$U350,"&gt;60000",$O350:$U350,"&lt;70001")</f>
        <v>0</v>
      </c>
      <c r="I350">
        <v>7</v>
      </c>
      <c r="J350">
        <v>240</v>
      </c>
      <c r="O350">
        <v>10001</v>
      </c>
      <c r="P350">
        <v>10002</v>
      </c>
      <c r="Q350">
        <v>10008</v>
      </c>
      <c r="R350">
        <v>30063</v>
      </c>
      <c r="S350">
        <v>30064</v>
      </c>
      <c r="T350">
        <v>70001</v>
      </c>
      <c r="U350">
        <v>77507</v>
      </c>
    </row>
    <row r="351" spans="1:23" x14ac:dyDescent="0.2">
      <c r="B351" s="3" t="str">
        <f>A350&amp;"C"</f>
        <v>10070C</v>
      </c>
      <c r="O351">
        <v>0.1</v>
      </c>
      <c r="P351">
        <v>1</v>
      </c>
      <c r="Q351">
        <v>1</v>
      </c>
      <c r="R351">
        <v>0.05</v>
      </c>
      <c r="S351">
        <v>1.05</v>
      </c>
      <c r="T351">
        <v>5</v>
      </c>
      <c r="U351">
        <v>1.4999999999999999E-2</v>
      </c>
    </row>
    <row r="352" spans="1:23" x14ac:dyDescent="0.2">
      <c r="O352">
        <f>IF(O354&gt;10000,HLOOKUP(O354,N350:$O353,4,FALSE),IF(OR(AND(22500&lt;O350,O350&lt;25001),AND(50000&lt;O350,O350&lt;53501),AND(70000&lt;O350,O350&lt;72501)),$F350,IF(OR(AND(25001&lt;O350,O350&lt;27501),AND(53500&lt;O350,O350&lt;57001),AND(72500&lt;O350,O350&lt;75001)),$G350,IF(OR(AND(27500&lt;O350,O350&lt;30001),AND(57000&lt;O350,O350&lt;60001),AND(75000&lt;O350,O350&lt;77500)),$H350,VLOOKUP(O350,BDins,6,FALSE)))))</f>
        <v>24.97</v>
      </c>
      <c r="P352">
        <f>IF(P354&gt;10000,HLOOKUP(P354,O350:$O353,4,FALSE),IF(OR(AND(22500&lt;P350,P350&lt;25001),AND(50000&lt;P350,P350&lt;53501),AND(70000&lt;P350,P350&lt;72501)),$F350,IF(OR(AND(25001&lt;P350,P350&lt;27501),AND(53500&lt;P350,P350&lt;57001),AND(72500&lt;P350,P350&lt;75001)),$G350,IF(OR(AND(27500&lt;P350,P350&lt;30001),AND(57000&lt;P350,P350&lt;60001),AND(75000&lt;P350,P350&lt;77500)),$H350,VLOOKUP(P350,BDins,6,FALSE)))))</f>
        <v>20.81</v>
      </c>
      <c r="Q352">
        <f>IF(Q354&gt;10000,HLOOKUP(Q354,$O350:P353,4,FALSE),IF(OR(AND(22500&lt;Q350,Q350&lt;25001),AND(50000&lt;Q350,Q350&lt;53501),AND(70000&lt;Q350,Q350&lt;72501)),$F350,IF(OR(AND(25001&lt;Q350,Q350&lt;27501),AND(53500&lt;Q350,Q350&lt;57001),AND(72500&lt;Q350,Q350&lt;75001)),$G350,IF(OR(AND(27500&lt;Q350,Q350&lt;30001),AND(57000&lt;Q350,Q350&lt;60001),AND(75000&lt;Q350,Q350&lt;77500)),$H350,VLOOKUP(Q350,BDins,6,FALSE)))))</f>
        <v>17.09</v>
      </c>
      <c r="R352">
        <f>IF(R354&gt;10000,HLOOKUP(R354,$O350:Q353,4,FALSE),IF(OR(AND(22500&lt;R350,R350&lt;25001),AND(50000&lt;R350,R350&lt;53501),AND(70000&lt;R350,R350&lt;72501)),$F350,IF(OR(AND(25001&lt;R350,R350&lt;27501),AND(53500&lt;R350,R350&lt;57001),AND(72500&lt;R350,R350&lt;75001)),$G350,IF(OR(AND(27500&lt;R350,R350&lt;30001),AND(57000&lt;R350,R350&lt;60001),AND(75000&lt;R350,R350&lt;77500)),$H350,VLOOKUP(R350,BDins,6,FALSE)))))</f>
        <v>3.5</v>
      </c>
      <c r="S352">
        <f>IF(S354&gt;10000,HLOOKUP(S354,$O350:R353,4,FALSE),IF(OR(AND(22500&lt;S350,S350&lt;25001),AND(50000&lt;S350,S350&lt;53501),AND(70000&lt;S350,S350&lt;72501)),$F350,IF(OR(AND(25001&lt;S350,S350&lt;27501),AND(53500&lt;S350,S350&lt;57001),AND(72500&lt;S350,S350&lt;75001)),$G350,IF(OR(AND(27500&lt;S350,S350&lt;30001),AND(57000&lt;S350,S350&lt;60001),AND(75000&lt;S350,S350&lt;77500)),$H350,VLOOKUP(S350,BDins,6,FALSE)))))</f>
        <v>2.38</v>
      </c>
      <c r="T352">
        <f>IF(T354&gt;10000,HLOOKUP(T354,$O350:S353,4,FALSE),IF(OR(AND(22500&lt;T350,T350&lt;25001),AND(50000&lt;T350,T350&lt;53501),AND(70000&lt;T350,T350&lt;72501)),$F350,IF(OR(AND(25001&lt;T350,T350&lt;27501),AND(53500&lt;T350,T350&lt;57001),AND(72500&lt;T350,T350&lt;75001)),$G350,IF(OR(AND(27500&lt;T350,T350&lt;30001),AND(57000&lt;T350,T350&lt;60001),AND(75000&lt;T350,T350&lt;77500)),$H350,VLOOKUP(T350,BDins,6,FALSE)))))</f>
        <v>1.3399999999999999</v>
      </c>
      <c r="U352">
        <f>IF(U354&gt;10000,HLOOKUP(U354,$O350:T353,4,FALSE),IF(OR(AND(22500&lt;U350,U350&lt;25001),AND(50000&lt;U350,U350&lt;53501),AND(70000&lt;U350,U350&lt;72501)),$F350,IF(OR(AND(25001&lt;U350,U350&lt;27501),AND(53500&lt;U350,U350&lt;57001),AND(72500&lt;U350,U350&lt;75001)),$G350,IF(OR(AND(27500&lt;U350,U350&lt;30001),AND(57000&lt;U350,U350&lt;60001),AND(75000&lt;U350,U350&lt;77500)),$H350,VLOOKUP(U350,BDins,6,FALSE)))))</f>
        <v>350</v>
      </c>
    </row>
    <row r="353" spans="1:23" x14ac:dyDescent="0.2">
      <c r="O353">
        <f t="shared" ref="O353:U353" si="47">IF($K350&gt;0,ROUND(O351*$E350/100,DpCU),IF(O354&gt;10000,ROUND(HLOOKUP(O354,$O350:$U353,4,FALSE)/100*O351,DpCU),IF(OR(O350&lt;20001,O350&gt;95000,AND(60000&lt;O350,O350&lt;70001)),ROUND(ROUND(O351*JL/$C350,DcCU)*O352,DpCU),IF(OR(AND(20000&lt;O350,O350&lt;22501),AND(30000&lt;O350,O350&lt;50001),77500&lt;O350),ROUND(O352*O351,DpCU),IF(OR(AND(22500&lt;O350,O350&lt;25001),AND(50000&lt;O350,O350&lt;53501),AND(70000&lt;O350,O350&lt;72501)),ROUND($F350/100*O351,DpCU),IF(OR(AND(25000&lt;O350,O350&lt;27501),AND(53500&lt;O350,O350&lt;57001),AND(72500&lt;O350,O350&lt;75001)),ROUND($G350/100*O351,DpCU),ROUND($H350/100*O351,DpCU)))))))</f>
        <v>0.08</v>
      </c>
      <c r="P353">
        <f t="shared" si="47"/>
        <v>0.69</v>
      </c>
      <c r="Q353">
        <f t="shared" si="47"/>
        <v>0.56999999999999995</v>
      </c>
      <c r="R353">
        <f t="shared" si="47"/>
        <v>0.18</v>
      </c>
      <c r="S353">
        <f t="shared" si="47"/>
        <v>2.5</v>
      </c>
      <c r="T353">
        <f t="shared" si="47"/>
        <v>7.0000000000000007E-2</v>
      </c>
      <c r="U353">
        <f t="shared" si="47"/>
        <v>5.25</v>
      </c>
    </row>
    <row r="354" spans="1:23" x14ac:dyDescent="0.2">
      <c r="B354" s="3" t="str">
        <f>A350&amp;"r"</f>
        <v>10070r</v>
      </c>
    </row>
    <row r="355" spans="1:23" x14ac:dyDescent="0.2">
      <c r="A355">
        <v>10071</v>
      </c>
      <c r="B355" s="3" t="s">
        <v>491</v>
      </c>
      <c r="C355" s="1">
        <f>ROUND(J355*JL*Frto/8,4)</f>
        <v>50</v>
      </c>
      <c r="D355" t="s">
        <v>34</v>
      </c>
      <c r="E355">
        <f>SUM($O358:$W358)</f>
        <v>509.16</v>
      </c>
      <c r="F355">
        <f>SUMIF($O355:$W355,"&lt;22501",$O358:$W358)</f>
        <v>31.04</v>
      </c>
      <c r="G355">
        <f>SUMIFS($O358:$W358,$O355:$W355,"&gt;30000",$O355:$W355,"&lt;50001")</f>
        <v>233.26</v>
      </c>
      <c r="H355">
        <f>SUMIFS($O358:$W358,$O355:$W355,"&gt;60000",$O355:$W355,"&lt;70001")</f>
        <v>0.94</v>
      </c>
      <c r="I355">
        <v>9</v>
      </c>
      <c r="J355">
        <v>50</v>
      </c>
      <c r="O355">
        <v>10001</v>
      </c>
      <c r="P355">
        <v>10002</v>
      </c>
      <c r="Q355">
        <v>10003</v>
      </c>
      <c r="R355">
        <v>10008</v>
      </c>
      <c r="S355">
        <v>30075</v>
      </c>
      <c r="T355">
        <v>60014</v>
      </c>
      <c r="U355">
        <v>70001</v>
      </c>
      <c r="V355">
        <v>77509</v>
      </c>
      <c r="W355">
        <v>77510</v>
      </c>
    </row>
    <row r="356" spans="1:23" x14ac:dyDescent="0.2">
      <c r="B356" s="3" t="str">
        <f>A355&amp;"C"</f>
        <v>10071C</v>
      </c>
      <c r="O356">
        <v>0.1</v>
      </c>
      <c r="P356">
        <v>1</v>
      </c>
      <c r="Q356">
        <v>10</v>
      </c>
      <c r="R356">
        <v>1</v>
      </c>
      <c r="S356">
        <v>1.07</v>
      </c>
      <c r="T356">
        <v>1</v>
      </c>
      <c r="U356">
        <v>5</v>
      </c>
      <c r="V356">
        <v>0.5</v>
      </c>
      <c r="W356">
        <v>6.6875</v>
      </c>
    </row>
    <row r="357" spans="1:23" x14ac:dyDescent="0.2">
      <c r="O357">
        <f>IF(O359&gt;10000,HLOOKUP(O359,N355:$O358,4,FALSE),IF(OR(AND(22500&lt;O355,O355&lt;25001),AND(50000&lt;O355,O355&lt;53501),AND(70000&lt;O355,O355&lt;72501)),$F355,IF(OR(AND(25001&lt;O355,O355&lt;27501),AND(53500&lt;O355,O355&lt;57001),AND(72500&lt;O355,O355&lt;75001)),$G355,IF(OR(AND(27500&lt;O355,O355&lt;30001),AND(57000&lt;O355,O355&lt;60001),AND(75000&lt;O355,O355&lt;77500)),$H355,VLOOKUP(O355,BDins,6,FALSE)))))</f>
        <v>24.97</v>
      </c>
      <c r="P357">
        <f>IF(P359&gt;10000,HLOOKUP(P359,O355:$O358,4,FALSE),IF(OR(AND(22500&lt;P355,P355&lt;25001),AND(50000&lt;P355,P355&lt;53501),AND(70000&lt;P355,P355&lt;72501)),$F355,IF(OR(AND(25001&lt;P355,P355&lt;27501),AND(53500&lt;P355,P355&lt;57001),AND(72500&lt;P355,P355&lt;75001)),$G355,IF(OR(AND(27500&lt;P355,P355&lt;30001),AND(57000&lt;P355,P355&lt;60001),AND(75000&lt;P355,P355&lt;77500)),$H355,VLOOKUP(P355,BDins,6,FALSE)))))</f>
        <v>20.81</v>
      </c>
      <c r="Q357">
        <f>IF(Q359&gt;10000,HLOOKUP(Q359,$O355:P358,4,FALSE),IF(OR(AND(22500&lt;Q355,Q355&lt;25001),AND(50000&lt;Q355,Q355&lt;53501),AND(70000&lt;Q355,Q355&lt;72501)),$F355,IF(OR(AND(25001&lt;Q355,Q355&lt;27501),AND(53500&lt;Q355,Q355&lt;57001),AND(72500&lt;Q355,Q355&lt;75001)),$G355,IF(OR(AND(27500&lt;Q355,Q355&lt;30001),AND(57000&lt;Q355,Q355&lt;60001),AND(75000&lt;Q355,Q355&lt;77500)),$H355,VLOOKUP(Q355,BDins,6,FALSE)))))</f>
        <v>15.36</v>
      </c>
      <c r="R357">
        <f>IF(R359&gt;10000,HLOOKUP(R359,$O355:Q358,4,FALSE),IF(OR(AND(22500&lt;R355,R355&lt;25001),AND(50000&lt;R355,R355&lt;53501),AND(70000&lt;R355,R355&lt;72501)),$F355,IF(OR(AND(25001&lt;R355,R355&lt;27501),AND(53500&lt;R355,R355&lt;57001),AND(72500&lt;R355,R355&lt;75001)),$G355,IF(OR(AND(27500&lt;R355,R355&lt;30001),AND(57000&lt;R355,R355&lt;60001),AND(75000&lt;R355,R355&lt;77500)),$H355,VLOOKUP(R355,BDins,6,FALSE)))))</f>
        <v>17.09</v>
      </c>
      <c r="S357">
        <f>IF(S359&gt;10000,HLOOKUP(S359,$O355:R358,4,FALSE),IF(OR(AND(22500&lt;S355,S355&lt;25001),AND(50000&lt;S355,S355&lt;53501),AND(70000&lt;S355,S355&lt;72501)),$F355,IF(OR(AND(25001&lt;S355,S355&lt;27501),AND(53500&lt;S355,S355&lt;57001),AND(72500&lt;S355,S355&lt;75001)),$G355,IF(OR(AND(27500&lt;S355,S355&lt;30001),AND(57000&lt;S355,S355&lt;60001),AND(75000&lt;S355,S355&lt;77500)),$H355,VLOOKUP(S355,BDins,6,FALSE)))))</f>
        <v>218</v>
      </c>
      <c r="T357">
        <f>IF(T359&gt;10000,HLOOKUP(T359,$O355:S358,4,FALSE),IF(OR(AND(22500&lt;T355,T355&lt;25001),AND(50000&lt;T355,T355&lt;53501),AND(70000&lt;T355,T355&lt;72501)),$F355,IF(OR(AND(25001&lt;T355,T355&lt;27501),AND(53500&lt;T355,T355&lt;57001),AND(72500&lt;T355,T355&lt;75001)),$G355,IF(OR(AND(27500&lt;T355,T355&lt;30001),AND(57000&lt;T355,T355&lt;60001),AND(75000&lt;T355,T355&lt;77500)),$H355,VLOOKUP(T355,BDins,6,FALSE)))))</f>
        <v>5.9</v>
      </c>
      <c r="U357">
        <f>IF(U359&gt;10000,HLOOKUP(U359,$O355:T358,4,FALSE),IF(OR(AND(22500&lt;U355,U355&lt;25001),AND(50000&lt;U355,U355&lt;53501),AND(70000&lt;U355,U355&lt;72501)),$F355,IF(OR(AND(25001&lt;U355,U355&lt;27501),AND(53500&lt;U355,U355&lt;57001),AND(72500&lt;U355,U355&lt;75001)),$G355,IF(OR(AND(27500&lt;U355,U355&lt;30001),AND(57000&lt;U355,U355&lt;60001),AND(75000&lt;U355,U355&lt;77500)),$H355,VLOOKUP(U355,BDins,6,FALSE)))))</f>
        <v>31.04</v>
      </c>
      <c r="V357">
        <f>IF(V359&gt;10000,HLOOKUP(V359,$O355:U358,4,FALSE),IF(OR(AND(22500&lt;V355,V355&lt;25001),AND(50000&lt;V355,V355&lt;53501),AND(70000&lt;V355,V355&lt;72501)),$F355,IF(OR(AND(25001&lt;V355,V355&lt;27501),AND(53500&lt;V355,V355&lt;57001),AND(72500&lt;V355,V355&lt;75001)),$G355,IF(OR(AND(27500&lt;V355,V355&lt;30001),AND(57000&lt;V355,V355&lt;60001),AND(75000&lt;V355,V355&lt;77500)),$H355,VLOOKUP(V355,BDins,6,FALSE)))))</f>
        <v>29.98</v>
      </c>
      <c r="W357">
        <f>IF(W359&gt;10000,HLOOKUP(W359,$O355:V358,4,FALSE),IF(OR(AND(22500&lt;W355,W355&lt;25001),AND(50000&lt;W355,W355&lt;53501),AND(70000&lt;W355,W355&lt;72501)),$F355,IF(OR(AND(25001&lt;W355,W355&lt;27501),AND(53500&lt;W355,W355&lt;57001),AND(72500&lt;W355,W355&lt;75001)),$G355,IF(OR(AND(27500&lt;W355,W355&lt;30001),AND(57000&lt;W355,W355&lt;60001),AND(75000&lt;W355,W355&lt;77500)),$H355,VLOOKUP(W355,BDins,6,FALSE)))))</f>
        <v>34</v>
      </c>
    </row>
    <row r="358" spans="1:23" x14ac:dyDescent="0.2">
      <c r="O358">
        <f t="shared" ref="O358:W358" si="48">IF($K355&gt;0,ROUND(O356*$E355/100,DpCU),IF(O359&gt;10000,ROUND(HLOOKUP(O359,$O355:$W358,4,FALSE)/100*O356,DpCU),IF(OR(O355&lt;20001,O355&gt;95000,AND(60000&lt;O355,O355&lt;70001)),ROUND(ROUND(O356*JL/$C355,DcCU)*O357,DpCU),IF(OR(AND(20000&lt;O355,O355&lt;22501),AND(30000&lt;O355,O355&lt;50001),77500&lt;O355),ROUND(O357*O356,DpCU),IF(OR(AND(22500&lt;O355,O355&lt;25001),AND(50000&lt;O355,O355&lt;53501),AND(70000&lt;O355,O355&lt;72501)),ROUND($F355/100*O356,DpCU),IF(OR(AND(25000&lt;O355,O355&lt;27501),AND(53500&lt;O355,O355&lt;57001),AND(72500&lt;O355,O355&lt;75001)),ROUND($G355/100*O356,DpCU),ROUND($H355/100*O356,DpCU)))))))</f>
        <v>0.4</v>
      </c>
      <c r="P358">
        <f t="shared" si="48"/>
        <v>3.33</v>
      </c>
      <c r="Q358">
        <f t="shared" si="48"/>
        <v>24.58</v>
      </c>
      <c r="R358">
        <f t="shared" si="48"/>
        <v>2.73</v>
      </c>
      <c r="S358">
        <f t="shared" si="48"/>
        <v>233.26</v>
      </c>
      <c r="T358">
        <f t="shared" si="48"/>
        <v>0.94</v>
      </c>
      <c r="U358">
        <f t="shared" si="48"/>
        <v>1.55</v>
      </c>
      <c r="V358">
        <f t="shared" si="48"/>
        <v>14.99</v>
      </c>
      <c r="W358">
        <f t="shared" si="48"/>
        <v>227.38</v>
      </c>
    </row>
    <row r="359" spans="1:23" x14ac:dyDescent="0.2">
      <c r="B359" s="3" t="str">
        <f>A355&amp;"r"</f>
        <v>10071r</v>
      </c>
    </row>
    <row r="360" spans="1:23" x14ac:dyDescent="0.2">
      <c r="A360">
        <v>10072</v>
      </c>
      <c r="B360" s="3" t="s">
        <v>494</v>
      </c>
      <c r="C360" s="1">
        <f>ROUND(J360*JL*Frto/8,4)</f>
        <v>100</v>
      </c>
      <c r="D360" t="s">
        <v>194</v>
      </c>
      <c r="E360">
        <f>SUM($O363:$T363)</f>
        <v>14.82</v>
      </c>
      <c r="F360">
        <f>SUMIF($O360:$T360,"&lt;22501",$O363:$T363)</f>
        <v>2.8</v>
      </c>
      <c r="G360">
        <f>SUMIFS($O363:$T363,$O360:$T360,"&gt;30000",$O360:$T360,"&lt;50001")</f>
        <v>11.879999999999999</v>
      </c>
      <c r="H360">
        <f>SUMIFS($O363:$T363,$O360:$T360,"&gt;60000",$O360:$T360,"&lt;70001")</f>
        <v>0</v>
      </c>
      <c r="I360">
        <v>6</v>
      </c>
      <c r="J360">
        <v>100</v>
      </c>
      <c r="O360">
        <v>10001</v>
      </c>
      <c r="P360">
        <v>10003</v>
      </c>
      <c r="Q360">
        <v>10008</v>
      </c>
      <c r="R360">
        <v>30055</v>
      </c>
      <c r="S360">
        <v>30076</v>
      </c>
      <c r="T360">
        <v>70001</v>
      </c>
    </row>
    <row r="361" spans="1:23" x14ac:dyDescent="0.2">
      <c r="B361" s="3" t="str">
        <f>A360&amp;"C"</f>
        <v>10072C</v>
      </c>
      <c r="O361">
        <v>0.1</v>
      </c>
      <c r="P361">
        <v>1</v>
      </c>
      <c r="Q361">
        <v>1</v>
      </c>
      <c r="R361">
        <v>0.05</v>
      </c>
      <c r="S361">
        <v>1</v>
      </c>
      <c r="T361">
        <v>5</v>
      </c>
    </row>
    <row r="362" spans="1:23" x14ac:dyDescent="0.2">
      <c r="O362">
        <f>IF(O364&gt;10000,HLOOKUP(O364,N360:$O363,4,FALSE),IF(OR(AND(22500&lt;O360,O360&lt;25001),AND(50000&lt;O360,O360&lt;53501),AND(70000&lt;O360,O360&lt;72501)),$F360,IF(OR(AND(25001&lt;O360,O360&lt;27501),AND(53500&lt;O360,O360&lt;57001),AND(72500&lt;O360,O360&lt;75001)),$G360,IF(OR(AND(27500&lt;O360,O360&lt;30001),AND(57000&lt;O360,O360&lt;60001),AND(75000&lt;O360,O360&lt;77500)),$H360,VLOOKUP(O360,BDins,6,FALSE)))))</f>
        <v>24.97</v>
      </c>
      <c r="P362">
        <f>IF(P364&gt;10000,HLOOKUP(P364,O360:$O363,4,FALSE),IF(OR(AND(22500&lt;P360,P360&lt;25001),AND(50000&lt;P360,P360&lt;53501),AND(70000&lt;P360,P360&lt;72501)),$F360,IF(OR(AND(25001&lt;P360,P360&lt;27501),AND(53500&lt;P360,P360&lt;57001),AND(72500&lt;P360,P360&lt;75001)),$G360,IF(OR(AND(27500&lt;P360,P360&lt;30001),AND(57000&lt;P360,P360&lt;60001),AND(75000&lt;P360,P360&lt;77500)),$H360,VLOOKUP(P360,BDins,6,FALSE)))))</f>
        <v>15.36</v>
      </c>
      <c r="Q362">
        <f>IF(Q364&gt;10000,HLOOKUP(Q364,$O360:P363,4,FALSE),IF(OR(AND(22500&lt;Q360,Q360&lt;25001),AND(50000&lt;Q360,Q360&lt;53501),AND(70000&lt;Q360,Q360&lt;72501)),$F360,IF(OR(AND(25001&lt;Q360,Q360&lt;27501),AND(53500&lt;Q360,Q360&lt;57001),AND(72500&lt;Q360,Q360&lt;75001)),$G360,IF(OR(AND(27500&lt;Q360,Q360&lt;30001),AND(57000&lt;Q360,Q360&lt;60001),AND(75000&lt;Q360,Q360&lt;77500)),$H360,VLOOKUP(Q360,BDins,6,FALSE)))))</f>
        <v>17.09</v>
      </c>
      <c r="R362">
        <f>IF(R364&gt;10000,HLOOKUP(R364,$O360:Q363,4,FALSE),IF(OR(AND(22500&lt;R360,R360&lt;25001),AND(50000&lt;R360,R360&lt;53501),AND(70000&lt;R360,R360&lt;72501)),$F360,IF(OR(AND(25001&lt;R360,R360&lt;27501),AND(53500&lt;R360,R360&lt;57001),AND(72500&lt;R360,R360&lt;75001)),$G360,IF(OR(AND(27500&lt;R360,R360&lt;30001),AND(57000&lt;R360,R360&lt;60001),AND(75000&lt;R360,R360&lt;77500)),$H360,VLOOKUP(R360,BDins,6,FALSE)))))</f>
        <v>3.9</v>
      </c>
      <c r="S362">
        <f>IF(S364&gt;10000,HLOOKUP(S364,$O360:R363,4,FALSE),IF(OR(AND(22500&lt;S360,S360&lt;25001),AND(50000&lt;S360,S360&lt;53501),AND(70000&lt;S360,S360&lt;72501)),$F360,IF(OR(AND(25001&lt;S360,S360&lt;27501),AND(53500&lt;S360,S360&lt;57001),AND(72500&lt;S360,S360&lt;75001)),$G360,IF(OR(AND(27500&lt;S360,S360&lt;30001),AND(57000&lt;S360,S360&lt;60001),AND(75000&lt;S360,S360&lt;77500)),$H360,VLOOKUP(S360,BDins,6,FALSE)))))</f>
        <v>11.68</v>
      </c>
      <c r="T362">
        <f>IF(T364&gt;10000,HLOOKUP(T364,$O360:S363,4,FALSE),IF(OR(AND(22500&lt;T360,T360&lt;25001),AND(50000&lt;T360,T360&lt;53501),AND(70000&lt;T360,T360&lt;72501)),$F360,IF(OR(AND(25001&lt;T360,T360&lt;27501),AND(53500&lt;T360,T360&lt;57001),AND(72500&lt;T360,T360&lt;75001)),$G360,IF(OR(AND(27500&lt;T360,T360&lt;30001),AND(57000&lt;T360,T360&lt;60001),AND(75000&lt;T360,T360&lt;77500)),$H360,VLOOKUP(T360,BDins,6,FALSE)))))</f>
        <v>2.8</v>
      </c>
    </row>
    <row r="363" spans="1:23" x14ac:dyDescent="0.2">
      <c r="O363">
        <f t="shared" ref="O363:T363" si="49">IF($K360&gt;0,ROUND(O361*$E360/100,DpCU),IF(O364&gt;10000,ROUND(HLOOKUP(O364,$O360:$T363,4,FALSE)/100*O361,DpCU),IF(OR(O360&lt;20001,O360&gt;95000,AND(60000&lt;O360,O360&lt;70001)),ROUND(ROUND(O361*JL/$C360,DcCU)*O362,DpCU),IF(OR(AND(20000&lt;O360,O360&lt;22501),AND(30000&lt;O360,O360&lt;50001),77500&lt;O360),ROUND(O362*O361,DpCU),IF(OR(AND(22500&lt;O360,O360&lt;25001),AND(50000&lt;O360,O360&lt;53501),AND(70000&lt;O360,O360&lt;72501)),ROUND($F360/100*O361,DpCU),IF(OR(AND(25000&lt;O360,O360&lt;27501),AND(53500&lt;O360,O360&lt;57001),AND(72500&lt;O360,O360&lt;75001)),ROUND($G360/100*O361,DpCU),ROUND($H360/100*O361,DpCU)))))))</f>
        <v>0.2</v>
      </c>
      <c r="P363">
        <f t="shared" si="49"/>
        <v>1.23</v>
      </c>
      <c r="Q363">
        <f t="shared" si="49"/>
        <v>1.37</v>
      </c>
      <c r="R363">
        <f t="shared" si="49"/>
        <v>0.2</v>
      </c>
      <c r="S363">
        <f t="shared" si="49"/>
        <v>11.68</v>
      </c>
      <c r="T363">
        <f t="shared" si="49"/>
        <v>0.14000000000000001</v>
      </c>
    </row>
    <row r="364" spans="1:23" x14ac:dyDescent="0.2">
      <c r="B364" s="3" t="str">
        <f>A360&amp;"r"</f>
        <v>10072r</v>
      </c>
    </row>
    <row r="365" spans="1:23" x14ac:dyDescent="0.2">
      <c r="A365">
        <v>10073</v>
      </c>
      <c r="B365" s="3" t="s">
        <v>497</v>
      </c>
      <c r="C365" s="1">
        <f>ROUND(J365*JL*Frto/8,4)</f>
        <v>100</v>
      </c>
      <c r="D365" t="s">
        <v>194</v>
      </c>
      <c r="E365">
        <f>SUM($O368:$T368)</f>
        <v>16.32</v>
      </c>
      <c r="F365">
        <f>SUMIF($O365:$T365,"&lt;22501",$O368:$T368)</f>
        <v>2.8</v>
      </c>
      <c r="G365">
        <f>SUMIFS($O368:$T368,$O365:$T365,"&gt;30000",$O365:$T365,"&lt;50001")</f>
        <v>13.379999999999999</v>
      </c>
      <c r="H365">
        <f>SUMIFS($O368:$T368,$O365:$T365,"&gt;60000",$O365:$T365,"&lt;70001")</f>
        <v>0</v>
      </c>
      <c r="I365">
        <v>6</v>
      </c>
      <c r="J365">
        <v>100</v>
      </c>
      <c r="O365">
        <v>10001</v>
      </c>
      <c r="P365">
        <v>10003</v>
      </c>
      <c r="Q365">
        <v>10008</v>
      </c>
      <c r="R365">
        <v>30055</v>
      </c>
      <c r="S365">
        <v>30077</v>
      </c>
      <c r="T365">
        <v>70001</v>
      </c>
    </row>
    <row r="366" spans="1:23" x14ac:dyDescent="0.2">
      <c r="B366" s="3" t="str">
        <f>A365&amp;"C"</f>
        <v>10073C</v>
      </c>
      <c r="O366">
        <v>0.1</v>
      </c>
      <c r="P366">
        <v>1</v>
      </c>
      <c r="Q366">
        <v>1</v>
      </c>
      <c r="R366">
        <v>0.05</v>
      </c>
      <c r="S366">
        <v>1</v>
      </c>
      <c r="T366">
        <v>5</v>
      </c>
    </row>
    <row r="367" spans="1:23" x14ac:dyDescent="0.2">
      <c r="O367">
        <f>IF(O369&gt;10000,HLOOKUP(O369,N365:$O368,4,FALSE),IF(OR(AND(22500&lt;O365,O365&lt;25001),AND(50000&lt;O365,O365&lt;53501),AND(70000&lt;O365,O365&lt;72501)),$F365,IF(OR(AND(25001&lt;O365,O365&lt;27501),AND(53500&lt;O365,O365&lt;57001),AND(72500&lt;O365,O365&lt;75001)),$G365,IF(OR(AND(27500&lt;O365,O365&lt;30001),AND(57000&lt;O365,O365&lt;60001),AND(75000&lt;O365,O365&lt;77500)),$H365,VLOOKUP(O365,BDins,6,FALSE)))))</f>
        <v>24.97</v>
      </c>
      <c r="P367">
        <f>IF(P369&gt;10000,HLOOKUP(P369,O365:$O368,4,FALSE),IF(OR(AND(22500&lt;P365,P365&lt;25001),AND(50000&lt;P365,P365&lt;53501),AND(70000&lt;P365,P365&lt;72501)),$F365,IF(OR(AND(25001&lt;P365,P365&lt;27501),AND(53500&lt;P365,P365&lt;57001),AND(72500&lt;P365,P365&lt;75001)),$G365,IF(OR(AND(27500&lt;P365,P365&lt;30001),AND(57000&lt;P365,P365&lt;60001),AND(75000&lt;P365,P365&lt;77500)),$H365,VLOOKUP(P365,BDins,6,FALSE)))))</f>
        <v>15.36</v>
      </c>
      <c r="Q367">
        <f>IF(Q369&gt;10000,HLOOKUP(Q369,$O365:P368,4,FALSE),IF(OR(AND(22500&lt;Q365,Q365&lt;25001),AND(50000&lt;Q365,Q365&lt;53501),AND(70000&lt;Q365,Q365&lt;72501)),$F365,IF(OR(AND(25001&lt;Q365,Q365&lt;27501),AND(53500&lt;Q365,Q365&lt;57001),AND(72500&lt;Q365,Q365&lt;75001)),$G365,IF(OR(AND(27500&lt;Q365,Q365&lt;30001),AND(57000&lt;Q365,Q365&lt;60001),AND(75000&lt;Q365,Q365&lt;77500)),$H365,VLOOKUP(Q365,BDins,6,FALSE)))))</f>
        <v>17.09</v>
      </c>
      <c r="R367">
        <f>IF(R369&gt;10000,HLOOKUP(R369,$O365:Q368,4,FALSE),IF(OR(AND(22500&lt;R365,R365&lt;25001),AND(50000&lt;R365,R365&lt;53501),AND(70000&lt;R365,R365&lt;72501)),$F365,IF(OR(AND(25001&lt;R365,R365&lt;27501),AND(53500&lt;R365,R365&lt;57001),AND(72500&lt;R365,R365&lt;75001)),$G365,IF(OR(AND(27500&lt;R365,R365&lt;30001),AND(57000&lt;R365,R365&lt;60001),AND(75000&lt;R365,R365&lt;77500)),$H365,VLOOKUP(R365,BDins,6,FALSE)))))</f>
        <v>3.9</v>
      </c>
      <c r="S367">
        <f>IF(S369&gt;10000,HLOOKUP(S369,$O365:R368,4,FALSE),IF(OR(AND(22500&lt;S365,S365&lt;25001),AND(50000&lt;S365,S365&lt;53501),AND(70000&lt;S365,S365&lt;72501)),$F365,IF(OR(AND(25001&lt;S365,S365&lt;27501),AND(53500&lt;S365,S365&lt;57001),AND(72500&lt;S365,S365&lt;75001)),$G365,IF(OR(AND(27500&lt;S365,S365&lt;30001),AND(57000&lt;S365,S365&lt;60001),AND(75000&lt;S365,S365&lt;77500)),$H365,VLOOKUP(S365,BDins,6,FALSE)))))</f>
        <v>13.18</v>
      </c>
      <c r="T367">
        <f>IF(T369&gt;10000,HLOOKUP(T369,$O365:S368,4,FALSE),IF(OR(AND(22500&lt;T365,T365&lt;25001),AND(50000&lt;T365,T365&lt;53501),AND(70000&lt;T365,T365&lt;72501)),$F365,IF(OR(AND(25001&lt;T365,T365&lt;27501),AND(53500&lt;T365,T365&lt;57001),AND(72500&lt;T365,T365&lt;75001)),$G365,IF(OR(AND(27500&lt;T365,T365&lt;30001),AND(57000&lt;T365,T365&lt;60001),AND(75000&lt;T365,T365&lt;77500)),$H365,VLOOKUP(T365,BDins,6,FALSE)))))</f>
        <v>2.8</v>
      </c>
    </row>
    <row r="368" spans="1:23" x14ac:dyDescent="0.2">
      <c r="O368">
        <f t="shared" ref="O368:T368" si="50">IF($K365&gt;0,ROUND(O366*$E365/100,DpCU),IF(O369&gt;10000,ROUND(HLOOKUP(O369,$O365:$T368,4,FALSE)/100*O366,DpCU),IF(OR(O365&lt;20001,O365&gt;95000,AND(60000&lt;O365,O365&lt;70001)),ROUND(ROUND(O366*JL/$C365,DcCU)*O367,DpCU),IF(OR(AND(20000&lt;O365,O365&lt;22501),AND(30000&lt;O365,O365&lt;50001),77500&lt;O365),ROUND(O367*O366,DpCU),IF(OR(AND(22500&lt;O365,O365&lt;25001),AND(50000&lt;O365,O365&lt;53501),AND(70000&lt;O365,O365&lt;72501)),ROUND($F365/100*O366,DpCU),IF(OR(AND(25000&lt;O365,O365&lt;27501),AND(53500&lt;O365,O365&lt;57001),AND(72500&lt;O365,O365&lt;75001)),ROUND($G365/100*O366,DpCU),ROUND($H365/100*O366,DpCU)))))))</f>
        <v>0.2</v>
      </c>
      <c r="P368">
        <f t="shared" si="50"/>
        <v>1.23</v>
      </c>
      <c r="Q368">
        <f t="shared" si="50"/>
        <v>1.37</v>
      </c>
      <c r="R368">
        <f t="shared" si="50"/>
        <v>0.2</v>
      </c>
      <c r="S368">
        <f t="shared" si="50"/>
        <v>13.18</v>
      </c>
      <c r="T368">
        <f t="shared" si="50"/>
        <v>0.14000000000000001</v>
      </c>
    </row>
    <row r="369" spans="1:21" x14ac:dyDescent="0.2">
      <c r="B369" s="3" t="str">
        <f>A365&amp;"r"</f>
        <v>10073r</v>
      </c>
    </row>
    <row r="370" spans="1:21" x14ac:dyDescent="0.2">
      <c r="A370">
        <v>10074</v>
      </c>
      <c r="B370" s="3" t="s">
        <v>500</v>
      </c>
      <c r="C370" s="1">
        <f>ROUND(J370*JL*Frto/8,4)</f>
        <v>100</v>
      </c>
      <c r="D370" t="s">
        <v>194</v>
      </c>
      <c r="E370">
        <f>SUM($O373:$T373)</f>
        <v>17.72</v>
      </c>
      <c r="F370">
        <f>SUMIF($O370:$T370,"&lt;22501",$O373:$T373)</f>
        <v>2.8</v>
      </c>
      <c r="G370">
        <f>SUMIFS($O373:$T373,$O370:$T370,"&gt;30000",$O370:$T370,"&lt;50001")</f>
        <v>14.78</v>
      </c>
      <c r="H370">
        <f>SUMIFS($O373:$T373,$O370:$T370,"&gt;60000",$O370:$T370,"&lt;70001")</f>
        <v>0</v>
      </c>
      <c r="I370">
        <v>6</v>
      </c>
      <c r="J370">
        <v>100</v>
      </c>
      <c r="O370">
        <v>10001</v>
      </c>
      <c r="P370">
        <v>10003</v>
      </c>
      <c r="Q370">
        <v>10008</v>
      </c>
      <c r="R370">
        <v>30055</v>
      </c>
      <c r="S370">
        <v>30078</v>
      </c>
      <c r="T370">
        <v>70001</v>
      </c>
    </row>
    <row r="371" spans="1:21" x14ac:dyDescent="0.2">
      <c r="B371" s="3" t="str">
        <f>A370&amp;"C"</f>
        <v>10074C</v>
      </c>
      <c r="O371">
        <v>0.1</v>
      </c>
      <c r="P371">
        <v>1</v>
      </c>
      <c r="Q371">
        <v>1</v>
      </c>
      <c r="R371">
        <v>0.05</v>
      </c>
      <c r="S371">
        <v>1</v>
      </c>
      <c r="T371">
        <v>5</v>
      </c>
    </row>
    <row r="372" spans="1:21" x14ac:dyDescent="0.2">
      <c r="O372">
        <f>IF(O374&gt;10000,HLOOKUP(O374,N370:$O373,4,FALSE),IF(OR(AND(22500&lt;O370,O370&lt;25001),AND(50000&lt;O370,O370&lt;53501),AND(70000&lt;O370,O370&lt;72501)),$F370,IF(OR(AND(25001&lt;O370,O370&lt;27501),AND(53500&lt;O370,O370&lt;57001),AND(72500&lt;O370,O370&lt;75001)),$G370,IF(OR(AND(27500&lt;O370,O370&lt;30001),AND(57000&lt;O370,O370&lt;60001),AND(75000&lt;O370,O370&lt;77500)),$H370,VLOOKUP(O370,BDins,6,FALSE)))))</f>
        <v>24.97</v>
      </c>
      <c r="P372">
        <f>IF(P374&gt;10000,HLOOKUP(P374,O370:$O373,4,FALSE),IF(OR(AND(22500&lt;P370,P370&lt;25001),AND(50000&lt;P370,P370&lt;53501),AND(70000&lt;P370,P370&lt;72501)),$F370,IF(OR(AND(25001&lt;P370,P370&lt;27501),AND(53500&lt;P370,P370&lt;57001),AND(72500&lt;P370,P370&lt;75001)),$G370,IF(OR(AND(27500&lt;P370,P370&lt;30001),AND(57000&lt;P370,P370&lt;60001),AND(75000&lt;P370,P370&lt;77500)),$H370,VLOOKUP(P370,BDins,6,FALSE)))))</f>
        <v>15.36</v>
      </c>
      <c r="Q372">
        <f>IF(Q374&gt;10000,HLOOKUP(Q374,$O370:P373,4,FALSE),IF(OR(AND(22500&lt;Q370,Q370&lt;25001),AND(50000&lt;Q370,Q370&lt;53501),AND(70000&lt;Q370,Q370&lt;72501)),$F370,IF(OR(AND(25001&lt;Q370,Q370&lt;27501),AND(53500&lt;Q370,Q370&lt;57001),AND(72500&lt;Q370,Q370&lt;75001)),$G370,IF(OR(AND(27500&lt;Q370,Q370&lt;30001),AND(57000&lt;Q370,Q370&lt;60001),AND(75000&lt;Q370,Q370&lt;77500)),$H370,VLOOKUP(Q370,BDins,6,FALSE)))))</f>
        <v>17.09</v>
      </c>
      <c r="R372">
        <f>IF(R374&gt;10000,HLOOKUP(R374,$O370:Q373,4,FALSE),IF(OR(AND(22500&lt;R370,R370&lt;25001),AND(50000&lt;R370,R370&lt;53501),AND(70000&lt;R370,R370&lt;72501)),$F370,IF(OR(AND(25001&lt;R370,R370&lt;27501),AND(53500&lt;R370,R370&lt;57001),AND(72500&lt;R370,R370&lt;75001)),$G370,IF(OR(AND(27500&lt;R370,R370&lt;30001),AND(57000&lt;R370,R370&lt;60001),AND(75000&lt;R370,R370&lt;77500)),$H370,VLOOKUP(R370,BDins,6,FALSE)))))</f>
        <v>3.9</v>
      </c>
      <c r="S372">
        <f>IF(S374&gt;10000,HLOOKUP(S374,$O370:R373,4,FALSE),IF(OR(AND(22500&lt;S370,S370&lt;25001),AND(50000&lt;S370,S370&lt;53501),AND(70000&lt;S370,S370&lt;72501)),$F370,IF(OR(AND(25001&lt;S370,S370&lt;27501),AND(53500&lt;S370,S370&lt;57001),AND(72500&lt;S370,S370&lt;75001)),$G370,IF(OR(AND(27500&lt;S370,S370&lt;30001),AND(57000&lt;S370,S370&lt;60001),AND(75000&lt;S370,S370&lt;77500)),$H370,VLOOKUP(S370,BDins,6,FALSE)))))</f>
        <v>14.58</v>
      </c>
      <c r="T372">
        <f>IF(T374&gt;10000,HLOOKUP(T374,$O370:S373,4,FALSE),IF(OR(AND(22500&lt;T370,T370&lt;25001),AND(50000&lt;T370,T370&lt;53501),AND(70000&lt;T370,T370&lt;72501)),$F370,IF(OR(AND(25001&lt;T370,T370&lt;27501),AND(53500&lt;T370,T370&lt;57001),AND(72500&lt;T370,T370&lt;75001)),$G370,IF(OR(AND(27500&lt;T370,T370&lt;30001),AND(57000&lt;T370,T370&lt;60001),AND(75000&lt;T370,T370&lt;77500)),$H370,VLOOKUP(T370,BDins,6,FALSE)))))</f>
        <v>2.8</v>
      </c>
    </row>
    <row r="373" spans="1:21" x14ac:dyDescent="0.2">
      <c r="O373">
        <f t="shared" ref="O373:T373" si="51">IF($K370&gt;0,ROUND(O371*$E370/100,DpCU),IF(O374&gt;10000,ROUND(HLOOKUP(O374,$O370:$T373,4,FALSE)/100*O371,DpCU),IF(OR(O370&lt;20001,O370&gt;95000,AND(60000&lt;O370,O370&lt;70001)),ROUND(ROUND(O371*JL/$C370,DcCU)*O372,DpCU),IF(OR(AND(20000&lt;O370,O370&lt;22501),AND(30000&lt;O370,O370&lt;50001),77500&lt;O370),ROUND(O372*O371,DpCU),IF(OR(AND(22500&lt;O370,O370&lt;25001),AND(50000&lt;O370,O370&lt;53501),AND(70000&lt;O370,O370&lt;72501)),ROUND($F370/100*O371,DpCU),IF(OR(AND(25000&lt;O370,O370&lt;27501),AND(53500&lt;O370,O370&lt;57001),AND(72500&lt;O370,O370&lt;75001)),ROUND($G370/100*O371,DpCU),ROUND($H370/100*O371,DpCU)))))))</f>
        <v>0.2</v>
      </c>
      <c r="P373">
        <f t="shared" si="51"/>
        <v>1.23</v>
      </c>
      <c r="Q373">
        <f t="shared" si="51"/>
        <v>1.37</v>
      </c>
      <c r="R373">
        <f t="shared" si="51"/>
        <v>0.2</v>
      </c>
      <c r="S373">
        <f t="shared" si="51"/>
        <v>14.58</v>
      </c>
      <c r="T373">
        <f t="shared" si="51"/>
        <v>0.14000000000000001</v>
      </c>
    </row>
    <row r="374" spans="1:21" x14ac:dyDescent="0.2">
      <c r="B374" s="3" t="str">
        <f>A370&amp;"r"</f>
        <v>10074r</v>
      </c>
    </row>
    <row r="375" spans="1:21" x14ac:dyDescent="0.2">
      <c r="A375">
        <v>10075</v>
      </c>
      <c r="B375" s="3" t="s">
        <v>503</v>
      </c>
      <c r="C375" s="1">
        <f>ROUND(J375*JL*Frto/8,4)</f>
        <v>50</v>
      </c>
      <c r="D375" t="s">
        <v>210</v>
      </c>
      <c r="E375">
        <f>SUM($O378:$U378)</f>
        <v>18.54</v>
      </c>
      <c r="F375">
        <f>SUMIF($O375:$U375,"&lt;22501",$O378:$U378)</f>
        <v>8.92</v>
      </c>
      <c r="G375">
        <f>SUMIFS($O378:$U378,$O375:$U375,"&gt;30000",$O375:$U375,"&lt;50001")</f>
        <v>9.17</v>
      </c>
      <c r="H375">
        <f>SUMIFS($O378:$U378,$O375:$U375,"&gt;60000",$O375:$U375,"&lt;70001")</f>
        <v>0</v>
      </c>
      <c r="I375">
        <v>7</v>
      </c>
      <c r="J375">
        <v>50</v>
      </c>
      <c r="O375">
        <v>10001</v>
      </c>
      <c r="P375">
        <v>10002</v>
      </c>
      <c r="Q375">
        <v>10003</v>
      </c>
      <c r="R375">
        <v>10008</v>
      </c>
      <c r="S375">
        <v>30051</v>
      </c>
      <c r="T375">
        <v>30055</v>
      </c>
      <c r="U375">
        <v>70001</v>
      </c>
    </row>
    <row r="376" spans="1:21" x14ac:dyDescent="0.2">
      <c r="B376" s="3" t="str">
        <f>A375&amp;"C"</f>
        <v>10075C</v>
      </c>
      <c r="O376">
        <v>0.1</v>
      </c>
      <c r="P376">
        <v>1</v>
      </c>
      <c r="Q376">
        <v>1</v>
      </c>
      <c r="R376">
        <v>1</v>
      </c>
      <c r="S376">
        <v>0.11</v>
      </c>
      <c r="T376">
        <v>2.25</v>
      </c>
      <c r="U376">
        <v>5</v>
      </c>
    </row>
    <row r="377" spans="1:21" x14ac:dyDescent="0.2">
      <c r="O377">
        <f>IF(O379&gt;10000,HLOOKUP(O379,N375:$O378,4,FALSE),IF(OR(AND(22500&lt;O375,O375&lt;25001),AND(50000&lt;O375,O375&lt;53501),AND(70000&lt;O375,O375&lt;72501)),$F375,IF(OR(AND(25001&lt;O375,O375&lt;27501),AND(53500&lt;O375,O375&lt;57001),AND(72500&lt;O375,O375&lt;75001)),$G375,IF(OR(AND(27500&lt;O375,O375&lt;30001),AND(57000&lt;O375,O375&lt;60001),AND(75000&lt;O375,O375&lt;77500)),$H375,VLOOKUP(O375,BDins,6,FALSE)))))</f>
        <v>24.97</v>
      </c>
      <c r="P377">
        <f>IF(P379&gt;10000,HLOOKUP(P379,O375:$O378,4,FALSE),IF(OR(AND(22500&lt;P375,P375&lt;25001),AND(50000&lt;P375,P375&lt;53501),AND(70000&lt;P375,P375&lt;72501)),$F375,IF(OR(AND(25001&lt;P375,P375&lt;27501),AND(53500&lt;P375,P375&lt;57001),AND(72500&lt;P375,P375&lt;75001)),$G375,IF(OR(AND(27500&lt;P375,P375&lt;30001),AND(57000&lt;P375,P375&lt;60001),AND(75000&lt;P375,P375&lt;77500)),$H375,VLOOKUP(P375,BDins,6,FALSE)))))</f>
        <v>20.81</v>
      </c>
      <c r="Q377">
        <f>IF(Q379&gt;10000,HLOOKUP(Q379,$O375:P378,4,FALSE),IF(OR(AND(22500&lt;Q375,Q375&lt;25001),AND(50000&lt;Q375,Q375&lt;53501),AND(70000&lt;Q375,Q375&lt;72501)),$F375,IF(OR(AND(25001&lt;Q375,Q375&lt;27501),AND(53500&lt;Q375,Q375&lt;57001),AND(72500&lt;Q375,Q375&lt;75001)),$G375,IF(OR(AND(27500&lt;Q375,Q375&lt;30001),AND(57000&lt;Q375,Q375&lt;60001),AND(75000&lt;Q375,Q375&lt;77500)),$H375,VLOOKUP(Q375,BDins,6,FALSE)))))</f>
        <v>15.36</v>
      </c>
      <c r="R377">
        <f>IF(R379&gt;10000,HLOOKUP(R379,$O375:Q378,4,FALSE),IF(OR(AND(22500&lt;R375,R375&lt;25001),AND(50000&lt;R375,R375&lt;53501),AND(70000&lt;R375,R375&lt;72501)),$F375,IF(OR(AND(25001&lt;R375,R375&lt;27501),AND(53500&lt;R375,R375&lt;57001),AND(72500&lt;R375,R375&lt;75001)),$G375,IF(OR(AND(27500&lt;R375,R375&lt;30001),AND(57000&lt;R375,R375&lt;60001),AND(75000&lt;R375,R375&lt;77500)),$H375,VLOOKUP(R375,BDins,6,FALSE)))))</f>
        <v>17.09</v>
      </c>
      <c r="S377">
        <f>IF(S379&gt;10000,HLOOKUP(S379,$O375:R378,4,FALSE),IF(OR(AND(22500&lt;S375,S375&lt;25001),AND(50000&lt;S375,S375&lt;53501),AND(70000&lt;S375,S375&lt;72501)),$F375,IF(OR(AND(25001&lt;S375,S375&lt;27501),AND(53500&lt;S375,S375&lt;57001),AND(72500&lt;S375,S375&lt;75001)),$G375,IF(OR(AND(27500&lt;S375,S375&lt;30001),AND(57000&lt;S375,S375&lt;60001),AND(75000&lt;S375,S375&lt;77500)),$H375,VLOOKUP(S375,BDins,6,FALSE)))))</f>
        <v>3.5</v>
      </c>
      <c r="T377">
        <f>IF(T379&gt;10000,HLOOKUP(T379,$O375:S378,4,FALSE),IF(OR(AND(22500&lt;T375,T375&lt;25001),AND(50000&lt;T375,T375&lt;53501),AND(70000&lt;T375,T375&lt;72501)),$F375,IF(OR(AND(25001&lt;T375,T375&lt;27501),AND(53500&lt;T375,T375&lt;57001),AND(72500&lt;T375,T375&lt;75001)),$G375,IF(OR(AND(27500&lt;T375,T375&lt;30001),AND(57000&lt;T375,T375&lt;60001),AND(75000&lt;T375,T375&lt;77500)),$H375,VLOOKUP(T375,BDins,6,FALSE)))))</f>
        <v>3.9</v>
      </c>
      <c r="U377">
        <f>IF(U379&gt;10000,HLOOKUP(U379,$O375:T378,4,FALSE),IF(OR(AND(22500&lt;U375,U375&lt;25001),AND(50000&lt;U375,U375&lt;53501),AND(70000&lt;U375,U375&lt;72501)),$F375,IF(OR(AND(25001&lt;U375,U375&lt;27501),AND(53500&lt;U375,U375&lt;57001),AND(72500&lt;U375,U375&lt;75001)),$G375,IF(OR(AND(27500&lt;U375,U375&lt;30001),AND(57000&lt;U375,U375&lt;60001),AND(75000&lt;U375,U375&lt;77500)),$H375,VLOOKUP(U375,BDins,6,FALSE)))))</f>
        <v>8.92</v>
      </c>
    </row>
    <row r="378" spans="1:21" x14ac:dyDescent="0.2">
      <c r="O378">
        <f t="shared" ref="O378:U378" si="52">IF($K375&gt;0,ROUND(O376*$E375/100,DpCU),IF(O379&gt;10000,ROUND(HLOOKUP(O379,$O375:$U378,4,FALSE)/100*O376,DpCU),IF(OR(O375&lt;20001,O375&gt;95000,AND(60000&lt;O375,O375&lt;70001)),ROUND(ROUND(O376*JL/$C375,DcCU)*O377,DpCU),IF(OR(AND(20000&lt;O375,O375&lt;22501),AND(30000&lt;O375,O375&lt;50001),77500&lt;O375),ROUND(O377*O376,DpCU),IF(OR(AND(22500&lt;O375,O375&lt;25001),AND(50000&lt;O375,O375&lt;53501),AND(70000&lt;O375,O375&lt;72501)),ROUND($F375/100*O376,DpCU),IF(OR(AND(25000&lt;O375,O375&lt;27501),AND(53500&lt;O375,O375&lt;57001),AND(72500&lt;O375,O375&lt;75001)),ROUND($G375/100*O376,DpCU),ROUND($H375/100*O376,DpCU)))))))</f>
        <v>0.4</v>
      </c>
      <c r="P378">
        <f t="shared" si="52"/>
        <v>3.33</v>
      </c>
      <c r="Q378">
        <f t="shared" si="52"/>
        <v>2.46</v>
      </c>
      <c r="R378">
        <f t="shared" si="52"/>
        <v>2.73</v>
      </c>
      <c r="S378">
        <f t="shared" si="52"/>
        <v>0.39</v>
      </c>
      <c r="T378">
        <f t="shared" si="52"/>
        <v>8.7799999999999994</v>
      </c>
      <c r="U378">
        <f t="shared" si="52"/>
        <v>0.45</v>
      </c>
    </row>
    <row r="379" spans="1:21" x14ac:dyDescent="0.2">
      <c r="B379" s="3" t="str">
        <f>A375&amp;"r"</f>
        <v>10075r</v>
      </c>
    </row>
    <row r="380" spans="1:21" x14ac:dyDescent="0.2">
      <c r="A380">
        <v>10076</v>
      </c>
      <c r="B380" s="3" t="s">
        <v>505</v>
      </c>
      <c r="C380" s="1">
        <f>ROUND(J380*JL*Frto/8,4)</f>
        <v>140</v>
      </c>
      <c r="D380" t="s">
        <v>7</v>
      </c>
      <c r="E380">
        <f>SUM($O383:$R383)</f>
        <v>3.9</v>
      </c>
      <c r="F380">
        <f>SUMIF($O380:$R380,"&lt;22501",$O383:$R383)</f>
        <v>1.02</v>
      </c>
      <c r="G380">
        <f>SUMIFS($O383:$R383,$O380:$R380,"&gt;30000",$O380:$R380,"&lt;50001")</f>
        <v>2.83</v>
      </c>
      <c r="H380">
        <f>SUMIFS($O383:$R383,$O380:$R380,"&gt;60000",$O380:$R380,"&lt;70001")</f>
        <v>0</v>
      </c>
      <c r="I380">
        <v>4</v>
      </c>
      <c r="J380">
        <v>140</v>
      </c>
      <c r="O380">
        <v>10001</v>
      </c>
      <c r="P380">
        <v>10003</v>
      </c>
      <c r="Q380">
        <v>30079</v>
      </c>
      <c r="R380">
        <v>70001</v>
      </c>
    </row>
    <row r="381" spans="1:21" x14ac:dyDescent="0.2">
      <c r="B381" s="3" t="str">
        <f>A380&amp;"C"</f>
        <v>10076C</v>
      </c>
      <c r="O381">
        <v>0.1</v>
      </c>
      <c r="P381">
        <v>1</v>
      </c>
      <c r="Q381">
        <v>1.02</v>
      </c>
      <c r="R381">
        <v>5</v>
      </c>
    </row>
    <row r="382" spans="1:21" x14ac:dyDescent="0.2">
      <c r="O382">
        <f>IF(O384&gt;10000,HLOOKUP(O384,N380:$O383,4,FALSE),IF(OR(AND(22500&lt;O380,O380&lt;25001),AND(50000&lt;O380,O380&lt;53501),AND(70000&lt;O380,O380&lt;72501)),$F380,IF(OR(AND(25001&lt;O380,O380&lt;27501),AND(53500&lt;O380,O380&lt;57001),AND(72500&lt;O380,O380&lt;75001)),$G380,IF(OR(AND(27500&lt;O380,O380&lt;30001),AND(57000&lt;O380,O380&lt;60001),AND(75000&lt;O380,O380&lt;77500)),$H380,VLOOKUP(O380,BDins,6,FALSE)))))</f>
        <v>24.97</v>
      </c>
      <c r="P382">
        <f>IF(P384&gt;10000,HLOOKUP(P384,O380:$O383,4,FALSE),IF(OR(AND(22500&lt;P380,P380&lt;25001),AND(50000&lt;P380,P380&lt;53501),AND(70000&lt;P380,P380&lt;72501)),$F380,IF(OR(AND(25001&lt;P380,P380&lt;27501),AND(53500&lt;P380,P380&lt;57001),AND(72500&lt;P380,P380&lt;75001)),$G380,IF(OR(AND(27500&lt;P380,P380&lt;30001),AND(57000&lt;P380,P380&lt;60001),AND(75000&lt;P380,P380&lt;77500)),$H380,VLOOKUP(P380,BDins,6,FALSE)))))</f>
        <v>15.36</v>
      </c>
      <c r="Q382">
        <f>IF(Q384&gt;10000,HLOOKUP(Q384,$O380:P383,4,FALSE),IF(OR(AND(22500&lt;Q380,Q380&lt;25001),AND(50000&lt;Q380,Q380&lt;53501),AND(70000&lt;Q380,Q380&lt;72501)),$F380,IF(OR(AND(25001&lt;Q380,Q380&lt;27501),AND(53500&lt;Q380,Q380&lt;57001),AND(72500&lt;Q380,Q380&lt;75001)),$G380,IF(OR(AND(27500&lt;Q380,Q380&lt;30001),AND(57000&lt;Q380,Q380&lt;60001),AND(75000&lt;Q380,Q380&lt;77500)),$H380,VLOOKUP(Q380,BDins,6,FALSE)))))</f>
        <v>2.77</v>
      </c>
      <c r="R382">
        <f>IF(R384&gt;10000,HLOOKUP(R384,$O380:Q383,4,FALSE),IF(OR(AND(22500&lt;R380,R380&lt;25001),AND(50000&lt;R380,R380&lt;53501),AND(70000&lt;R380,R380&lt;72501)),$F380,IF(OR(AND(25001&lt;R380,R380&lt;27501),AND(53500&lt;R380,R380&lt;57001),AND(72500&lt;R380,R380&lt;75001)),$G380,IF(OR(AND(27500&lt;R380,R380&lt;30001),AND(57000&lt;R380,R380&lt;60001),AND(75000&lt;R380,R380&lt;77500)),$H380,VLOOKUP(R380,BDins,6,FALSE)))))</f>
        <v>1.02</v>
      </c>
    </row>
    <row r="383" spans="1:21" x14ac:dyDescent="0.2">
      <c r="O383">
        <f>IF($K380&gt;0,ROUND(O381*$E380/100,DpCU),IF(O384&gt;10000,ROUND(HLOOKUP(O384,$O380:$R383,4,FALSE)/100*O381,DpCU),IF(OR(O380&lt;20001,O380&gt;95000,AND(60000&lt;O380,O380&lt;70001)),ROUND(ROUND(O381*JL/$C380,DcCU)*O382,DpCU),IF(OR(AND(20000&lt;O380,O380&lt;22501),AND(30000&lt;O380,O380&lt;50001),77500&lt;O380),ROUND(O382*O381,DpCU),IF(OR(AND(22500&lt;O380,O380&lt;25001),AND(50000&lt;O380,O380&lt;53501),AND(70000&lt;O380,O380&lt;72501)),ROUND($F380/100*O381,DpCU),IF(OR(AND(25000&lt;O380,O380&lt;27501),AND(53500&lt;O380,O380&lt;57001),AND(72500&lt;O380,O380&lt;75001)),ROUND($G380/100*O381,DpCU),ROUND($H380/100*O381,DpCU)))))))</f>
        <v>0.14000000000000001</v>
      </c>
      <c r="P383">
        <f>IF($K380&gt;0,ROUND(P381*$E380/100,DpCU),IF(P384&gt;10000,ROUND(HLOOKUP(P384,$O380:$R383,4,FALSE)/100*P381,DpCU),IF(OR(P380&lt;20001,P380&gt;95000,AND(60000&lt;P380,P380&lt;70001)),ROUND(ROUND(P381*JL/$C380,DcCU)*P382,DpCU),IF(OR(AND(20000&lt;P380,P380&lt;22501),AND(30000&lt;P380,P380&lt;50001),77500&lt;P380),ROUND(P382*P381,DpCU),IF(OR(AND(22500&lt;P380,P380&lt;25001),AND(50000&lt;P380,P380&lt;53501),AND(70000&lt;P380,P380&lt;72501)),ROUND($F380/100*P381,DpCU),IF(OR(AND(25000&lt;P380,P380&lt;27501),AND(53500&lt;P380,P380&lt;57001),AND(72500&lt;P380,P380&lt;75001)),ROUND($G380/100*P381,DpCU),ROUND($H380/100*P381,DpCU)))))))</f>
        <v>0.88</v>
      </c>
      <c r="Q383">
        <f>IF($K380&gt;0,ROUND(Q381*$E380/100,DpCU),IF(Q384&gt;10000,ROUND(HLOOKUP(Q384,$O380:$R383,4,FALSE)/100*Q381,DpCU),IF(OR(Q380&lt;20001,Q380&gt;95000,AND(60000&lt;Q380,Q380&lt;70001)),ROUND(ROUND(Q381*JL/$C380,DcCU)*Q382,DpCU),IF(OR(AND(20000&lt;Q380,Q380&lt;22501),AND(30000&lt;Q380,Q380&lt;50001),77500&lt;Q380),ROUND(Q382*Q381,DpCU),IF(OR(AND(22500&lt;Q380,Q380&lt;25001),AND(50000&lt;Q380,Q380&lt;53501),AND(70000&lt;Q380,Q380&lt;72501)),ROUND($F380/100*Q381,DpCU),IF(OR(AND(25000&lt;Q380,Q380&lt;27501),AND(53500&lt;Q380,Q380&lt;57001),AND(72500&lt;Q380,Q380&lt;75001)),ROUND($G380/100*Q381,DpCU),ROUND($H380/100*Q381,DpCU)))))))</f>
        <v>2.83</v>
      </c>
      <c r="R383">
        <f>IF($K380&gt;0,ROUND(R381*$E380/100,DpCU),IF(R384&gt;10000,ROUND(HLOOKUP(R384,$O380:$R383,4,FALSE)/100*R381,DpCU),IF(OR(R380&lt;20001,R380&gt;95000,AND(60000&lt;R380,R380&lt;70001)),ROUND(ROUND(R381*JL/$C380,DcCU)*R382,DpCU),IF(OR(AND(20000&lt;R380,R380&lt;22501),AND(30000&lt;R380,R380&lt;50001),77500&lt;R380),ROUND(R382*R381,DpCU),IF(OR(AND(22500&lt;R380,R380&lt;25001),AND(50000&lt;R380,R380&lt;53501),AND(70000&lt;R380,R380&lt;72501)),ROUND($F380/100*R381,DpCU),IF(OR(AND(25000&lt;R380,R380&lt;27501),AND(53500&lt;R380,R380&lt;57001),AND(72500&lt;R380,R380&lt;75001)),ROUND($G380/100*R381,DpCU),ROUND($H380/100*R381,DpCU)))))))</f>
        <v>0.05</v>
      </c>
    </row>
    <row r="384" spans="1:21" x14ac:dyDescent="0.2">
      <c r="B384" s="3" t="str">
        <f>A380&amp;"r"</f>
        <v>10076r</v>
      </c>
    </row>
    <row r="385" spans="1:28" x14ac:dyDescent="0.2">
      <c r="A385">
        <v>10077</v>
      </c>
      <c r="B385" s="3" t="s">
        <v>508</v>
      </c>
      <c r="C385" s="1">
        <f>ROUND(J385*JL*Frto/8,4)</f>
        <v>240</v>
      </c>
      <c r="D385" t="s">
        <v>33</v>
      </c>
      <c r="E385">
        <f>SUM($O388:$U388)</f>
        <v>9.42</v>
      </c>
      <c r="F385">
        <f>SUMIF($O385:$U385,"&lt;22501",$O388:$U388)</f>
        <v>1.3399999999999999</v>
      </c>
      <c r="G385">
        <f>SUMIFS($O388:$U388,$O385:$U385,"&gt;30000",$O385:$U385,"&lt;50001")</f>
        <v>2.76</v>
      </c>
      <c r="H385">
        <f>SUMIFS($O388:$U388,$O385:$U385,"&gt;60000",$O385:$U385,"&lt;70001")</f>
        <v>0</v>
      </c>
      <c r="I385">
        <v>7</v>
      </c>
      <c r="J385">
        <v>240</v>
      </c>
      <c r="O385">
        <v>10001</v>
      </c>
      <c r="P385">
        <v>10002</v>
      </c>
      <c r="Q385">
        <v>10008</v>
      </c>
      <c r="R385">
        <v>30063</v>
      </c>
      <c r="S385">
        <v>30066</v>
      </c>
      <c r="T385">
        <v>70001</v>
      </c>
      <c r="U385">
        <v>77507</v>
      </c>
    </row>
    <row r="386" spans="1:28" x14ac:dyDescent="0.2">
      <c r="B386" s="3" t="str">
        <f>A385&amp;"C"</f>
        <v>10077C</v>
      </c>
      <c r="O386">
        <v>0.1</v>
      </c>
      <c r="P386">
        <v>1</v>
      </c>
      <c r="Q386">
        <v>1</v>
      </c>
      <c r="R386">
        <v>0.06</v>
      </c>
      <c r="S386">
        <v>1.07</v>
      </c>
      <c r="T386">
        <v>5</v>
      </c>
      <c r="U386">
        <v>1.4999999999999999E-2</v>
      </c>
    </row>
    <row r="387" spans="1:28" x14ac:dyDescent="0.2">
      <c r="O387">
        <f>IF(O389&gt;10000,HLOOKUP(O389,N385:$O388,4,FALSE),IF(OR(AND(22500&lt;O385,O385&lt;25001),AND(50000&lt;O385,O385&lt;53501),AND(70000&lt;O385,O385&lt;72501)),$F385,IF(OR(AND(25001&lt;O385,O385&lt;27501),AND(53500&lt;O385,O385&lt;57001),AND(72500&lt;O385,O385&lt;75001)),$G385,IF(OR(AND(27500&lt;O385,O385&lt;30001),AND(57000&lt;O385,O385&lt;60001),AND(75000&lt;O385,O385&lt;77500)),$H385,VLOOKUP(O385,BDins,6,FALSE)))))</f>
        <v>24.97</v>
      </c>
      <c r="P387">
        <f>IF(P389&gt;10000,HLOOKUP(P389,O385:$O388,4,FALSE),IF(OR(AND(22500&lt;P385,P385&lt;25001),AND(50000&lt;P385,P385&lt;53501),AND(70000&lt;P385,P385&lt;72501)),$F385,IF(OR(AND(25001&lt;P385,P385&lt;27501),AND(53500&lt;P385,P385&lt;57001),AND(72500&lt;P385,P385&lt;75001)),$G385,IF(OR(AND(27500&lt;P385,P385&lt;30001),AND(57000&lt;P385,P385&lt;60001),AND(75000&lt;P385,P385&lt;77500)),$H385,VLOOKUP(P385,BDins,6,FALSE)))))</f>
        <v>20.81</v>
      </c>
      <c r="Q387">
        <f>IF(Q389&gt;10000,HLOOKUP(Q389,$O385:P388,4,FALSE),IF(OR(AND(22500&lt;Q385,Q385&lt;25001),AND(50000&lt;Q385,Q385&lt;53501),AND(70000&lt;Q385,Q385&lt;72501)),$F385,IF(OR(AND(25001&lt;Q385,Q385&lt;27501),AND(53500&lt;Q385,Q385&lt;57001),AND(72500&lt;Q385,Q385&lt;75001)),$G385,IF(OR(AND(27500&lt;Q385,Q385&lt;30001),AND(57000&lt;Q385,Q385&lt;60001),AND(75000&lt;Q385,Q385&lt;77500)),$H385,VLOOKUP(Q385,BDins,6,FALSE)))))</f>
        <v>17.09</v>
      </c>
      <c r="R387">
        <f>IF(R389&gt;10000,HLOOKUP(R389,$O385:Q388,4,FALSE),IF(OR(AND(22500&lt;R385,R385&lt;25001),AND(50000&lt;R385,R385&lt;53501),AND(70000&lt;R385,R385&lt;72501)),$F385,IF(OR(AND(25001&lt;R385,R385&lt;27501),AND(53500&lt;R385,R385&lt;57001),AND(72500&lt;R385,R385&lt;75001)),$G385,IF(OR(AND(27500&lt;R385,R385&lt;30001),AND(57000&lt;R385,R385&lt;60001),AND(75000&lt;R385,R385&lt;77500)),$H385,VLOOKUP(R385,BDins,6,FALSE)))))</f>
        <v>3.5</v>
      </c>
      <c r="S387">
        <f>IF(S389&gt;10000,HLOOKUP(S389,$O385:R388,4,FALSE),IF(OR(AND(22500&lt;S385,S385&lt;25001),AND(50000&lt;S385,S385&lt;53501),AND(70000&lt;S385,S385&lt;72501)),$F385,IF(OR(AND(25001&lt;S385,S385&lt;27501),AND(53500&lt;S385,S385&lt;57001),AND(72500&lt;S385,S385&lt;75001)),$G385,IF(OR(AND(27500&lt;S385,S385&lt;30001),AND(57000&lt;S385,S385&lt;60001),AND(75000&lt;S385,S385&lt;77500)),$H385,VLOOKUP(S385,BDins,6,FALSE)))))</f>
        <v>2.38</v>
      </c>
      <c r="T387">
        <f>IF(T389&gt;10000,HLOOKUP(T389,$O385:S388,4,FALSE),IF(OR(AND(22500&lt;T385,T385&lt;25001),AND(50000&lt;T385,T385&lt;53501),AND(70000&lt;T385,T385&lt;72501)),$F385,IF(OR(AND(25001&lt;T385,T385&lt;27501),AND(53500&lt;T385,T385&lt;57001),AND(72500&lt;T385,T385&lt;75001)),$G385,IF(OR(AND(27500&lt;T385,T385&lt;30001),AND(57000&lt;T385,T385&lt;60001),AND(75000&lt;T385,T385&lt;77500)),$H385,VLOOKUP(T385,BDins,6,FALSE)))))</f>
        <v>1.3399999999999999</v>
      </c>
      <c r="U387">
        <f>IF(U389&gt;10000,HLOOKUP(U389,$O385:T388,4,FALSE),IF(OR(AND(22500&lt;U385,U385&lt;25001),AND(50000&lt;U385,U385&lt;53501),AND(70000&lt;U385,U385&lt;72501)),$F385,IF(OR(AND(25001&lt;U385,U385&lt;27501),AND(53500&lt;U385,U385&lt;57001),AND(72500&lt;U385,U385&lt;75001)),$G385,IF(OR(AND(27500&lt;U385,U385&lt;30001),AND(57000&lt;U385,U385&lt;60001),AND(75000&lt;U385,U385&lt;77500)),$H385,VLOOKUP(U385,BDins,6,FALSE)))))</f>
        <v>350</v>
      </c>
    </row>
    <row r="388" spans="1:28" x14ac:dyDescent="0.2">
      <c r="O388">
        <f t="shared" ref="O388:U388" si="53">IF($K385&gt;0,ROUND(O386*$E385/100,DpCU),IF(O389&gt;10000,ROUND(HLOOKUP(O389,$O385:$U388,4,FALSE)/100*O386,DpCU),IF(OR(O385&lt;20001,O385&gt;95000,AND(60000&lt;O385,O385&lt;70001)),ROUND(ROUND(O386*JL/$C385,DcCU)*O387,DpCU),IF(OR(AND(20000&lt;O385,O385&lt;22501),AND(30000&lt;O385,O385&lt;50001),77500&lt;O385),ROUND(O387*O386,DpCU),IF(OR(AND(22500&lt;O385,O385&lt;25001),AND(50000&lt;O385,O385&lt;53501),AND(70000&lt;O385,O385&lt;72501)),ROUND($F385/100*O386,DpCU),IF(OR(AND(25000&lt;O385,O385&lt;27501),AND(53500&lt;O385,O385&lt;57001),AND(72500&lt;O385,O385&lt;75001)),ROUND($G385/100*O386,DpCU),ROUND($H385/100*O386,DpCU)))))))</f>
        <v>0.08</v>
      </c>
      <c r="P388">
        <f t="shared" si="53"/>
        <v>0.69</v>
      </c>
      <c r="Q388">
        <f t="shared" si="53"/>
        <v>0.56999999999999995</v>
      </c>
      <c r="R388">
        <f t="shared" si="53"/>
        <v>0.21</v>
      </c>
      <c r="S388">
        <f t="shared" si="53"/>
        <v>2.5499999999999998</v>
      </c>
      <c r="T388">
        <f t="shared" si="53"/>
        <v>7.0000000000000007E-2</v>
      </c>
      <c r="U388">
        <f t="shared" si="53"/>
        <v>5.25</v>
      </c>
    </row>
    <row r="389" spans="1:28" x14ac:dyDescent="0.2">
      <c r="B389" s="3" t="str">
        <f>A385&amp;"r"</f>
        <v>10077r</v>
      </c>
    </row>
    <row r="390" spans="1:28" x14ac:dyDescent="0.2">
      <c r="A390">
        <v>10078</v>
      </c>
      <c r="B390" s="3" t="s">
        <v>512</v>
      </c>
      <c r="C390" s="1">
        <f>ROUND(J390*JL*Frto/8,4)</f>
        <v>25</v>
      </c>
      <c r="D390" t="s">
        <v>34</v>
      </c>
      <c r="E390">
        <f>SUM($O393:$AB393)</f>
        <v>354.54</v>
      </c>
      <c r="F390">
        <f>SUMIF($O390:$AB390,"&lt;22501",$O393:$AB393)</f>
        <v>68.739999999999995</v>
      </c>
      <c r="G390">
        <f>SUMIFS($O393:$AB393,$O390:$AB390,"&gt;30000",$O390:$AB390,"&lt;50001")</f>
        <v>264.43</v>
      </c>
      <c r="H390">
        <f>SUMIFS($O393:$AB393,$O390:$AB390,"&gt;60000",$O390:$AB390,"&lt;70001")</f>
        <v>17.93</v>
      </c>
      <c r="I390">
        <v>14</v>
      </c>
      <c r="J390">
        <v>25</v>
      </c>
      <c r="O390">
        <v>10001</v>
      </c>
      <c r="P390">
        <v>10002</v>
      </c>
      <c r="Q390">
        <v>10003</v>
      </c>
      <c r="R390">
        <v>10007</v>
      </c>
      <c r="S390">
        <v>10008</v>
      </c>
      <c r="T390">
        <v>30002</v>
      </c>
      <c r="U390">
        <v>30023</v>
      </c>
      <c r="V390">
        <v>30056</v>
      </c>
      <c r="W390">
        <v>30062</v>
      </c>
      <c r="X390">
        <v>30080</v>
      </c>
      <c r="Y390">
        <v>60010</v>
      </c>
      <c r="Z390">
        <v>60013</v>
      </c>
      <c r="AA390">
        <v>60015</v>
      </c>
      <c r="AB390">
        <v>70001</v>
      </c>
    </row>
    <row r="391" spans="1:28" x14ac:dyDescent="0.2">
      <c r="B391" s="3" t="str">
        <f>A390&amp;"C"</f>
        <v>10078C</v>
      </c>
      <c r="O391">
        <v>0.1</v>
      </c>
      <c r="P391">
        <v>1</v>
      </c>
      <c r="Q391">
        <v>10</v>
      </c>
      <c r="R391">
        <v>1</v>
      </c>
      <c r="S391">
        <v>1</v>
      </c>
      <c r="T391">
        <v>8.5</v>
      </c>
      <c r="U391">
        <v>0.21</v>
      </c>
      <c r="V391">
        <v>0.49</v>
      </c>
      <c r="W391">
        <v>0.25</v>
      </c>
      <c r="X391">
        <v>0.85</v>
      </c>
      <c r="Y391">
        <v>1</v>
      </c>
      <c r="Z391">
        <v>1</v>
      </c>
      <c r="AA391">
        <v>1</v>
      </c>
      <c r="AB391">
        <v>5</v>
      </c>
    </row>
    <row r="392" spans="1:28" x14ac:dyDescent="0.2">
      <c r="O392">
        <f>IF(O394&gt;10000,HLOOKUP(O394,N390:$O393,4,FALSE),IF(OR(AND(22500&lt;O390,O390&lt;25001),AND(50000&lt;O390,O390&lt;53501),AND(70000&lt;O390,O390&lt;72501)),$F390,IF(OR(AND(25001&lt;O390,O390&lt;27501),AND(53500&lt;O390,O390&lt;57001),AND(72500&lt;O390,O390&lt;75001)),$G390,IF(OR(AND(27500&lt;O390,O390&lt;30001),AND(57000&lt;O390,O390&lt;60001),AND(75000&lt;O390,O390&lt;77500)),$H390,VLOOKUP(O390,BDins,6,FALSE)))))</f>
        <v>24.97</v>
      </c>
      <c r="P392">
        <f>IF(P394&gt;10000,HLOOKUP(P394,O390:$O393,4,FALSE),IF(OR(AND(22500&lt;P390,P390&lt;25001),AND(50000&lt;P390,P390&lt;53501),AND(70000&lt;P390,P390&lt;72501)),$F390,IF(OR(AND(25001&lt;P390,P390&lt;27501),AND(53500&lt;P390,P390&lt;57001),AND(72500&lt;P390,P390&lt;75001)),$G390,IF(OR(AND(27500&lt;P390,P390&lt;30001),AND(57000&lt;P390,P390&lt;60001),AND(75000&lt;P390,P390&lt;77500)),$H390,VLOOKUP(P390,BDins,6,FALSE)))))</f>
        <v>20.81</v>
      </c>
      <c r="Q392">
        <f>IF(Q394&gt;10000,HLOOKUP(Q394,$O390:P393,4,FALSE),IF(OR(AND(22500&lt;Q390,Q390&lt;25001),AND(50000&lt;Q390,Q390&lt;53501),AND(70000&lt;Q390,Q390&lt;72501)),$F390,IF(OR(AND(25001&lt;Q390,Q390&lt;27501),AND(53500&lt;Q390,Q390&lt;57001),AND(72500&lt;Q390,Q390&lt;75001)),$G390,IF(OR(AND(27500&lt;Q390,Q390&lt;30001),AND(57000&lt;Q390,Q390&lt;60001),AND(75000&lt;Q390,Q390&lt;77500)),$H390,VLOOKUP(Q390,BDins,6,FALSE)))))</f>
        <v>15.36</v>
      </c>
      <c r="R392">
        <f>IF(R394&gt;10000,HLOOKUP(R394,$O390:Q393,4,FALSE),IF(OR(AND(22500&lt;R390,R390&lt;25001),AND(50000&lt;R390,R390&lt;53501),AND(70000&lt;R390,R390&lt;72501)),$F390,IF(OR(AND(25001&lt;R390,R390&lt;27501),AND(53500&lt;R390,R390&lt;57001),AND(72500&lt;R390,R390&lt;75001)),$G390,IF(OR(AND(27500&lt;R390,R390&lt;30001),AND(57000&lt;R390,R390&lt;60001),AND(75000&lt;R390,R390&lt;77500)),$H390,VLOOKUP(R390,BDins,6,FALSE)))))</f>
        <v>20.81</v>
      </c>
      <c r="S392">
        <f>IF(S394&gt;10000,HLOOKUP(S394,$O390:R393,4,FALSE),IF(OR(AND(22500&lt;S390,S390&lt;25001),AND(50000&lt;S390,S390&lt;53501),AND(70000&lt;S390,S390&lt;72501)),$F390,IF(OR(AND(25001&lt;S390,S390&lt;27501),AND(53500&lt;S390,S390&lt;57001),AND(72500&lt;S390,S390&lt;75001)),$G390,IF(OR(AND(27500&lt;S390,S390&lt;30001),AND(57000&lt;S390,S390&lt;60001),AND(75000&lt;S390,S390&lt;77500)),$H390,VLOOKUP(S390,BDins,6,FALSE)))))</f>
        <v>17.09</v>
      </c>
      <c r="T392">
        <f>IF(T394&gt;10000,HLOOKUP(T394,$O390:S393,4,FALSE),IF(OR(AND(22500&lt;T390,T390&lt;25001),AND(50000&lt;T390,T390&lt;53501),AND(70000&lt;T390,T390&lt;72501)),$F390,IF(OR(AND(25001&lt;T390,T390&lt;27501),AND(53500&lt;T390,T390&lt;57001),AND(72500&lt;T390,T390&lt;75001)),$G390,IF(OR(AND(27500&lt;T390,T390&lt;30001),AND(57000&lt;T390,T390&lt;60001),AND(75000&lt;T390,T390&lt;77500)),$H390,VLOOKUP(T390,BDins,6,FALSE)))))</f>
        <v>18.5</v>
      </c>
      <c r="U392">
        <f>IF(U394&gt;10000,HLOOKUP(U394,$O390:T393,4,FALSE),IF(OR(AND(22500&lt;U390,U390&lt;25001),AND(50000&lt;U390,U390&lt;53501),AND(70000&lt;U390,U390&lt;72501)),$F390,IF(OR(AND(25001&lt;U390,U390&lt;27501),AND(53500&lt;U390,U390&lt;57001),AND(72500&lt;U390,U390&lt;75001)),$G390,IF(OR(AND(27500&lt;U390,U390&lt;30001),AND(57000&lt;U390,U390&lt;60001),AND(75000&lt;U390,U390&lt;77500)),$H390,VLOOKUP(U390,BDins,6,FALSE)))))</f>
        <v>150</v>
      </c>
      <c r="V392">
        <f>IF(V394&gt;10000,HLOOKUP(V394,$O390:U393,4,FALSE),IF(OR(AND(22500&lt;V390,V390&lt;25001),AND(50000&lt;V390,V390&lt;53501),AND(70000&lt;V390,V390&lt;72501)),$F390,IF(OR(AND(25001&lt;V390,V390&lt;27501),AND(53500&lt;V390,V390&lt;57001),AND(72500&lt;V390,V390&lt;75001)),$G390,IF(OR(AND(27500&lt;V390,V390&lt;30001),AND(57000&lt;V390,V390&lt;60001),AND(75000&lt;V390,V390&lt;77500)),$H390,VLOOKUP(V390,BDins,6,FALSE)))))</f>
        <v>45</v>
      </c>
      <c r="W392">
        <f>IF(W394&gt;10000,HLOOKUP(W394,$O390:V393,4,FALSE),IF(OR(AND(22500&lt;W390,W390&lt;25001),AND(50000&lt;W390,W390&lt;53501),AND(70000&lt;W390,W390&lt;72501)),$F390,IF(OR(AND(25001&lt;W390,W390&lt;27501),AND(53500&lt;W390,W390&lt;57001),AND(72500&lt;W390,W390&lt;75001)),$G390,IF(OR(AND(27500&lt;W390,W390&lt;30001),AND(57000&lt;W390,W390&lt;60001),AND(75000&lt;W390,W390&lt;77500)),$H390,VLOOKUP(W390,BDins,6,FALSE)))))</f>
        <v>10.5</v>
      </c>
      <c r="X392">
        <f>IF(X394&gt;10000,HLOOKUP(X394,$O390:W393,4,FALSE),IF(OR(AND(22500&lt;X390,X390&lt;25001),AND(50000&lt;X390,X390&lt;53501),AND(70000&lt;X390,X390&lt;72501)),$F390,IF(OR(AND(25001&lt;X390,X390&lt;27501),AND(53500&lt;X390,X390&lt;57001),AND(72500&lt;X390,X390&lt;75001)),$G390,IF(OR(AND(27500&lt;X390,X390&lt;30001),AND(57000&lt;X390,X390&lt;60001),AND(75000&lt;X390,X390&lt;77500)),$H390,VLOOKUP(X390,BDins,6,FALSE)))))</f>
        <v>60</v>
      </c>
      <c r="Y392">
        <f>IF(Y394&gt;10000,HLOOKUP(Y394,$O390:X393,4,FALSE),IF(OR(AND(22500&lt;Y390,Y390&lt;25001),AND(50000&lt;Y390,Y390&lt;53501),AND(70000&lt;Y390,Y390&lt;72501)),$F390,IF(OR(AND(25001&lt;Y390,Y390&lt;27501),AND(53500&lt;Y390,Y390&lt;57001),AND(72500&lt;Y390,Y390&lt;75001)),$G390,IF(OR(AND(27500&lt;Y390,Y390&lt;30001),AND(57000&lt;Y390,Y390&lt;60001),AND(75000&lt;Y390,Y390&lt;77500)),$H390,VLOOKUP(Y390,BDins,6,FALSE)))))</f>
        <v>31.5</v>
      </c>
      <c r="Z392">
        <f>IF(Z394&gt;10000,HLOOKUP(Z394,$O390:Y393,4,FALSE),IF(OR(AND(22500&lt;Z390,Z390&lt;25001),AND(50000&lt;Z390,Z390&lt;53501),AND(70000&lt;Z390,Z390&lt;72501)),$F390,IF(OR(AND(25001&lt;Z390,Z390&lt;27501),AND(53500&lt;Z390,Z390&lt;57001),AND(72500&lt;Z390,Z390&lt;75001)),$G390,IF(OR(AND(27500&lt;Z390,Z390&lt;30001),AND(57000&lt;Z390,Z390&lt;60001),AND(75000&lt;Z390,Z390&lt;77500)),$H390,VLOOKUP(Z390,BDins,6,FALSE)))))</f>
        <v>8.74</v>
      </c>
      <c r="AA392">
        <f>IF(AA394&gt;10000,HLOOKUP(AA394,$O390:Z393,4,FALSE),IF(OR(AND(22500&lt;AA390,AA390&lt;25001),AND(50000&lt;AA390,AA390&lt;53501),AND(70000&lt;AA390,AA390&lt;72501)),$F390,IF(OR(AND(25001&lt;AA390,AA390&lt;27501),AND(53500&lt;AA390,AA390&lt;57001),AND(72500&lt;AA390,AA390&lt;75001)),$G390,IF(OR(AND(27500&lt;AA390,AA390&lt;30001),AND(57000&lt;AA390,AA390&lt;60001),AND(75000&lt;AA390,AA390&lt;77500)),$H390,VLOOKUP(AA390,BDins,6,FALSE)))))</f>
        <v>15.78</v>
      </c>
      <c r="AB392">
        <f>IF(AB394&gt;10000,HLOOKUP(AB394,$O390:AA393,4,FALSE),IF(OR(AND(22500&lt;AB390,AB390&lt;25001),AND(50000&lt;AB390,AB390&lt;53501),AND(70000&lt;AB390,AB390&lt;72501)),$F390,IF(OR(AND(25001&lt;AB390,AB390&lt;27501),AND(53500&lt;AB390,AB390&lt;57001),AND(72500&lt;AB390,AB390&lt;75001)),$G390,IF(OR(AND(27500&lt;AB390,AB390&lt;30001),AND(57000&lt;AB390,AB390&lt;60001),AND(75000&lt;AB390,AB390&lt;77500)),$H390,VLOOKUP(AB390,BDins,6,FALSE)))))</f>
        <v>68.739999999999995</v>
      </c>
    </row>
    <row r="393" spans="1:28" x14ac:dyDescent="0.2">
      <c r="O393">
        <f t="shared" ref="O393:AB393" si="54">IF($K390&gt;0,ROUND(O391*$E390/100,DpCU),IF(O394&gt;10000,ROUND(HLOOKUP(O394,$O390:$AB393,4,FALSE)/100*O391,DpCU),IF(OR(O390&lt;20001,O390&gt;95000,AND(60000&lt;O390,O390&lt;70001)),ROUND(ROUND(O391*JL/$C390,DcCU)*O392,DpCU),IF(OR(AND(20000&lt;O390,O390&lt;22501),AND(30000&lt;O390,O390&lt;50001),77500&lt;O390),ROUND(O392*O391,DpCU),IF(OR(AND(22500&lt;O390,O390&lt;25001),AND(50000&lt;O390,O390&lt;53501),AND(70000&lt;O390,O390&lt;72501)),ROUND($F390/100*O391,DpCU),IF(OR(AND(25000&lt;O390,O390&lt;27501),AND(53500&lt;O390,O390&lt;57001),AND(72500&lt;O390,O390&lt;75001)),ROUND($G390/100*O391,DpCU),ROUND($H390/100*O391,DpCU)))))))</f>
        <v>0.8</v>
      </c>
      <c r="P393">
        <f t="shared" si="54"/>
        <v>6.66</v>
      </c>
      <c r="Q393">
        <f t="shared" si="54"/>
        <v>49.15</v>
      </c>
      <c r="R393">
        <f t="shared" si="54"/>
        <v>6.66</v>
      </c>
      <c r="S393">
        <f t="shared" si="54"/>
        <v>5.47</v>
      </c>
      <c r="T393">
        <f t="shared" si="54"/>
        <v>157.25</v>
      </c>
      <c r="U393">
        <f t="shared" si="54"/>
        <v>31.5</v>
      </c>
      <c r="V393">
        <f t="shared" si="54"/>
        <v>22.05</v>
      </c>
      <c r="W393">
        <f t="shared" si="54"/>
        <v>2.63</v>
      </c>
      <c r="X393">
        <f t="shared" si="54"/>
        <v>51</v>
      </c>
      <c r="Y393">
        <f t="shared" si="54"/>
        <v>10.08</v>
      </c>
      <c r="Z393">
        <f t="shared" si="54"/>
        <v>2.8</v>
      </c>
      <c r="AA393">
        <f t="shared" si="54"/>
        <v>5.05</v>
      </c>
      <c r="AB393">
        <f t="shared" si="54"/>
        <v>3.44</v>
      </c>
    </row>
    <row r="394" spans="1:28" x14ac:dyDescent="0.2">
      <c r="B394" s="3" t="str">
        <f>A390&amp;"r"</f>
        <v>10078r</v>
      </c>
    </row>
    <row r="395" spans="1:28" x14ac:dyDescent="0.2">
      <c r="A395">
        <v>10079</v>
      </c>
      <c r="B395" s="3" t="s">
        <v>516</v>
      </c>
      <c r="C395" s="1">
        <f>ROUND(J395*JL*Frto/8,4)</f>
        <v>11.5</v>
      </c>
      <c r="D395" t="s">
        <v>210</v>
      </c>
      <c r="E395">
        <f>SUM($O398:$V398)</f>
        <v>45.959999999999994</v>
      </c>
      <c r="F395">
        <f>SUMIF($O395:$V395,"&lt;22501",$O398:$V398)</f>
        <v>28.11</v>
      </c>
      <c r="G395">
        <f>SUMIFS($O398:$V398,$O395:$V395,"&gt;30000",$O395:$V395,"&lt;50001")</f>
        <v>14.280000000000001</v>
      </c>
      <c r="H395">
        <f>SUMIFS($O398:$V398,$O395:$V395,"&gt;60000",$O395:$V395,"&lt;70001")</f>
        <v>0</v>
      </c>
      <c r="I395">
        <v>8</v>
      </c>
      <c r="J395">
        <v>11.5</v>
      </c>
      <c r="O395">
        <v>10001</v>
      </c>
      <c r="P395">
        <v>10002</v>
      </c>
      <c r="Q395">
        <v>10008</v>
      </c>
      <c r="R395">
        <v>30054</v>
      </c>
      <c r="S395">
        <v>30072</v>
      </c>
      <c r="T395">
        <v>30073</v>
      </c>
      <c r="U395">
        <v>70001</v>
      </c>
      <c r="V395">
        <v>77508</v>
      </c>
    </row>
    <row r="396" spans="1:28" x14ac:dyDescent="0.2">
      <c r="B396" s="3" t="str">
        <f>A395&amp;"C"</f>
        <v>10079C</v>
      </c>
      <c r="O396">
        <v>0.1</v>
      </c>
      <c r="P396">
        <v>1</v>
      </c>
      <c r="Q396">
        <v>1</v>
      </c>
      <c r="R396">
        <v>0.08</v>
      </c>
      <c r="S396">
        <v>0.1</v>
      </c>
      <c r="T396">
        <v>3.5</v>
      </c>
      <c r="U396">
        <v>5</v>
      </c>
      <c r="V396">
        <v>0.43125000000000002</v>
      </c>
    </row>
    <row r="397" spans="1:28" x14ac:dyDescent="0.2">
      <c r="O397">
        <f>IF(O399&gt;10000,HLOOKUP(O399,N395:$O398,4,FALSE),IF(OR(AND(22500&lt;O395,O395&lt;25001),AND(50000&lt;O395,O395&lt;53501),AND(70000&lt;O395,O395&lt;72501)),$F395,IF(OR(AND(25001&lt;O395,O395&lt;27501),AND(53500&lt;O395,O395&lt;57001),AND(72500&lt;O395,O395&lt;75001)),$G395,IF(OR(AND(27500&lt;O395,O395&lt;30001),AND(57000&lt;O395,O395&lt;60001),AND(75000&lt;O395,O395&lt;77500)),$H395,VLOOKUP(O395,BDins,6,FALSE)))))</f>
        <v>24.97</v>
      </c>
      <c r="P397">
        <f>IF(P399&gt;10000,HLOOKUP(P399,O395:$O398,4,FALSE),IF(OR(AND(22500&lt;P395,P395&lt;25001),AND(50000&lt;P395,P395&lt;53501),AND(70000&lt;P395,P395&lt;72501)),$F395,IF(OR(AND(25001&lt;P395,P395&lt;27501),AND(53500&lt;P395,P395&lt;57001),AND(72500&lt;P395,P395&lt;75001)),$G395,IF(OR(AND(27500&lt;P395,P395&lt;30001),AND(57000&lt;P395,P395&lt;60001),AND(75000&lt;P395,P395&lt;77500)),$H395,VLOOKUP(P395,BDins,6,FALSE)))))</f>
        <v>20.81</v>
      </c>
      <c r="Q397">
        <f>IF(Q399&gt;10000,HLOOKUP(Q399,$O395:P398,4,FALSE),IF(OR(AND(22500&lt;Q395,Q395&lt;25001),AND(50000&lt;Q395,Q395&lt;53501),AND(70000&lt;Q395,Q395&lt;72501)),$F395,IF(OR(AND(25001&lt;Q395,Q395&lt;27501),AND(53500&lt;Q395,Q395&lt;57001),AND(72500&lt;Q395,Q395&lt;75001)),$G395,IF(OR(AND(27500&lt;Q395,Q395&lt;30001),AND(57000&lt;Q395,Q395&lt;60001),AND(75000&lt;Q395,Q395&lt;77500)),$H395,VLOOKUP(Q395,BDins,6,FALSE)))))</f>
        <v>17.09</v>
      </c>
      <c r="R397">
        <f>IF(R399&gt;10000,HLOOKUP(R399,$O395:Q398,4,FALSE),IF(OR(AND(22500&lt;R395,R395&lt;25001),AND(50000&lt;R395,R395&lt;53501),AND(70000&lt;R395,R395&lt;72501)),$F395,IF(OR(AND(25001&lt;R395,R395&lt;27501),AND(53500&lt;R395,R395&lt;57001),AND(72500&lt;R395,R395&lt;75001)),$G395,IF(OR(AND(27500&lt;R395,R395&lt;30001),AND(57000&lt;R395,R395&lt;60001),AND(75000&lt;R395,R395&lt;77500)),$H395,VLOOKUP(R395,BDins,6,FALSE)))))</f>
        <v>3.5</v>
      </c>
      <c r="S397">
        <f>IF(S399&gt;10000,HLOOKUP(S399,$O395:R398,4,FALSE),IF(OR(AND(22500&lt;S395,S395&lt;25001),AND(50000&lt;S395,S395&lt;53501),AND(70000&lt;S395,S395&lt;72501)),$F395,IF(OR(AND(25001&lt;S395,S395&lt;27501),AND(53500&lt;S395,S395&lt;57001),AND(72500&lt;S395,S395&lt;75001)),$G395,IF(OR(AND(27500&lt;S395,S395&lt;30001),AND(57000&lt;S395,S395&lt;60001),AND(75000&lt;S395,S395&lt;77500)),$H395,VLOOKUP(S395,BDins,6,FALSE)))))</f>
        <v>3.5</v>
      </c>
      <c r="T397">
        <f>IF(T399&gt;10000,HLOOKUP(T399,$O395:S398,4,FALSE),IF(OR(AND(22500&lt;T395,T395&lt;25001),AND(50000&lt;T395,T395&lt;53501),AND(70000&lt;T395,T395&lt;72501)),$F395,IF(OR(AND(25001&lt;T395,T395&lt;27501),AND(53500&lt;T395,T395&lt;57001),AND(72500&lt;T395,T395&lt;75001)),$G395,IF(OR(AND(27500&lt;T395,T395&lt;30001),AND(57000&lt;T395,T395&lt;60001),AND(75000&lt;T395,T395&lt;77500)),$H395,VLOOKUP(T395,BDins,6,FALSE)))))</f>
        <v>3.9</v>
      </c>
      <c r="U397">
        <f>IF(U399&gt;10000,HLOOKUP(U399,$O395:T398,4,FALSE),IF(OR(AND(22500&lt;U395,U395&lt;25001),AND(50000&lt;U395,U395&lt;53501),AND(70000&lt;U395,U395&lt;72501)),$F395,IF(OR(AND(25001&lt;U395,U395&lt;27501),AND(53500&lt;U395,U395&lt;57001),AND(72500&lt;U395,U395&lt;75001)),$G395,IF(OR(AND(27500&lt;U395,U395&lt;30001),AND(57000&lt;U395,U395&lt;60001),AND(75000&lt;U395,U395&lt;77500)),$H395,VLOOKUP(U395,BDins,6,FALSE)))))</f>
        <v>28.11</v>
      </c>
      <c r="V397">
        <f>IF(V399&gt;10000,HLOOKUP(V399,$O395:U398,4,FALSE),IF(OR(AND(22500&lt;V395,V395&lt;25001),AND(50000&lt;V395,V395&lt;53501),AND(70000&lt;V395,V395&lt;72501)),$F395,IF(OR(AND(25001&lt;V395,V395&lt;27501),AND(53500&lt;V395,V395&lt;57001),AND(72500&lt;V395,V395&lt;75001)),$G395,IF(OR(AND(27500&lt;V395,V395&lt;30001),AND(57000&lt;V395,V395&lt;60001),AND(75000&lt;V395,V395&lt;77500)),$H395,VLOOKUP(V395,BDins,6,FALSE)))))</f>
        <v>5</v>
      </c>
    </row>
    <row r="398" spans="1:28" x14ac:dyDescent="0.2">
      <c r="O398">
        <f t="shared" ref="O398:V398" si="55">IF($K395&gt;0,ROUND(O396*$E395/100,DpCU),IF(O399&gt;10000,ROUND(HLOOKUP(O399,$O395:$V398,4,FALSE)/100*O396,DpCU),IF(OR(O395&lt;20001,O395&gt;95000,AND(60000&lt;O395,O395&lt;70001)),ROUND(ROUND(O396*JL/$C395,DcCU)*O397,DpCU),IF(OR(AND(20000&lt;O395,O395&lt;22501),AND(30000&lt;O395,O395&lt;50001),77500&lt;O395),ROUND(O397*O396,DpCU),IF(OR(AND(22500&lt;O395,O395&lt;25001),AND(50000&lt;O395,O395&lt;53501),AND(70000&lt;O395,O395&lt;72501)),ROUND($F395/100*O396,DpCU),IF(OR(AND(25000&lt;O395,O395&lt;27501),AND(53500&lt;O395,O395&lt;57001),AND(72500&lt;O395,O395&lt;75001)),ROUND($G395/100*O396,DpCU),ROUND($H395/100*O396,DpCU)))))))</f>
        <v>1.74</v>
      </c>
      <c r="P398">
        <f t="shared" si="55"/>
        <v>14.48</v>
      </c>
      <c r="Q398">
        <f t="shared" si="55"/>
        <v>11.89</v>
      </c>
      <c r="R398">
        <f t="shared" si="55"/>
        <v>0.28000000000000003</v>
      </c>
      <c r="S398">
        <f t="shared" si="55"/>
        <v>0.35</v>
      </c>
      <c r="T398">
        <f t="shared" si="55"/>
        <v>13.65</v>
      </c>
      <c r="U398">
        <f t="shared" si="55"/>
        <v>1.41</v>
      </c>
      <c r="V398">
        <f t="shared" si="55"/>
        <v>2.16</v>
      </c>
    </row>
    <row r="399" spans="1:28" x14ac:dyDescent="0.2">
      <c r="B399" s="3" t="str">
        <f>A395&amp;"r"</f>
        <v>10079r</v>
      </c>
    </row>
    <row r="400" spans="1:28" x14ac:dyDescent="0.2">
      <c r="A400">
        <v>10080</v>
      </c>
      <c r="B400" s="3" t="s">
        <v>518</v>
      </c>
      <c r="C400" s="1">
        <f>ROUND(J400*JL*Frto/8,4)</f>
        <v>240</v>
      </c>
      <c r="D400" t="s">
        <v>33</v>
      </c>
      <c r="E400">
        <f>SUM($O403:$U403)</f>
        <v>9.42</v>
      </c>
      <c r="F400">
        <f>SUMIF($O400:$U400,"&lt;22501",$O403:$U403)</f>
        <v>1.3399999999999999</v>
      </c>
      <c r="G400">
        <f>SUMIFS($O403:$U403,$O400:$U400,"&gt;30000",$O400:$U400,"&lt;50001")</f>
        <v>2.76</v>
      </c>
      <c r="H400">
        <f>SUMIFS($O403:$U403,$O400:$U400,"&gt;60000",$O400:$U400,"&lt;70001")</f>
        <v>0</v>
      </c>
      <c r="I400">
        <v>7</v>
      </c>
      <c r="J400">
        <v>240</v>
      </c>
      <c r="O400">
        <v>10001</v>
      </c>
      <c r="P400">
        <v>10002</v>
      </c>
      <c r="Q400">
        <v>10008</v>
      </c>
      <c r="R400">
        <v>30063</v>
      </c>
      <c r="S400">
        <v>30066</v>
      </c>
      <c r="T400">
        <v>70001</v>
      </c>
      <c r="U400">
        <v>77507</v>
      </c>
    </row>
    <row r="401" spans="1:27" x14ac:dyDescent="0.2">
      <c r="B401" s="3" t="str">
        <f>A400&amp;"C"</f>
        <v>10080C</v>
      </c>
      <c r="O401">
        <v>0.1</v>
      </c>
      <c r="P401">
        <v>1</v>
      </c>
      <c r="Q401">
        <v>1</v>
      </c>
      <c r="R401">
        <v>0.06</v>
      </c>
      <c r="S401">
        <v>1.07</v>
      </c>
      <c r="T401">
        <v>5</v>
      </c>
      <c r="U401">
        <v>1.4999999999999999E-2</v>
      </c>
    </row>
    <row r="402" spans="1:27" x14ac:dyDescent="0.2">
      <c r="O402">
        <f>IF(O404&gt;10000,HLOOKUP(O404,N400:$O403,4,FALSE),IF(OR(AND(22500&lt;O400,O400&lt;25001),AND(50000&lt;O400,O400&lt;53501),AND(70000&lt;O400,O400&lt;72501)),$F400,IF(OR(AND(25001&lt;O400,O400&lt;27501),AND(53500&lt;O400,O400&lt;57001),AND(72500&lt;O400,O400&lt;75001)),$G400,IF(OR(AND(27500&lt;O400,O400&lt;30001),AND(57000&lt;O400,O400&lt;60001),AND(75000&lt;O400,O400&lt;77500)),$H400,VLOOKUP(O400,BDins,6,FALSE)))))</f>
        <v>24.97</v>
      </c>
      <c r="P402">
        <f>IF(P404&gt;10000,HLOOKUP(P404,O400:$O403,4,FALSE),IF(OR(AND(22500&lt;P400,P400&lt;25001),AND(50000&lt;P400,P400&lt;53501),AND(70000&lt;P400,P400&lt;72501)),$F400,IF(OR(AND(25001&lt;P400,P400&lt;27501),AND(53500&lt;P400,P400&lt;57001),AND(72500&lt;P400,P400&lt;75001)),$G400,IF(OR(AND(27500&lt;P400,P400&lt;30001),AND(57000&lt;P400,P400&lt;60001),AND(75000&lt;P400,P400&lt;77500)),$H400,VLOOKUP(P400,BDins,6,FALSE)))))</f>
        <v>20.81</v>
      </c>
      <c r="Q402">
        <f>IF(Q404&gt;10000,HLOOKUP(Q404,$O400:P403,4,FALSE),IF(OR(AND(22500&lt;Q400,Q400&lt;25001),AND(50000&lt;Q400,Q400&lt;53501),AND(70000&lt;Q400,Q400&lt;72501)),$F400,IF(OR(AND(25001&lt;Q400,Q400&lt;27501),AND(53500&lt;Q400,Q400&lt;57001),AND(72500&lt;Q400,Q400&lt;75001)),$G400,IF(OR(AND(27500&lt;Q400,Q400&lt;30001),AND(57000&lt;Q400,Q400&lt;60001),AND(75000&lt;Q400,Q400&lt;77500)),$H400,VLOOKUP(Q400,BDins,6,FALSE)))))</f>
        <v>17.09</v>
      </c>
      <c r="R402">
        <f>IF(R404&gt;10000,HLOOKUP(R404,$O400:Q403,4,FALSE),IF(OR(AND(22500&lt;R400,R400&lt;25001),AND(50000&lt;R400,R400&lt;53501),AND(70000&lt;R400,R400&lt;72501)),$F400,IF(OR(AND(25001&lt;R400,R400&lt;27501),AND(53500&lt;R400,R400&lt;57001),AND(72500&lt;R400,R400&lt;75001)),$G400,IF(OR(AND(27500&lt;R400,R400&lt;30001),AND(57000&lt;R400,R400&lt;60001),AND(75000&lt;R400,R400&lt;77500)),$H400,VLOOKUP(R400,BDins,6,FALSE)))))</f>
        <v>3.5</v>
      </c>
      <c r="S402">
        <f>IF(S404&gt;10000,HLOOKUP(S404,$O400:R403,4,FALSE),IF(OR(AND(22500&lt;S400,S400&lt;25001),AND(50000&lt;S400,S400&lt;53501),AND(70000&lt;S400,S400&lt;72501)),$F400,IF(OR(AND(25001&lt;S400,S400&lt;27501),AND(53500&lt;S400,S400&lt;57001),AND(72500&lt;S400,S400&lt;75001)),$G400,IF(OR(AND(27500&lt;S400,S400&lt;30001),AND(57000&lt;S400,S400&lt;60001),AND(75000&lt;S400,S400&lt;77500)),$H400,VLOOKUP(S400,BDins,6,FALSE)))))</f>
        <v>2.38</v>
      </c>
      <c r="T402">
        <f>IF(T404&gt;10000,HLOOKUP(T404,$O400:S403,4,FALSE),IF(OR(AND(22500&lt;T400,T400&lt;25001),AND(50000&lt;T400,T400&lt;53501),AND(70000&lt;T400,T400&lt;72501)),$F400,IF(OR(AND(25001&lt;T400,T400&lt;27501),AND(53500&lt;T400,T400&lt;57001),AND(72500&lt;T400,T400&lt;75001)),$G400,IF(OR(AND(27500&lt;T400,T400&lt;30001),AND(57000&lt;T400,T400&lt;60001),AND(75000&lt;T400,T400&lt;77500)),$H400,VLOOKUP(T400,BDins,6,FALSE)))))</f>
        <v>1.3399999999999999</v>
      </c>
      <c r="U402">
        <f>IF(U404&gt;10000,HLOOKUP(U404,$O400:T403,4,FALSE),IF(OR(AND(22500&lt;U400,U400&lt;25001),AND(50000&lt;U400,U400&lt;53501),AND(70000&lt;U400,U400&lt;72501)),$F400,IF(OR(AND(25001&lt;U400,U400&lt;27501),AND(53500&lt;U400,U400&lt;57001),AND(72500&lt;U400,U400&lt;75001)),$G400,IF(OR(AND(27500&lt;U400,U400&lt;30001),AND(57000&lt;U400,U400&lt;60001),AND(75000&lt;U400,U400&lt;77500)),$H400,VLOOKUP(U400,BDins,6,FALSE)))))</f>
        <v>350</v>
      </c>
    </row>
    <row r="403" spans="1:27" x14ac:dyDescent="0.2">
      <c r="O403">
        <f t="shared" ref="O403:U403" si="56">IF($K400&gt;0,ROUND(O401*$E400/100,DpCU),IF(O404&gt;10000,ROUND(HLOOKUP(O404,$O400:$U403,4,FALSE)/100*O401,DpCU),IF(OR(O400&lt;20001,O400&gt;95000,AND(60000&lt;O400,O400&lt;70001)),ROUND(ROUND(O401*JL/$C400,DcCU)*O402,DpCU),IF(OR(AND(20000&lt;O400,O400&lt;22501),AND(30000&lt;O400,O400&lt;50001),77500&lt;O400),ROUND(O402*O401,DpCU),IF(OR(AND(22500&lt;O400,O400&lt;25001),AND(50000&lt;O400,O400&lt;53501),AND(70000&lt;O400,O400&lt;72501)),ROUND($F400/100*O401,DpCU),IF(OR(AND(25000&lt;O400,O400&lt;27501),AND(53500&lt;O400,O400&lt;57001),AND(72500&lt;O400,O400&lt;75001)),ROUND($G400/100*O401,DpCU),ROUND($H400/100*O401,DpCU)))))))</f>
        <v>0.08</v>
      </c>
      <c r="P403">
        <f t="shared" si="56"/>
        <v>0.69</v>
      </c>
      <c r="Q403">
        <f t="shared" si="56"/>
        <v>0.56999999999999995</v>
      </c>
      <c r="R403">
        <f t="shared" si="56"/>
        <v>0.21</v>
      </c>
      <c r="S403">
        <f t="shared" si="56"/>
        <v>2.5499999999999998</v>
      </c>
      <c r="T403">
        <f t="shared" si="56"/>
        <v>7.0000000000000007E-2</v>
      </c>
      <c r="U403">
        <f t="shared" si="56"/>
        <v>5.25</v>
      </c>
    </row>
    <row r="404" spans="1:27" x14ac:dyDescent="0.2">
      <c r="B404" s="3" t="str">
        <f>A400&amp;"r"</f>
        <v>10080r</v>
      </c>
    </row>
    <row r="405" spans="1:27" x14ac:dyDescent="0.2">
      <c r="A405">
        <v>10081</v>
      </c>
      <c r="B405" s="3" t="s">
        <v>522</v>
      </c>
      <c r="C405" s="1">
        <f>ROUND(J405*JL*Frto/8,4)</f>
        <v>20</v>
      </c>
      <c r="D405" t="s">
        <v>34</v>
      </c>
      <c r="E405">
        <f>SUM($O408:$AA408)</f>
        <v>365.09</v>
      </c>
      <c r="F405">
        <f>SUMIF($O405:$AA405,"&lt;22501",$O408:$AA408)</f>
        <v>85.919999999999987</v>
      </c>
      <c r="G405">
        <f>SUMIFS($O408:$AA408,$O405:$AA405,"&gt;30000",$O405:$AA405,"&lt;50001")</f>
        <v>261.63</v>
      </c>
      <c r="H405">
        <f>SUMIFS($O408:$AA408,$O405:$AA405,"&gt;60000",$O405:$AA405,"&lt;70001")</f>
        <v>14.959999999999999</v>
      </c>
      <c r="I405">
        <v>13</v>
      </c>
      <c r="J405">
        <v>20</v>
      </c>
      <c r="O405">
        <v>10001</v>
      </c>
      <c r="P405">
        <v>10002</v>
      </c>
      <c r="Q405">
        <v>10003</v>
      </c>
      <c r="R405">
        <v>10004</v>
      </c>
      <c r="S405">
        <v>10008</v>
      </c>
      <c r="T405">
        <v>30002</v>
      </c>
      <c r="U405">
        <v>30023</v>
      </c>
      <c r="V405">
        <v>30056</v>
      </c>
      <c r="W405">
        <v>30061</v>
      </c>
      <c r="X405">
        <v>30062</v>
      </c>
      <c r="Y405">
        <v>60010</v>
      </c>
      <c r="Z405">
        <v>60012</v>
      </c>
      <c r="AA405">
        <v>70001</v>
      </c>
    </row>
    <row r="406" spans="1:27" x14ac:dyDescent="0.2">
      <c r="B406" s="3" t="str">
        <f>A405&amp;"C"</f>
        <v>10081C</v>
      </c>
      <c r="O406">
        <v>0.1</v>
      </c>
      <c r="P406">
        <v>1</v>
      </c>
      <c r="Q406">
        <v>10</v>
      </c>
      <c r="R406">
        <v>1</v>
      </c>
      <c r="S406">
        <v>1</v>
      </c>
      <c r="T406">
        <v>8.5</v>
      </c>
      <c r="U406">
        <v>0.184</v>
      </c>
      <c r="V406">
        <v>0.42</v>
      </c>
      <c r="W406">
        <v>0.85</v>
      </c>
      <c r="X406">
        <v>0.25</v>
      </c>
      <c r="Y406">
        <v>1</v>
      </c>
      <c r="Z406">
        <v>1</v>
      </c>
      <c r="AA406">
        <v>3</v>
      </c>
    </row>
    <row r="407" spans="1:27" x14ac:dyDescent="0.2">
      <c r="O407">
        <f>IF(O409&gt;10000,HLOOKUP(O409,N405:$O408,4,FALSE),IF(OR(AND(22500&lt;O405,O405&lt;25001),AND(50000&lt;O405,O405&lt;53501),AND(70000&lt;O405,O405&lt;72501)),$F405,IF(OR(AND(25001&lt;O405,O405&lt;27501),AND(53500&lt;O405,O405&lt;57001),AND(72500&lt;O405,O405&lt;75001)),$G405,IF(OR(AND(27500&lt;O405,O405&lt;30001),AND(57000&lt;O405,O405&lt;60001),AND(75000&lt;O405,O405&lt;77500)),$H405,VLOOKUP(O405,BDins,6,FALSE)))))</f>
        <v>24.97</v>
      </c>
      <c r="P407">
        <f>IF(P409&gt;10000,HLOOKUP(P409,O405:$O408,4,FALSE),IF(OR(AND(22500&lt;P405,P405&lt;25001),AND(50000&lt;P405,P405&lt;53501),AND(70000&lt;P405,P405&lt;72501)),$F405,IF(OR(AND(25001&lt;P405,P405&lt;27501),AND(53500&lt;P405,P405&lt;57001),AND(72500&lt;P405,P405&lt;75001)),$G405,IF(OR(AND(27500&lt;P405,P405&lt;30001),AND(57000&lt;P405,P405&lt;60001),AND(75000&lt;P405,P405&lt;77500)),$H405,VLOOKUP(P405,BDins,6,FALSE)))))</f>
        <v>20.81</v>
      </c>
      <c r="Q407">
        <f>IF(Q409&gt;10000,HLOOKUP(Q409,$O405:P408,4,FALSE),IF(OR(AND(22500&lt;Q405,Q405&lt;25001),AND(50000&lt;Q405,Q405&lt;53501),AND(70000&lt;Q405,Q405&lt;72501)),$F405,IF(OR(AND(25001&lt;Q405,Q405&lt;27501),AND(53500&lt;Q405,Q405&lt;57001),AND(72500&lt;Q405,Q405&lt;75001)),$G405,IF(OR(AND(27500&lt;Q405,Q405&lt;30001),AND(57000&lt;Q405,Q405&lt;60001),AND(75000&lt;Q405,Q405&lt;77500)),$H405,VLOOKUP(Q405,BDins,6,FALSE)))))</f>
        <v>15.36</v>
      </c>
      <c r="R407">
        <f>IF(R409&gt;10000,HLOOKUP(R409,$O405:Q408,4,FALSE),IF(OR(AND(22500&lt;R405,R405&lt;25001),AND(50000&lt;R405,R405&lt;53501),AND(70000&lt;R405,R405&lt;72501)),$F405,IF(OR(AND(25001&lt;R405,R405&lt;27501),AND(53500&lt;R405,R405&lt;57001),AND(72500&lt;R405,R405&lt;75001)),$G405,IF(OR(AND(27500&lt;R405,R405&lt;30001),AND(57000&lt;R405,R405&lt;60001),AND(75000&lt;R405,R405&lt;77500)),$H405,VLOOKUP(R405,BDins,6,FALSE)))))</f>
        <v>20.81</v>
      </c>
      <c r="S407">
        <f>IF(S409&gt;10000,HLOOKUP(S409,$O405:R408,4,FALSE),IF(OR(AND(22500&lt;S405,S405&lt;25001),AND(50000&lt;S405,S405&lt;53501),AND(70000&lt;S405,S405&lt;72501)),$F405,IF(OR(AND(25001&lt;S405,S405&lt;27501),AND(53500&lt;S405,S405&lt;57001),AND(72500&lt;S405,S405&lt;75001)),$G405,IF(OR(AND(27500&lt;S405,S405&lt;30001),AND(57000&lt;S405,S405&lt;60001),AND(75000&lt;S405,S405&lt;77500)),$H405,VLOOKUP(S405,BDins,6,FALSE)))))</f>
        <v>17.09</v>
      </c>
      <c r="T407">
        <f>IF(T409&gt;10000,HLOOKUP(T409,$O405:S408,4,FALSE),IF(OR(AND(22500&lt;T405,T405&lt;25001),AND(50000&lt;T405,T405&lt;53501),AND(70000&lt;T405,T405&lt;72501)),$F405,IF(OR(AND(25001&lt;T405,T405&lt;27501),AND(53500&lt;T405,T405&lt;57001),AND(72500&lt;T405,T405&lt;75001)),$G405,IF(OR(AND(27500&lt;T405,T405&lt;30001),AND(57000&lt;T405,T405&lt;60001),AND(75000&lt;T405,T405&lt;77500)),$H405,VLOOKUP(T405,BDins,6,FALSE)))))</f>
        <v>18.5</v>
      </c>
      <c r="U407">
        <f>IF(U409&gt;10000,HLOOKUP(U409,$O405:T408,4,FALSE),IF(OR(AND(22500&lt;U405,U405&lt;25001),AND(50000&lt;U405,U405&lt;53501),AND(70000&lt;U405,U405&lt;72501)),$F405,IF(OR(AND(25001&lt;U405,U405&lt;27501),AND(53500&lt;U405,U405&lt;57001),AND(72500&lt;U405,U405&lt;75001)),$G405,IF(OR(AND(27500&lt;U405,U405&lt;30001),AND(57000&lt;U405,U405&lt;60001),AND(75000&lt;U405,U405&lt;77500)),$H405,VLOOKUP(U405,BDins,6,FALSE)))))</f>
        <v>150</v>
      </c>
      <c r="V407">
        <f>IF(V409&gt;10000,HLOOKUP(V409,$O405:U408,4,FALSE),IF(OR(AND(22500&lt;V405,V405&lt;25001),AND(50000&lt;V405,V405&lt;53501),AND(70000&lt;V405,V405&lt;72501)),$F405,IF(OR(AND(25001&lt;V405,V405&lt;27501),AND(53500&lt;V405,V405&lt;57001),AND(72500&lt;V405,V405&lt;75001)),$G405,IF(OR(AND(27500&lt;V405,V405&lt;30001),AND(57000&lt;V405,V405&lt;60001),AND(75000&lt;V405,V405&lt;77500)),$H405,VLOOKUP(V405,BDins,6,FALSE)))))</f>
        <v>45</v>
      </c>
      <c r="W407">
        <f>IF(W409&gt;10000,HLOOKUP(W409,$O405:V408,4,FALSE),IF(OR(AND(22500&lt;W405,W405&lt;25001),AND(50000&lt;W405,W405&lt;53501),AND(70000&lt;W405,W405&lt;72501)),$F405,IF(OR(AND(25001&lt;W405,W405&lt;27501),AND(53500&lt;W405,W405&lt;57001),AND(72500&lt;W405,W405&lt;75001)),$G405,IF(OR(AND(27500&lt;W405,W405&lt;30001),AND(57000&lt;W405,W405&lt;60001),AND(75000&lt;W405,W405&lt;77500)),$H405,VLOOKUP(W405,BDins,6,FALSE)))))</f>
        <v>65</v>
      </c>
      <c r="X407">
        <f>IF(X409&gt;10000,HLOOKUP(X409,$O405:W408,4,FALSE),IF(OR(AND(22500&lt;X405,X405&lt;25001),AND(50000&lt;X405,X405&lt;53501),AND(70000&lt;X405,X405&lt;72501)),$F405,IF(OR(AND(25001&lt;X405,X405&lt;27501),AND(53500&lt;X405,X405&lt;57001),AND(72500&lt;X405,X405&lt;75001)),$G405,IF(OR(AND(27500&lt;X405,X405&lt;30001),AND(57000&lt;X405,X405&lt;60001),AND(75000&lt;X405,X405&lt;77500)),$H405,VLOOKUP(X405,BDins,6,FALSE)))))</f>
        <v>10.5</v>
      </c>
      <c r="Y407">
        <f>IF(Y409&gt;10000,HLOOKUP(Y409,$O405:X408,4,FALSE),IF(OR(AND(22500&lt;Y405,Y405&lt;25001),AND(50000&lt;Y405,Y405&lt;53501),AND(70000&lt;Y405,Y405&lt;72501)),$F405,IF(OR(AND(25001&lt;Y405,Y405&lt;27501),AND(53500&lt;Y405,Y405&lt;57001),AND(72500&lt;Y405,Y405&lt;75001)),$G405,IF(OR(AND(27500&lt;Y405,Y405&lt;30001),AND(57000&lt;Y405,Y405&lt;60001),AND(75000&lt;Y405,Y405&lt;77500)),$H405,VLOOKUP(Y405,BDins,6,FALSE)))))</f>
        <v>31.5</v>
      </c>
      <c r="Z407">
        <f>IF(Z409&gt;10000,HLOOKUP(Z409,$O405:Y408,4,FALSE),IF(OR(AND(22500&lt;Z405,Z405&lt;25001),AND(50000&lt;Z405,Z405&lt;53501),AND(70000&lt;Z405,Z405&lt;72501)),$F405,IF(OR(AND(25001&lt;Z405,Z405&lt;27501),AND(53500&lt;Z405,Z405&lt;57001),AND(72500&lt;Z405,Z405&lt;75001)),$G405,IF(OR(AND(27500&lt;Z405,Z405&lt;30001),AND(57000&lt;Z405,Z405&lt;60001),AND(75000&lt;Z405,Z405&lt;77500)),$H405,VLOOKUP(Z405,BDins,6,FALSE)))))</f>
        <v>5.9</v>
      </c>
      <c r="AA407">
        <f>IF(AA409&gt;10000,HLOOKUP(AA409,$O405:Z408,4,FALSE),IF(OR(AND(22500&lt;AA405,AA405&lt;25001),AND(50000&lt;AA405,AA405&lt;53501),AND(70000&lt;AA405,AA405&lt;72501)),$F405,IF(OR(AND(25001&lt;AA405,AA405&lt;27501),AND(53500&lt;AA405,AA405&lt;57001),AND(72500&lt;AA405,AA405&lt;75001)),$G405,IF(OR(AND(27500&lt;AA405,AA405&lt;30001),AND(57000&lt;AA405,AA405&lt;60001),AND(75000&lt;AA405,AA405&lt;77500)),$H405,VLOOKUP(AA405,BDins,6,FALSE)))))</f>
        <v>85.919999999999987</v>
      </c>
    </row>
    <row r="408" spans="1:27" x14ac:dyDescent="0.2">
      <c r="O408">
        <f t="shared" ref="O408:AA408" si="57">IF($K405&gt;0,ROUND(O406*$E405/100,DpCU),IF(O409&gt;10000,ROUND(HLOOKUP(O409,$O405:$AA408,4,FALSE)/100*O406,DpCU),IF(OR(O405&lt;20001,O405&gt;95000,AND(60000&lt;O405,O405&lt;70001)),ROUND(ROUND(O406*JL/$C405,DcCU)*O407,DpCU),IF(OR(AND(20000&lt;O405,O405&lt;22501),AND(30000&lt;O405,O405&lt;50001),77500&lt;O405),ROUND(O407*O406,DpCU),IF(OR(AND(22500&lt;O405,O405&lt;25001),AND(50000&lt;O405,O405&lt;53501),AND(70000&lt;O405,O405&lt;72501)),ROUND($F405/100*O406,DpCU),IF(OR(AND(25000&lt;O405,O405&lt;27501),AND(53500&lt;O405,O405&lt;57001),AND(72500&lt;O405,O405&lt;75001)),ROUND($G405/100*O406,DpCU),ROUND($H405/100*O406,DpCU)))))))</f>
        <v>1</v>
      </c>
      <c r="P408">
        <f t="shared" si="57"/>
        <v>8.32</v>
      </c>
      <c r="Q408">
        <f t="shared" si="57"/>
        <v>61.44</v>
      </c>
      <c r="R408">
        <f t="shared" si="57"/>
        <v>8.32</v>
      </c>
      <c r="S408">
        <f t="shared" si="57"/>
        <v>6.84</v>
      </c>
      <c r="T408">
        <f t="shared" si="57"/>
        <v>157.25</v>
      </c>
      <c r="U408">
        <f t="shared" si="57"/>
        <v>27.6</v>
      </c>
      <c r="V408">
        <f t="shared" si="57"/>
        <v>18.899999999999999</v>
      </c>
      <c r="W408">
        <f t="shared" si="57"/>
        <v>55.25</v>
      </c>
      <c r="X408">
        <f t="shared" si="57"/>
        <v>2.63</v>
      </c>
      <c r="Y408">
        <f t="shared" si="57"/>
        <v>12.6</v>
      </c>
      <c r="Z408">
        <f t="shared" si="57"/>
        <v>2.36</v>
      </c>
      <c r="AA408">
        <f t="shared" si="57"/>
        <v>2.58</v>
      </c>
    </row>
    <row r="409" spans="1:27" x14ac:dyDescent="0.2">
      <c r="B409" s="3" t="str">
        <f>A405&amp;"r"</f>
        <v>10081r</v>
      </c>
    </row>
    <row r="410" spans="1:27" x14ac:dyDescent="0.2">
      <c r="A410">
        <v>10082</v>
      </c>
      <c r="B410" s="3" t="s">
        <v>524</v>
      </c>
      <c r="C410" s="1">
        <f>ROUND(J410*JL*Frto/8,4)</f>
        <v>10</v>
      </c>
      <c r="D410" t="s">
        <v>210</v>
      </c>
      <c r="E410">
        <f>SUM($O413:$U413)</f>
        <v>47.660000000000004</v>
      </c>
      <c r="F410">
        <f>SUMIF($O410:$U410,"&lt;22501",$O413:$U413)</f>
        <v>32.32</v>
      </c>
      <c r="G410">
        <f>SUMIFS($O413:$U413,$O410:$U410,"&gt;30000",$O410:$U410,"&lt;50001")</f>
        <v>14.6</v>
      </c>
      <c r="H410">
        <f>SUMIFS($O413:$U413,$O410:$U410,"&gt;60000",$O410:$U410,"&lt;70001")</f>
        <v>0</v>
      </c>
      <c r="I410">
        <v>7</v>
      </c>
      <c r="J410">
        <v>10</v>
      </c>
      <c r="O410">
        <v>10001</v>
      </c>
      <c r="P410">
        <v>10002</v>
      </c>
      <c r="Q410">
        <v>10008</v>
      </c>
      <c r="R410">
        <v>30051</v>
      </c>
      <c r="S410">
        <v>30054</v>
      </c>
      <c r="T410">
        <v>30055</v>
      </c>
      <c r="U410">
        <v>70001</v>
      </c>
    </row>
    <row r="411" spans="1:27" x14ac:dyDescent="0.2">
      <c r="B411" s="3" t="str">
        <f>A410&amp;"C"</f>
        <v>10082C</v>
      </c>
      <c r="O411">
        <v>0.1</v>
      </c>
      <c r="P411">
        <v>1</v>
      </c>
      <c r="Q411">
        <v>1</v>
      </c>
      <c r="R411">
        <v>0.12</v>
      </c>
      <c r="S411">
        <v>0.15</v>
      </c>
      <c r="T411">
        <v>3.5</v>
      </c>
      <c r="U411">
        <v>2.2999999999999998</v>
      </c>
    </row>
    <row r="412" spans="1:27" x14ac:dyDescent="0.2">
      <c r="O412">
        <f>IF(O414&gt;10000,HLOOKUP(O414,N410:$O413,4,FALSE),IF(OR(AND(22500&lt;O410,O410&lt;25001),AND(50000&lt;O410,O410&lt;53501),AND(70000&lt;O410,O410&lt;72501)),$F410,IF(OR(AND(25001&lt;O410,O410&lt;27501),AND(53500&lt;O410,O410&lt;57001),AND(72500&lt;O410,O410&lt;75001)),$G410,IF(OR(AND(27500&lt;O410,O410&lt;30001),AND(57000&lt;O410,O410&lt;60001),AND(75000&lt;O410,O410&lt;77500)),$H410,VLOOKUP(O410,BDins,6,FALSE)))))</f>
        <v>24.97</v>
      </c>
      <c r="P412">
        <f>IF(P414&gt;10000,HLOOKUP(P414,O410:$O413,4,FALSE),IF(OR(AND(22500&lt;P410,P410&lt;25001),AND(50000&lt;P410,P410&lt;53501),AND(70000&lt;P410,P410&lt;72501)),$F410,IF(OR(AND(25001&lt;P410,P410&lt;27501),AND(53500&lt;P410,P410&lt;57001),AND(72500&lt;P410,P410&lt;75001)),$G410,IF(OR(AND(27500&lt;P410,P410&lt;30001),AND(57000&lt;P410,P410&lt;60001),AND(75000&lt;P410,P410&lt;77500)),$H410,VLOOKUP(P410,BDins,6,FALSE)))))</f>
        <v>20.81</v>
      </c>
      <c r="Q412">
        <f>IF(Q414&gt;10000,HLOOKUP(Q414,$O410:P413,4,FALSE),IF(OR(AND(22500&lt;Q410,Q410&lt;25001),AND(50000&lt;Q410,Q410&lt;53501),AND(70000&lt;Q410,Q410&lt;72501)),$F410,IF(OR(AND(25001&lt;Q410,Q410&lt;27501),AND(53500&lt;Q410,Q410&lt;57001),AND(72500&lt;Q410,Q410&lt;75001)),$G410,IF(OR(AND(27500&lt;Q410,Q410&lt;30001),AND(57000&lt;Q410,Q410&lt;60001),AND(75000&lt;Q410,Q410&lt;77500)),$H410,VLOOKUP(Q410,BDins,6,FALSE)))))</f>
        <v>17.09</v>
      </c>
      <c r="R412">
        <f>IF(R414&gt;10000,HLOOKUP(R414,$O410:Q413,4,FALSE),IF(OR(AND(22500&lt;R410,R410&lt;25001),AND(50000&lt;R410,R410&lt;53501),AND(70000&lt;R410,R410&lt;72501)),$F410,IF(OR(AND(25001&lt;R410,R410&lt;27501),AND(53500&lt;R410,R410&lt;57001),AND(72500&lt;R410,R410&lt;75001)),$G410,IF(OR(AND(27500&lt;R410,R410&lt;30001),AND(57000&lt;R410,R410&lt;60001),AND(75000&lt;R410,R410&lt;77500)),$H410,VLOOKUP(R410,BDins,6,FALSE)))))</f>
        <v>3.5</v>
      </c>
      <c r="S412">
        <f>IF(S414&gt;10000,HLOOKUP(S414,$O410:R413,4,FALSE),IF(OR(AND(22500&lt;S410,S410&lt;25001),AND(50000&lt;S410,S410&lt;53501),AND(70000&lt;S410,S410&lt;72501)),$F410,IF(OR(AND(25001&lt;S410,S410&lt;27501),AND(53500&lt;S410,S410&lt;57001),AND(72500&lt;S410,S410&lt;75001)),$G410,IF(OR(AND(27500&lt;S410,S410&lt;30001),AND(57000&lt;S410,S410&lt;60001),AND(75000&lt;S410,S410&lt;77500)),$H410,VLOOKUP(S410,BDins,6,FALSE)))))</f>
        <v>3.5</v>
      </c>
      <c r="T412">
        <f>IF(T414&gt;10000,HLOOKUP(T414,$O410:S413,4,FALSE),IF(OR(AND(22500&lt;T410,T410&lt;25001),AND(50000&lt;T410,T410&lt;53501),AND(70000&lt;T410,T410&lt;72501)),$F410,IF(OR(AND(25001&lt;T410,T410&lt;27501),AND(53500&lt;T410,T410&lt;57001),AND(72500&lt;T410,T410&lt;75001)),$G410,IF(OR(AND(27500&lt;T410,T410&lt;30001),AND(57000&lt;T410,T410&lt;60001),AND(75000&lt;T410,T410&lt;77500)),$H410,VLOOKUP(T410,BDins,6,FALSE)))))</f>
        <v>3.9</v>
      </c>
      <c r="U412">
        <f>IF(U414&gt;10000,HLOOKUP(U414,$O410:T413,4,FALSE),IF(OR(AND(22500&lt;U410,U410&lt;25001),AND(50000&lt;U410,U410&lt;53501),AND(70000&lt;U410,U410&lt;72501)),$F410,IF(OR(AND(25001&lt;U410,U410&lt;27501),AND(53500&lt;U410,U410&lt;57001),AND(72500&lt;U410,U410&lt;75001)),$G410,IF(OR(AND(27500&lt;U410,U410&lt;30001),AND(57000&lt;U410,U410&lt;60001),AND(75000&lt;U410,U410&lt;77500)),$H410,VLOOKUP(U410,BDins,6,FALSE)))))</f>
        <v>32.32</v>
      </c>
    </row>
    <row r="413" spans="1:27" x14ac:dyDescent="0.2">
      <c r="O413">
        <f t="shared" ref="O413:U413" si="58">IF($K410&gt;0,ROUND(O411*$E410/100,DpCU),IF(O414&gt;10000,ROUND(HLOOKUP(O414,$O410:$U413,4,FALSE)/100*O411,DpCU),IF(OR(O410&lt;20001,O410&gt;95000,AND(60000&lt;O410,O410&lt;70001)),ROUND(ROUND(O411*JL/$C410,DcCU)*O412,DpCU),IF(OR(AND(20000&lt;O410,O410&lt;22501),AND(30000&lt;O410,O410&lt;50001),77500&lt;O410),ROUND(O412*O411,DpCU),IF(OR(AND(22500&lt;O410,O410&lt;25001),AND(50000&lt;O410,O410&lt;53501),AND(70000&lt;O410,O410&lt;72501)),ROUND($F410/100*O411,DpCU),IF(OR(AND(25000&lt;O410,O410&lt;27501),AND(53500&lt;O410,O410&lt;57001),AND(72500&lt;O410,O410&lt;75001)),ROUND($G410/100*O411,DpCU),ROUND($H410/100*O411,DpCU)))))))</f>
        <v>2</v>
      </c>
      <c r="P413">
        <f t="shared" si="58"/>
        <v>16.649999999999999</v>
      </c>
      <c r="Q413">
        <f t="shared" si="58"/>
        <v>13.67</v>
      </c>
      <c r="R413">
        <f t="shared" si="58"/>
        <v>0.42</v>
      </c>
      <c r="S413">
        <f t="shared" si="58"/>
        <v>0.53</v>
      </c>
      <c r="T413">
        <f t="shared" si="58"/>
        <v>13.65</v>
      </c>
      <c r="U413">
        <f t="shared" si="58"/>
        <v>0.74</v>
      </c>
    </row>
    <row r="414" spans="1:27" x14ac:dyDescent="0.2">
      <c r="B414" s="3" t="str">
        <f>A410&amp;"r"</f>
        <v>10082r</v>
      </c>
    </row>
    <row r="415" spans="1:27" x14ac:dyDescent="0.2">
      <c r="A415">
        <v>10083</v>
      </c>
      <c r="B415" s="3" t="s">
        <v>526</v>
      </c>
      <c r="C415" s="1">
        <f>ROUND(J415*JL*Frto/8,4)</f>
        <v>240</v>
      </c>
      <c r="D415" t="s">
        <v>33</v>
      </c>
      <c r="E415">
        <f>SUM($O418:$U418)</f>
        <v>9.34</v>
      </c>
      <c r="F415">
        <f>SUMIF($O415:$U415,"&lt;22501",$O418:$U418)</f>
        <v>1.3399999999999999</v>
      </c>
      <c r="G415">
        <f>SUMIFS($O418:$U418,$O415:$U415,"&gt;30000",$O415:$U415,"&lt;50001")</f>
        <v>2.68</v>
      </c>
      <c r="H415">
        <f>SUMIFS($O418:$U418,$O415:$U415,"&gt;60000",$O415:$U415,"&lt;70001")</f>
        <v>0</v>
      </c>
      <c r="I415">
        <v>7</v>
      </c>
      <c r="J415">
        <v>240</v>
      </c>
      <c r="O415">
        <v>10001</v>
      </c>
      <c r="P415">
        <v>10002</v>
      </c>
      <c r="Q415">
        <v>10008</v>
      </c>
      <c r="R415">
        <v>30063</v>
      </c>
      <c r="S415">
        <v>30064</v>
      </c>
      <c r="T415">
        <v>70001</v>
      </c>
      <c r="U415">
        <v>77507</v>
      </c>
    </row>
    <row r="416" spans="1:27" x14ac:dyDescent="0.2">
      <c r="B416" s="3" t="str">
        <f>A415&amp;"C"</f>
        <v>10083C</v>
      </c>
      <c r="O416">
        <v>0.1</v>
      </c>
      <c r="P416">
        <v>1</v>
      </c>
      <c r="Q416">
        <v>1</v>
      </c>
      <c r="R416">
        <v>0.05</v>
      </c>
      <c r="S416">
        <v>1.05</v>
      </c>
      <c r="T416">
        <v>5</v>
      </c>
      <c r="U416">
        <v>1.4999999999999999E-2</v>
      </c>
    </row>
    <row r="417" spans="1:27" x14ac:dyDescent="0.2">
      <c r="O417">
        <f>IF(O419&gt;10000,HLOOKUP(O419,N415:$O418,4,FALSE),IF(OR(AND(22500&lt;O415,O415&lt;25001),AND(50000&lt;O415,O415&lt;53501),AND(70000&lt;O415,O415&lt;72501)),$F415,IF(OR(AND(25001&lt;O415,O415&lt;27501),AND(53500&lt;O415,O415&lt;57001),AND(72500&lt;O415,O415&lt;75001)),$G415,IF(OR(AND(27500&lt;O415,O415&lt;30001),AND(57000&lt;O415,O415&lt;60001),AND(75000&lt;O415,O415&lt;77500)),$H415,VLOOKUP(O415,BDins,6,FALSE)))))</f>
        <v>24.97</v>
      </c>
      <c r="P417">
        <f>IF(P419&gt;10000,HLOOKUP(P419,O415:$O418,4,FALSE),IF(OR(AND(22500&lt;P415,P415&lt;25001),AND(50000&lt;P415,P415&lt;53501),AND(70000&lt;P415,P415&lt;72501)),$F415,IF(OR(AND(25001&lt;P415,P415&lt;27501),AND(53500&lt;P415,P415&lt;57001),AND(72500&lt;P415,P415&lt;75001)),$G415,IF(OR(AND(27500&lt;P415,P415&lt;30001),AND(57000&lt;P415,P415&lt;60001),AND(75000&lt;P415,P415&lt;77500)),$H415,VLOOKUP(P415,BDins,6,FALSE)))))</f>
        <v>20.81</v>
      </c>
      <c r="Q417">
        <f>IF(Q419&gt;10000,HLOOKUP(Q419,$O415:P418,4,FALSE),IF(OR(AND(22500&lt;Q415,Q415&lt;25001),AND(50000&lt;Q415,Q415&lt;53501),AND(70000&lt;Q415,Q415&lt;72501)),$F415,IF(OR(AND(25001&lt;Q415,Q415&lt;27501),AND(53500&lt;Q415,Q415&lt;57001),AND(72500&lt;Q415,Q415&lt;75001)),$G415,IF(OR(AND(27500&lt;Q415,Q415&lt;30001),AND(57000&lt;Q415,Q415&lt;60001),AND(75000&lt;Q415,Q415&lt;77500)),$H415,VLOOKUP(Q415,BDins,6,FALSE)))))</f>
        <v>17.09</v>
      </c>
      <c r="R417">
        <f>IF(R419&gt;10000,HLOOKUP(R419,$O415:Q418,4,FALSE),IF(OR(AND(22500&lt;R415,R415&lt;25001),AND(50000&lt;R415,R415&lt;53501),AND(70000&lt;R415,R415&lt;72501)),$F415,IF(OR(AND(25001&lt;R415,R415&lt;27501),AND(53500&lt;R415,R415&lt;57001),AND(72500&lt;R415,R415&lt;75001)),$G415,IF(OR(AND(27500&lt;R415,R415&lt;30001),AND(57000&lt;R415,R415&lt;60001),AND(75000&lt;R415,R415&lt;77500)),$H415,VLOOKUP(R415,BDins,6,FALSE)))))</f>
        <v>3.5</v>
      </c>
      <c r="S417">
        <f>IF(S419&gt;10000,HLOOKUP(S419,$O415:R418,4,FALSE),IF(OR(AND(22500&lt;S415,S415&lt;25001),AND(50000&lt;S415,S415&lt;53501),AND(70000&lt;S415,S415&lt;72501)),$F415,IF(OR(AND(25001&lt;S415,S415&lt;27501),AND(53500&lt;S415,S415&lt;57001),AND(72500&lt;S415,S415&lt;75001)),$G415,IF(OR(AND(27500&lt;S415,S415&lt;30001),AND(57000&lt;S415,S415&lt;60001),AND(75000&lt;S415,S415&lt;77500)),$H415,VLOOKUP(S415,BDins,6,FALSE)))))</f>
        <v>2.38</v>
      </c>
      <c r="T417">
        <f>IF(T419&gt;10000,HLOOKUP(T419,$O415:S418,4,FALSE),IF(OR(AND(22500&lt;T415,T415&lt;25001),AND(50000&lt;T415,T415&lt;53501),AND(70000&lt;T415,T415&lt;72501)),$F415,IF(OR(AND(25001&lt;T415,T415&lt;27501),AND(53500&lt;T415,T415&lt;57001),AND(72500&lt;T415,T415&lt;75001)),$G415,IF(OR(AND(27500&lt;T415,T415&lt;30001),AND(57000&lt;T415,T415&lt;60001),AND(75000&lt;T415,T415&lt;77500)),$H415,VLOOKUP(T415,BDins,6,FALSE)))))</f>
        <v>1.3399999999999999</v>
      </c>
      <c r="U417">
        <f>IF(U419&gt;10000,HLOOKUP(U419,$O415:T418,4,FALSE),IF(OR(AND(22500&lt;U415,U415&lt;25001),AND(50000&lt;U415,U415&lt;53501),AND(70000&lt;U415,U415&lt;72501)),$F415,IF(OR(AND(25001&lt;U415,U415&lt;27501),AND(53500&lt;U415,U415&lt;57001),AND(72500&lt;U415,U415&lt;75001)),$G415,IF(OR(AND(27500&lt;U415,U415&lt;30001),AND(57000&lt;U415,U415&lt;60001),AND(75000&lt;U415,U415&lt;77500)),$H415,VLOOKUP(U415,BDins,6,FALSE)))))</f>
        <v>350</v>
      </c>
    </row>
    <row r="418" spans="1:27" x14ac:dyDescent="0.2">
      <c r="O418">
        <f t="shared" ref="O418:U418" si="59">IF($K415&gt;0,ROUND(O416*$E415/100,DpCU),IF(O419&gt;10000,ROUND(HLOOKUP(O419,$O415:$U418,4,FALSE)/100*O416,DpCU),IF(OR(O415&lt;20001,O415&gt;95000,AND(60000&lt;O415,O415&lt;70001)),ROUND(ROUND(O416*JL/$C415,DcCU)*O417,DpCU),IF(OR(AND(20000&lt;O415,O415&lt;22501),AND(30000&lt;O415,O415&lt;50001),77500&lt;O415),ROUND(O417*O416,DpCU),IF(OR(AND(22500&lt;O415,O415&lt;25001),AND(50000&lt;O415,O415&lt;53501),AND(70000&lt;O415,O415&lt;72501)),ROUND($F415/100*O416,DpCU),IF(OR(AND(25000&lt;O415,O415&lt;27501),AND(53500&lt;O415,O415&lt;57001),AND(72500&lt;O415,O415&lt;75001)),ROUND($G415/100*O416,DpCU),ROUND($H415/100*O416,DpCU)))))))</f>
        <v>0.08</v>
      </c>
      <c r="P418">
        <f t="shared" si="59"/>
        <v>0.69</v>
      </c>
      <c r="Q418">
        <f t="shared" si="59"/>
        <v>0.56999999999999995</v>
      </c>
      <c r="R418">
        <f t="shared" si="59"/>
        <v>0.18</v>
      </c>
      <c r="S418">
        <f t="shared" si="59"/>
        <v>2.5</v>
      </c>
      <c r="T418">
        <f t="shared" si="59"/>
        <v>7.0000000000000007E-2</v>
      </c>
      <c r="U418">
        <f t="shared" si="59"/>
        <v>5.25</v>
      </c>
    </row>
    <row r="419" spans="1:27" x14ac:dyDescent="0.2">
      <c r="B419" s="3" t="str">
        <f>A415&amp;"r"</f>
        <v>10083r</v>
      </c>
    </row>
    <row r="420" spans="1:27" x14ac:dyDescent="0.2">
      <c r="A420">
        <v>10084</v>
      </c>
      <c r="B420" s="3" t="s">
        <v>530</v>
      </c>
      <c r="C420" s="1">
        <f>ROUND(J420*JL*Frto/8,4)</f>
        <v>20</v>
      </c>
      <c r="D420" t="s">
        <v>34</v>
      </c>
      <c r="E420">
        <f>SUM($O423:$AA423)</f>
        <v>365.09</v>
      </c>
      <c r="F420">
        <f>SUMIF($O420:$AA420,"&lt;22501",$O423:$AA423)</f>
        <v>85.919999999999987</v>
      </c>
      <c r="G420">
        <f>SUMIFS($O423:$AA423,$O420:$AA420,"&gt;30000",$O420:$AA420,"&lt;50001")</f>
        <v>261.63</v>
      </c>
      <c r="H420">
        <f>SUMIFS($O423:$AA423,$O420:$AA420,"&gt;60000",$O420:$AA420,"&lt;70001")</f>
        <v>14.959999999999999</v>
      </c>
      <c r="I420">
        <v>13</v>
      </c>
      <c r="J420">
        <v>20</v>
      </c>
      <c r="O420">
        <v>10001</v>
      </c>
      <c r="P420">
        <v>10002</v>
      </c>
      <c r="Q420">
        <v>10003</v>
      </c>
      <c r="R420">
        <v>10004</v>
      </c>
      <c r="S420">
        <v>10008</v>
      </c>
      <c r="T420">
        <v>30002</v>
      </c>
      <c r="U420">
        <v>30023</v>
      </c>
      <c r="V420">
        <v>30056</v>
      </c>
      <c r="W420">
        <v>30061</v>
      </c>
      <c r="X420">
        <v>30062</v>
      </c>
      <c r="Y420">
        <v>60010</v>
      </c>
      <c r="Z420">
        <v>60012</v>
      </c>
      <c r="AA420">
        <v>70001</v>
      </c>
    </row>
    <row r="421" spans="1:27" x14ac:dyDescent="0.2">
      <c r="B421" s="3" t="str">
        <f>A420&amp;"C"</f>
        <v>10084C</v>
      </c>
      <c r="O421">
        <v>0.1</v>
      </c>
      <c r="P421">
        <v>1</v>
      </c>
      <c r="Q421">
        <v>10</v>
      </c>
      <c r="R421">
        <v>1</v>
      </c>
      <c r="S421">
        <v>1</v>
      </c>
      <c r="T421">
        <v>8.5</v>
      </c>
      <c r="U421">
        <v>0.184</v>
      </c>
      <c r="V421">
        <v>0.42</v>
      </c>
      <c r="W421">
        <v>0.85</v>
      </c>
      <c r="X421">
        <v>0.25</v>
      </c>
      <c r="Y421">
        <v>1</v>
      </c>
      <c r="Z421">
        <v>1</v>
      </c>
      <c r="AA421">
        <v>3</v>
      </c>
    </row>
    <row r="422" spans="1:27" x14ac:dyDescent="0.2">
      <c r="O422">
        <f>IF(O424&gt;10000,HLOOKUP(O424,N420:$O423,4,FALSE),IF(OR(AND(22500&lt;O420,O420&lt;25001),AND(50000&lt;O420,O420&lt;53501),AND(70000&lt;O420,O420&lt;72501)),$F420,IF(OR(AND(25001&lt;O420,O420&lt;27501),AND(53500&lt;O420,O420&lt;57001),AND(72500&lt;O420,O420&lt;75001)),$G420,IF(OR(AND(27500&lt;O420,O420&lt;30001),AND(57000&lt;O420,O420&lt;60001),AND(75000&lt;O420,O420&lt;77500)),$H420,VLOOKUP(O420,BDins,6,FALSE)))))</f>
        <v>24.97</v>
      </c>
      <c r="P422">
        <f>IF(P424&gt;10000,HLOOKUP(P424,O420:$O423,4,FALSE),IF(OR(AND(22500&lt;P420,P420&lt;25001),AND(50000&lt;P420,P420&lt;53501),AND(70000&lt;P420,P420&lt;72501)),$F420,IF(OR(AND(25001&lt;P420,P420&lt;27501),AND(53500&lt;P420,P420&lt;57001),AND(72500&lt;P420,P420&lt;75001)),$G420,IF(OR(AND(27500&lt;P420,P420&lt;30001),AND(57000&lt;P420,P420&lt;60001),AND(75000&lt;P420,P420&lt;77500)),$H420,VLOOKUP(P420,BDins,6,FALSE)))))</f>
        <v>20.81</v>
      </c>
      <c r="Q422">
        <f>IF(Q424&gt;10000,HLOOKUP(Q424,$O420:P423,4,FALSE),IF(OR(AND(22500&lt;Q420,Q420&lt;25001),AND(50000&lt;Q420,Q420&lt;53501),AND(70000&lt;Q420,Q420&lt;72501)),$F420,IF(OR(AND(25001&lt;Q420,Q420&lt;27501),AND(53500&lt;Q420,Q420&lt;57001),AND(72500&lt;Q420,Q420&lt;75001)),$G420,IF(OR(AND(27500&lt;Q420,Q420&lt;30001),AND(57000&lt;Q420,Q420&lt;60001),AND(75000&lt;Q420,Q420&lt;77500)),$H420,VLOOKUP(Q420,BDins,6,FALSE)))))</f>
        <v>15.36</v>
      </c>
      <c r="R422">
        <f>IF(R424&gt;10000,HLOOKUP(R424,$O420:Q423,4,FALSE),IF(OR(AND(22500&lt;R420,R420&lt;25001),AND(50000&lt;R420,R420&lt;53501),AND(70000&lt;R420,R420&lt;72501)),$F420,IF(OR(AND(25001&lt;R420,R420&lt;27501),AND(53500&lt;R420,R420&lt;57001),AND(72500&lt;R420,R420&lt;75001)),$G420,IF(OR(AND(27500&lt;R420,R420&lt;30001),AND(57000&lt;R420,R420&lt;60001),AND(75000&lt;R420,R420&lt;77500)),$H420,VLOOKUP(R420,BDins,6,FALSE)))))</f>
        <v>20.81</v>
      </c>
      <c r="S422">
        <f>IF(S424&gt;10000,HLOOKUP(S424,$O420:R423,4,FALSE),IF(OR(AND(22500&lt;S420,S420&lt;25001),AND(50000&lt;S420,S420&lt;53501),AND(70000&lt;S420,S420&lt;72501)),$F420,IF(OR(AND(25001&lt;S420,S420&lt;27501),AND(53500&lt;S420,S420&lt;57001),AND(72500&lt;S420,S420&lt;75001)),$G420,IF(OR(AND(27500&lt;S420,S420&lt;30001),AND(57000&lt;S420,S420&lt;60001),AND(75000&lt;S420,S420&lt;77500)),$H420,VLOOKUP(S420,BDins,6,FALSE)))))</f>
        <v>17.09</v>
      </c>
      <c r="T422">
        <f>IF(T424&gt;10000,HLOOKUP(T424,$O420:S423,4,FALSE),IF(OR(AND(22500&lt;T420,T420&lt;25001),AND(50000&lt;T420,T420&lt;53501),AND(70000&lt;T420,T420&lt;72501)),$F420,IF(OR(AND(25001&lt;T420,T420&lt;27501),AND(53500&lt;T420,T420&lt;57001),AND(72500&lt;T420,T420&lt;75001)),$G420,IF(OR(AND(27500&lt;T420,T420&lt;30001),AND(57000&lt;T420,T420&lt;60001),AND(75000&lt;T420,T420&lt;77500)),$H420,VLOOKUP(T420,BDins,6,FALSE)))))</f>
        <v>18.5</v>
      </c>
      <c r="U422">
        <f>IF(U424&gt;10000,HLOOKUP(U424,$O420:T423,4,FALSE),IF(OR(AND(22500&lt;U420,U420&lt;25001),AND(50000&lt;U420,U420&lt;53501),AND(70000&lt;U420,U420&lt;72501)),$F420,IF(OR(AND(25001&lt;U420,U420&lt;27501),AND(53500&lt;U420,U420&lt;57001),AND(72500&lt;U420,U420&lt;75001)),$G420,IF(OR(AND(27500&lt;U420,U420&lt;30001),AND(57000&lt;U420,U420&lt;60001),AND(75000&lt;U420,U420&lt;77500)),$H420,VLOOKUP(U420,BDins,6,FALSE)))))</f>
        <v>150</v>
      </c>
      <c r="V422">
        <f>IF(V424&gt;10000,HLOOKUP(V424,$O420:U423,4,FALSE),IF(OR(AND(22500&lt;V420,V420&lt;25001),AND(50000&lt;V420,V420&lt;53501),AND(70000&lt;V420,V420&lt;72501)),$F420,IF(OR(AND(25001&lt;V420,V420&lt;27501),AND(53500&lt;V420,V420&lt;57001),AND(72500&lt;V420,V420&lt;75001)),$G420,IF(OR(AND(27500&lt;V420,V420&lt;30001),AND(57000&lt;V420,V420&lt;60001),AND(75000&lt;V420,V420&lt;77500)),$H420,VLOOKUP(V420,BDins,6,FALSE)))))</f>
        <v>45</v>
      </c>
      <c r="W422">
        <f>IF(W424&gt;10000,HLOOKUP(W424,$O420:V423,4,FALSE),IF(OR(AND(22500&lt;W420,W420&lt;25001),AND(50000&lt;W420,W420&lt;53501),AND(70000&lt;W420,W420&lt;72501)),$F420,IF(OR(AND(25001&lt;W420,W420&lt;27501),AND(53500&lt;W420,W420&lt;57001),AND(72500&lt;W420,W420&lt;75001)),$G420,IF(OR(AND(27500&lt;W420,W420&lt;30001),AND(57000&lt;W420,W420&lt;60001),AND(75000&lt;W420,W420&lt;77500)),$H420,VLOOKUP(W420,BDins,6,FALSE)))))</f>
        <v>65</v>
      </c>
      <c r="X422">
        <f>IF(X424&gt;10000,HLOOKUP(X424,$O420:W423,4,FALSE),IF(OR(AND(22500&lt;X420,X420&lt;25001),AND(50000&lt;X420,X420&lt;53501),AND(70000&lt;X420,X420&lt;72501)),$F420,IF(OR(AND(25001&lt;X420,X420&lt;27501),AND(53500&lt;X420,X420&lt;57001),AND(72500&lt;X420,X420&lt;75001)),$G420,IF(OR(AND(27500&lt;X420,X420&lt;30001),AND(57000&lt;X420,X420&lt;60001),AND(75000&lt;X420,X420&lt;77500)),$H420,VLOOKUP(X420,BDins,6,FALSE)))))</f>
        <v>10.5</v>
      </c>
      <c r="Y422">
        <f>IF(Y424&gt;10000,HLOOKUP(Y424,$O420:X423,4,FALSE),IF(OR(AND(22500&lt;Y420,Y420&lt;25001),AND(50000&lt;Y420,Y420&lt;53501),AND(70000&lt;Y420,Y420&lt;72501)),$F420,IF(OR(AND(25001&lt;Y420,Y420&lt;27501),AND(53500&lt;Y420,Y420&lt;57001),AND(72500&lt;Y420,Y420&lt;75001)),$G420,IF(OR(AND(27500&lt;Y420,Y420&lt;30001),AND(57000&lt;Y420,Y420&lt;60001),AND(75000&lt;Y420,Y420&lt;77500)),$H420,VLOOKUP(Y420,BDins,6,FALSE)))))</f>
        <v>31.5</v>
      </c>
      <c r="Z422">
        <f>IF(Z424&gt;10000,HLOOKUP(Z424,$O420:Y423,4,FALSE),IF(OR(AND(22500&lt;Z420,Z420&lt;25001),AND(50000&lt;Z420,Z420&lt;53501),AND(70000&lt;Z420,Z420&lt;72501)),$F420,IF(OR(AND(25001&lt;Z420,Z420&lt;27501),AND(53500&lt;Z420,Z420&lt;57001),AND(72500&lt;Z420,Z420&lt;75001)),$G420,IF(OR(AND(27500&lt;Z420,Z420&lt;30001),AND(57000&lt;Z420,Z420&lt;60001),AND(75000&lt;Z420,Z420&lt;77500)),$H420,VLOOKUP(Z420,BDins,6,FALSE)))))</f>
        <v>5.9</v>
      </c>
      <c r="AA422">
        <f>IF(AA424&gt;10000,HLOOKUP(AA424,$O420:Z423,4,FALSE),IF(OR(AND(22500&lt;AA420,AA420&lt;25001),AND(50000&lt;AA420,AA420&lt;53501),AND(70000&lt;AA420,AA420&lt;72501)),$F420,IF(OR(AND(25001&lt;AA420,AA420&lt;27501),AND(53500&lt;AA420,AA420&lt;57001),AND(72500&lt;AA420,AA420&lt;75001)),$G420,IF(OR(AND(27500&lt;AA420,AA420&lt;30001),AND(57000&lt;AA420,AA420&lt;60001),AND(75000&lt;AA420,AA420&lt;77500)),$H420,VLOOKUP(AA420,BDins,6,FALSE)))))</f>
        <v>85.919999999999987</v>
      </c>
    </row>
    <row r="423" spans="1:27" x14ac:dyDescent="0.2">
      <c r="O423">
        <f t="shared" ref="O423:AA423" si="60">IF($K420&gt;0,ROUND(O421*$E420/100,DpCU),IF(O424&gt;10000,ROUND(HLOOKUP(O424,$O420:$AA423,4,FALSE)/100*O421,DpCU),IF(OR(O420&lt;20001,O420&gt;95000,AND(60000&lt;O420,O420&lt;70001)),ROUND(ROUND(O421*JL/$C420,DcCU)*O422,DpCU),IF(OR(AND(20000&lt;O420,O420&lt;22501),AND(30000&lt;O420,O420&lt;50001),77500&lt;O420),ROUND(O422*O421,DpCU),IF(OR(AND(22500&lt;O420,O420&lt;25001),AND(50000&lt;O420,O420&lt;53501),AND(70000&lt;O420,O420&lt;72501)),ROUND($F420/100*O421,DpCU),IF(OR(AND(25000&lt;O420,O420&lt;27501),AND(53500&lt;O420,O420&lt;57001),AND(72500&lt;O420,O420&lt;75001)),ROUND($G420/100*O421,DpCU),ROUND($H420/100*O421,DpCU)))))))</f>
        <v>1</v>
      </c>
      <c r="P423">
        <f t="shared" si="60"/>
        <v>8.32</v>
      </c>
      <c r="Q423">
        <f t="shared" si="60"/>
        <v>61.44</v>
      </c>
      <c r="R423">
        <f t="shared" si="60"/>
        <v>8.32</v>
      </c>
      <c r="S423">
        <f t="shared" si="60"/>
        <v>6.84</v>
      </c>
      <c r="T423">
        <f t="shared" si="60"/>
        <v>157.25</v>
      </c>
      <c r="U423">
        <f t="shared" si="60"/>
        <v>27.6</v>
      </c>
      <c r="V423">
        <f t="shared" si="60"/>
        <v>18.899999999999999</v>
      </c>
      <c r="W423">
        <f t="shared" si="60"/>
        <v>55.25</v>
      </c>
      <c r="X423">
        <f t="shared" si="60"/>
        <v>2.63</v>
      </c>
      <c r="Y423">
        <f t="shared" si="60"/>
        <v>12.6</v>
      </c>
      <c r="Z423">
        <f t="shared" si="60"/>
        <v>2.36</v>
      </c>
      <c r="AA423">
        <f t="shared" si="60"/>
        <v>2.58</v>
      </c>
    </row>
    <row r="424" spans="1:27" x14ac:dyDescent="0.2">
      <c r="B424" s="3" t="str">
        <f>A420&amp;"r"</f>
        <v>10084r</v>
      </c>
    </row>
    <row r="425" spans="1:27" x14ac:dyDescent="0.2">
      <c r="A425">
        <v>10085</v>
      </c>
      <c r="B425" s="3" t="s">
        <v>532</v>
      </c>
      <c r="C425" s="1">
        <f>ROUND(J425*JL*Frto/8,4)</f>
        <v>10</v>
      </c>
      <c r="D425" t="s">
        <v>210</v>
      </c>
      <c r="E425">
        <f>SUM($O428:$U428)</f>
        <v>47.660000000000004</v>
      </c>
      <c r="F425">
        <f>SUMIF($O425:$U425,"&lt;22501",$O428:$U428)</f>
        <v>32.32</v>
      </c>
      <c r="G425">
        <f>SUMIFS($O428:$U428,$O425:$U425,"&gt;30000",$O425:$U425,"&lt;50001")</f>
        <v>14.6</v>
      </c>
      <c r="H425">
        <f>SUMIFS($O428:$U428,$O425:$U425,"&gt;60000",$O425:$U425,"&lt;70001")</f>
        <v>0</v>
      </c>
      <c r="I425">
        <v>7</v>
      </c>
      <c r="J425">
        <v>10</v>
      </c>
      <c r="O425">
        <v>10001</v>
      </c>
      <c r="P425">
        <v>10002</v>
      </c>
      <c r="Q425">
        <v>10008</v>
      </c>
      <c r="R425">
        <v>30051</v>
      </c>
      <c r="S425">
        <v>30054</v>
      </c>
      <c r="T425">
        <v>30055</v>
      </c>
      <c r="U425">
        <v>70001</v>
      </c>
    </row>
    <row r="426" spans="1:27" x14ac:dyDescent="0.2">
      <c r="B426" s="3" t="str">
        <f>A425&amp;"C"</f>
        <v>10085C</v>
      </c>
      <c r="O426">
        <v>0.1</v>
      </c>
      <c r="P426">
        <v>1</v>
      </c>
      <c r="Q426">
        <v>1</v>
      </c>
      <c r="R426">
        <v>0.12</v>
      </c>
      <c r="S426">
        <v>0.15</v>
      </c>
      <c r="T426">
        <v>3.5</v>
      </c>
      <c r="U426">
        <v>2.2999999999999998</v>
      </c>
    </row>
    <row r="427" spans="1:27" x14ac:dyDescent="0.2">
      <c r="O427">
        <f>IF(O429&gt;10000,HLOOKUP(O429,N425:$O428,4,FALSE),IF(OR(AND(22500&lt;O425,O425&lt;25001),AND(50000&lt;O425,O425&lt;53501),AND(70000&lt;O425,O425&lt;72501)),$F425,IF(OR(AND(25001&lt;O425,O425&lt;27501),AND(53500&lt;O425,O425&lt;57001),AND(72500&lt;O425,O425&lt;75001)),$G425,IF(OR(AND(27500&lt;O425,O425&lt;30001),AND(57000&lt;O425,O425&lt;60001),AND(75000&lt;O425,O425&lt;77500)),$H425,VLOOKUP(O425,BDins,6,FALSE)))))</f>
        <v>24.97</v>
      </c>
      <c r="P427">
        <f>IF(P429&gt;10000,HLOOKUP(P429,O425:$O428,4,FALSE),IF(OR(AND(22500&lt;P425,P425&lt;25001),AND(50000&lt;P425,P425&lt;53501),AND(70000&lt;P425,P425&lt;72501)),$F425,IF(OR(AND(25001&lt;P425,P425&lt;27501),AND(53500&lt;P425,P425&lt;57001),AND(72500&lt;P425,P425&lt;75001)),$G425,IF(OR(AND(27500&lt;P425,P425&lt;30001),AND(57000&lt;P425,P425&lt;60001),AND(75000&lt;P425,P425&lt;77500)),$H425,VLOOKUP(P425,BDins,6,FALSE)))))</f>
        <v>20.81</v>
      </c>
      <c r="Q427">
        <f>IF(Q429&gt;10000,HLOOKUP(Q429,$O425:P428,4,FALSE),IF(OR(AND(22500&lt;Q425,Q425&lt;25001),AND(50000&lt;Q425,Q425&lt;53501),AND(70000&lt;Q425,Q425&lt;72501)),$F425,IF(OR(AND(25001&lt;Q425,Q425&lt;27501),AND(53500&lt;Q425,Q425&lt;57001),AND(72500&lt;Q425,Q425&lt;75001)),$G425,IF(OR(AND(27500&lt;Q425,Q425&lt;30001),AND(57000&lt;Q425,Q425&lt;60001),AND(75000&lt;Q425,Q425&lt;77500)),$H425,VLOOKUP(Q425,BDins,6,FALSE)))))</f>
        <v>17.09</v>
      </c>
      <c r="R427">
        <f>IF(R429&gt;10000,HLOOKUP(R429,$O425:Q428,4,FALSE),IF(OR(AND(22500&lt;R425,R425&lt;25001),AND(50000&lt;R425,R425&lt;53501),AND(70000&lt;R425,R425&lt;72501)),$F425,IF(OR(AND(25001&lt;R425,R425&lt;27501),AND(53500&lt;R425,R425&lt;57001),AND(72500&lt;R425,R425&lt;75001)),$G425,IF(OR(AND(27500&lt;R425,R425&lt;30001),AND(57000&lt;R425,R425&lt;60001),AND(75000&lt;R425,R425&lt;77500)),$H425,VLOOKUP(R425,BDins,6,FALSE)))))</f>
        <v>3.5</v>
      </c>
      <c r="S427">
        <f>IF(S429&gt;10000,HLOOKUP(S429,$O425:R428,4,FALSE),IF(OR(AND(22500&lt;S425,S425&lt;25001),AND(50000&lt;S425,S425&lt;53501),AND(70000&lt;S425,S425&lt;72501)),$F425,IF(OR(AND(25001&lt;S425,S425&lt;27501),AND(53500&lt;S425,S425&lt;57001),AND(72500&lt;S425,S425&lt;75001)),$G425,IF(OR(AND(27500&lt;S425,S425&lt;30001),AND(57000&lt;S425,S425&lt;60001),AND(75000&lt;S425,S425&lt;77500)),$H425,VLOOKUP(S425,BDins,6,FALSE)))))</f>
        <v>3.5</v>
      </c>
      <c r="T427">
        <f>IF(T429&gt;10000,HLOOKUP(T429,$O425:S428,4,FALSE),IF(OR(AND(22500&lt;T425,T425&lt;25001),AND(50000&lt;T425,T425&lt;53501),AND(70000&lt;T425,T425&lt;72501)),$F425,IF(OR(AND(25001&lt;T425,T425&lt;27501),AND(53500&lt;T425,T425&lt;57001),AND(72500&lt;T425,T425&lt;75001)),$G425,IF(OR(AND(27500&lt;T425,T425&lt;30001),AND(57000&lt;T425,T425&lt;60001),AND(75000&lt;T425,T425&lt;77500)),$H425,VLOOKUP(T425,BDins,6,FALSE)))))</f>
        <v>3.9</v>
      </c>
      <c r="U427">
        <f>IF(U429&gt;10000,HLOOKUP(U429,$O425:T428,4,FALSE),IF(OR(AND(22500&lt;U425,U425&lt;25001),AND(50000&lt;U425,U425&lt;53501),AND(70000&lt;U425,U425&lt;72501)),$F425,IF(OR(AND(25001&lt;U425,U425&lt;27501),AND(53500&lt;U425,U425&lt;57001),AND(72500&lt;U425,U425&lt;75001)),$G425,IF(OR(AND(27500&lt;U425,U425&lt;30001),AND(57000&lt;U425,U425&lt;60001),AND(75000&lt;U425,U425&lt;77500)),$H425,VLOOKUP(U425,BDins,6,FALSE)))))</f>
        <v>32.32</v>
      </c>
    </row>
    <row r="428" spans="1:27" x14ac:dyDescent="0.2">
      <c r="O428">
        <f t="shared" ref="O428:U428" si="61">IF($K425&gt;0,ROUND(O426*$E425/100,DpCU),IF(O429&gt;10000,ROUND(HLOOKUP(O429,$O425:$U428,4,FALSE)/100*O426,DpCU),IF(OR(O425&lt;20001,O425&gt;95000,AND(60000&lt;O425,O425&lt;70001)),ROUND(ROUND(O426*JL/$C425,DcCU)*O427,DpCU),IF(OR(AND(20000&lt;O425,O425&lt;22501),AND(30000&lt;O425,O425&lt;50001),77500&lt;O425),ROUND(O427*O426,DpCU),IF(OR(AND(22500&lt;O425,O425&lt;25001),AND(50000&lt;O425,O425&lt;53501),AND(70000&lt;O425,O425&lt;72501)),ROUND($F425/100*O426,DpCU),IF(OR(AND(25000&lt;O425,O425&lt;27501),AND(53500&lt;O425,O425&lt;57001),AND(72500&lt;O425,O425&lt;75001)),ROUND($G425/100*O426,DpCU),ROUND($H425/100*O426,DpCU)))))))</f>
        <v>2</v>
      </c>
      <c r="P428">
        <f t="shared" si="61"/>
        <v>16.649999999999999</v>
      </c>
      <c r="Q428">
        <f t="shared" si="61"/>
        <v>13.67</v>
      </c>
      <c r="R428">
        <f t="shared" si="61"/>
        <v>0.42</v>
      </c>
      <c r="S428">
        <f t="shared" si="61"/>
        <v>0.53</v>
      </c>
      <c r="T428">
        <f t="shared" si="61"/>
        <v>13.65</v>
      </c>
      <c r="U428">
        <f t="shared" si="61"/>
        <v>0.74</v>
      </c>
    </row>
    <row r="429" spans="1:27" x14ac:dyDescent="0.2">
      <c r="B429" s="3" t="str">
        <f>A425&amp;"r"</f>
        <v>10085r</v>
      </c>
    </row>
    <row r="430" spans="1:27" x14ac:dyDescent="0.2">
      <c r="A430">
        <v>10086</v>
      </c>
      <c r="B430" s="3" t="s">
        <v>534</v>
      </c>
      <c r="C430" s="1">
        <f>ROUND(J430*JL*Frto/8,4)</f>
        <v>240</v>
      </c>
      <c r="D430" t="s">
        <v>33</v>
      </c>
      <c r="E430">
        <f>SUM($O433:$U433)</f>
        <v>9.34</v>
      </c>
      <c r="F430">
        <f>SUMIF($O430:$U430,"&lt;22501",$O433:$U433)</f>
        <v>1.3399999999999999</v>
      </c>
      <c r="G430">
        <f>SUMIFS($O433:$U433,$O430:$U430,"&gt;30000",$O430:$U430,"&lt;50001")</f>
        <v>2.68</v>
      </c>
      <c r="H430">
        <f>SUMIFS($O433:$U433,$O430:$U430,"&gt;60000",$O430:$U430,"&lt;70001")</f>
        <v>0</v>
      </c>
      <c r="I430">
        <v>7</v>
      </c>
      <c r="J430">
        <v>240</v>
      </c>
      <c r="O430">
        <v>10001</v>
      </c>
      <c r="P430">
        <v>10002</v>
      </c>
      <c r="Q430">
        <v>10008</v>
      </c>
      <c r="R430">
        <v>30063</v>
      </c>
      <c r="S430">
        <v>30064</v>
      </c>
      <c r="T430">
        <v>70001</v>
      </c>
      <c r="U430">
        <v>77507</v>
      </c>
    </row>
    <row r="431" spans="1:27" x14ac:dyDescent="0.2">
      <c r="B431" s="3" t="str">
        <f>A430&amp;"C"</f>
        <v>10086C</v>
      </c>
      <c r="O431">
        <v>0.1</v>
      </c>
      <c r="P431">
        <v>1</v>
      </c>
      <c r="Q431">
        <v>1</v>
      </c>
      <c r="R431">
        <v>0.05</v>
      </c>
      <c r="S431">
        <v>1.05</v>
      </c>
      <c r="T431">
        <v>5</v>
      </c>
      <c r="U431">
        <v>1.4999999999999999E-2</v>
      </c>
    </row>
    <row r="432" spans="1:27" x14ac:dyDescent="0.2">
      <c r="O432">
        <f>IF(O434&gt;10000,HLOOKUP(O434,N430:$O433,4,FALSE),IF(OR(AND(22500&lt;O430,O430&lt;25001),AND(50000&lt;O430,O430&lt;53501),AND(70000&lt;O430,O430&lt;72501)),$F430,IF(OR(AND(25001&lt;O430,O430&lt;27501),AND(53500&lt;O430,O430&lt;57001),AND(72500&lt;O430,O430&lt;75001)),$G430,IF(OR(AND(27500&lt;O430,O430&lt;30001),AND(57000&lt;O430,O430&lt;60001),AND(75000&lt;O430,O430&lt;77500)),$H430,VLOOKUP(O430,BDins,6,FALSE)))))</f>
        <v>24.97</v>
      </c>
      <c r="P432">
        <f>IF(P434&gt;10000,HLOOKUP(P434,O430:$O433,4,FALSE),IF(OR(AND(22500&lt;P430,P430&lt;25001),AND(50000&lt;P430,P430&lt;53501),AND(70000&lt;P430,P430&lt;72501)),$F430,IF(OR(AND(25001&lt;P430,P430&lt;27501),AND(53500&lt;P430,P430&lt;57001),AND(72500&lt;P430,P430&lt;75001)),$G430,IF(OR(AND(27500&lt;P430,P430&lt;30001),AND(57000&lt;P430,P430&lt;60001),AND(75000&lt;P430,P430&lt;77500)),$H430,VLOOKUP(P430,BDins,6,FALSE)))))</f>
        <v>20.81</v>
      </c>
      <c r="Q432">
        <f>IF(Q434&gt;10000,HLOOKUP(Q434,$O430:P433,4,FALSE),IF(OR(AND(22500&lt;Q430,Q430&lt;25001),AND(50000&lt;Q430,Q430&lt;53501),AND(70000&lt;Q430,Q430&lt;72501)),$F430,IF(OR(AND(25001&lt;Q430,Q430&lt;27501),AND(53500&lt;Q430,Q430&lt;57001),AND(72500&lt;Q430,Q430&lt;75001)),$G430,IF(OR(AND(27500&lt;Q430,Q430&lt;30001),AND(57000&lt;Q430,Q430&lt;60001),AND(75000&lt;Q430,Q430&lt;77500)),$H430,VLOOKUP(Q430,BDins,6,FALSE)))))</f>
        <v>17.09</v>
      </c>
      <c r="R432">
        <f>IF(R434&gt;10000,HLOOKUP(R434,$O430:Q433,4,FALSE),IF(OR(AND(22500&lt;R430,R430&lt;25001),AND(50000&lt;R430,R430&lt;53501),AND(70000&lt;R430,R430&lt;72501)),$F430,IF(OR(AND(25001&lt;R430,R430&lt;27501),AND(53500&lt;R430,R430&lt;57001),AND(72500&lt;R430,R430&lt;75001)),$G430,IF(OR(AND(27500&lt;R430,R430&lt;30001),AND(57000&lt;R430,R430&lt;60001),AND(75000&lt;R430,R430&lt;77500)),$H430,VLOOKUP(R430,BDins,6,FALSE)))))</f>
        <v>3.5</v>
      </c>
      <c r="S432">
        <f>IF(S434&gt;10000,HLOOKUP(S434,$O430:R433,4,FALSE),IF(OR(AND(22500&lt;S430,S430&lt;25001),AND(50000&lt;S430,S430&lt;53501),AND(70000&lt;S430,S430&lt;72501)),$F430,IF(OR(AND(25001&lt;S430,S430&lt;27501),AND(53500&lt;S430,S430&lt;57001),AND(72500&lt;S430,S430&lt;75001)),$G430,IF(OR(AND(27500&lt;S430,S430&lt;30001),AND(57000&lt;S430,S430&lt;60001),AND(75000&lt;S430,S430&lt;77500)),$H430,VLOOKUP(S430,BDins,6,FALSE)))))</f>
        <v>2.38</v>
      </c>
      <c r="T432">
        <f>IF(T434&gt;10000,HLOOKUP(T434,$O430:S433,4,FALSE),IF(OR(AND(22500&lt;T430,T430&lt;25001),AND(50000&lt;T430,T430&lt;53501),AND(70000&lt;T430,T430&lt;72501)),$F430,IF(OR(AND(25001&lt;T430,T430&lt;27501),AND(53500&lt;T430,T430&lt;57001),AND(72500&lt;T430,T430&lt;75001)),$G430,IF(OR(AND(27500&lt;T430,T430&lt;30001),AND(57000&lt;T430,T430&lt;60001),AND(75000&lt;T430,T430&lt;77500)),$H430,VLOOKUP(T430,BDins,6,FALSE)))))</f>
        <v>1.3399999999999999</v>
      </c>
      <c r="U432">
        <f>IF(U434&gt;10000,HLOOKUP(U434,$O430:T433,4,FALSE),IF(OR(AND(22500&lt;U430,U430&lt;25001),AND(50000&lt;U430,U430&lt;53501),AND(70000&lt;U430,U430&lt;72501)),$F430,IF(OR(AND(25001&lt;U430,U430&lt;27501),AND(53500&lt;U430,U430&lt;57001),AND(72500&lt;U430,U430&lt;75001)),$G430,IF(OR(AND(27500&lt;U430,U430&lt;30001),AND(57000&lt;U430,U430&lt;60001),AND(75000&lt;U430,U430&lt;77500)),$H430,VLOOKUP(U430,BDins,6,FALSE)))))</f>
        <v>350</v>
      </c>
    </row>
    <row r="433" spans="1:29" x14ac:dyDescent="0.2">
      <c r="O433">
        <f t="shared" ref="O433:U433" si="62">IF($K430&gt;0,ROUND(O431*$E430/100,DpCU),IF(O434&gt;10000,ROUND(HLOOKUP(O434,$O430:$U433,4,FALSE)/100*O431,DpCU),IF(OR(O430&lt;20001,O430&gt;95000,AND(60000&lt;O430,O430&lt;70001)),ROUND(ROUND(O431*JL/$C430,DcCU)*O432,DpCU),IF(OR(AND(20000&lt;O430,O430&lt;22501),AND(30000&lt;O430,O430&lt;50001),77500&lt;O430),ROUND(O432*O431,DpCU),IF(OR(AND(22500&lt;O430,O430&lt;25001),AND(50000&lt;O430,O430&lt;53501),AND(70000&lt;O430,O430&lt;72501)),ROUND($F430/100*O431,DpCU),IF(OR(AND(25000&lt;O430,O430&lt;27501),AND(53500&lt;O430,O430&lt;57001),AND(72500&lt;O430,O430&lt;75001)),ROUND($G430/100*O431,DpCU),ROUND($H430/100*O431,DpCU)))))))</f>
        <v>0.08</v>
      </c>
      <c r="P433">
        <f t="shared" si="62"/>
        <v>0.69</v>
      </c>
      <c r="Q433">
        <f t="shared" si="62"/>
        <v>0.56999999999999995</v>
      </c>
      <c r="R433">
        <f t="shared" si="62"/>
        <v>0.18</v>
      </c>
      <c r="S433">
        <f t="shared" si="62"/>
        <v>2.5</v>
      </c>
      <c r="T433">
        <f t="shared" si="62"/>
        <v>7.0000000000000007E-2</v>
      </c>
      <c r="U433">
        <f t="shared" si="62"/>
        <v>5.25</v>
      </c>
    </row>
    <row r="434" spans="1:29" x14ac:dyDescent="0.2">
      <c r="B434" s="3" t="str">
        <f>A430&amp;"r"</f>
        <v>10086r</v>
      </c>
    </row>
    <row r="435" spans="1:29" x14ac:dyDescent="0.2">
      <c r="A435">
        <v>10087</v>
      </c>
      <c r="B435" s="3" t="s">
        <v>538</v>
      </c>
      <c r="C435" s="1">
        <f>ROUND(J435*JL*Frto/8,4)</f>
        <v>22</v>
      </c>
      <c r="D435" t="s">
        <v>34</v>
      </c>
      <c r="E435">
        <f>SUM($O438:$AC438)</f>
        <v>362.96</v>
      </c>
      <c r="F435">
        <f>SUMIF($O435:$AC435,"&lt;22501",$O438:$AC438)</f>
        <v>84.34</v>
      </c>
      <c r="G435">
        <f>SUMIFS($O438:$AC438,$O435:$AC435,"&gt;30000",$O435:$AC435,"&lt;50001")</f>
        <v>256.75</v>
      </c>
      <c r="H435">
        <f>SUMIFS($O438:$AC438,$O435:$AC435,"&gt;60000",$O435:$AC435,"&lt;70001")</f>
        <v>19.34</v>
      </c>
      <c r="I435">
        <v>15</v>
      </c>
      <c r="J435">
        <v>22</v>
      </c>
      <c r="O435">
        <v>10001</v>
      </c>
      <c r="P435">
        <v>10002</v>
      </c>
      <c r="Q435">
        <v>10003</v>
      </c>
      <c r="R435">
        <v>10004</v>
      </c>
      <c r="S435">
        <v>10008</v>
      </c>
      <c r="T435">
        <v>30002</v>
      </c>
      <c r="U435">
        <v>30023</v>
      </c>
      <c r="V435">
        <v>30056</v>
      </c>
      <c r="W435">
        <v>30060</v>
      </c>
      <c r="X435">
        <v>30061</v>
      </c>
      <c r="Y435">
        <v>30062</v>
      </c>
      <c r="Z435">
        <v>60010</v>
      </c>
      <c r="AA435">
        <v>60012</v>
      </c>
      <c r="AB435">
        <v>60015</v>
      </c>
      <c r="AC435">
        <v>70001</v>
      </c>
    </row>
    <row r="436" spans="1:29" x14ac:dyDescent="0.2">
      <c r="B436" s="3" t="str">
        <f>A435&amp;"C"</f>
        <v>10087C</v>
      </c>
      <c r="O436">
        <v>0.1</v>
      </c>
      <c r="P436">
        <v>1</v>
      </c>
      <c r="Q436">
        <v>10</v>
      </c>
      <c r="R436">
        <v>1</v>
      </c>
      <c r="S436">
        <v>2</v>
      </c>
      <c r="T436">
        <v>8.5</v>
      </c>
      <c r="U436">
        <v>0.17499999999999999</v>
      </c>
      <c r="V436">
        <v>0.40100000000000002</v>
      </c>
      <c r="W436">
        <v>8.0000000000000002E-3</v>
      </c>
      <c r="X436">
        <v>0.80300000000000005</v>
      </c>
      <c r="Y436">
        <v>0.25</v>
      </c>
      <c r="Z436">
        <v>1</v>
      </c>
      <c r="AA436">
        <v>1</v>
      </c>
      <c r="AB436">
        <v>1</v>
      </c>
      <c r="AC436">
        <v>3</v>
      </c>
    </row>
    <row r="437" spans="1:29" x14ac:dyDescent="0.2">
      <c r="O437">
        <f>IF(O439&gt;10000,HLOOKUP(O439,N435:$O438,4,FALSE),IF(OR(AND(22500&lt;O435,O435&lt;25001),AND(50000&lt;O435,O435&lt;53501),AND(70000&lt;O435,O435&lt;72501)),$F435,IF(OR(AND(25001&lt;O435,O435&lt;27501),AND(53500&lt;O435,O435&lt;57001),AND(72500&lt;O435,O435&lt;75001)),$G435,IF(OR(AND(27500&lt;O435,O435&lt;30001),AND(57000&lt;O435,O435&lt;60001),AND(75000&lt;O435,O435&lt;77500)),$H435,VLOOKUP(O435,BDins,6,FALSE)))))</f>
        <v>24.97</v>
      </c>
      <c r="P437">
        <f>IF(P439&gt;10000,HLOOKUP(P439,O435:$O438,4,FALSE),IF(OR(AND(22500&lt;P435,P435&lt;25001),AND(50000&lt;P435,P435&lt;53501),AND(70000&lt;P435,P435&lt;72501)),$F435,IF(OR(AND(25001&lt;P435,P435&lt;27501),AND(53500&lt;P435,P435&lt;57001),AND(72500&lt;P435,P435&lt;75001)),$G435,IF(OR(AND(27500&lt;P435,P435&lt;30001),AND(57000&lt;P435,P435&lt;60001),AND(75000&lt;P435,P435&lt;77500)),$H435,VLOOKUP(P435,BDins,6,FALSE)))))</f>
        <v>20.81</v>
      </c>
      <c r="Q437">
        <f>IF(Q439&gt;10000,HLOOKUP(Q439,$O435:P438,4,FALSE),IF(OR(AND(22500&lt;Q435,Q435&lt;25001),AND(50000&lt;Q435,Q435&lt;53501),AND(70000&lt;Q435,Q435&lt;72501)),$F435,IF(OR(AND(25001&lt;Q435,Q435&lt;27501),AND(53500&lt;Q435,Q435&lt;57001),AND(72500&lt;Q435,Q435&lt;75001)),$G435,IF(OR(AND(27500&lt;Q435,Q435&lt;30001),AND(57000&lt;Q435,Q435&lt;60001),AND(75000&lt;Q435,Q435&lt;77500)),$H435,VLOOKUP(Q435,BDins,6,FALSE)))))</f>
        <v>15.36</v>
      </c>
      <c r="R437">
        <f>IF(R439&gt;10000,HLOOKUP(R439,$O435:Q438,4,FALSE),IF(OR(AND(22500&lt;R435,R435&lt;25001),AND(50000&lt;R435,R435&lt;53501),AND(70000&lt;R435,R435&lt;72501)),$F435,IF(OR(AND(25001&lt;R435,R435&lt;27501),AND(53500&lt;R435,R435&lt;57001),AND(72500&lt;R435,R435&lt;75001)),$G435,IF(OR(AND(27500&lt;R435,R435&lt;30001),AND(57000&lt;R435,R435&lt;60001),AND(75000&lt;R435,R435&lt;77500)),$H435,VLOOKUP(R435,BDins,6,FALSE)))))</f>
        <v>20.81</v>
      </c>
      <c r="S437">
        <f>IF(S439&gt;10000,HLOOKUP(S439,$O435:R438,4,FALSE),IF(OR(AND(22500&lt;S435,S435&lt;25001),AND(50000&lt;S435,S435&lt;53501),AND(70000&lt;S435,S435&lt;72501)),$F435,IF(OR(AND(25001&lt;S435,S435&lt;27501),AND(53500&lt;S435,S435&lt;57001),AND(72500&lt;S435,S435&lt;75001)),$G435,IF(OR(AND(27500&lt;S435,S435&lt;30001),AND(57000&lt;S435,S435&lt;60001),AND(75000&lt;S435,S435&lt;77500)),$H435,VLOOKUP(S435,BDins,6,FALSE)))))</f>
        <v>17.09</v>
      </c>
      <c r="T437">
        <f>IF(T439&gt;10000,HLOOKUP(T439,$O435:S438,4,FALSE),IF(OR(AND(22500&lt;T435,T435&lt;25001),AND(50000&lt;T435,T435&lt;53501),AND(70000&lt;T435,T435&lt;72501)),$F435,IF(OR(AND(25001&lt;T435,T435&lt;27501),AND(53500&lt;T435,T435&lt;57001),AND(72500&lt;T435,T435&lt;75001)),$G435,IF(OR(AND(27500&lt;T435,T435&lt;30001),AND(57000&lt;T435,T435&lt;60001),AND(75000&lt;T435,T435&lt;77500)),$H435,VLOOKUP(T435,BDins,6,FALSE)))))</f>
        <v>18.5</v>
      </c>
      <c r="U437">
        <f>IF(U439&gt;10000,HLOOKUP(U439,$O435:T438,4,FALSE),IF(OR(AND(22500&lt;U435,U435&lt;25001),AND(50000&lt;U435,U435&lt;53501),AND(70000&lt;U435,U435&lt;72501)),$F435,IF(OR(AND(25001&lt;U435,U435&lt;27501),AND(53500&lt;U435,U435&lt;57001),AND(72500&lt;U435,U435&lt;75001)),$G435,IF(OR(AND(27500&lt;U435,U435&lt;30001),AND(57000&lt;U435,U435&lt;60001),AND(75000&lt;U435,U435&lt;77500)),$H435,VLOOKUP(U435,BDins,6,FALSE)))))</f>
        <v>150</v>
      </c>
      <c r="V437">
        <f>IF(V439&gt;10000,HLOOKUP(V439,$O435:U438,4,FALSE),IF(OR(AND(22500&lt;V435,V435&lt;25001),AND(50000&lt;V435,V435&lt;53501),AND(70000&lt;V435,V435&lt;72501)),$F435,IF(OR(AND(25001&lt;V435,V435&lt;27501),AND(53500&lt;V435,V435&lt;57001),AND(72500&lt;V435,V435&lt;75001)),$G435,IF(OR(AND(27500&lt;V435,V435&lt;30001),AND(57000&lt;V435,V435&lt;60001),AND(75000&lt;V435,V435&lt;77500)),$H435,VLOOKUP(V435,BDins,6,FALSE)))))</f>
        <v>45</v>
      </c>
      <c r="W437">
        <f>IF(W439&gt;10000,HLOOKUP(W439,$O435:V438,4,FALSE),IF(OR(AND(22500&lt;W435,W435&lt;25001),AND(50000&lt;W435,W435&lt;53501),AND(70000&lt;W435,W435&lt;72501)),$F435,IF(OR(AND(25001&lt;W435,W435&lt;27501),AND(53500&lt;W435,W435&lt;57001),AND(72500&lt;W435,W435&lt;75001)),$G435,IF(OR(AND(27500&lt;W435,W435&lt;30001),AND(57000&lt;W435,W435&lt;60001),AND(75000&lt;W435,W435&lt;77500)),$H435,VLOOKUP(W435,BDins,6,FALSE)))))</f>
        <v>46.84</v>
      </c>
      <c r="X437">
        <f>IF(X439&gt;10000,HLOOKUP(X439,$O435:W438,4,FALSE),IF(OR(AND(22500&lt;X435,X435&lt;25001),AND(50000&lt;X435,X435&lt;53501),AND(70000&lt;X435,X435&lt;72501)),$F435,IF(OR(AND(25001&lt;X435,X435&lt;27501),AND(53500&lt;X435,X435&lt;57001),AND(72500&lt;X435,X435&lt;75001)),$G435,IF(OR(AND(27500&lt;X435,X435&lt;30001),AND(57000&lt;X435,X435&lt;60001),AND(75000&lt;X435,X435&lt;77500)),$H435,VLOOKUP(X435,BDins,6,FALSE)))))</f>
        <v>65</v>
      </c>
      <c r="Y437">
        <f>IF(Y439&gt;10000,HLOOKUP(Y439,$O435:X438,4,FALSE),IF(OR(AND(22500&lt;Y435,Y435&lt;25001),AND(50000&lt;Y435,Y435&lt;53501),AND(70000&lt;Y435,Y435&lt;72501)),$F435,IF(OR(AND(25001&lt;Y435,Y435&lt;27501),AND(53500&lt;Y435,Y435&lt;57001),AND(72500&lt;Y435,Y435&lt;75001)),$G435,IF(OR(AND(27500&lt;Y435,Y435&lt;30001),AND(57000&lt;Y435,Y435&lt;60001),AND(75000&lt;Y435,Y435&lt;77500)),$H435,VLOOKUP(Y435,BDins,6,FALSE)))))</f>
        <v>10.5</v>
      </c>
      <c r="Z437">
        <f>IF(Z439&gt;10000,HLOOKUP(Z439,$O435:Y438,4,FALSE),IF(OR(AND(22500&lt;Z435,Z435&lt;25001),AND(50000&lt;Z435,Z435&lt;53501),AND(70000&lt;Z435,Z435&lt;72501)),$F435,IF(OR(AND(25001&lt;Z435,Z435&lt;27501),AND(53500&lt;Z435,Z435&lt;57001),AND(72500&lt;Z435,Z435&lt;75001)),$G435,IF(OR(AND(27500&lt;Z435,Z435&lt;30001),AND(57000&lt;Z435,Z435&lt;60001),AND(75000&lt;Z435,Z435&lt;77500)),$H435,VLOOKUP(Z435,BDins,6,FALSE)))))</f>
        <v>31.5</v>
      </c>
      <c r="AA437">
        <f>IF(AA439&gt;10000,HLOOKUP(AA439,$O435:Z438,4,FALSE),IF(OR(AND(22500&lt;AA435,AA435&lt;25001),AND(50000&lt;AA435,AA435&lt;53501),AND(70000&lt;AA435,AA435&lt;72501)),$F435,IF(OR(AND(25001&lt;AA435,AA435&lt;27501),AND(53500&lt;AA435,AA435&lt;57001),AND(72500&lt;AA435,AA435&lt;75001)),$G435,IF(OR(AND(27500&lt;AA435,AA435&lt;30001),AND(57000&lt;AA435,AA435&lt;60001),AND(75000&lt;AA435,AA435&lt;77500)),$H435,VLOOKUP(AA435,BDins,6,FALSE)))))</f>
        <v>5.9</v>
      </c>
      <c r="AB437">
        <f>IF(AB439&gt;10000,HLOOKUP(AB439,$O435:AA438,4,FALSE),IF(OR(AND(22500&lt;AB435,AB435&lt;25001),AND(50000&lt;AB435,AB435&lt;53501),AND(70000&lt;AB435,AB435&lt;72501)),$F435,IF(OR(AND(25001&lt;AB435,AB435&lt;27501),AND(53500&lt;AB435,AB435&lt;57001),AND(72500&lt;AB435,AB435&lt;75001)),$G435,IF(OR(AND(27500&lt;AB435,AB435&lt;30001),AND(57000&lt;AB435,AB435&lt;60001),AND(75000&lt;AB435,AB435&lt;77500)),$H435,VLOOKUP(AB435,BDins,6,FALSE)))))</f>
        <v>15.78</v>
      </c>
      <c r="AC437">
        <f>IF(AC439&gt;10000,HLOOKUP(AC439,$O435:AB438,4,FALSE),IF(OR(AND(22500&lt;AC435,AC435&lt;25001),AND(50000&lt;AC435,AC435&lt;53501),AND(70000&lt;AC435,AC435&lt;72501)),$F435,IF(OR(AND(25001&lt;AC435,AC435&lt;27501),AND(53500&lt;AC435,AC435&lt;57001),AND(72500&lt;AC435,AC435&lt;75001)),$G435,IF(OR(AND(27500&lt;AC435,AC435&lt;30001),AND(57000&lt;AC435,AC435&lt;60001),AND(75000&lt;AC435,AC435&lt;77500)),$H435,VLOOKUP(AC435,BDins,6,FALSE)))))</f>
        <v>84.34</v>
      </c>
    </row>
    <row r="438" spans="1:29" x14ac:dyDescent="0.2">
      <c r="O438">
        <f t="shared" ref="O438:AC438" si="63">IF($K435&gt;0,ROUND(O436*$E435/100,DpCU),IF(O439&gt;10000,ROUND(HLOOKUP(O439,$O435:$AC438,4,FALSE)/100*O436,DpCU),IF(OR(O435&lt;20001,O435&gt;95000,AND(60000&lt;O435,O435&lt;70001)),ROUND(ROUND(O436*JL/$C435,DcCU)*O437,DpCU),IF(OR(AND(20000&lt;O435,O435&lt;22501),AND(30000&lt;O435,O435&lt;50001),77500&lt;O435),ROUND(O437*O436,DpCU),IF(OR(AND(22500&lt;O435,O435&lt;25001),AND(50000&lt;O435,O435&lt;53501),AND(70000&lt;O435,O435&lt;72501)),ROUND($F435/100*O436,DpCU),IF(OR(AND(25000&lt;O435,O435&lt;27501),AND(53500&lt;O435,O435&lt;57001),AND(72500&lt;O435,O435&lt;75001)),ROUND($G435/100*O436,DpCU),ROUND($H435/100*O436,DpCU)))))))</f>
        <v>0.91</v>
      </c>
      <c r="P438">
        <f t="shared" si="63"/>
        <v>7.57</v>
      </c>
      <c r="Q438">
        <f t="shared" si="63"/>
        <v>55.86</v>
      </c>
      <c r="R438">
        <f t="shared" si="63"/>
        <v>7.57</v>
      </c>
      <c r="S438">
        <f t="shared" si="63"/>
        <v>12.43</v>
      </c>
      <c r="T438">
        <f t="shared" si="63"/>
        <v>157.25</v>
      </c>
      <c r="U438">
        <f t="shared" si="63"/>
        <v>26.25</v>
      </c>
      <c r="V438">
        <f t="shared" si="63"/>
        <v>18.05</v>
      </c>
      <c r="W438">
        <f t="shared" si="63"/>
        <v>0.37</v>
      </c>
      <c r="X438">
        <f t="shared" si="63"/>
        <v>52.2</v>
      </c>
      <c r="Y438">
        <f t="shared" si="63"/>
        <v>2.63</v>
      </c>
      <c r="Z438">
        <f t="shared" si="63"/>
        <v>11.45</v>
      </c>
      <c r="AA438">
        <f t="shared" si="63"/>
        <v>2.15</v>
      </c>
      <c r="AB438">
        <f t="shared" si="63"/>
        <v>5.74</v>
      </c>
      <c r="AC438">
        <f t="shared" si="63"/>
        <v>2.5299999999999998</v>
      </c>
    </row>
    <row r="439" spans="1:29" x14ac:dyDescent="0.2">
      <c r="B439" s="3" t="str">
        <f>A435&amp;"r"</f>
        <v>10087r</v>
      </c>
    </row>
    <row r="440" spans="1:29" x14ac:dyDescent="0.2">
      <c r="A440">
        <v>10088</v>
      </c>
      <c r="B440" s="3" t="s">
        <v>540</v>
      </c>
      <c r="C440" s="1">
        <f>ROUND(J440*JL*Frto/8,4)</f>
        <v>10</v>
      </c>
      <c r="D440" t="s">
        <v>210</v>
      </c>
      <c r="E440">
        <f>SUM($O443:$U443)</f>
        <v>48.06</v>
      </c>
      <c r="F440">
        <f>SUMIF($O440:$U440,"&lt;22501",$O443:$U443)</f>
        <v>32.119999999999997</v>
      </c>
      <c r="G440">
        <f>SUMIFS($O443:$U443,$O440:$U440,"&gt;30000",$O440:$U440,"&lt;50001")</f>
        <v>14.98</v>
      </c>
      <c r="H440">
        <f>SUMIFS($O443:$U443,$O440:$U440,"&gt;60000",$O440:$U440,"&lt;70001")</f>
        <v>0</v>
      </c>
      <c r="I440">
        <v>7</v>
      </c>
      <c r="J440">
        <v>10</v>
      </c>
      <c r="O440">
        <v>10001</v>
      </c>
      <c r="P440">
        <v>10002</v>
      </c>
      <c r="Q440">
        <v>10008</v>
      </c>
      <c r="R440">
        <v>30051</v>
      </c>
      <c r="S440">
        <v>30055</v>
      </c>
      <c r="T440">
        <v>30063</v>
      </c>
      <c r="U440">
        <v>70001</v>
      </c>
    </row>
    <row r="441" spans="1:29" x14ac:dyDescent="0.2">
      <c r="B441" s="3" t="str">
        <f>A440&amp;"C"</f>
        <v>10088C</v>
      </c>
      <c r="O441">
        <v>0.09</v>
      </c>
      <c r="P441">
        <v>1</v>
      </c>
      <c r="Q441">
        <v>1</v>
      </c>
      <c r="R441">
        <v>0.18</v>
      </c>
      <c r="S441">
        <v>3.5</v>
      </c>
      <c r="T441">
        <v>0.2</v>
      </c>
      <c r="U441">
        <v>3</v>
      </c>
    </row>
    <row r="442" spans="1:29" x14ac:dyDescent="0.2">
      <c r="O442">
        <f>IF(O444&gt;10000,HLOOKUP(O444,N440:$O443,4,FALSE),IF(OR(AND(22500&lt;O440,O440&lt;25001),AND(50000&lt;O440,O440&lt;53501),AND(70000&lt;O440,O440&lt;72501)),$F440,IF(OR(AND(25001&lt;O440,O440&lt;27501),AND(53500&lt;O440,O440&lt;57001),AND(72500&lt;O440,O440&lt;75001)),$G440,IF(OR(AND(27500&lt;O440,O440&lt;30001),AND(57000&lt;O440,O440&lt;60001),AND(75000&lt;O440,O440&lt;77500)),$H440,VLOOKUP(O440,BDins,6,FALSE)))))</f>
        <v>24.97</v>
      </c>
      <c r="P442">
        <f>IF(P444&gt;10000,HLOOKUP(P444,O440:$O443,4,FALSE),IF(OR(AND(22500&lt;P440,P440&lt;25001),AND(50000&lt;P440,P440&lt;53501),AND(70000&lt;P440,P440&lt;72501)),$F440,IF(OR(AND(25001&lt;P440,P440&lt;27501),AND(53500&lt;P440,P440&lt;57001),AND(72500&lt;P440,P440&lt;75001)),$G440,IF(OR(AND(27500&lt;P440,P440&lt;30001),AND(57000&lt;P440,P440&lt;60001),AND(75000&lt;P440,P440&lt;77500)),$H440,VLOOKUP(P440,BDins,6,FALSE)))))</f>
        <v>20.81</v>
      </c>
      <c r="Q442">
        <f>IF(Q444&gt;10000,HLOOKUP(Q444,$O440:P443,4,FALSE),IF(OR(AND(22500&lt;Q440,Q440&lt;25001),AND(50000&lt;Q440,Q440&lt;53501),AND(70000&lt;Q440,Q440&lt;72501)),$F440,IF(OR(AND(25001&lt;Q440,Q440&lt;27501),AND(53500&lt;Q440,Q440&lt;57001),AND(72500&lt;Q440,Q440&lt;75001)),$G440,IF(OR(AND(27500&lt;Q440,Q440&lt;30001),AND(57000&lt;Q440,Q440&lt;60001),AND(75000&lt;Q440,Q440&lt;77500)),$H440,VLOOKUP(Q440,BDins,6,FALSE)))))</f>
        <v>17.09</v>
      </c>
      <c r="R442">
        <f>IF(R444&gt;10000,HLOOKUP(R444,$O440:Q443,4,FALSE),IF(OR(AND(22500&lt;R440,R440&lt;25001),AND(50000&lt;R440,R440&lt;53501),AND(70000&lt;R440,R440&lt;72501)),$F440,IF(OR(AND(25001&lt;R440,R440&lt;27501),AND(53500&lt;R440,R440&lt;57001),AND(72500&lt;R440,R440&lt;75001)),$G440,IF(OR(AND(27500&lt;R440,R440&lt;30001),AND(57000&lt;R440,R440&lt;60001),AND(75000&lt;R440,R440&lt;77500)),$H440,VLOOKUP(R440,BDins,6,FALSE)))))</f>
        <v>3.5</v>
      </c>
      <c r="S442">
        <f>IF(S444&gt;10000,HLOOKUP(S444,$O440:R443,4,FALSE),IF(OR(AND(22500&lt;S440,S440&lt;25001),AND(50000&lt;S440,S440&lt;53501),AND(70000&lt;S440,S440&lt;72501)),$F440,IF(OR(AND(25001&lt;S440,S440&lt;27501),AND(53500&lt;S440,S440&lt;57001),AND(72500&lt;S440,S440&lt;75001)),$G440,IF(OR(AND(27500&lt;S440,S440&lt;30001),AND(57000&lt;S440,S440&lt;60001),AND(75000&lt;S440,S440&lt;77500)),$H440,VLOOKUP(S440,BDins,6,FALSE)))))</f>
        <v>3.9</v>
      </c>
      <c r="T442">
        <f>IF(T444&gt;10000,HLOOKUP(T444,$O440:S443,4,FALSE),IF(OR(AND(22500&lt;T440,T440&lt;25001),AND(50000&lt;T440,T440&lt;53501),AND(70000&lt;T440,T440&lt;72501)),$F440,IF(OR(AND(25001&lt;T440,T440&lt;27501),AND(53500&lt;T440,T440&lt;57001),AND(72500&lt;T440,T440&lt;75001)),$G440,IF(OR(AND(27500&lt;T440,T440&lt;30001),AND(57000&lt;T440,T440&lt;60001),AND(75000&lt;T440,T440&lt;77500)),$H440,VLOOKUP(T440,BDins,6,FALSE)))))</f>
        <v>3.5</v>
      </c>
      <c r="U442">
        <f>IF(U444&gt;10000,HLOOKUP(U444,$O440:T443,4,FALSE),IF(OR(AND(22500&lt;U440,U440&lt;25001),AND(50000&lt;U440,U440&lt;53501),AND(70000&lt;U440,U440&lt;72501)),$F440,IF(OR(AND(25001&lt;U440,U440&lt;27501),AND(53500&lt;U440,U440&lt;57001),AND(72500&lt;U440,U440&lt;75001)),$G440,IF(OR(AND(27500&lt;U440,U440&lt;30001),AND(57000&lt;U440,U440&lt;60001),AND(75000&lt;U440,U440&lt;77500)),$H440,VLOOKUP(U440,BDins,6,FALSE)))))</f>
        <v>32.119999999999997</v>
      </c>
    </row>
    <row r="443" spans="1:29" x14ac:dyDescent="0.2">
      <c r="O443">
        <f t="shared" ref="O443:U443" si="64">IF($K440&gt;0,ROUND(O441*$E440/100,DpCU),IF(O444&gt;10000,ROUND(HLOOKUP(O444,$O440:$U443,4,FALSE)/100*O441,DpCU),IF(OR(O440&lt;20001,O440&gt;95000,AND(60000&lt;O440,O440&lt;70001)),ROUND(ROUND(O441*JL/$C440,DcCU)*O442,DpCU),IF(OR(AND(20000&lt;O440,O440&lt;22501),AND(30000&lt;O440,O440&lt;50001),77500&lt;O440),ROUND(O442*O441,DpCU),IF(OR(AND(22500&lt;O440,O440&lt;25001),AND(50000&lt;O440,O440&lt;53501),AND(70000&lt;O440,O440&lt;72501)),ROUND($F440/100*O441,DpCU),IF(OR(AND(25000&lt;O440,O440&lt;27501),AND(53500&lt;O440,O440&lt;57001),AND(72500&lt;O440,O440&lt;75001)),ROUND($G440/100*O441,DpCU),ROUND($H440/100*O441,DpCU)))))))</f>
        <v>1.8</v>
      </c>
      <c r="P443">
        <f t="shared" si="64"/>
        <v>16.649999999999999</v>
      </c>
      <c r="Q443">
        <f t="shared" si="64"/>
        <v>13.67</v>
      </c>
      <c r="R443">
        <f t="shared" si="64"/>
        <v>0.63</v>
      </c>
      <c r="S443">
        <f t="shared" si="64"/>
        <v>13.65</v>
      </c>
      <c r="T443">
        <f t="shared" si="64"/>
        <v>0.7</v>
      </c>
      <c r="U443">
        <f t="shared" si="64"/>
        <v>0.96</v>
      </c>
    </row>
    <row r="444" spans="1:29" x14ac:dyDescent="0.2">
      <c r="B444" s="3" t="str">
        <f>A440&amp;"r"</f>
        <v>10088r</v>
      </c>
    </row>
    <row r="445" spans="1:29" x14ac:dyDescent="0.2">
      <c r="A445">
        <v>10089</v>
      </c>
      <c r="B445" s="3" t="s">
        <v>542</v>
      </c>
      <c r="C445" s="1">
        <f>ROUND(J445*JL*Frto/8,4)</f>
        <v>240</v>
      </c>
      <c r="D445" t="s">
        <v>33</v>
      </c>
      <c r="E445">
        <f>SUM($O448:$U448)</f>
        <v>5.14</v>
      </c>
      <c r="F445">
        <f>SUMIF($O445:$U445,"&lt;22501",$O448:$U448)</f>
        <v>1.3399999999999999</v>
      </c>
      <c r="G445">
        <f>SUMIFS($O448:$U448,$O445:$U445,"&gt;30000",$O445:$U445,"&lt;50001")</f>
        <v>2.68</v>
      </c>
      <c r="H445">
        <f>SUMIFS($O448:$U448,$O445:$U445,"&gt;60000",$O445:$U445,"&lt;70001")</f>
        <v>0</v>
      </c>
      <c r="I445">
        <v>7</v>
      </c>
      <c r="J445">
        <v>240</v>
      </c>
      <c r="O445">
        <v>10001</v>
      </c>
      <c r="P445">
        <v>10002</v>
      </c>
      <c r="Q445">
        <v>10008</v>
      </c>
      <c r="R445">
        <v>30063</v>
      </c>
      <c r="S445">
        <v>30064</v>
      </c>
      <c r="T445">
        <v>70001</v>
      </c>
      <c r="U445">
        <v>77507</v>
      </c>
    </row>
    <row r="446" spans="1:29" x14ac:dyDescent="0.2">
      <c r="B446" s="3" t="str">
        <f>A445&amp;"C"</f>
        <v>10089C</v>
      </c>
      <c r="O446">
        <v>0.1</v>
      </c>
      <c r="P446">
        <v>1</v>
      </c>
      <c r="Q446">
        <v>1</v>
      </c>
      <c r="R446">
        <v>0.05</v>
      </c>
      <c r="S446">
        <v>1.05</v>
      </c>
      <c r="T446">
        <v>5</v>
      </c>
      <c r="U446">
        <v>3.0000000000000001E-3</v>
      </c>
    </row>
    <row r="447" spans="1:29" x14ac:dyDescent="0.2">
      <c r="O447">
        <f>IF(O449&gt;10000,HLOOKUP(O449,N445:$O448,4,FALSE),IF(OR(AND(22500&lt;O445,O445&lt;25001),AND(50000&lt;O445,O445&lt;53501),AND(70000&lt;O445,O445&lt;72501)),$F445,IF(OR(AND(25001&lt;O445,O445&lt;27501),AND(53500&lt;O445,O445&lt;57001),AND(72500&lt;O445,O445&lt;75001)),$G445,IF(OR(AND(27500&lt;O445,O445&lt;30001),AND(57000&lt;O445,O445&lt;60001),AND(75000&lt;O445,O445&lt;77500)),$H445,VLOOKUP(O445,BDins,6,FALSE)))))</f>
        <v>24.97</v>
      </c>
      <c r="P447">
        <f>IF(P449&gt;10000,HLOOKUP(P449,O445:$O448,4,FALSE),IF(OR(AND(22500&lt;P445,P445&lt;25001),AND(50000&lt;P445,P445&lt;53501),AND(70000&lt;P445,P445&lt;72501)),$F445,IF(OR(AND(25001&lt;P445,P445&lt;27501),AND(53500&lt;P445,P445&lt;57001),AND(72500&lt;P445,P445&lt;75001)),$G445,IF(OR(AND(27500&lt;P445,P445&lt;30001),AND(57000&lt;P445,P445&lt;60001),AND(75000&lt;P445,P445&lt;77500)),$H445,VLOOKUP(P445,BDins,6,FALSE)))))</f>
        <v>20.81</v>
      </c>
      <c r="Q447">
        <f>IF(Q449&gt;10000,HLOOKUP(Q449,$O445:P448,4,FALSE),IF(OR(AND(22500&lt;Q445,Q445&lt;25001),AND(50000&lt;Q445,Q445&lt;53501),AND(70000&lt;Q445,Q445&lt;72501)),$F445,IF(OR(AND(25001&lt;Q445,Q445&lt;27501),AND(53500&lt;Q445,Q445&lt;57001),AND(72500&lt;Q445,Q445&lt;75001)),$G445,IF(OR(AND(27500&lt;Q445,Q445&lt;30001),AND(57000&lt;Q445,Q445&lt;60001),AND(75000&lt;Q445,Q445&lt;77500)),$H445,VLOOKUP(Q445,BDins,6,FALSE)))))</f>
        <v>17.09</v>
      </c>
      <c r="R447">
        <f>IF(R449&gt;10000,HLOOKUP(R449,$O445:Q448,4,FALSE),IF(OR(AND(22500&lt;R445,R445&lt;25001),AND(50000&lt;R445,R445&lt;53501),AND(70000&lt;R445,R445&lt;72501)),$F445,IF(OR(AND(25001&lt;R445,R445&lt;27501),AND(53500&lt;R445,R445&lt;57001),AND(72500&lt;R445,R445&lt;75001)),$G445,IF(OR(AND(27500&lt;R445,R445&lt;30001),AND(57000&lt;R445,R445&lt;60001),AND(75000&lt;R445,R445&lt;77500)),$H445,VLOOKUP(R445,BDins,6,FALSE)))))</f>
        <v>3.5</v>
      </c>
      <c r="S447">
        <f>IF(S449&gt;10000,HLOOKUP(S449,$O445:R448,4,FALSE),IF(OR(AND(22500&lt;S445,S445&lt;25001),AND(50000&lt;S445,S445&lt;53501),AND(70000&lt;S445,S445&lt;72501)),$F445,IF(OR(AND(25001&lt;S445,S445&lt;27501),AND(53500&lt;S445,S445&lt;57001),AND(72500&lt;S445,S445&lt;75001)),$G445,IF(OR(AND(27500&lt;S445,S445&lt;30001),AND(57000&lt;S445,S445&lt;60001),AND(75000&lt;S445,S445&lt;77500)),$H445,VLOOKUP(S445,BDins,6,FALSE)))))</f>
        <v>2.38</v>
      </c>
      <c r="T447">
        <f>IF(T449&gt;10000,HLOOKUP(T449,$O445:S448,4,FALSE),IF(OR(AND(22500&lt;T445,T445&lt;25001),AND(50000&lt;T445,T445&lt;53501),AND(70000&lt;T445,T445&lt;72501)),$F445,IF(OR(AND(25001&lt;T445,T445&lt;27501),AND(53500&lt;T445,T445&lt;57001),AND(72500&lt;T445,T445&lt;75001)),$G445,IF(OR(AND(27500&lt;T445,T445&lt;30001),AND(57000&lt;T445,T445&lt;60001),AND(75000&lt;T445,T445&lt;77500)),$H445,VLOOKUP(T445,BDins,6,FALSE)))))</f>
        <v>1.3399999999999999</v>
      </c>
      <c r="U447">
        <f>IF(U449&gt;10000,HLOOKUP(U449,$O445:T448,4,FALSE),IF(OR(AND(22500&lt;U445,U445&lt;25001),AND(50000&lt;U445,U445&lt;53501),AND(70000&lt;U445,U445&lt;72501)),$F445,IF(OR(AND(25001&lt;U445,U445&lt;27501),AND(53500&lt;U445,U445&lt;57001),AND(72500&lt;U445,U445&lt;75001)),$G445,IF(OR(AND(27500&lt;U445,U445&lt;30001),AND(57000&lt;U445,U445&lt;60001),AND(75000&lt;U445,U445&lt;77500)),$H445,VLOOKUP(U445,BDins,6,FALSE)))))</f>
        <v>350</v>
      </c>
    </row>
    <row r="448" spans="1:29" x14ac:dyDescent="0.2">
      <c r="O448">
        <f t="shared" ref="O448:U448" si="65">IF($K445&gt;0,ROUND(O446*$E445/100,DpCU),IF(O449&gt;10000,ROUND(HLOOKUP(O449,$O445:$U448,4,FALSE)/100*O446,DpCU),IF(OR(O445&lt;20001,O445&gt;95000,AND(60000&lt;O445,O445&lt;70001)),ROUND(ROUND(O446*JL/$C445,DcCU)*O447,DpCU),IF(OR(AND(20000&lt;O445,O445&lt;22501),AND(30000&lt;O445,O445&lt;50001),77500&lt;O445),ROUND(O447*O446,DpCU),IF(OR(AND(22500&lt;O445,O445&lt;25001),AND(50000&lt;O445,O445&lt;53501),AND(70000&lt;O445,O445&lt;72501)),ROUND($F445/100*O446,DpCU),IF(OR(AND(25000&lt;O445,O445&lt;27501),AND(53500&lt;O445,O445&lt;57001),AND(72500&lt;O445,O445&lt;75001)),ROUND($G445/100*O446,DpCU),ROUND($H445/100*O446,DpCU)))))))</f>
        <v>0.08</v>
      </c>
      <c r="P448">
        <f t="shared" si="65"/>
        <v>0.69</v>
      </c>
      <c r="Q448">
        <f t="shared" si="65"/>
        <v>0.56999999999999995</v>
      </c>
      <c r="R448">
        <f t="shared" si="65"/>
        <v>0.18</v>
      </c>
      <c r="S448">
        <f t="shared" si="65"/>
        <v>2.5</v>
      </c>
      <c r="T448">
        <f t="shared" si="65"/>
        <v>7.0000000000000007E-2</v>
      </c>
      <c r="U448">
        <f t="shared" si="65"/>
        <v>1.05</v>
      </c>
    </row>
    <row r="449" spans="1:19" x14ac:dyDescent="0.2">
      <c r="B449" s="3" t="str">
        <f>A445&amp;"r"</f>
        <v>10089r</v>
      </c>
    </row>
    <row r="450" spans="1:19" x14ac:dyDescent="0.2">
      <c r="A450">
        <v>10090</v>
      </c>
      <c r="B450" s="3" t="s">
        <v>546</v>
      </c>
      <c r="C450" s="1">
        <f>ROUND(J450*JL*Frto/8,4)</f>
        <v>30</v>
      </c>
      <c r="D450" t="s">
        <v>210</v>
      </c>
      <c r="E450">
        <f>SUM($O453:$R453)</f>
        <v>12.139999999999999</v>
      </c>
      <c r="F450">
        <f>SUMIF($O450:$R450,"&lt;22501",$O453:$R453)</f>
        <v>5.2299999999999995</v>
      </c>
      <c r="G450">
        <f>SUMIFS($O453:$R453,$O450:$R450,"&gt;30000",$O450:$R450,"&lt;50001")</f>
        <v>6.65</v>
      </c>
      <c r="H450">
        <f>SUMIFS($O453:$R453,$O450:$R450,"&gt;60000",$O450:$R450,"&lt;70001")</f>
        <v>0</v>
      </c>
      <c r="I450">
        <v>4</v>
      </c>
      <c r="J450">
        <v>30</v>
      </c>
      <c r="O450">
        <v>10001</v>
      </c>
      <c r="P450">
        <v>10008</v>
      </c>
      <c r="Q450">
        <v>30081</v>
      </c>
      <c r="R450">
        <v>70001</v>
      </c>
    </row>
    <row r="451" spans="1:19" x14ac:dyDescent="0.2">
      <c r="B451" s="3" t="str">
        <f>A450&amp;"C"</f>
        <v>10090C</v>
      </c>
      <c r="O451">
        <v>0.1</v>
      </c>
      <c r="P451">
        <v>1</v>
      </c>
      <c r="Q451">
        <v>0.35</v>
      </c>
      <c r="R451">
        <v>5</v>
      </c>
    </row>
    <row r="452" spans="1:19" x14ac:dyDescent="0.2">
      <c r="O452">
        <f>IF(O454&gt;10000,HLOOKUP(O454,N450:$O453,4,FALSE),IF(OR(AND(22500&lt;O450,O450&lt;25001),AND(50000&lt;O450,O450&lt;53501),AND(70000&lt;O450,O450&lt;72501)),$F450,IF(OR(AND(25001&lt;O450,O450&lt;27501),AND(53500&lt;O450,O450&lt;57001),AND(72500&lt;O450,O450&lt;75001)),$G450,IF(OR(AND(27500&lt;O450,O450&lt;30001),AND(57000&lt;O450,O450&lt;60001),AND(75000&lt;O450,O450&lt;77500)),$H450,VLOOKUP(O450,BDins,6,FALSE)))))</f>
        <v>24.97</v>
      </c>
      <c r="P452">
        <f>IF(P454&gt;10000,HLOOKUP(P454,O450:$O453,4,FALSE),IF(OR(AND(22500&lt;P450,P450&lt;25001),AND(50000&lt;P450,P450&lt;53501),AND(70000&lt;P450,P450&lt;72501)),$F450,IF(OR(AND(25001&lt;P450,P450&lt;27501),AND(53500&lt;P450,P450&lt;57001),AND(72500&lt;P450,P450&lt;75001)),$G450,IF(OR(AND(27500&lt;P450,P450&lt;30001),AND(57000&lt;P450,P450&lt;60001),AND(75000&lt;P450,P450&lt;77500)),$H450,VLOOKUP(P450,BDins,6,FALSE)))))</f>
        <v>17.09</v>
      </c>
      <c r="Q452">
        <f>IF(Q454&gt;10000,HLOOKUP(Q454,$O450:P453,4,FALSE),IF(OR(AND(22500&lt;Q450,Q450&lt;25001),AND(50000&lt;Q450,Q450&lt;53501),AND(70000&lt;Q450,Q450&lt;72501)),$F450,IF(OR(AND(25001&lt;Q450,Q450&lt;27501),AND(53500&lt;Q450,Q450&lt;57001),AND(72500&lt;Q450,Q450&lt;75001)),$G450,IF(OR(AND(27500&lt;Q450,Q450&lt;30001),AND(57000&lt;Q450,Q450&lt;60001),AND(75000&lt;Q450,Q450&lt;77500)),$H450,VLOOKUP(Q450,BDins,6,FALSE)))))</f>
        <v>19</v>
      </c>
      <c r="R452">
        <f>IF(R454&gt;10000,HLOOKUP(R454,$O450:Q453,4,FALSE),IF(OR(AND(22500&lt;R450,R450&lt;25001),AND(50000&lt;R450,R450&lt;53501),AND(70000&lt;R450,R450&lt;72501)),$F450,IF(OR(AND(25001&lt;R450,R450&lt;27501),AND(53500&lt;R450,R450&lt;57001),AND(72500&lt;R450,R450&lt;75001)),$G450,IF(OR(AND(27500&lt;R450,R450&lt;30001),AND(57000&lt;R450,R450&lt;60001),AND(75000&lt;R450,R450&lt;77500)),$H450,VLOOKUP(R450,BDins,6,FALSE)))))</f>
        <v>5.2299999999999995</v>
      </c>
    </row>
    <row r="453" spans="1:19" x14ac:dyDescent="0.2">
      <c r="O453">
        <f>IF($K450&gt;0,ROUND(O451*$E450/100,DpCU),IF(O454&gt;10000,ROUND(HLOOKUP(O454,$O450:$R453,4,FALSE)/100*O451,DpCU),IF(OR(O450&lt;20001,O450&gt;95000,AND(60000&lt;O450,O450&lt;70001)),ROUND(ROUND(O451*JL/$C450,DcCU)*O452,DpCU),IF(OR(AND(20000&lt;O450,O450&lt;22501),AND(30000&lt;O450,O450&lt;50001),77500&lt;O450),ROUND(O452*O451,DpCU),IF(OR(AND(22500&lt;O450,O450&lt;25001),AND(50000&lt;O450,O450&lt;53501),AND(70000&lt;O450,O450&lt;72501)),ROUND($F450/100*O451,DpCU),IF(OR(AND(25000&lt;O450,O450&lt;27501),AND(53500&lt;O450,O450&lt;57001),AND(72500&lt;O450,O450&lt;75001)),ROUND($G450/100*O451,DpCU),ROUND($H450/100*O451,DpCU)))))))</f>
        <v>0.67</v>
      </c>
      <c r="P453">
        <f>IF($K450&gt;0,ROUND(P451*$E450/100,DpCU),IF(P454&gt;10000,ROUND(HLOOKUP(P454,$O450:$R453,4,FALSE)/100*P451,DpCU),IF(OR(P450&lt;20001,P450&gt;95000,AND(60000&lt;P450,P450&lt;70001)),ROUND(ROUND(P451*JL/$C450,DcCU)*P452,DpCU),IF(OR(AND(20000&lt;P450,P450&lt;22501),AND(30000&lt;P450,P450&lt;50001),77500&lt;P450),ROUND(P452*P451,DpCU),IF(OR(AND(22500&lt;P450,P450&lt;25001),AND(50000&lt;P450,P450&lt;53501),AND(70000&lt;P450,P450&lt;72501)),ROUND($F450/100*P451,DpCU),IF(OR(AND(25000&lt;P450,P450&lt;27501),AND(53500&lt;P450,P450&lt;57001),AND(72500&lt;P450,P450&lt;75001)),ROUND($G450/100*P451,DpCU),ROUND($H450/100*P451,DpCU)))))))</f>
        <v>4.5599999999999996</v>
      </c>
      <c r="Q453">
        <f>IF($K450&gt;0,ROUND(Q451*$E450/100,DpCU),IF(Q454&gt;10000,ROUND(HLOOKUP(Q454,$O450:$R453,4,FALSE)/100*Q451,DpCU),IF(OR(Q450&lt;20001,Q450&gt;95000,AND(60000&lt;Q450,Q450&lt;70001)),ROUND(ROUND(Q451*JL/$C450,DcCU)*Q452,DpCU),IF(OR(AND(20000&lt;Q450,Q450&lt;22501),AND(30000&lt;Q450,Q450&lt;50001),77500&lt;Q450),ROUND(Q452*Q451,DpCU),IF(OR(AND(22500&lt;Q450,Q450&lt;25001),AND(50000&lt;Q450,Q450&lt;53501),AND(70000&lt;Q450,Q450&lt;72501)),ROUND($F450/100*Q451,DpCU),IF(OR(AND(25000&lt;Q450,Q450&lt;27501),AND(53500&lt;Q450,Q450&lt;57001),AND(72500&lt;Q450,Q450&lt;75001)),ROUND($G450/100*Q451,DpCU),ROUND($H450/100*Q451,DpCU)))))))</f>
        <v>6.65</v>
      </c>
      <c r="R453">
        <f>IF($K450&gt;0,ROUND(R451*$E450/100,DpCU),IF(R454&gt;10000,ROUND(HLOOKUP(R454,$O450:$R453,4,FALSE)/100*R451,DpCU),IF(OR(R450&lt;20001,R450&gt;95000,AND(60000&lt;R450,R450&lt;70001)),ROUND(ROUND(R451*JL/$C450,DcCU)*R452,DpCU),IF(OR(AND(20000&lt;R450,R450&lt;22501),AND(30000&lt;R450,R450&lt;50001),77500&lt;R450),ROUND(R452*R451,DpCU),IF(OR(AND(22500&lt;R450,R450&lt;25001),AND(50000&lt;R450,R450&lt;53501),AND(70000&lt;R450,R450&lt;72501)),ROUND($F450/100*R451,DpCU),IF(OR(AND(25000&lt;R450,R450&lt;27501),AND(53500&lt;R450,R450&lt;57001),AND(72500&lt;R450,R450&lt;75001)),ROUND($G450/100*R451,DpCU),ROUND($H450/100*R451,DpCU)))))))</f>
        <v>0.26</v>
      </c>
    </row>
    <row r="454" spans="1:19" x14ac:dyDescent="0.2">
      <c r="B454" s="3" t="str">
        <f>A450&amp;"r"</f>
        <v>10090r</v>
      </c>
    </row>
    <row r="455" spans="1:19" x14ac:dyDescent="0.2">
      <c r="A455">
        <v>10091</v>
      </c>
      <c r="B455" s="3" t="s">
        <v>549</v>
      </c>
      <c r="C455" s="1">
        <f>ROUND(J455*JL*Frto/8,4)</f>
        <v>30</v>
      </c>
      <c r="D455" t="s">
        <v>210</v>
      </c>
      <c r="E455">
        <f>SUM($O458:$R458)</f>
        <v>8.0399999999999991</v>
      </c>
      <c r="F455">
        <f>SUMIF($O455:$R455,"&lt;22501",$O458:$R458)</f>
        <v>5.2299999999999995</v>
      </c>
      <c r="G455">
        <f>SUMIFS($O458:$R458,$O455:$R455,"&gt;30000",$O455:$R455,"&lt;50001")</f>
        <v>2.5499999999999998</v>
      </c>
      <c r="H455">
        <f>SUMIFS($O458:$R458,$O455:$R455,"&gt;60000",$O455:$R455,"&lt;70001")</f>
        <v>0</v>
      </c>
      <c r="I455">
        <v>4</v>
      </c>
      <c r="J455">
        <v>30</v>
      </c>
      <c r="O455">
        <v>10001</v>
      </c>
      <c r="P455">
        <v>10008</v>
      </c>
      <c r="Q455">
        <v>30082</v>
      </c>
      <c r="R455">
        <v>70001</v>
      </c>
    </row>
    <row r="456" spans="1:19" x14ac:dyDescent="0.2">
      <c r="B456" s="3" t="str">
        <f>A455&amp;"C"</f>
        <v>10091C</v>
      </c>
      <c r="O456">
        <v>0.1</v>
      </c>
      <c r="P456">
        <v>1</v>
      </c>
      <c r="Q456">
        <v>0.1</v>
      </c>
      <c r="R456">
        <v>5</v>
      </c>
    </row>
    <row r="457" spans="1:19" x14ac:dyDescent="0.2">
      <c r="O457">
        <f>IF(O459&gt;10000,HLOOKUP(O459,N455:$O458,4,FALSE),IF(OR(AND(22500&lt;O455,O455&lt;25001),AND(50000&lt;O455,O455&lt;53501),AND(70000&lt;O455,O455&lt;72501)),$F455,IF(OR(AND(25001&lt;O455,O455&lt;27501),AND(53500&lt;O455,O455&lt;57001),AND(72500&lt;O455,O455&lt;75001)),$G455,IF(OR(AND(27500&lt;O455,O455&lt;30001),AND(57000&lt;O455,O455&lt;60001),AND(75000&lt;O455,O455&lt;77500)),$H455,VLOOKUP(O455,BDins,6,FALSE)))))</f>
        <v>24.97</v>
      </c>
      <c r="P457">
        <f>IF(P459&gt;10000,HLOOKUP(P459,O455:$O458,4,FALSE),IF(OR(AND(22500&lt;P455,P455&lt;25001),AND(50000&lt;P455,P455&lt;53501),AND(70000&lt;P455,P455&lt;72501)),$F455,IF(OR(AND(25001&lt;P455,P455&lt;27501),AND(53500&lt;P455,P455&lt;57001),AND(72500&lt;P455,P455&lt;75001)),$G455,IF(OR(AND(27500&lt;P455,P455&lt;30001),AND(57000&lt;P455,P455&lt;60001),AND(75000&lt;P455,P455&lt;77500)),$H455,VLOOKUP(P455,BDins,6,FALSE)))))</f>
        <v>17.09</v>
      </c>
      <c r="Q457">
        <f>IF(Q459&gt;10000,HLOOKUP(Q459,$O455:P458,4,FALSE),IF(OR(AND(22500&lt;Q455,Q455&lt;25001),AND(50000&lt;Q455,Q455&lt;53501),AND(70000&lt;Q455,Q455&lt;72501)),$F455,IF(OR(AND(25001&lt;Q455,Q455&lt;27501),AND(53500&lt;Q455,Q455&lt;57001),AND(72500&lt;Q455,Q455&lt;75001)),$G455,IF(OR(AND(27500&lt;Q455,Q455&lt;30001),AND(57000&lt;Q455,Q455&lt;60001),AND(75000&lt;Q455,Q455&lt;77500)),$H455,VLOOKUP(Q455,BDins,6,FALSE)))))</f>
        <v>25.5</v>
      </c>
      <c r="R457">
        <f>IF(R459&gt;10000,HLOOKUP(R459,$O455:Q458,4,FALSE),IF(OR(AND(22500&lt;R455,R455&lt;25001),AND(50000&lt;R455,R455&lt;53501),AND(70000&lt;R455,R455&lt;72501)),$F455,IF(OR(AND(25001&lt;R455,R455&lt;27501),AND(53500&lt;R455,R455&lt;57001),AND(72500&lt;R455,R455&lt;75001)),$G455,IF(OR(AND(27500&lt;R455,R455&lt;30001),AND(57000&lt;R455,R455&lt;60001),AND(75000&lt;R455,R455&lt;77500)),$H455,VLOOKUP(R455,BDins,6,FALSE)))))</f>
        <v>5.2299999999999995</v>
      </c>
    </row>
    <row r="458" spans="1:19" x14ac:dyDescent="0.2">
      <c r="O458">
        <f>IF($K455&gt;0,ROUND(O456*$E455/100,DpCU),IF(O459&gt;10000,ROUND(HLOOKUP(O459,$O455:$R458,4,FALSE)/100*O456,DpCU),IF(OR(O455&lt;20001,O455&gt;95000,AND(60000&lt;O455,O455&lt;70001)),ROUND(ROUND(O456*JL/$C455,DcCU)*O457,DpCU),IF(OR(AND(20000&lt;O455,O455&lt;22501),AND(30000&lt;O455,O455&lt;50001),77500&lt;O455),ROUND(O457*O456,DpCU),IF(OR(AND(22500&lt;O455,O455&lt;25001),AND(50000&lt;O455,O455&lt;53501),AND(70000&lt;O455,O455&lt;72501)),ROUND($F455/100*O456,DpCU),IF(OR(AND(25000&lt;O455,O455&lt;27501),AND(53500&lt;O455,O455&lt;57001),AND(72500&lt;O455,O455&lt;75001)),ROUND($G455/100*O456,DpCU),ROUND($H455/100*O456,DpCU)))))))</f>
        <v>0.67</v>
      </c>
      <c r="P458">
        <f>IF($K455&gt;0,ROUND(P456*$E455/100,DpCU),IF(P459&gt;10000,ROUND(HLOOKUP(P459,$O455:$R458,4,FALSE)/100*P456,DpCU),IF(OR(P455&lt;20001,P455&gt;95000,AND(60000&lt;P455,P455&lt;70001)),ROUND(ROUND(P456*JL/$C455,DcCU)*P457,DpCU),IF(OR(AND(20000&lt;P455,P455&lt;22501),AND(30000&lt;P455,P455&lt;50001),77500&lt;P455),ROUND(P457*P456,DpCU),IF(OR(AND(22500&lt;P455,P455&lt;25001),AND(50000&lt;P455,P455&lt;53501),AND(70000&lt;P455,P455&lt;72501)),ROUND($F455/100*P456,DpCU),IF(OR(AND(25000&lt;P455,P455&lt;27501),AND(53500&lt;P455,P455&lt;57001),AND(72500&lt;P455,P455&lt;75001)),ROUND($G455/100*P456,DpCU),ROUND($H455/100*P456,DpCU)))))))</f>
        <v>4.5599999999999996</v>
      </c>
      <c r="Q458">
        <f>IF($K455&gt;0,ROUND(Q456*$E455/100,DpCU),IF(Q459&gt;10000,ROUND(HLOOKUP(Q459,$O455:$R458,4,FALSE)/100*Q456,DpCU),IF(OR(Q455&lt;20001,Q455&gt;95000,AND(60000&lt;Q455,Q455&lt;70001)),ROUND(ROUND(Q456*JL/$C455,DcCU)*Q457,DpCU),IF(OR(AND(20000&lt;Q455,Q455&lt;22501),AND(30000&lt;Q455,Q455&lt;50001),77500&lt;Q455),ROUND(Q457*Q456,DpCU),IF(OR(AND(22500&lt;Q455,Q455&lt;25001),AND(50000&lt;Q455,Q455&lt;53501),AND(70000&lt;Q455,Q455&lt;72501)),ROUND($F455/100*Q456,DpCU),IF(OR(AND(25000&lt;Q455,Q455&lt;27501),AND(53500&lt;Q455,Q455&lt;57001),AND(72500&lt;Q455,Q455&lt;75001)),ROUND($G455/100*Q456,DpCU),ROUND($H455/100*Q456,DpCU)))))))</f>
        <v>2.5499999999999998</v>
      </c>
      <c r="R458">
        <f>IF($K455&gt;0,ROUND(R456*$E455/100,DpCU),IF(R459&gt;10000,ROUND(HLOOKUP(R459,$O455:$R458,4,FALSE)/100*R456,DpCU),IF(OR(R455&lt;20001,R455&gt;95000,AND(60000&lt;R455,R455&lt;70001)),ROUND(ROUND(R456*JL/$C455,DcCU)*R457,DpCU),IF(OR(AND(20000&lt;R455,R455&lt;22501),AND(30000&lt;R455,R455&lt;50001),77500&lt;R455),ROUND(R457*R456,DpCU),IF(OR(AND(22500&lt;R455,R455&lt;25001),AND(50000&lt;R455,R455&lt;53501),AND(70000&lt;R455,R455&lt;72501)),ROUND($F455/100*R456,DpCU),IF(OR(AND(25000&lt;R455,R455&lt;27501),AND(53500&lt;R455,R455&lt;57001),AND(72500&lt;R455,R455&lt;75001)),ROUND($G455/100*R456,DpCU),ROUND($H455/100*R456,DpCU)))))))</f>
        <v>0.26</v>
      </c>
    </row>
    <row r="459" spans="1:19" x14ac:dyDescent="0.2">
      <c r="B459" s="3" t="str">
        <f>A455&amp;"r"</f>
        <v>10091r</v>
      </c>
    </row>
    <row r="460" spans="1:19" x14ac:dyDescent="0.2">
      <c r="A460">
        <v>10092</v>
      </c>
      <c r="B460" s="3" t="s">
        <v>553</v>
      </c>
      <c r="C460" s="1">
        <f>ROUND(J460*JL*Frto/8,4)</f>
        <v>2</v>
      </c>
      <c r="D460" t="s">
        <v>210</v>
      </c>
      <c r="E460">
        <f>SUM($O463:$S463)</f>
        <v>132.69</v>
      </c>
      <c r="F460">
        <f>SUMIF($O460:$S460,"&lt;22501",$O463:$S463)</f>
        <v>92.24</v>
      </c>
      <c r="G460">
        <f>SUMIFS($O463:$S463,$O460:$S460,"&gt;30000",$O460:$S460,"&lt;50001")</f>
        <v>22</v>
      </c>
      <c r="H460">
        <f>SUMIFS($O463:$S463,$O460:$S460,"&gt;60000",$O460:$S460,"&lt;70001")</f>
        <v>0</v>
      </c>
      <c r="I460">
        <v>5</v>
      </c>
      <c r="J460">
        <v>2</v>
      </c>
      <c r="O460">
        <v>10001</v>
      </c>
      <c r="P460">
        <v>10002</v>
      </c>
      <c r="Q460">
        <v>10003</v>
      </c>
      <c r="R460">
        <v>30083</v>
      </c>
      <c r="S460">
        <v>70001</v>
      </c>
    </row>
    <row r="461" spans="1:19" x14ac:dyDescent="0.2">
      <c r="B461" s="3" t="str">
        <f>A460&amp;"C"</f>
        <v>10092C</v>
      </c>
      <c r="O461">
        <v>0.1</v>
      </c>
      <c r="P461">
        <v>0.25</v>
      </c>
      <c r="Q461">
        <v>1</v>
      </c>
      <c r="R461">
        <v>0.4</v>
      </c>
      <c r="S461">
        <v>20</v>
      </c>
    </row>
    <row r="462" spans="1:19" x14ac:dyDescent="0.2">
      <c r="O462">
        <f>IF(O464&gt;10000,HLOOKUP(O464,N460:$O463,4,FALSE),IF(OR(AND(22500&lt;O460,O460&lt;25001),AND(50000&lt;O460,O460&lt;53501),AND(70000&lt;O460,O460&lt;72501)),$F460,IF(OR(AND(25001&lt;O460,O460&lt;27501),AND(53500&lt;O460,O460&lt;57001),AND(72500&lt;O460,O460&lt;75001)),$G460,IF(OR(AND(27500&lt;O460,O460&lt;30001),AND(57000&lt;O460,O460&lt;60001),AND(75000&lt;O460,O460&lt;77500)),$H460,VLOOKUP(O460,BDins,6,FALSE)))))</f>
        <v>24.97</v>
      </c>
      <c r="P462">
        <f>IF(P464&gt;10000,HLOOKUP(P464,O460:$O463,4,FALSE),IF(OR(AND(22500&lt;P460,P460&lt;25001),AND(50000&lt;P460,P460&lt;53501),AND(70000&lt;P460,P460&lt;72501)),$F460,IF(OR(AND(25001&lt;P460,P460&lt;27501),AND(53500&lt;P460,P460&lt;57001),AND(72500&lt;P460,P460&lt;75001)),$G460,IF(OR(AND(27500&lt;P460,P460&lt;30001),AND(57000&lt;P460,P460&lt;60001),AND(75000&lt;P460,P460&lt;77500)),$H460,VLOOKUP(P460,BDins,6,FALSE)))))</f>
        <v>20.81</v>
      </c>
      <c r="Q462">
        <f>IF(Q464&gt;10000,HLOOKUP(Q464,$O460:P463,4,FALSE),IF(OR(AND(22500&lt;Q460,Q460&lt;25001),AND(50000&lt;Q460,Q460&lt;53501),AND(70000&lt;Q460,Q460&lt;72501)),$F460,IF(OR(AND(25001&lt;Q460,Q460&lt;27501),AND(53500&lt;Q460,Q460&lt;57001),AND(72500&lt;Q460,Q460&lt;75001)),$G460,IF(OR(AND(27500&lt;Q460,Q460&lt;30001),AND(57000&lt;Q460,Q460&lt;60001),AND(75000&lt;Q460,Q460&lt;77500)),$H460,VLOOKUP(Q460,BDins,6,FALSE)))))</f>
        <v>15.36</v>
      </c>
      <c r="R462">
        <f>IF(R464&gt;10000,HLOOKUP(R464,$O460:Q463,4,FALSE),IF(OR(AND(22500&lt;R460,R460&lt;25001),AND(50000&lt;R460,R460&lt;53501),AND(70000&lt;R460,R460&lt;72501)),$F460,IF(OR(AND(25001&lt;R460,R460&lt;27501),AND(53500&lt;R460,R460&lt;57001),AND(72500&lt;R460,R460&lt;75001)),$G460,IF(OR(AND(27500&lt;R460,R460&lt;30001),AND(57000&lt;R460,R460&lt;60001),AND(75000&lt;R460,R460&lt;77500)),$H460,VLOOKUP(R460,BDins,6,FALSE)))))</f>
        <v>55</v>
      </c>
      <c r="S462">
        <f>IF(S464&gt;10000,HLOOKUP(S464,$O460:R463,4,FALSE),IF(OR(AND(22500&lt;S460,S460&lt;25001),AND(50000&lt;S460,S460&lt;53501),AND(70000&lt;S460,S460&lt;72501)),$F460,IF(OR(AND(25001&lt;S460,S460&lt;27501),AND(53500&lt;S460,S460&lt;57001),AND(72500&lt;S460,S460&lt;75001)),$G460,IF(OR(AND(27500&lt;S460,S460&lt;30001),AND(57000&lt;S460,S460&lt;60001),AND(75000&lt;S460,S460&lt;77500)),$H460,VLOOKUP(S460,BDins,6,FALSE)))))</f>
        <v>92.24</v>
      </c>
    </row>
    <row r="463" spans="1:19" x14ac:dyDescent="0.2">
      <c r="O463">
        <f>IF($K460&gt;0,ROUND(O461*$E460/100,DpCU),IF(O464&gt;10000,ROUND(HLOOKUP(O464,$O460:$S463,4,FALSE)/100*O461,DpCU),IF(OR(O460&lt;20001,O460&gt;95000,AND(60000&lt;O460,O460&lt;70001)),ROUND(ROUND(O461*JL/$C460,DcCU)*O462,DpCU),IF(OR(AND(20000&lt;O460,O460&lt;22501),AND(30000&lt;O460,O460&lt;50001),77500&lt;O460),ROUND(O462*O461,DpCU),IF(OR(AND(22500&lt;O460,O460&lt;25001),AND(50000&lt;O460,O460&lt;53501),AND(70000&lt;O460,O460&lt;72501)),ROUND($F460/100*O461,DpCU),IF(OR(AND(25000&lt;O460,O460&lt;27501),AND(53500&lt;O460,O460&lt;57001),AND(72500&lt;O460,O460&lt;75001)),ROUND($G460/100*O461,DpCU),ROUND($H460/100*O461,DpCU)))))))</f>
        <v>9.99</v>
      </c>
      <c r="P463">
        <f>IF($K460&gt;0,ROUND(P461*$E460/100,DpCU),IF(P464&gt;10000,ROUND(HLOOKUP(P464,$O460:$S463,4,FALSE)/100*P461,DpCU),IF(OR(P460&lt;20001,P460&gt;95000,AND(60000&lt;P460,P460&lt;70001)),ROUND(ROUND(P461*JL/$C460,DcCU)*P462,DpCU),IF(OR(AND(20000&lt;P460,P460&lt;22501),AND(30000&lt;P460,P460&lt;50001),77500&lt;P460),ROUND(P462*P461,DpCU),IF(OR(AND(22500&lt;P460,P460&lt;25001),AND(50000&lt;P460,P460&lt;53501),AND(70000&lt;P460,P460&lt;72501)),ROUND($F460/100*P461,DpCU),IF(OR(AND(25000&lt;P460,P460&lt;27501),AND(53500&lt;P460,P460&lt;57001),AND(72500&lt;P460,P460&lt;75001)),ROUND($G460/100*P461,DpCU),ROUND($H460/100*P461,DpCU)))))))</f>
        <v>20.81</v>
      </c>
      <c r="Q463">
        <f>IF($K460&gt;0,ROUND(Q461*$E460/100,DpCU),IF(Q464&gt;10000,ROUND(HLOOKUP(Q464,$O460:$S463,4,FALSE)/100*Q461,DpCU),IF(OR(Q460&lt;20001,Q460&gt;95000,AND(60000&lt;Q460,Q460&lt;70001)),ROUND(ROUND(Q461*JL/$C460,DcCU)*Q462,DpCU),IF(OR(AND(20000&lt;Q460,Q460&lt;22501),AND(30000&lt;Q460,Q460&lt;50001),77500&lt;Q460),ROUND(Q462*Q461,DpCU),IF(OR(AND(22500&lt;Q460,Q460&lt;25001),AND(50000&lt;Q460,Q460&lt;53501),AND(70000&lt;Q460,Q460&lt;72501)),ROUND($F460/100*Q461,DpCU),IF(OR(AND(25000&lt;Q460,Q460&lt;27501),AND(53500&lt;Q460,Q460&lt;57001),AND(72500&lt;Q460,Q460&lt;75001)),ROUND($G460/100*Q461,DpCU),ROUND($H460/100*Q461,DpCU)))))))</f>
        <v>61.44</v>
      </c>
      <c r="R463">
        <f>IF($K460&gt;0,ROUND(R461*$E460/100,DpCU),IF(R464&gt;10000,ROUND(HLOOKUP(R464,$O460:$S463,4,FALSE)/100*R461,DpCU),IF(OR(R460&lt;20001,R460&gt;95000,AND(60000&lt;R460,R460&lt;70001)),ROUND(ROUND(R461*JL/$C460,DcCU)*R462,DpCU),IF(OR(AND(20000&lt;R460,R460&lt;22501),AND(30000&lt;R460,R460&lt;50001),77500&lt;R460),ROUND(R462*R461,DpCU),IF(OR(AND(22500&lt;R460,R460&lt;25001),AND(50000&lt;R460,R460&lt;53501),AND(70000&lt;R460,R460&lt;72501)),ROUND($F460/100*R461,DpCU),IF(OR(AND(25000&lt;R460,R460&lt;27501),AND(53500&lt;R460,R460&lt;57001),AND(72500&lt;R460,R460&lt;75001)),ROUND($G460/100*R461,DpCU),ROUND($H460/100*R461,DpCU)))))))</f>
        <v>22</v>
      </c>
      <c r="S463">
        <f>IF($K460&gt;0,ROUND(S461*$E460/100,DpCU),IF(S464&gt;10000,ROUND(HLOOKUP(S464,$O460:$S463,4,FALSE)/100*S461,DpCU),IF(OR(S460&lt;20001,S460&gt;95000,AND(60000&lt;S460,S460&lt;70001)),ROUND(ROUND(S461*JL/$C460,DcCU)*S462,DpCU),IF(OR(AND(20000&lt;S460,S460&lt;22501),AND(30000&lt;S460,S460&lt;50001),77500&lt;S460),ROUND(S462*S461,DpCU),IF(OR(AND(22500&lt;S460,S460&lt;25001),AND(50000&lt;S460,S460&lt;53501),AND(70000&lt;S460,S460&lt;72501)),ROUND($F460/100*S461,DpCU),IF(OR(AND(25000&lt;S460,S460&lt;27501),AND(53500&lt;S460,S460&lt;57001),AND(72500&lt;S460,S460&lt;75001)),ROUND($G460/100*S461,DpCU),ROUND($H460/100*S461,DpCU)))))))</f>
        <v>18.45</v>
      </c>
    </row>
    <row r="464" spans="1:19" x14ac:dyDescent="0.2">
      <c r="B464" s="3" t="str">
        <f>A460&amp;"r"</f>
        <v>10092r</v>
      </c>
    </row>
    <row r="465" spans="1:28" x14ac:dyDescent="0.2">
      <c r="A465">
        <v>10093</v>
      </c>
      <c r="B465" s="3" t="s">
        <v>560</v>
      </c>
      <c r="C465" s="1">
        <f>ROUND(J465*JL*Frto/8,4)</f>
        <v>6.5</v>
      </c>
      <c r="D465" t="s">
        <v>210</v>
      </c>
      <c r="E465">
        <f>SUM($O468:$AB468)</f>
        <v>105.88000000000001</v>
      </c>
      <c r="F465">
        <f>SUMIF($O465:$AB465,"&lt;22501",$O468:$AB468)</f>
        <v>47.59</v>
      </c>
      <c r="G465">
        <f>SUMIFS($O468:$AB468,$O465:$AB465,"&gt;30000",$O465:$AB465,"&lt;50001")</f>
        <v>55.91</v>
      </c>
      <c r="H465">
        <f>SUMIFS($O468:$AB468,$O465:$AB465,"&gt;60000",$O465:$AB465,"&lt;70001")</f>
        <v>0</v>
      </c>
      <c r="I465">
        <v>14</v>
      </c>
      <c r="J465">
        <v>6.5</v>
      </c>
      <c r="O465">
        <v>10001</v>
      </c>
      <c r="P465">
        <v>10002</v>
      </c>
      <c r="Q465">
        <v>10003</v>
      </c>
      <c r="R465">
        <v>30023</v>
      </c>
      <c r="S465">
        <v>30026</v>
      </c>
      <c r="T465">
        <v>30051</v>
      </c>
      <c r="U465">
        <v>30064</v>
      </c>
      <c r="V465">
        <v>30084</v>
      </c>
      <c r="W465">
        <v>30085</v>
      </c>
      <c r="X465">
        <v>30086</v>
      </c>
      <c r="Y465">
        <v>30087</v>
      </c>
      <c r="Z465">
        <v>30088</v>
      </c>
      <c r="AA465">
        <v>30089</v>
      </c>
      <c r="AB465">
        <v>70001</v>
      </c>
    </row>
    <row r="466" spans="1:28" x14ac:dyDescent="0.2">
      <c r="B466" s="3" t="str">
        <f>A465&amp;"C"</f>
        <v>10093C</v>
      </c>
      <c r="O466">
        <v>0.1</v>
      </c>
      <c r="P466">
        <v>1</v>
      </c>
      <c r="Q466">
        <v>1</v>
      </c>
      <c r="R466">
        <v>0.08</v>
      </c>
      <c r="S466">
        <v>0.4</v>
      </c>
      <c r="T466">
        <v>0.02</v>
      </c>
      <c r="U466">
        <v>0.8</v>
      </c>
      <c r="V466">
        <v>8</v>
      </c>
      <c r="W466">
        <v>0.27</v>
      </c>
      <c r="X466">
        <v>0.54</v>
      </c>
      <c r="Y466">
        <v>0.25</v>
      </c>
      <c r="Z466">
        <v>0.01</v>
      </c>
      <c r="AA466">
        <v>0.5</v>
      </c>
      <c r="AB466">
        <v>5</v>
      </c>
    </row>
    <row r="467" spans="1:28" x14ac:dyDescent="0.2">
      <c r="O467">
        <f>IF(O469&gt;10000,HLOOKUP(O469,N465:$O468,4,FALSE),IF(OR(AND(22500&lt;O465,O465&lt;25001),AND(50000&lt;O465,O465&lt;53501),AND(70000&lt;O465,O465&lt;72501)),$F465,IF(OR(AND(25001&lt;O465,O465&lt;27501),AND(53500&lt;O465,O465&lt;57001),AND(72500&lt;O465,O465&lt;75001)),$G465,IF(OR(AND(27500&lt;O465,O465&lt;30001),AND(57000&lt;O465,O465&lt;60001),AND(75000&lt;O465,O465&lt;77500)),$H465,VLOOKUP(O465,BDins,6,FALSE)))))</f>
        <v>24.97</v>
      </c>
      <c r="P467">
        <f>IF(P469&gt;10000,HLOOKUP(P469,O465:$O468,4,FALSE),IF(OR(AND(22500&lt;P465,P465&lt;25001),AND(50000&lt;P465,P465&lt;53501),AND(70000&lt;P465,P465&lt;72501)),$F465,IF(OR(AND(25001&lt;P465,P465&lt;27501),AND(53500&lt;P465,P465&lt;57001),AND(72500&lt;P465,P465&lt;75001)),$G465,IF(OR(AND(27500&lt;P465,P465&lt;30001),AND(57000&lt;P465,P465&lt;60001),AND(75000&lt;P465,P465&lt;77500)),$H465,VLOOKUP(P465,BDins,6,FALSE)))))</f>
        <v>20.81</v>
      </c>
      <c r="Q467">
        <f>IF(Q469&gt;10000,HLOOKUP(Q469,$O465:P468,4,FALSE),IF(OR(AND(22500&lt;Q465,Q465&lt;25001),AND(50000&lt;Q465,Q465&lt;53501),AND(70000&lt;Q465,Q465&lt;72501)),$F465,IF(OR(AND(25001&lt;Q465,Q465&lt;27501),AND(53500&lt;Q465,Q465&lt;57001),AND(72500&lt;Q465,Q465&lt;75001)),$G465,IF(OR(AND(27500&lt;Q465,Q465&lt;30001),AND(57000&lt;Q465,Q465&lt;60001),AND(75000&lt;Q465,Q465&lt;77500)),$H465,VLOOKUP(Q465,BDins,6,FALSE)))))</f>
        <v>15.36</v>
      </c>
      <c r="R467">
        <f>IF(R469&gt;10000,HLOOKUP(R469,$O465:Q468,4,FALSE),IF(OR(AND(22500&lt;R465,R465&lt;25001),AND(50000&lt;R465,R465&lt;53501),AND(70000&lt;R465,R465&lt;72501)),$F465,IF(OR(AND(25001&lt;R465,R465&lt;27501),AND(53500&lt;R465,R465&lt;57001),AND(72500&lt;R465,R465&lt;75001)),$G465,IF(OR(AND(27500&lt;R465,R465&lt;30001),AND(57000&lt;R465,R465&lt;60001),AND(75000&lt;R465,R465&lt;77500)),$H465,VLOOKUP(R465,BDins,6,FALSE)))))</f>
        <v>150</v>
      </c>
      <c r="S467">
        <f>IF(S469&gt;10000,HLOOKUP(S469,$O465:R468,4,FALSE),IF(OR(AND(22500&lt;S465,S465&lt;25001),AND(50000&lt;S465,S465&lt;53501),AND(70000&lt;S465,S465&lt;72501)),$F465,IF(OR(AND(25001&lt;S465,S465&lt;27501),AND(53500&lt;S465,S465&lt;57001),AND(72500&lt;S465,S465&lt;75001)),$G465,IF(OR(AND(27500&lt;S465,S465&lt;30001),AND(57000&lt;S465,S465&lt;60001),AND(75000&lt;S465,S465&lt;77500)),$H465,VLOOKUP(S465,BDins,6,FALSE)))))</f>
        <v>3.9</v>
      </c>
      <c r="T467">
        <f>IF(T469&gt;10000,HLOOKUP(T469,$O465:S468,4,FALSE),IF(OR(AND(22500&lt;T465,T465&lt;25001),AND(50000&lt;T465,T465&lt;53501),AND(70000&lt;T465,T465&lt;72501)),$F465,IF(OR(AND(25001&lt;T465,T465&lt;27501),AND(53500&lt;T465,T465&lt;57001),AND(72500&lt;T465,T465&lt;75001)),$G465,IF(OR(AND(27500&lt;T465,T465&lt;30001),AND(57000&lt;T465,T465&lt;60001),AND(75000&lt;T465,T465&lt;77500)),$H465,VLOOKUP(T465,BDins,6,FALSE)))))</f>
        <v>3.5</v>
      </c>
      <c r="U467">
        <f>IF(U469&gt;10000,HLOOKUP(U469,$O465:T468,4,FALSE),IF(OR(AND(22500&lt;U465,U465&lt;25001),AND(50000&lt;U465,U465&lt;53501),AND(70000&lt;U465,U465&lt;72501)),$F465,IF(OR(AND(25001&lt;U465,U465&lt;27501),AND(53500&lt;U465,U465&lt;57001),AND(72500&lt;U465,U465&lt;75001)),$G465,IF(OR(AND(27500&lt;U465,U465&lt;30001),AND(57000&lt;U465,U465&lt;60001),AND(75000&lt;U465,U465&lt;77500)),$H465,VLOOKUP(U465,BDins,6,FALSE)))))</f>
        <v>2.38</v>
      </c>
      <c r="V467">
        <f>IF(V469&gt;10000,HLOOKUP(V469,$O465:U468,4,FALSE),IF(OR(AND(22500&lt;V465,V465&lt;25001),AND(50000&lt;V465,V465&lt;53501),AND(70000&lt;V465,V465&lt;72501)),$F465,IF(OR(AND(25001&lt;V465,V465&lt;27501),AND(53500&lt;V465,V465&lt;57001),AND(72500&lt;V465,V465&lt;75001)),$G465,IF(OR(AND(27500&lt;V465,V465&lt;30001),AND(57000&lt;V465,V465&lt;60001),AND(75000&lt;V465,V465&lt;77500)),$H465,VLOOKUP(V465,BDins,6,FALSE)))))</f>
        <v>3.75</v>
      </c>
      <c r="W467">
        <f>IF(W469&gt;10000,HLOOKUP(W469,$O465:V468,4,FALSE),IF(OR(AND(22500&lt;W465,W465&lt;25001),AND(50000&lt;W465,W465&lt;53501),AND(70000&lt;W465,W465&lt;72501)),$F465,IF(OR(AND(25001&lt;W465,W465&lt;27501),AND(53500&lt;W465,W465&lt;57001),AND(72500&lt;W465,W465&lt;75001)),$G465,IF(OR(AND(27500&lt;W465,W465&lt;30001),AND(57000&lt;W465,W465&lt;60001),AND(75000&lt;W465,W465&lt;77500)),$H465,VLOOKUP(W465,BDins,6,FALSE)))))</f>
        <v>7.32</v>
      </c>
      <c r="X467">
        <f>IF(X469&gt;10000,HLOOKUP(X469,$O465:W468,4,FALSE),IF(OR(AND(22500&lt;X465,X465&lt;25001),AND(50000&lt;X465,X465&lt;53501),AND(70000&lt;X465,X465&lt;72501)),$F465,IF(OR(AND(25001&lt;X465,X465&lt;27501),AND(53500&lt;X465,X465&lt;57001),AND(72500&lt;X465,X465&lt;75001)),$G465,IF(OR(AND(27500&lt;X465,X465&lt;30001),AND(57000&lt;X465,X465&lt;60001),AND(75000&lt;X465,X465&lt;77500)),$H465,VLOOKUP(X465,BDins,6,FALSE)))))</f>
        <v>6.62</v>
      </c>
      <c r="Y467">
        <f>IF(Y469&gt;10000,HLOOKUP(Y469,$O465:X468,4,FALSE),IF(OR(AND(22500&lt;Y465,Y465&lt;25001),AND(50000&lt;Y465,Y465&lt;53501),AND(70000&lt;Y465,Y465&lt;72501)),$F465,IF(OR(AND(25001&lt;Y465,Y465&lt;27501),AND(53500&lt;Y465,Y465&lt;57001),AND(72500&lt;Y465,Y465&lt;75001)),$G465,IF(OR(AND(27500&lt;Y465,Y465&lt;30001),AND(57000&lt;Y465,Y465&lt;60001),AND(75000&lt;Y465,Y465&lt;77500)),$H465,VLOOKUP(Y465,BDins,6,FALSE)))))</f>
        <v>6.61</v>
      </c>
      <c r="Z467">
        <f>IF(Z469&gt;10000,HLOOKUP(Z469,$O465:Y468,4,FALSE),IF(OR(AND(22500&lt;Z465,Z465&lt;25001),AND(50000&lt;Z465,Z465&lt;53501),AND(70000&lt;Z465,Z465&lt;72501)),$F465,IF(OR(AND(25001&lt;Z465,Z465&lt;27501),AND(53500&lt;Z465,Z465&lt;57001),AND(72500&lt;Z465,Z465&lt;75001)),$G465,IF(OR(AND(27500&lt;Z465,Z465&lt;30001),AND(57000&lt;Z465,Z465&lt;60001),AND(75000&lt;Z465,Z465&lt;77500)),$H465,VLOOKUP(Z465,BDins,6,FALSE)))))</f>
        <v>268</v>
      </c>
      <c r="AA467">
        <f>IF(AA469&gt;10000,HLOOKUP(AA469,$O465:Z468,4,FALSE),IF(OR(AND(22500&lt;AA465,AA465&lt;25001),AND(50000&lt;AA465,AA465&lt;53501),AND(70000&lt;AA465,AA465&lt;72501)),$F465,IF(OR(AND(25001&lt;AA465,AA465&lt;27501),AND(53500&lt;AA465,AA465&lt;57001),AND(72500&lt;AA465,AA465&lt;75001)),$G465,IF(OR(AND(27500&lt;AA465,AA465&lt;30001),AND(57000&lt;AA465,AA465&lt;60001),AND(75000&lt;AA465,AA465&lt;77500)),$H465,VLOOKUP(AA465,BDins,6,FALSE)))))</f>
        <v>1</v>
      </c>
      <c r="AB467">
        <f>IF(AB469&gt;10000,HLOOKUP(AB469,$O465:AA468,4,FALSE),IF(OR(AND(22500&lt;AB465,AB465&lt;25001),AND(50000&lt;AB465,AB465&lt;53501),AND(70000&lt;AB465,AB465&lt;72501)),$F465,IF(OR(AND(25001&lt;AB465,AB465&lt;27501),AND(53500&lt;AB465,AB465&lt;57001),AND(72500&lt;AB465,AB465&lt;75001)),$G465,IF(OR(AND(27500&lt;AB465,AB465&lt;30001),AND(57000&lt;AB465,AB465&lt;60001),AND(75000&lt;AB465,AB465&lt;77500)),$H465,VLOOKUP(AB465,BDins,6,FALSE)))))</f>
        <v>47.59</v>
      </c>
    </row>
    <row r="468" spans="1:28" x14ac:dyDescent="0.2">
      <c r="O468">
        <f t="shared" ref="O468:AB468" si="66">IF($K465&gt;0,ROUND(O466*$E465/100,DpCU),IF(O469&gt;10000,ROUND(HLOOKUP(O469,$O465:$AB468,4,FALSE)/100*O466,DpCU),IF(OR(O465&lt;20001,O465&gt;95000,AND(60000&lt;O465,O465&lt;70001)),ROUND(ROUND(O466*JL/$C465,DcCU)*O467,DpCU),IF(OR(AND(20000&lt;O465,O465&lt;22501),AND(30000&lt;O465,O465&lt;50001),77500&lt;O465),ROUND(O467*O466,DpCU),IF(OR(AND(22500&lt;O465,O465&lt;25001),AND(50000&lt;O465,O465&lt;53501),AND(70000&lt;O465,O465&lt;72501)),ROUND($F465/100*O466,DpCU),IF(OR(AND(25000&lt;O465,O465&lt;27501),AND(53500&lt;O465,O465&lt;57001),AND(72500&lt;O465,O465&lt;75001)),ROUND($G465/100*O466,DpCU),ROUND($H465/100*O466,DpCU)))))))</f>
        <v>3.07</v>
      </c>
      <c r="P468">
        <f t="shared" si="66"/>
        <v>25.61</v>
      </c>
      <c r="Q468">
        <f t="shared" si="66"/>
        <v>18.91</v>
      </c>
      <c r="R468">
        <f t="shared" si="66"/>
        <v>12</v>
      </c>
      <c r="S468">
        <f t="shared" si="66"/>
        <v>1.56</v>
      </c>
      <c r="T468">
        <f t="shared" si="66"/>
        <v>7.0000000000000007E-2</v>
      </c>
      <c r="U468">
        <f t="shared" si="66"/>
        <v>1.9</v>
      </c>
      <c r="V468">
        <f t="shared" si="66"/>
        <v>30</v>
      </c>
      <c r="W468">
        <f t="shared" si="66"/>
        <v>1.98</v>
      </c>
      <c r="X468">
        <f t="shared" si="66"/>
        <v>3.57</v>
      </c>
      <c r="Y468">
        <f t="shared" si="66"/>
        <v>1.65</v>
      </c>
      <c r="Z468">
        <f t="shared" si="66"/>
        <v>2.68</v>
      </c>
      <c r="AA468">
        <f t="shared" si="66"/>
        <v>0.5</v>
      </c>
      <c r="AB468">
        <f t="shared" si="66"/>
        <v>2.38</v>
      </c>
    </row>
    <row r="469" spans="1:28" x14ac:dyDescent="0.2">
      <c r="B469" s="3" t="str">
        <f>A465&amp;"r"</f>
        <v>10093r</v>
      </c>
    </row>
    <row r="470" spans="1:28" x14ac:dyDescent="0.2">
      <c r="A470">
        <v>10094</v>
      </c>
      <c r="B470" s="3" t="s">
        <v>568</v>
      </c>
      <c r="C470" s="1">
        <f>ROUND(J470*JL*Frto/8,4)</f>
        <v>6.5</v>
      </c>
      <c r="D470" t="s">
        <v>210</v>
      </c>
      <c r="E470">
        <f>SUM($O473:$AA473)</f>
        <v>116.28000000000003</v>
      </c>
      <c r="F470">
        <f>SUMIF($O470:$AA470,"&lt;22501",$O473:$AA473)</f>
        <v>47.59</v>
      </c>
      <c r="G470">
        <f>SUMIFS($O473:$AA473,$O470:$AA470,"&gt;30000",$O470:$AA470,"&lt;50001")</f>
        <v>66.31</v>
      </c>
      <c r="H470">
        <f>SUMIFS($O473:$AA473,$O470:$AA470,"&gt;60000",$O470:$AA470,"&lt;70001")</f>
        <v>0</v>
      </c>
      <c r="I470">
        <v>13</v>
      </c>
      <c r="J470">
        <v>6.5</v>
      </c>
      <c r="O470">
        <v>10001</v>
      </c>
      <c r="P470">
        <v>10002</v>
      </c>
      <c r="Q470">
        <v>10003</v>
      </c>
      <c r="R470">
        <v>30023</v>
      </c>
      <c r="S470">
        <v>30026</v>
      </c>
      <c r="T470">
        <v>30051</v>
      </c>
      <c r="U470">
        <v>30064</v>
      </c>
      <c r="V470">
        <v>30085</v>
      </c>
      <c r="W470">
        <v>30086</v>
      </c>
      <c r="X470">
        <v>30087</v>
      </c>
      <c r="Y470">
        <v>30088</v>
      </c>
      <c r="Z470">
        <v>30090</v>
      </c>
      <c r="AA470">
        <v>70001</v>
      </c>
    </row>
    <row r="471" spans="1:28" x14ac:dyDescent="0.2">
      <c r="B471" s="3" t="str">
        <f>A470&amp;"C"</f>
        <v>10094C</v>
      </c>
      <c r="O471">
        <v>0.1</v>
      </c>
      <c r="P471">
        <v>1</v>
      </c>
      <c r="Q471">
        <v>1</v>
      </c>
      <c r="R471">
        <v>0.08</v>
      </c>
      <c r="S471">
        <v>0.4</v>
      </c>
      <c r="T471">
        <v>0.02</v>
      </c>
      <c r="U471">
        <v>0.9</v>
      </c>
      <c r="V471">
        <v>0.37</v>
      </c>
      <c r="W471">
        <v>0.69</v>
      </c>
      <c r="X471">
        <v>0.33</v>
      </c>
      <c r="Y471">
        <v>0.01</v>
      </c>
      <c r="Z471">
        <v>8</v>
      </c>
      <c r="AA471">
        <v>5</v>
      </c>
    </row>
    <row r="472" spans="1:28" x14ac:dyDescent="0.2">
      <c r="O472">
        <f>IF(O474&gt;10000,HLOOKUP(O474,N470:$O473,4,FALSE),IF(OR(AND(22500&lt;O470,O470&lt;25001),AND(50000&lt;O470,O470&lt;53501),AND(70000&lt;O470,O470&lt;72501)),$F470,IF(OR(AND(25001&lt;O470,O470&lt;27501),AND(53500&lt;O470,O470&lt;57001),AND(72500&lt;O470,O470&lt;75001)),$G470,IF(OR(AND(27500&lt;O470,O470&lt;30001),AND(57000&lt;O470,O470&lt;60001),AND(75000&lt;O470,O470&lt;77500)),$H470,VLOOKUP(O470,BDins,6,FALSE)))))</f>
        <v>24.97</v>
      </c>
      <c r="P472">
        <f>IF(P474&gt;10000,HLOOKUP(P474,O470:$O473,4,FALSE),IF(OR(AND(22500&lt;P470,P470&lt;25001),AND(50000&lt;P470,P470&lt;53501),AND(70000&lt;P470,P470&lt;72501)),$F470,IF(OR(AND(25001&lt;P470,P470&lt;27501),AND(53500&lt;P470,P470&lt;57001),AND(72500&lt;P470,P470&lt;75001)),$G470,IF(OR(AND(27500&lt;P470,P470&lt;30001),AND(57000&lt;P470,P470&lt;60001),AND(75000&lt;P470,P470&lt;77500)),$H470,VLOOKUP(P470,BDins,6,FALSE)))))</f>
        <v>20.81</v>
      </c>
      <c r="Q472">
        <f>IF(Q474&gt;10000,HLOOKUP(Q474,$O470:P473,4,FALSE),IF(OR(AND(22500&lt;Q470,Q470&lt;25001),AND(50000&lt;Q470,Q470&lt;53501),AND(70000&lt;Q470,Q470&lt;72501)),$F470,IF(OR(AND(25001&lt;Q470,Q470&lt;27501),AND(53500&lt;Q470,Q470&lt;57001),AND(72500&lt;Q470,Q470&lt;75001)),$G470,IF(OR(AND(27500&lt;Q470,Q470&lt;30001),AND(57000&lt;Q470,Q470&lt;60001),AND(75000&lt;Q470,Q470&lt;77500)),$H470,VLOOKUP(Q470,BDins,6,FALSE)))))</f>
        <v>15.36</v>
      </c>
      <c r="R472">
        <f>IF(R474&gt;10000,HLOOKUP(R474,$O470:Q473,4,FALSE),IF(OR(AND(22500&lt;R470,R470&lt;25001),AND(50000&lt;R470,R470&lt;53501),AND(70000&lt;R470,R470&lt;72501)),$F470,IF(OR(AND(25001&lt;R470,R470&lt;27501),AND(53500&lt;R470,R470&lt;57001),AND(72500&lt;R470,R470&lt;75001)),$G470,IF(OR(AND(27500&lt;R470,R470&lt;30001),AND(57000&lt;R470,R470&lt;60001),AND(75000&lt;R470,R470&lt;77500)),$H470,VLOOKUP(R470,BDins,6,FALSE)))))</f>
        <v>150</v>
      </c>
      <c r="S472">
        <f>IF(S474&gt;10000,HLOOKUP(S474,$O470:R473,4,FALSE),IF(OR(AND(22500&lt;S470,S470&lt;25001),AND(50000&lt;S470,S470&lt;53501),AND(70000&lt;S470,S470&lt;72501)),$F470,IF(OR(AND(25001&lt;S470,S470&lt;27501),AND(53500&lt;S470,S470&lt;57001),AND(72500&lt;S470,S470&lt;75001)),$G470,IF(OR(AND(27500&lt;S470,S470&lt;30001),AND(57000&lt;S470,S470&lt;60001),AND(75000&lt;S470,S470&lt;77500)),$H470,VLOOKUP(S470,BDins,6,FALSE)))))</f>
        <v>3.9</v>
      </c>
      <c r="T472">
        <f>IF(T474&gt;10000,HLOOKUP(T474,$O470:S473,4,FALSE),IF(OR(AND(22500&lt;T470,T470&lt;25001),AND(50000&lt;T470,T470&lt;53501),AND(70000&lt;T470,T470&lt;72501)),$F470,IF(OR(AND(25001&lt;T470,T470&lt;27501),AND(53500&lt;T470,T470&lt;57001),AND(72500&lt;T470,T470&lt;75001)),$G470,IF(OR(AND(27500&lt;T470,T470&lt;30001),AND(57000&lt;T470,T470&lt;60001),AND(75000&lt;T470,T470&lt;77500)),$H470,VLOOKUP(T470,BDins,6,FALSE)))))</f>
        <v>3.5</v>
      </c>
      <c r="U472">
        <f>IF(U474&gt;10000,HLOOKUP(U474,$O470:T473,4,FALSE),IF(OR(AND(22500&lt;U470,U470&lt;25001),AND(50000&lt;U470,U470&lt;53501),AND(70000&lt;U470,U470&lt;72501)),$F470,IF(OR(AND(25001&lt;U470,U470&lt;27501),AND(53500&lt;U470,U470&lt;57001),AND(72500&lt;U470,U470&lt;75001)),$G470,IF(OR(AND(27500&lt;U470,U470&lt;30001),AND(57000&lt;U470,U470&lt;60001),AND(75000&lt;U470,U470&lt;77500)),$H470,VLOOKUP(U470,BDins,6,FALSE)))))</f>
        <v>2.38</v>
      </c>
      <c r="V472">
        <f>IF(V474&gt;10000,HLOOKUP(V474,$O470:U473,4,FALSE),IF(OR(AND(22500&lt;V470,V470&lt;25001),AND(50000&lt;V470,V470&lt;53501),AND(70000&lt;V470,V470&lt;72501)),$F470,IF(OR(AND(25001&lt;V470,V470&lt;27501),AND(53500&lt;V470,V470&lt;57001),AND(72500&lt;V470,V470&lt;75001)),$G470,IF(OR(AND(27500&lt;V470,V470&lt;30001),AND(57000&lt;V470,V470&lt;60001),AND(75000&lt;V470,V470&lt;77500)),$H470,VLOOKUP(V470,BDins,6,FALSE)))))</f>
        <v>7.32</v>
      </c>
      <c r="W472">
        <f>IF(W474&gt;10000,HLOOKUP(W474,$O470:V473,4,FALSE),IF(OR(AND(22500&lt;W470,W470&lt;25001),AND(50000&lt;W470,W470&lt;53501),AND(70000&lt;W470,W470&lt;72501)),$F470,IF(OR(AND(25001&lt;W470,W470&lt;27501),AND(53500&lt;W470,W470&lt;57001),AND(72500&lt;W470,W470&lt;75001)),$G470,IF(OR(AND(27500&lt;W470,W470&lt;30001),AND(57000&lt;W470,W470&lt;60001),AND(75000&lt;W470,W470&lt;77500)),$H470,VLOOKUP(W470,BDins,6,FALSE)))))</f>
        <v>6.62</v>
      </c>
      <c r="X472">
        <f>IF(X474&gt;10000,HLOOKUP(X474,$O470:W473,4,FALSE),IF(OR(AND(22500&lt;X470,X470&lt;25001),AND(50000&lt;X470,X470&lt;53501),AND(70000&lt;X470,X470&lt;72501)),$F470,IF(OR(AND(25001&lt;X470,X470&lt;27501),AND(53500&lt;X470,X470&lt;57001),AND(72500&lt;X470,X470&lt;75001)),$G470,IF(OR(AND(27500&lt;X470,X470&lt;30001),AND(57000&lt;X470,X470&lt;60001),AND(75000&lt;X470,X470&lt;77500)),$H470,VLOOKUP(X470,BDins,6,FALSE)))))</f>
        <v>6.61</v>
      </c>
      <c r="Y472">
        <f>IF(Y474&gt;10000,HLOOKUP(Y474,$O470:X473,4,FALSE),IF(OR(AND(22500&lt;Y470,Y470&lt;25001),AND(50000&lt;Y470,Y470&lt;53501),AND(70000&lt;Y470,Y470&lt;72501)),$F470,IF(OR(AND(25001&lt;Y470,Y470&lt;27501),AND(53500&lt;Y470,Y470&lt;57001),AND(72500&lt;Y470,Y470&lt;75001)),$G470,IF(OR(AND(27500&lt;Y470,Y470&lt;30001),AND(57000&lt;Y470,Y470&lt;60001),AND(75000&lt;Y470,Y470&lt;77500)),$H470,VLOOKUP(Y470,BDins,6,FALSE)))))</f>
        <v>268</v>
      </c>
      <c r="Z472">
        <f>IF(Z474&gt;10000,HLOOKUP(Z474,$O470:Y473,4,FALSE),IF(OR(AND(22500&lt;Z470,Z470&lt;25001),AND(50000&lt;Z470,Z470&lt;53501),AND(70000&lt;Z470,Z470&lt;72501)),$F470,IF(OR(AND(25001&lt;Z470,Z470&lt;27501),AND(53500&lt;Z470,Z470&lt;57001),AND(72500&lt;Z470,Z470&lt;75001)),$G470,IF(OR(AND(27500&lt;Z470,Z470&lt;30001),AND(57000&lt;Z470,Z470&lt;60001),AND(75000&lt;Z470,Z470&lt;77500)),$H470,VLOOKUP(Z470,BDins,6,FALSE)))))</f>
        <v>4.8</v>
      </c>
      <c r="AA472">
        <f>IF(AA474&gt;10000,HLOOKUP(AA474,$O470:Z473,4,FALSE),IF(OR(AND(22500&lt;AA470,AA470&lt;25001),AND(50000&lt;AA470,AA470&lt;53501),AND(70000&lt;AA470,AA470&lt;72501)),$F470,IF(OR(AND(25001&lt;AA470,AA470&lt;27501),AND(53500&lt;AA470,AA470&lt;57001),AND(72500&lt;AA470,AA470&lt;75001)),$G470,IF(OR(AND(27500&lt;AA470,AA470&lt;30001),AND(57000&lt;AA470,AA470&lt;60001),AND(75000&lt;AA470,AA470&lt;77500)),$H470,VLOOKUP(AA470,BDins,6,FALSE)))))</f>
        <v>47.59</v>
      </c>
    </row>
    <row r="473" spans="1:28" x14ac:dyDescent="0.2">
      <c r="O473">
        <f t="shared" ref="O473:AA473" si="67">IF($K470&gt;0,ROUND(O471*$E470/100,DpCU),IF(O474&gt;10000,ROUND(HLOOKUP(O474,$O470:$AA473,4,FALSE)/100*O471,DpCU),IF(OR(O470&lt;20001,O470&gt;95000,AND(60000&lt;O470,O470&lt;70001)),ROUND(ROUND(O471*JL/$C470,DcCU)*O472,DpCU),IF(OR(AND(20000&lt;O470,O470&lt;22501),AND(30000&lt;O470,O470&lt;50001),77500&lt;O470),ROUND(O472*O471,DpCU),IF(OR(AND(22500&lt;O470,O470&lt;25001),AND(50000&lt;O470,O470&lt;53501),AND(70000&lt;O470,O470&lt;72501)),ROUND($F470/100*O471,DpCU),IF(OR(AND(25000&lt;O470,O470&lt;27501),AND(53500&lt;O470,O470&lt;57001),AND(72500&lt;O470,O470&lt;75001)),ROUND($G470/100*O471,DpCU),ROUND($H470/100*O471,DpCU)))))))</f>
        <v>3.07</v>
      </c>
      <c r="P473">
        <f t="shared" si="67"/>
        <v>25.61</v>
      </c>
      <c r="Q473">
        <f t="shared" si="67"/>
        <v>18.91</v>
      </c>
      <c r="R473">
        <f t="shared" si="67"/>
        <v>12</v>
      </c>
      <c r="S473">
        <f t="shared" si="67"/>
        <v>1.56</v>
      </c>
      <c r="T473">
        <f t="shared" si="67"/>
        <v>7.0000000000000007E-2</v>
      </c>
      <c r="U473">
        <f t="shared" si="67"/>
        <v>2.14</v>
      </c>
      <c r="V473">
        <f t="shared" si="67"/>
        <v>2.71</v>
      </c>
      <c r="W473">
        <f t="shared" si="67"/>
        <v>4.57</v>
      </c>
      <c r="X473">
        <f t="shared" si="67"/>
        <v>2.1800000000000002</v>
      </c>
      <c r="Y473">
        <f t="shared" si="67"/>
        <v>2.68</v>
      </c>
      <c r="Z473">
        <f t="shared" si="67"/>
        <v>38.4</v>
      </c>
      <c r="AA473">
        <f t="shared" si="67"/>
        <v>2.38</v>
      </c>
    </row>
    <row r="474" spans="1:28" x14ac:dyDescent="0.2">
      <c r="B474" s="3" t="str">
        <f>A470&amp;"r"</f>
        <v>10094r</v>
      </c>
    </row>
    <row r="475" spans="1:28" x14ac:dyDescent="0.2">
      <c r="A475">
        <v>10095</v>
      </c>
      <c r="B475" s="3" t="s">
        <v>571</v>
      </c>
      <c r="C475" s="1">
        <f>ROUND(J475*JL*Frto/8,4)</f>
        <v>15</v>
      </c>
      <c r="D475" t="s">
        <v>210</v>
      </c>
      <c r="E475">
        <f>SUM($O478:$W478)</f>
        <v>54.62</v>
      </c>
      <c r="F475">
        <f>SUMIF($O475:$W475,"&lt;22501",$O478:$W478)</f>
        <v>16.53</v>
      </c>
      <c r="G475">
        <f>SUMIFS($O478:$W478,$O475:$W475,"&gt;30000",$O475:$W475,"&lt;50001")</f>
        <v>36.629999999999995</v>
      </c>
      <c r="H475">
        <f>SUMIFS($O478:$W478,$O475:$W475,"&gt;60000",$O475:$W475,"&lt;70001")</f>
        <v>0</v>
      </c>
      <c r="I475">
        <v>9</v>
      </c>
      <c r="J475">
        <v>15</v>
      </c>
      <c r="O475">
        <v>10001</v>
      </c>
      <c r="P475">
        <v>10002</v>
      </c>
      <c r="Q475">
        <v>10003</v>
      </c>
      <c r="R475">
        <v>30002</v>
      </c>
      <c r="S475">
        <v>30023</v>
      </c>
      <c r="T475">
        <v>30056</v>
      </c>
      <c r="U475">
        <v>30091</v>
      </c>
      <c r="V475">
        <v>70001</v>
      </c>
      <c r="W475">
        <v>77508</v>
      </c>
    </row>
    <row r="476" spans="1:28" x14ac:dyDescent="0.2">
      <c r="B476" s="3" t="str">
        <f>A475&amp;"C"</f>
        <v>10095C</v>
      </c>
      <c r="O476">
        <v>0.1</v>
      </c>
      <c r="P476">
        <v>1</v>
      </c>
      <c r="Q476">
        <v>0.5</v>
      </c>
      <c r="R476">
        <v>0.6</v>
      </c>
      <c r="S476">
        <v>1.84E-2</v>
      </c>
      <c r="T476">
        <v>0.05</v>
      </c>
      <c r="U476">
        <v>36</v>
      </c>
      <c r="V476">
        <v>5</v>
      </c>
      <c r="W476">
        <v>0.12506249999999999</v>
      </c>
    </row>
    <row r="477" spans="1:28" x14ac:dyDescent="0.2">
      <c r="O477">
        <f>IF(O479&gt;10000,HLOOKUP(O479,N475:$O478,4,FALSE),IF(OR(AND(22500&lt;O475,O475&lt;25001),AND(50000&lt;O475,O475&lt;53501),AND(70000&lt;O475,O475&lt;72501)),$F475,IF(OR(AND(25001&lt;O475,O475&lt;27501),AND(53500&lt;O475,O475&lt;57001),AND(72500&lt;O475,O475&lt;75001)),$G475,IF(OR(AND(27500&lt;O475,O475&lt;30001),AND(57000&lt;O475,O475&lt;60001),AND(75000&lt;O475,O475&lt;77500)),$H475,VLOOKUP(O475,BDins,6,FALSE)))))</f>
        <v>24.97</v>
      </c>
      <c r="P477">
        <f>IF(P479&gt;10000,HLOOKUP(P479,O475:$O478,4,FALSE),IF(OR(AND(22500&lt;P475,P475&lt;25001),AND(50000&lt;P475,P475&lt;53501),AND(70000&lt;P475,P475&lt;72501)),$F475,IF(OR(AND(25001&lt;P475,P475&lt;27501),AND(53500&lt;P475,P475&lt;57001),AND(72500&lt;P475,P475&lt;75001)),$G475,IF(OR(AND(27500&lt;P475,P475&lt;30001),AND(57000&lt;P475,P475&lt;60001),AND(75000&lt;P475,P475&lt;77500)),$H475,VLOOKUP(P475,BDins,6,FALSE)))))</f>
        <v>20.81</v>
      </c>
      <c r="Q477">
        <f>IF(Q479&gt;10000,HLOOKUP(Q479,$O475:P478,4,FALSE),IF(OR(AND(22500&lt;Q475,Q475&lt;25001),AND(50000&lt;Q475,Q475&lt;53501),AND(70000&lt;Q475,Q475&lt;72501)),$F475,IF(OR(AND(25001&lt;Q475,Q475&lt;27501),AND(53500&lt;Q475,Q475&lt;57001),AND(72500&lt;Q475,Q475&lt;75001)),$G475,IF(OR(AND(27500&lt;Q475,Q475&lt;30001),AND(57000&lt;Q475,Q475&lt;60001),AND(75000&lt;Q475,Q475&lt;77500)),$H475,VLOOKUP(Q475,BDins,6,FALSE)))))</f>
        <v>15.36</v>
      </c>
      <c r="R477">
        <f>IF(R479&gt;10000,HLOOKUP(R479,$O475:Q478,4,FALSE),IF(OR(AND(22500&lt;R475,R475&lt;25001),AND(50000&lt;R475,R475&lt;53501),AND(70000&lt;R475,R475&lt;72501)),$F475,IF(OR(AND(25001&lt;R475,R475&lt;27501),AND(53500&lt;R475,R475&lt;57001),AND(72500&lt;R475,R475&lt;75001)),$G475,IF(OR(AND(27500&lt;R475,R475&lt;30001),AND(57000&lt;R475,R475&lt;60001),AND(75000&lt;R475,R475&lt;77500)),$H475,VLOOKUP(R475,BDins,6,FALSE)))))</f>
        <v>18.5</v>
      </c>
      <c r="S477">
        <f>IF(S479&gt;10000,HLOOKUP(S479,$O475:R478,4,FALSE),IF(OR(AND(22500&lt;S475,S475&lt;25001),AND(50000&lt;S475,S475&lt;53501),AND(70000&lt;S475,S475&lt;72501)),$F475,IF(OR(AND(25001&lt;S475,S475&lt;27501),AND(53500&lt;S475,S475&lt;57001),AND(72500&lt;S475,S475&lt;75001)),$G475,IF(OR(AND(27500&lt;S475,S475&lt;30001),AND(57000&lt;S475,S475&lt;60001),AND(75000&lt;S475,S475&lt;77500)),$H475,VLOOKUP(S475,BDins,6,FALSE)))))</f>
        <v>150</v>
      </c>
      <c r="T477">
        <f>IF(T479&gt;10000,HLOOKUP(T479,$O475:S478,4,FALSE),IF(OR(AND(22500&lt;T475,T475&lt;25001),AND(50000&lt;T475,T475&lt;53501),AND(70000&lt;T475,T475&lt;72501)),$F475,IF(OR(AND(25001&lt;T475,T475&lt;27501),AND(53500&lt;T475,T475&lt;57001),AND(72500&lt;T475,T475&lt;75001)),$G475,IF(OR(AND(27500&lt;T475,T475&lt;30001),AND(57000&lt;T475,T475&lt;60001),AND(75000&lt;T475,T475&lt;77500)),$H475,VLOOKUP(T475,BDins,6,FALSE)))))</f>
        <v>45</v>
      </c>
      <c r="U477">
        <f>IF(U479&gt;10000,HLOOKUP(U479,$O475:T478,4,FALSE),IF(OR(AND(22500&lt;U475,U475&lt;25001),AND(50000&lt;U475,U475&lt;53501),AND(70000&lt;U475,U475&lt;72501)),$F475,IF(OR(AND(25001&lt;U475,U475&lt;27501),AND(53500&lt;U475,U475&lt;57001),AND(72500&lt;U475,U475&lt;75001)),$G475,IF(OR(AND(27500&lt;U475,U475&lt;30001),AND(57000&lt;U475,U475&lt;60001),AND(75000&lt;U475,U475&lt;77500)),$H475,VLOOKUP(U475,BDins,6,FALSE)))))</f>
        <v>0.56999999999999995</v>
      </c>
      <c r="V477">
        <f>IF(V479&gt;10000,HLOOKUP(V479,$O475:U478,4,FALSE),IF(OR(AND(22500&lt;V475,V475&lt;25001),AND(50000&lt;V475,V475&lt;53501),AND(70000&lt;V475,V475&lt;72501)),$F475,IF(OR(AND(25001&lt;V475,V475&lt;27501),AND(53500&lt;V475,V475&lt;57001),AND(72500&lt;V475,V475&lt;75001)),$G475,IF(OR(AND(27500&lt;V475,V475&lt;30001),AND(57000&lt;V475,V475&lt;60001),AND(75000&lt;V475,V475&lt;77500)),$H475,VLOOKUP(V475,BDins,6,FALSE)))))</f>
        <v>16.53</v>
      </c>
      <c r="W477">
        <f>IF(W479&gt;10000,HLOOKUP(W479,$O475:V478,4,FALSE),IF(OR(AND(22500&lt;W475,W475&lt;25001),AND(50000&lt;W475,W475&lt;53501),AND(70000&lt;W475,W475&lt;72501)),$F475,IF(OR(AND(25001&lt;W475,W475&lt;27501),AND(53500&lt;W475,W475&lt;57001),AND(72500&lt;W475,W475&lt;75001)),$G475,IF(OR(AND(27500&lt;W475,W475&lt;30001),AND(57000&lt;W475,W475&lt;60001),AND(75000&lt;W475,W475&lt;77500)),$H475,VLOOKUP(W475,BDins,6,FALSE)))))</f>
        <v>5</v>
      </c>
    </row>
    <row r="478" spans="1:28" x14ac:dyDescent="0.2">
      <c r="O478">
        <f t="shared" ref="O478:W478" si="68">IF($K475&gt;0,ROUND(O476*$E475/100,DpCU),IF(O479&gt;10000,ROUND(HLOOKUP(O479,$O475:$W478,4,FALSE)/100*O476,DpCU),IF(OR(O475&lt;20001,O475&gt;95000,AND(60000&lt;O475,O475&lt;70001)),ROUND(ROUND(O476*JL/$C475,DcCU)*O477,DpCU),IF(OR(AND(20000&lt;O475,O475&lt;22501),AND(30000&lt;O475,O475&lt;50001),77500&lt;O475),ROUND(O477*O476,DpCU),IF(OR(AND(22500&lt;O475,O475&lt;25001),AND(50000&lt;O475,O475&lt;53501),AND(70000&lt;O475,O475&lt;72501)),ROUND($F475/100*O476,DpCU),IF(OR(AND(25000&lt;O475,O475&lt;27501),AND(53500&lt;O475,O475&lt;57001),AND(72500&lt;O475,O475&lt;75001)),ROUND($G475/100*O476,DpCU),ROUND($H475/100*O476,DpCU)))))))</f>
        <v>1.33</v>
      </c>
      <c r="P478">
        <f t="shared" si="68"/>
        <v>11.1</v>
      </c>
      <c r="Q478">
        <f t="shared" si="68"/>
        <v>4.0999999999999996</v>
      </c>
      <c r="R478">
        <f t="shared" si="68"/>
        <v>11.1</v>
      </c>
      <c r="S478">
        <f t="shared" si="68"/>
        <v>2.76</v>
      </c>
      <c r="T478">
        <f t="shared" si="68"/>
        <v>2.25</v>
      </c>
      <c r="U478">
        <f t="shared" si="68"/>
        <v>20.52</v>
      </c>
      <c r="V478">
        <f t="shared" si="68"/>
        <v>0.83</v>
      </c>
      <c r="W478">
        <f t="shared" si="68"/>
        <v>0.63</v>
      </c>
    </row>
    <row r="479" spans="1:28" x14ac:dyDescent="0.2">
      <c r="B479" s="3" t="str">
        <f>A475&amp;"r"</f>
        <v>10095r</v>
      </c>
    </row>
    <row r="480" spans="1:28" x14ac:dyDescent="0.2">
      <c r="A480">
        <v>10096</v>
      </c>
      <c r="B480" s="3" t="s">
        <v>574</v>
      </c>
      <c r="C480" s="1">
        <f>ROUND(J480*JL*Frto/8,4)</f>
        <v>15</v>
      </c>
      <c r="D480" t="s">
        <v>210</v>
      </c>
      <c r="E480">
        <f>SUM($O483:$V483)</f>
        <v>49.009999999999991</v>
      </c>
      <c r="F480">
        <f>SUMIF($O480:$V480,"&lt;22501",$O483:$V483)</f>
        <v>16.53</v>
      </c>
      <c r="G480">
        <f>SUMIFS($O483:$V483,$O480:$V480,"&gt;30000",$O480:$V480,"&lt;50001")</f>
        <v>31.65</v>
      </c>
      <c r="H480">
        <f>SUMIFS($O483:$V483,$O480:$V480,"&gt;60000",$O480:$V480,"&lt;70001")</f>
        <v>0</v>
      </c>
      <c r="I480">
        <v>8</v>
      </c>
      <c r="J480">
        <v>15</v>
      </c>
      <c r="O480">
        <v>10001</v>
      </c>
      <c r="P480">
        <v>10002</v>
      </c>
      <c r="Q480">
        <v>10003</v>
      </c>
      <c r="R480">
        <v>30002</v>
      </c>
      <c r="S480">
        <v>30023</v>
      </c>
      <c r="T480">
        <v>30056</v>
      </c>
      <c r="U480">
        <v>30092</v>
      </c>
      <c r="V480">
        <v>70001</v>
      </c>
    </row>
    <row r="481" spans="1:23" x14ac:dyDescent="0.2">
      <c r="B481" s="3" t="str">
        <f>A480&amp;"C"</f>
        <v>10096C</v>
      </c>
      <c r="O481">
        <v>0.1</v>
      </c>
      <c r="P481">
        <v>1</v>
      </c>
      <c r="Q481">
        <v>0.5</v>
      </c>
      <c r="R481">
        <v>0.4</v>
      </c>
      <c r="S481">
        <v>1.84E-2</v>
      </c>
      <c r="T481">
        <v>0.05</v>
      </c>
      <c r="U481">
        <v>37</v>
      </c>
      <c r="V481">
        <v>5</v>
      </c>
    </row>
    <row r="482" spans="1:23" x14ac:dyDescent="0.2">
      <c r="O482">
        <f>IF(O484&gt;10000,HLOOKUP(O484,N480:$O483,4,FALSE),IF(OR(AND(22500&lt;O480,O480&lt;25001),AND(50000&lt;O480,O480&lt;53501),AND(70000&lt;O480,O480&lt;72501)),$F480,IF(OR(AND(25001&lt;O480,O480&lt;27501),AND(53500&lt;O480,O480&lt;57001),AND(72500&lt;O480,O480&lt;75001)),$G480,IF(OR(AND(27500&lt;O480,O480&lt;30001),AND(57000&lt;O480,O480&lt;60001),AND(75000&lt;O480,O480&lt;77500)),$H480,VLOOKUP(O480,BDins,6,FALSE)))))</f>
        <v>24.97</v>
      </c>
      <c r="P482">
        <f>IF(P484&gt;10000,HLOOKUP(P484,O480:$O483,4,FALSE),IF(OR(AND(22500&lt;P480,P480&lt;25001),AND(50000&lt;P480,P480&lt;53501),AND(70000&lt;P480,P480&lt;72501)),$F480,IF(OR(AND(25001&lt;P480,P480&lt;27501),AND(53500&lt;P480,P480&lt;57001),AND(72500&lt;P480,P480&lt;75001)),$G480,IF(OR(AND(27500&lt;P480,P480&lt;30001),AND(57000&lt;P480,P480&lt;60001),AND(75000&lt;P480,P480&lt;77500)),$H480,VLOOKUP(P480,BDins,6,FALSE)))))</f>
        <v>20.81</v>
      </c>
      <c r="Q482">
        <f>IF(Q484&gt;10000,HLOOKUP(Q484,$O480:P483,4,FALSE),IF(OR(AND(22500&lt;Q480,Q480&lt;25001),AND(50000&lt;Q480,Q480&lt;53501),AND(70000&lt;Q480,Q480&lt;72501)),$F480,IF(OR(AND(25001&lt;Q480,Q480&lt;27501),AND(53500&lt;Q480,Q480&lt;57001),AND(72500&lt;Q480,Q480&lt;75001)),$G480,IF(OR(AND(27500&lt;Q480,Q480&lt;30001),AND(57000&lt;Q480,Q480&lt;60001),AND(75000&lt;Q480,Q480&lt;77500)),$H480,VLOOKUP(Q480,BDins,6,FALSE)))))</f>
        <v>15.36</v>
      </c>
      <c r="R482">
        <f>IF(R484&gt;10000,HLOOKUP(R484,$O480:Q483,4,FALSE),IF(OR(AND(22500&lt;R480,R480&lt;25001),AND(50000&lt;R480,R480&lt;53501),AND(70000&lt;R480,R480&lt;72501)),$F480,IF(OR(AND(25001&lt;R480,R480&lt;27501),AND(53500&lt;R480,R480&lt;57001),AND(72500&lt;R480,R480&lt;75001)),$G480,IF(OR(AND(27500&lt;R480,R480&lt;30001),AND(57000&lt;R480,R480&lt;60001),AND(75000&lt;R480,R480&lt;77500)),$H480,VLOOKUP(R480,BDins,6,FALSE)))))</f>
        <v>18.5</v>
      </c>
      <c r="S482">
        <f>IF(S484&gt;10000,HLOOKUP(S484,$O480:R483,4,FALSE),IF(OR(AND(22500&lt;S480,S480&lt;25001),AND(50000&lt;S480,S480&lt;53501),AND(70000&lt;S480,S480&lt;72501)),$F480,IF(OR(AND(25001&lt;S480,S480&lt;27501),AND(53500&lt;S480,S480&lt;57001),AND(72500&lt;S480,S480&lt;75001)),$G480,IF(OR(AND(27500&lt;S480,S480&lt;30001),AND(57000&lt;S480,S480&lt;60001),AND(75000&lt;S480,S480&lt;77500)),$H480,VLOOKUP(S480,BDins,6,FALSE)))))</f>
        <v>150</v>
      </c>
      <c r="T482">
        <f>IF(T484&gt;10000,HLOOKUP(T484,$O480:S483,4,FALSE),IF(OR(AND(22500&lt;T480,T480&lt;25001),AND(50000&lt;T480,T480&lt;53501),AND(70000&lt;T480,T480&lt;72501)),$F480,IF(OR(AND(25001&lt;T480,T480&lt;27501),AND(53500&lt;T480,T480&lt;57001),AND(72500&lt;T480,T480&lt;75001)),$G480,IF(OR(AND(27500&lt;T480,T480&lt;30001),AND(57000&lt;T480,T480&lt;60001),AND(75000&lt;T480,T480&lt;77500)),$H480,VLOOKUP(T480,BDins,6,FALSE)))))</f>
        <v>45</v>
      </c>
      <c r="U482">
        <f>IF(U484&gt;10000,HLOOKUP(U484,$O480:T483,4,FALSE),IF(OR(AND(22500&lt;U480,U480&lt;25001),AND(50000&lt;U480,U480&lt;53501),AND(70000&lt;U480,U480&lt;72501)),$F480,IF(OR(AND(25001&lt;U480,U480&lt;27501),AND(53500&lt;U480,U480&lt;57001),AND(72500&lt;U480,U480&lt;75001)),$G480,IF(OR(AND(27500&lt;U480,U480&lt;30001),AND(57000&lt;U480,U480&lt;60001),AND(75000&lt;U480,U480&lt;77500)),$H480,VLOOKUP(U480,BDins,6,FALSE)))))</f>
        <v>0.52</v>
      </c>
      <c r="V482">
        <f>IF(V484&gt;10000,HLOOKUP(V484,$O480:U483,4,FALSE),IF(OR(AND(22500&lt;V480,V480&lt;25001),AND(50000&lt;V480,V480&lt;53501),AND(70000&lt;V480,V480&lt;72501)),$F480,IF(OR(AND(25001&lt;V480,V480&lt;27501),AND(53500&lt;V480,V480&lt;57001),AND(72500&lt;V480,V480&lt;75001)),$G480,IF(OR(AND(27500&lt;V480,V480&lt;30001),AND(57000&lt;V480,V480&lt;60001),AND(75000&lt;V480,V480&lt;77500)),$H480,VLOOKUP(V480,BDins,6,FALSE)))))</f>
        <v>16.53</v>
      </c>
    </row>
    <row r="483" spans="1:23" x14ac:dyDescent="0.2">
      <c r="O483">
        <f t="shared" ref="O483:V483" si="69">IF($K480&gt;0,ROUND(O481*$E480/100,DpCU),IF(O484&gt;10000,ROUND(HLOOKUP(O484,$O480:$V483,4,FALSE)/100*O481,DpCU),IF(OR(O480&lt;20001,O480&gt;95000,AND(60000&lt;O480,O480&lt;70001)),ROUND(ROUND(O481*JL/$C480,DcCU)*O482,DpCU),IF(OR(AND(20000&lt;O480,O480&lt;22501),AND(30000&lt;O480,O480&lt;50001),77500&lt;O480),ROUND(O482*O481,DpCU),IF(OR(AND(22500&lt;O480,O480&lt;25001),AND(50000&lt;O480,O480&lt;53501),AND(70000&lt;O480,O480&lt;72501)),ROUND($F480/100*O481,DpCU),IF(OR(AND(25000&lt;O480,O480&lt;27501),AND(53500&lt;O480,O480&lt;57001),AND(72500&lt;O480,O480&lt;75001)),ROUND($G480/100*O481,DpCU),ROUND($H480/100*O481,DpCU)))))))</f>
        <v>1.33</v>
      </c>
      <c r="P483">
        <f t="shared" si="69"/>
        <v>11.1</v>
      </c>
      <c r="Q483">
        <f t="shared" si="69"/>
        <v>4.0999999999999996</v>
      </c>
      <c r="R483">
        <f t="shared" si="69"/>
        <v>7.4</v>
      </c>
      <c r="S483">
        <f t="shared" si="69"/>
        <v>2.76</v>
      </c>
      <c r="T483">
        <f t="shared" si="69"/>
        <v>2.25</v>
      </c>
      <c r="U483">
        <f t="shared" si="69"/>
        <v>19.239999999999998</v>
      </c>
      <c r="V483">
        <f t="shared" si="69"/>
        <v>0.83</v>
      </c>
    </row>
    <row r="484" spans="1:23" x14ac:dyDescent="0.2">
      <c r="B484" s="3" t="str">
        <f>A480&amp;"r"</f>
        <v>10096r</v>
      </c>
    </row>
    <row r="485" spans="1:23" x14ac:dyDescent="0.2">
      <c r="A485">
        <v>10097</v>
      </c>
      <c r="B485" s="3" t="s">
        <v>579</v>
      </c>
      <c r="C485" s="1">
        <f>ROUND(J485*JL*Frto/8,4)</f>
        <v>18</v>
      </c>
      <c r="D485" t="s">
        <v>210</v>
      </c>
      <c r="E485">
        <f>SUM($O488:$V488)</f>
        <v>23.39</v>
      </c>
      <c r="F485">
        <f>SUMIF($O485:$V485,"&lt;22501",$O488:$V488)</f>
        <v>15.48</v>
      </c>
      <c r="G485">
        <f>SUMIFS($O488:$V488,$O485:$V485,"&gt;30000",$O485:$V485,"&lt;50001")</f>
        <v>5.6400000000000006</v>
      </c>
      <c r="H485">
        <f>SUMIFS($O488:$V488,$O485:$V485,"&gt;60000",$O485:$V485,"&lt;70001")</f>
        <v>0</v>
      </c>
      <c r="I485">
        <v>8</v>
      </c>
      <c r="J485">
        <v>18</v>
      </c>
      <c r="O485">
        <v>10001</v>
      </c>
      <c r="P485">
        <v>10002</v>
      </c>
      <c r="Q485">
        <v>10003</v>
      </c>
      <c r="R485">
        <v>30002</v>
      </c>
      <c r="S485">
        <v>30023</v>
      </c>
      <c r="T485">
        <v>30093</v>
      </c>
      <c r="U485">
        <v>70001</v>
      </c>
      <c r="V485">
        <v>77509</v>
      </c>
    </row>
    <row r="486" spans="1:23" x14ac:dyDescent="0.2">
      <c r="B486" s="3" t="str">
        <f>A485&amp;"C"</f>
        <v>10097C</v>
      </c>
      <c r="O486">
        <v>0.1</v>
      </c>
      <c r="P486">
        <v>1</v>
      </c>
      <c r="Q486">
        <v>0.75</v>
      </c>
      <c r="R486">
        <v>0.24</v>
      </c>
      <c r="S486">
        <v>2E-3</v>
      </c>
      <c r="T486">
        <v>0.02</v>
      </c>
      <c r="U486">
        <v>5</v>
      </c>
      <c r="V486">
        <v>0.05</v>
      </c>
    </row>
    <row r="487" spans="1:23" x14ac:dyDescent="0.2">
      <c r="O487">
        <f>IF(O489&gt;10000,HLOOKUP(O489,N485:$O488,4,FALSE),IF(OR(AND(22500&lt;O485,O485&lt;25001),AND(50000&lt;O485,O485&lt;53501),AND(70000&lt;O485,O485&lt;72501)),$F485,IF(OR(AND(25001&lt;O485,O485&lt;27501),AND(53500&lt;O485,O485&lt;57001),AND(72500&lt;O485,O485&lt;75001)),$G485,IF(OR(AND(27500&lt;O485,O485&lt;30001),AND(57000&lt;O485,O485&lt;60001),AND(75000&lt;O485,O485&lt;77500)),$H485,VLOOKUP(O485,BDins,6,FALSE)))))</f>
        <v>24.97</v>
      </c>
      <c r="P487">
        <f>IF(P489&gt;10000,HLOOKUP(P489,O485:$O488,4,FALSE),IF(OR(AND(22500&lt;P485,P485&lt;25001),AND(50000&lt;P485,P485&lt;53501),AND(70000&lt;P485,P485&lt;72501)),$F485,IF(OR(AND(25001&lt;P485,P485&lt;27501),AND(53500&lt;P485,P485&lt;57001),AND(72500&lt;P485,P485&lt;75001)),$G485,IF(OR(AND(27500&lt;P485,P485&lt;30001),AND(57000&lt;P485,P485&lt;60001),AND(75000&lt;P485,P485&lt;77500)),$H485,VLOOKUP(P485,BDins,6,FALSE)))))</f>
        <v>20.81</v>
      </c>
      <c r="Q487">
        <f>IF(Q489&gt;10000,HLOOKUP(Q489,$O485:P488,4,FALSE),IF(OR(AND(22500&lt;Q485,Q485&lt;25001),AND(50000&lt;Q485,Q485&lt;53501),AND(70000&lt;Q485,Q485&lt;72501)),$F485,IF(OR(AND(25001&lt;Q485,Q485&lt;27501),AND(53500&lt;Q485,Q485&lt;57001),AND(72500&lt;Q485,Q485&lt;75001)),$G485,IF(OR(AND(27500&lt;Q485,Q485&lt;30001),AND(57000&lt;Q485,Q485&lt;60001),AND(75000&lt;Q485,Q485&lt;77500)),$H485,VLOOKUP(Q485,BDins,6,FALSE)))))</f>
        <v>15.36</v>
      </c>
      <c r="R487">
        <f>IF(R489&gt;10000,HLOOKUP(R489,$O485:Q488,4,FALSE),IF(OR(AND(22500&lt;R485,R485&lt;25001),AND(50000&lt;R485,R485&lt;53501),AND(70000&lt;R485,R485&lt;72501)),$F485,IF(OR(AND(25001&lt;R485,R485&lt;27501),AND(53500&lt;R485,R485&lt;57001),AND(72500&lt;R485,R485&lt;75001)),$G485,IF(OR(AND(27500&lt;R485,R485&lt;30001),AND(57000&lt;R485,R485&lt;60001),AND(75000&lt;R485,R485&lt;77500)),$H485,VLOOKUP(R485,BDins,6,FALSE)))))</f>
        <v>18.5</v>
      </c>
      <c r="S487">
        <f>IF(S489&gt;10000,HLOOKUP(S489,$O485:R488,4,FALSE),IF(OR(AND(22500&lt;S485,S485&lt;25001),AND(50000&lt;S485,S485&lt;53501),AND(70000&lt;S485,S485&lt;72501)),$F485,IF(OR(AND(25001&lt;S485,S485&lt;27501),AND(53500&lt;S485,S485&lt;57001),AND(72500&lt;S485,S485&lt;75001)),$G485,IF(OR(AND(27500&lt;S485,S485&lt;30001),AND(57000&lt;S485,S485&lt;60001),AND(75000&lt;S485,S485&lt;77500)),$H485,VLOOKUP(S485,BDins,6,FALSE)))))</f>
        <v>150</v>
      </c>
      <c r="T487">
        <f>IF(T489&gt;10000,HLOOKUP(T489,$O485:S488,4,FALSE),IF(OR(AND(22500&lt;T485,T485&lt;25001),AND(50000&lt;T485,T485&lt;53501),AND(70000&lt;T485,T485&lt;72501)),$F485,IF(OR(AND(25001&lt;T485,T485&lt;27501),AND(53500&lt;T485,T485&lt;57001),AND(72500&lt;T485,T485&lt;75001)),$G485,IF(OR(AND(27500&lt;T485,T485&lt;30001),AND(57000&lt;T485,T485&lt;60001),AND(75000&lt;T485,T485&lt;77500)),$H485,VLOOKUP(T485,BDins,6,FALSE)))))</f>
        <v>45</v>
      </c>
      <c r="U487">
        <f>IF(U489&gt;10000,HLOOKUP(U489,$O485:T488,4,FALSE),IF(OR(AND(22500&lt;U485,U485&lt;25001),AND(50000&lt;U485,U485&lt;53501),AND(70000&lt;U485,U485&lt;72501)),$F485,IF(OR(AND(25001&lt;U485,U485&lt;27501),AND(53500&lt;U485,U485&lt;57001),AND(72500&lt;U485,U485&lt;75001)),$G485,IF(OR(AND(27500&lt;U485,U485&lt;30001),AND(57000&lt;U485,U485&lt;60001),AND(75000&lt;U485,U485&lt;77500)),$H485,VLOOKUP(U485,BDins,6,FALSE)))))</f>
        <v>15.48</v>
      </c>
      <c r="V487">
        <f>IF(V489&gt;10000,HLOOKUP(V489,$O485:U488,4,FALSE),IF(OR(AND(22500&lt;V485,V485&lt;25001),AND(50000&lt;V485,V485&lt;53501),AND(70000&lt;V485,V485&lt;72501)),$F485,IF(OR(AND(25001&lt;V485,V485&lt;27501),AND(53500&lt;V485,V485&lt;57001),AND(72500&lt;V485,V485&lt;75001)),$G485,IF(OR(AND(27500&lt;V485,V485&lt;30001),AND(57000&lt;V485,V485&lt;60001),AND(75000&lt;V485,V485&lt;77500)),$H485,VLOOKUP(V485,BDins,6,FALSE)))))</f>
        <v>29.98</v>
      </c>
    </row>
    <row r="488" spans="1:23" x14ac:dyDescent="0.2">
      <c r="O488">
        <f t="shared" ref="O488:V488" si="70">IF($K485&gt;0,ROUND(O486*$E485/100,DpCU),IF(O489&gt;10000,ROUND(HLOOKUP(O489,$O485:$V488,4,FALSE)/100*O486,DpCU),IF(OR(O485&lt;20001,O485&gt;95000,AND(60000&lt;O485,O485&lt;70001)),ROUND(ROUND(O486*JL/$C485,DcCU)*O487,DpCU),IF(OR(AND(20000&lt;O485,O485&lt;22501),AND(30000&lt;O485,O485&lt;50001),77500&lt;O485),ROUND(O487*O486,DpCU),IF(OR(AND(22500&lt;O485,O485&lt;25001),AND(50000&lt;O485,O485&lt;53501),AND(70000&lt;O485,O485&lt;72501)),ROUND($F485/100*O486,DpCU),IF(OR(AND(25000&lt;O485,O485&lt;27501),AND(53500&lt;O485,O485&lt;57001),AND(72500&lt;O485,O485&lt;75001)),ROUND($G485/100*O486,DpCU),ROUND($H485/100*O486,DpCU)))))))</f>
        <v>1.1100000000000001</v>
      </c>
      <c r="P488">
        <f t="shared" si="70"/>
        <v>9.25</v>
      </c>
      <c r="Q488">
        <f t="shared" si="70"/>
        <v>5.12</v>
      </c>
      <c r="R488">
        <f t="shared" si="70"/>
        <v>4.4400000000000004</v>
      </c>
      <c r="S488">
        <f t="shared" si="70"/>
        <v>0.3</v>
      </c>
      <c r="T488">
        <f t="shared" si="70"/>
        <v>0.9</v>
      </c>
      <c r="U488">
        <f t="shared" si="70"/>
        <v>0.77</v>
      </c>
      <c r="V488">
        <f t="shared" si="70"/>
        <v>1.5</v>
      </c>
    </row>
    <row r="489" spans="1:23" x14ac:dyDescent="0.2">
      <c r="B489" s="3" t="str">
        <f>A485&amp;"r"</f>
        <v>10097r</v>
      </c>
    </row>
    <row r="490" spans="1:23" x14ac:dyDescent="0.2">
      <c r="A490">
        <v>10098</v>
      </c>
      <c r="B490" s="3" t="s">
        <v>581</v>
      </c>
      <c r="C490" s="1">
        <f>ROUND(J490*JL*Frto/8,4)</f>
        <v>15</v>
      </c>
      <c r="D490" t="s">
        <v>210</v>
      </c>
      <c r="E490">
        <f>SUM($O493:$W493)</f>
        <v>30.15</v>
      </c>
      <c r="F490">
        <f>SUMIF($O490:$W490,"&lt;22501",$O493:$W493)</f>
        <v>20.619999999999997</v>
      </c>
      <c r="G490">
        <f>SUMIFS($O493:$W493,$O490:$W490,"&gt;30000",$O490:$W490,"&lt;50001")</f>
        <v>6.0600000000000005</v>
      </c>
      <c r="H490">
        <f>SUMIFS($O493:$W493,$O490:$W490,"&gt;60000",$O490:$W490,"&lt;70001")</f>
        <v>0</v>
      </c>
      <c r="I490">
        <v>9</v>
      </c>
      <c r="J490">
        <v>15</v>
      </c>
      <c r="O490">
        <v>10001</v>
      </c>
      <c r="P490">
        <v>10002</v>
      </c>
      <c r="Q490">
        <v>10003</v>
      </c>
      <c r="R490">
        <v>30002</v>
      </c>
      <c r="S490">
        <v>30051</v>
      </c>
      <c r="T490">
        <v>30093</v>
      </c>
      <c r="U490">
        <v>70001</v>
      </c>
      <c r="V490">
        <v>77508</v>
      </c>
      <c r="W490">
        <v>77509</v>
      </c>
    </row>
    <row r="491" spans="1:23" x14ac:dyDescent="0.2">
      <c r="B491" s="3" t="str">
        <f>A490&amp;"C"</f>
        <v>10098C</v>
      </c>
      <c r="O491">
        <v>0.1</v>
      </c>
      <c r="P491">
        <v>1</v>
      </c>
      <c r="Q491">
        <v>1</v>
      </c>
      <c r="R491">
        <v>0.25</v>
      </c>
      <c r="S491">
        <v>2.1999999999999999E-2</v>
      </c>
      <c r="T491">
        <v>0.03</v>
      </c>
      <c r="U491">
        <v>5</v>
      </c>
      <c r="V491">
        <v>0.1875</v>
      </c>
      <c r="W491">
        <v>0.05</v>
      </c>
    </row>
    <row r="492" spans="1:23" x14ac:dyDescent="0.2">
      <c r="O492">
        <f>IF(O494&gt;10000,HLOOKUP(O494,N490:$O493,4,FALSE),IF(OR(AND(22500&lt;O490,O490&lt;25001),AND(50000&lt;O490,O490&lt;53501),AND(70000&lt;O490,O490&lt;72501)),$F490,IF(OR(AND(25001&lt;O490,O490&lt;27501),AND(53500&lt;O490,O490&lt;57001),AND(72500&lt;O490,O490&lt;75001)),$G490,IF(OR(AND(27500&lt;O490,O490&lt;30001),AND(57000&lt;O490,O490&lt;60001),AND(75000&lt;O490,O490&lt;77500)),$H490,VLOOKUP(O490,BDins,6,FALSE)))))</f>
        <v>24.97</v>
      </c>
      <c r="P492">
        <f>IF(P494&gt;10000,HLOOKUP(P494,O490:$O493,4,FALSE),IF(OR(AND(22500&lt;P490,P490&lt;25001),AND(50000&lt;P490,P490&lt;53501),AND(70000&lt;P490,P490&lt;72501)),$F490,IF(OR(AND(25001&lt;P490,P490&lt;27501),AND(53500&lt;P490,P490&lt;57001),AND(72500&lt;P490,P490&lt;75001)),$G490,IF(OR(AND(27500&lt;P490,P490&lt;30001),AND(57000&lt;P490,P490&lt;60001),AND(75000&lt;P490,P490&lt;77500)),$H490,VLOOKUP(P490,BDins,6,FALSE)))))</f>
        <v>20.81</v>
      </c>
      <c r="Q492">
        <f>IF(Q494&gt;10000,HLOOKUP(Q494,$O490:P493,4,FALSE),IF(OR(AND(22500&lt;Q490,Q490&lt;25001),AND(50000&lt;Q490,Q490&lt;53501),AND(70000&lt;Q490,Q490&lt;72501)),$F490,IF(OR(AND(25001&lt;Q490,Q490&lt;27501),AND(53500&lt;Q490,Q490&lt;57001),AND(72500&lt;Q490,Q490&lt;75001)),$G490,IF(OR(AND(27500&lt;Q490,Q490&lt;30001),AND(57000&lt;Q490,Q490&lt;60001),AND(75000&lt;Q490,Q490&lt;77500)),$H490,VLOOKUP(Q490,BDins,6,FALSE)))))</f>
        <v>15.36</v>
      </c>
      <c r="R492">
        <f>IF(R494&gt;10000,HLOOKUP(R494,$O490:Q493,4,FALSE),IF(OR(AND(22500&lt;R490,R490&lt;25001),AND(50000&lt;R490,R490&lt;53501),AND(70000&lt;R490,R490&lt;72501)),$F490,IF(OR(AND(25001&lt;R490,R490&lt;27501),AND(53500&lt;R490,R490&lt;57001),AND(72500&lt;R490,R490&lt;75001)),$G490,IF(OR(AND(27500&lt;R490,R490&lt;30001),AND(57000&lt;R490,R490&lt;60001),AND(75000&lt;R490,R490&lt;77500)),$H490,VLOOKUP(R490,BDins,6,FALSE)))))</f>
        <v>18.5</v>
      </c>
      <c r="S492">
        <f>IF(S494&gt;10000,HLOOKUP(S494,$O490:R493,4,FALSE),IF(OR(AND(22500&lt;S490,S490&lt;25001),AND(50000&lt;S490,S490&lt;53501),AND(70000&lt;S490,S490&lt;72501)),$F490,IF(OR(AND(25001&lt;S490,S490&lt;27501),AND(53500&lt;S490,S490&lt;57001),AND(72500&lt;S490,S490&lt;75001)),$G490,IF(OR(AND(27500&lt;S490,S490&lt;30001),AND(57000&lt;S490,S490&lt;60001),AND(75000&lt;S490,S490&lt;77500)),$H490,VLOOKUP(S490,BDins,6,FALSE)))))</f>
        <v>3.5</v>
      </c>
      <c r="T492">
        <f>IF(T494&gt;10000,HLOOKUP(T494,$O490:S493,4,FALSE),IF(OR(AND(22500&lt;T490,T490&lt;25001),AND(50000&lt;T490,T490&lt;53501),AND(70000&lt;T490,T490&lt;72501)),$F490,IF(OR(AND(25001&lt;T490,T490&lt;27501),AND(53500&lt;T490,T490&lt;57001),AND(72500&lt;T490,T490&lt;75001)),$G490,IF(OR(AND(27500&lt;T490,T490&lt;30001),AND(57000&lt;T490,T490&lt;60001),AND(75000&lt;T490,T490&lt;77500)),$H490,VLOOKUP(T490,BDins,6,FALSE)))))</f>
        <v>45</v>
      </c>
      <c r="U492">
        <f>IF(U494&gt;10000,HLOOKUP(U494,$O490:T493,4,FALSE),IF(OR(AND(22500&lt;U490,U490&lt;25001),AND(50000&lt;U490,U490&lt;53501),AND(70000&lt;U490,U490&lt;72501)),$F490,IF(OR(AND(25001&lt;U490,U490&lt;27501),AND(53500&lt;U490,U490&lt;57001),AND(72500&lt;U490,U490&lt;75001)),$G490,IF(OR(AND(27500&lt;U490,U490&lt;30001),AND(57000&lt;U490,U490&lt;60001),AND(75000&lt;U490,U490&lt;77500)),$H490,VLOOKUP(U490,BDins,6,FALSE)))))</f>
        <v>20.619999999999997</v>
      </c>
      <c r="V492">
        <f>IF(V494&gt;10000,HLOOKUP(V494,$O490:U493,4,FALSE),IF(OR(AND(22500&lt;V490,V490&lt;25001),AND(50000&lt;V490,V490&lt;53501),AND(70000&lt;V490,V490&lt;72501)),$F490,IF(OR(AND(25001&lt;V490,V490&lt;27501),AND(53500&lt;V490,V490&lt;57001),AND(72500&lt;V490,V490&lt;75001)),$G490,IF(OR(AND(27500&lt;V490,V490&lt;30001),AND(57000&lt;V490,V490&lt;60001),AND(75000&lt;V490,V490&lt;77500)),$H490,VLOOKUP(V490,BDins,6,FALSE)))))</f>
        <v>5</v>
      </c>
      <c r="W492">
        <f>IF(W494&gt;10000,HLOOKUP(W494,$O490:V493,4,FALSE),IF(OR(AND(22500&lt;W490,W490&lt;25001),AND(50000&lt;W490,W490&lt;53501),AND(70000&lt;W490,W490&lt;72501)),$F490,IF(OR(AND(25001&lt;W490,W490&lt;27501),AND(53500&lt;W490,W490&lt;57001),AND(72500&lt;W490,W490&lt;75001)),$G490,IF(OR(AND(27500&lt;W490,W490&lt;30001),AND(57000&lt;W490,W490&lt;60001),AND(75000&lt;W490,W490&lt;77500)),$H490,VLOOKUP(W490,BDins,6,FALSE)))))</f>
        <v>29.98</v>
      </c>
    </row>
    <row r="493" spans="1:23" x14ac:dyDescent="0.2">
      <c r="O493">
        <f t="shared" ref="O493:W493" si="71">IF($K490&gt;0,ROUND(O491*$E490/100,DpCU),IF(O494&gt;10000,ROUND(HLOOKUP(O494,$O490:$W493,4,FALSE)/100*O491,DpCU),IF(OR(O490&lt;20001,O490&gt;95000,AND(60000&lt;O490,O490&lt;70001)),ROUND(ROUND(O491*JL/$C490,DcCU)*O492,DpCU),IF(OR(AND(20000&lt;O490,O490&lt;22501),AND(30000&lt;O490,O490&lt;50001),77500&lt;O490),ROUND(O492*O491,DpCU),IF(OR(AND(22500&lt;O490,O490&lt;25001),AND(50000&lt;O490,O490&lt;53501),AND(70000&lt;O490,O490&lt;72501)),ROUND($F490/100*O491,DpCU),IF(OR(AND(25000&lt;O490,O490&lt;27501),AND(53500&lt;O490,O490&lt;57001),AND(72500&lt;O490,O490&lt;75001)),ROUND($G490/100*O491,DpCU),ROUND($H490/100*O491,DpCU)))))))</f>
        <v>1.33</v>
      </c>
      <c r="P493">
        <f t="shared" si="71"/>
        <v>11.1</v>
      </c>
      <c r="Q493">
        <f t="shared" si="71"/>
        <v>8.19</v>
      </c>
      <c r="R493">
        <f t="shared" si="71"/>
        <v>4.63</v>
      </c>
      <c r="S493">
        <f t="shared" si="71"/>
        <v>0.08</v>
      </c>
      <c r="T493">
        <f t="shared" si="71"/>
        <v>1.35</v>
      </c>
      <c r="U493">
        <f t="shared" si="71"/>
        <v>1.03</v>
      </c>
      <c r="V493">
        <f t="shared" si="71"/>
        <v>0.94</v>
      </c>
      <c r="W493">
        <f t="shared" si="71"/>
        <v>1.5</v>
      </c>
    </row>
    <row r="494" spans="1:23" x14ac:dyDescent="0.2">
      <c r="B494" s="3" t="str">
        <f>A490&amp;"r"</f>
        <v>10098r</v>
      </c>
    </row>
    <row r="495" spans="1:23" x14ac:dyDescent="0.2">
      <c r="A495">
        <v>10099</v>
      </c>
      <c r="B495" s="3" t="s">
        <v>583</v>
      </c>
      <c r="C495" s="1">
        <f>ROUND(J495*JL*Frto/8,4)</f>
        <v>15</v>
      </c>
      <c r="D495" t="s">
        <v>210</v>
      </c>
      <c r="E495">
        <f>SUM($O498:$U498)</f>
        <v>22.98</v>
      </c>
      <c r="F495">
        <f>SUMIF($O495:$U495,"&lt;22501",$O498:$U498)</f>
        <v>18.57</v>
      </c>
      <c r="G495">
        <f>SUMIFS($O498:$U498,$O495:$U495,"&gt;30000",$O495:$U495,"&lt;50001")</f>
        <v>3.48</v>
      </c>
      <c r="H495">
        <f>SUMIFS($O498:$U498,$O495:$U495,"&gt;60000",$O495:$U495,"&lt;70001")</f>
        <v>0</v>
      </c>
      <c r="I495">
        <v>7</v>
      </c>
      <c r="J495">
        <v>15</v>
      </c>
      <c r="O495">
        <v>10001</v>
      </c>
      <c r="P495">
        <v>10002</v>
      </c>
      <c r="Q495">
        <v>10003</v>
      </c>
      <c r="R495">
        <v>30002</v>
      </c>
      <c r="S495">
        <v>30093</v>
      </c>
      <c r="T495">
        <v>30094</v>
      </c>
      <c r="U495">
        <v>70001</v>
      </c>
    </row>
    <row r="496" spans="1:23" x14ac:dyDescent="0.2">
      <c r="B496" s="3" t="str">
        <f>A495&amp;"C"</f>
        <v>10099C</v>
      </c>
      <c r="O496">
        <v>0.1</v>
      </c>
      <c r="P496">
        <v>1</v>
      </c>
      <c r="Q496">
        <v>0.75</v>
      </c>
      <c r="R496">
        <v>0.15</v>
      </c>
      <c r="S496">
        <v>1.4999999999999999E-2</v>
      </c>
      <c r="T496">
        <v>4.0000000000000001E-3</v>
      </c>
      <c r="U496">
        <v>5</v>
      </c>
    </row>
    <row r="497" spans="1:24" x14ac:dyDescent="0.2">
      <c r="O497">
        <f>IF(O499&gt;10000,HLOOKUP(O499,N495:$O498,4,FALSE),IF(OR(AND(22500&lt;O495,O495&lt;25001),AND(50000&lt;O495,O495&lt;53501),AND(70000&lt;O495,O495&lt;72501)),$F495,IF(OR(AND(25001&lt;O495,O495&lt;27501),AND(53500&lt;O495,O495&lt;57001),AND(72500&lt;O495,O495&lt;75001)),$G495,IF(OR(AND(27500&lt;O495,O495&lt;30001),AND(57000&lt;O495,O495&lt;60001),AND(75000&lt;O495,O495&lt;77500)),$H495,VLOOKUP(O495,BDins,6,FALSE)))))</f>
        <v>24.97</v>
      </c>
      <c r="P497">
        <f>IF(P499&gt;10000,HLOOKUP(P499,O495:$O498,4,FALSE),IF(OR(AND(22500&lt;P495,P495&lt;25001),AND(50000&lt;P495,P495&lt;53501),AND(70000&lt;P495,P495&lt;72501)),$F495,IF(OR(AND(25001&lt;P495,P495&lt;27501),AND(53500&lt;P495,P495&lt;57001),AND(72500&lt;P495,P495&lt;75001)),$G495,IF(OR(AND(27500&lt;P495,P495&lt;30001),AND(57000&lt;P495,P495&lt;60001),AND(75000&lt;P495,P495&lt;77500)),$H495,VLOOKUP(P495,BDins,6,FALSE)))))</f>
        <v>20.81</v>
      </c>
      <c r="Q497">
        <f>IF(Q499&gt;10000,HLOOKUP(Q499,$O495:P498,4,FALSE),IF(OR(AND(22500&lt;Q495,Q495&lt;25001),AND(50000&lt;Q495,Q495&lt;53501),AND(70000&lt;Q495,Q495&lt;72501)),$F495,IF(OR(AND(25001&lt;Q495,Q495&lt;27501),AND(53500&lt;Q495,Q495&lt;57001),AND(72500&lt;Q495,Q495&lt;75001)),$G495,IF(OR(AND(27500&lt;Q495,Q495&lt;30001),AND(57000&lt;Q495,Q495&lt;60001),AND(75000&lt;Q495,Q495&lt;77500)),$H495,VLOOKUP(Q495,BDins,6,FALSE)))))</f>
        <v>15.36</v>
      </c>
      <c r="R497">
        <f>IF(R499&gt;10000,HLOOKUP(R499,$O495:Q498,4,FALSE),IF(OR(AND(22500&lt;R495,R495&lt;25001),AND(50000&lt;R495,R495&lt;53501),AND(70000&lt;R495,R495&lt;72501)),$F495,IF(OR(AND(25001&lt;R495,R495&lt;27501),AND(53500&lt;R495,R495&lt;57001),AND(72500&lt;R495,R495&lt;75001)),$G495,IF(OR(AND(27500&lt;R495,R495&lt;30001),AND(57000&lt;R495,R495&lt;60001),AND(75000&lt;R495,R495&lt;77500)),$H495,VLOOKUP(R495,BDins,6,FALSE)))))</f>
        <v>18.5</v>
      </c>
      <c r="S497">
        <f>IF(S499&gt;10000,HLOOKUP(S499,$O495:R498,4,FALSE),IF(OR(AND(22500&lt;S495,S495&lt;25001),AND(50000&lt;S495,S495&lt;53501),AND(70000&lt;S495,S495&lt;72501)),$F495,IF(OR(AND(25001&lt;S495,S495&lt;27501),AND(53500&lt;S495,S495&lt;57001),AND(72500&lt;S495,S495&lt;75001)),$G495,IF(OR(AND(27500&lt;S495,S495&lt;30001),AND(57000&lt;S495,S495&lt;60001),AND(75000&lt;S495,S495&lt;77500)),$H495,VLOOKUP(S495,BDins,6,FALSE)))))</f>
        <v>45</v>
      </c>
      <c r="T497">
        <f>IF(T499&gt;10000,HLOOKUP(T499,$O495:S498,4,FALSE),IF(OR(AND(22500&lt;T495,T495&lt;25001),AND(50000&lt;T495,T495&lt;53501),AND(70000&lt;T495,T495&lt;72501)),$F495,IF(OR(AND(25001&lt;T495,T495&lt;27501),AND(53500&lt;T495,T495&lt;57001),AND(72500&lt;T495,T495&lt;75001)),$G495,IF(OR(AND(27500&lt;T495,T495&lt;30001),AND(57000&lt;T495,T495&lt;60001),AND(75000&lt;T495,T495&lt;77500)),$H495,VLOOKUP(T495,BDins,6,FALSE)))))</f>
        <v>5</v>
      </c>
      <c r="U497">
        <f>IF(U499&gt;10000,HLOOKUP(U499,$O495:T498,4,FALSE),IF(OR(AND(22500&lt;U495,U495&lt;25001),AND(50000&lt;U495,U495&lt;53501),AND(70000&lt;U495,U495&lt;72501)),$F495,IF(OR(AND(25001&lt;U495,U495&lt;27501),AND(53500&lt;U495,U495&lt;57001),AND(72500&lt;U495,U495&lt;75001)),$G495,IF(OR(AND(27500&lt;U495,U495&lt;30001),AND(57000&lt;U495,U495&lt;60001),AND(75000&lt;U495,U495&lt;77500)),$H495,VLOOKUP(U495,BDins,6,FALSE)))))</f>
        <v>18.57</v>
      </c>
    </row>
    <row r="498" spans="1:24" x14ac:dyDescent="0.2">
      <c r="O498">
        <f t="shared" ref="O498:U498" si="72">IF($K495&gt;0,ROUND(O496*$E495/100,DpCU),IF(O499&gt;10000,ROUND(HLOOKUP(O499,$O495:$U498,4,FALSE)/100*O496,DpCU),IF(OR(O495&lt;20001,O495&gt;95000,AND(60000&lt;O495,O495&lt;70001)),ROUND(ROUND(O496*JL/$C495,DcCU)*O497,DpCU),IF(OR(AND(20000&lt;O495,O495&lt;22501),AND(30000&lt;O495,O495&lt;50001),77500&lt;O495),ROUND(O497*O496,DpCU),IF(OR(AND(22500&lt;O495,O495&lt;25001),AND(50000&lt;O495,O495&lt;53501),AND(70000&lt;O495,O495&lt;72501)),ROUND($F495/100*O496,DpCU),IF(OR(AND(25000&lt;O495,O495&lt;27501),AND(53500&lt;O495,O495&lt;57001),AND(72500&lt;O495,O495&lt;75001)),ROUND($G495/100*O496,DpCU),ROUND($H495/100*O496,DpCU)))))))</f>
        <v>1.33</v>
      </c>
      <c r="P498">
        <f t="shared" si="72"/>
        <v>11.1</v>
      </c>
      <c r="Q498">
        <f t="shared" si="72"/>
        <v>6.14</v>
      </c>
      <c r="R498">
        <f t="shared" si="72"/>
        <v>2.78</v>
      </c>
      <c r="S498">
        <f t="shared" si="72"/>
        <v>0.68</v>
      </c>
      <c r="T498">
        <f t="shared" si="72"/>
        <v>0.02</v>
      </c>
      <c r="U498">
        <f t="shared" si="72"/>
        <v>0.93</v>
      </c>
    </row>
    <row r="499" spans="1:24" x14ac:dyDescent="0.2">
      <c r="B499" s="3" t="str">
        <f>A495&amp;"r"</f>
        <v>10099r</v>
      </c>
    </row>
    <row r="500" spans="1:24" x14ac:dyDescent="0.2">
      <c r="A500">
        <v>10100</v>
      </c>
      <c r="B500" s="3" t="s">
        <v>586</v>
      </c>
      <c r="C500" s="1">
        <f>ROUND(J500*JL*Frto/8,4)</f>
        <v>12</v>
      </c>
      <c r="D500" t="s">
        <v>210</v>
      </c>
      <c r="E500">
        <f>SUM($O503:$V503)</f>
        <v>32.86</v>
      </c>
      <c r="F500">
        <f>SUMIF($O500:$V500,"&lt;22501",$O503:$V503)</f>
        <v>23.22</v>
      </c>
      <c r="G500">
        <f>SUMIFS($O503:$V503,$O500:$V500,"&gt;30000",$O500:$V500,"&lt;50001")</f>
        <v>6.98</v>
      </c>
      <c r="H500">
        <f>SUMIFS($O503:$V503,$O500:$V500,"&gt;60000",$O500:$V500,"&lt;70001")</f>
        <v>0</v>
      </c>
      <c r="I500">
        <v>8</v>
      </c>
      <c r="J500">
        <v>12</v>
      </c>
      <c r="O500">
        <v>10001</v>
      </c>
      <c r="P500">
        <v>10002</v>
      </c>
      <c r="Q500">
        <v>10003</v>
      </c>
      <c r="R500">
        <v>30002</v>
      </c>
      <c r="S500">
        <v>30051</v>
      </c>
      <c r="T500">
        <v>30093</v>
      </c>
      <c r="U500">
        <v>70001</v>
      </c>
      <c r="V500">
        <v>77509</v>
      </c>
    </row>
    <row r="501" spans="1:24" x14ac:dyDescent="0.2">
      <c r="B501" s="3" t="str">
        <f>A500&amp;"C"</f>
        <v>10100C</v>
      </c>
      <c r="O501">
        <v>0.1</v>
      </c>
      <c r="P501">
        <v>1</v>
      </c>
      <c r="Q501">
        <v>0.75</v>
      </c>
      <c r="R501">
        <v>0.3</v>
      </c>
      <c r="S501">
        <v>2.1999999999999999E-2</v>
      </c>
      <c r="T501">
        <v>0.03</v>
      </c>
      <c r="U501">
        <v>5</v>
      </c>
      <c r="V501">
        <v>0.05</v>
      </c>
    </row>
    <row r="502" spans="1:24" x14ac:dyDescent="0.2">
      <c r="O502">
        <f>IF(O504&gt;10000,HLOOKUP(O504,N500:$O503,4,FALSE),IF(OR(AND(22500&lt;O500,O500&lt;25001),AND(50000&lt;O500,O500&lt;53501),AND(70000&lt;O500,O500&lt;72501)),$F500,IF(OR(AND(25001&lt;O500,O500&lt;27501),AND(53500&lt;O500,O500&lt;57001),AND(72500&lt;O500,O500&lt;75001)),$G500,IF(OR(AND(27500&lt;O500,O500&lt;30001),AND(57000&lt;O500,O500&lt;60001),AND(75000&lt;O500,O500&lt;77500)),$H500,VLOOKUP(O500,BDins,6,FALSE)))))</f>
        <v>24.97</v>
      </c>
      <c r="P502">
        <f>IF(P504&gt;10000,HLOOKUP(P504,O500:$O503,4,FALSE),IF(OR(AND(22500&lt;P500,P500&lt;25001),AND(50000&lt;P500,P500&lt;53501),AND(70000&lt;P500,P500&lt;72501)),$F500,IF(OR(AND(25001&lt;P500,P500&lt;27501),AND(53500&lt;P500,P500&lt;57001),AND(72500&lt;P500,P500&lt;75001)),$G500,IF(OR(AND(27500&lt;P500,P500&lt;30001),AND(57000&lt;P500,P500&lt;60001),AND(75000&lt;P500,P500&lt;77500)),$H500,VLOOKUP(P500,BDins,6,FALSE)))))</f>
        <v>20.81</v>
      </c>
      <c r="Q502">
        <f>IF(Q504&gt;10000,HLOOKUP(Q504,$O500:P503,4,FALSE),IF(OR(AND(22500&lt;Q500,Q500&lt;25001),AND(50000&lt;Q500,Q500&lt;53501),AND(70000&lt;Q500,Q500&lt;72501)),$F500,IF(OR(AND(25001&lt;Q500,Q500&lt;27501),AND(53500&lt;Q500,Q500&lt;57001),AND(72500&lt;Q500,Q500&lt;75001)),$G500,IF(OR(AND(27500&lt;Q500,Q500&lt;30001),AND(57000&lt;Q500,Q500&lt;60001),AND(75000&lt;Q500,Q500&lt;77500)),$H500,VLOOKUP(Q500,BDins,6,FALSE)))))</f>
        <v>15.36</v>
      </c>
      <c r="R502">
        <f>IF(R504&gt;10000,HLOOKUP(R504,$O500:Q503,4,FALSE),IF(OR(AND(22500&lt;R500,R500&lt;25001),AND(50000&lt;R500,R500&lt;53501),AND(70000&lt;R500,R500&lt;72501)),$F500,IF(OR(AND(25001&lt;R500,R500&lt;27501),AND(53500&lt;R500,R500&lt;57001),AND(72500&lt;R500,R500&lt;75001)),$G500,IF(OR(AND(27500&lt;R500,R500&lt;30001),AND(57000&lt;R500,R500&lt;60001),AND(75000&lt;R500,R500&lt;77500)),$H500,VLOOKUP(R500,BDins,6,FALSE)))))</f>
        <v>18.5</v>
      </c>
      <c r="S502">
        <f>IF(S504&gt;10000,HLOOKUP(S504,$O500:R503,4,FALSE),IF(OR(AND(22500&lt;S500,S500&lt;25001),AND(50000&lt;S500,S500&lt;53501),AND(70000&lt;S500,S500&lt;72501)),$F500,IF(OR(AND(25001&lt;S500,S500&lt;27501),AND(53500&lt;S500,S500&lt;57001),AND(72500&lt;S500,S500&lt;75001)),$G500,IF(OR(AND(27500&lt;S500,S500&lt;30001),AND(57000&lt;S500,S500&lt;60001),AND(75000&lt;S500,S500&lt;77500)),$H500,VLOOKUP(S500,BDins,6,FALSE)))))</f>
        <v>3.5</v>
      </c>
      <c r="T502">
        <f>IF(T504&gt;10000,HLOOKUP(T504,$O500:S503,4,FALSE),IF(OR(AND(22500&lt;T500,T500&lt;25001),AND(50000&lt;T500,T500&lt;53501),AND(70000&lt;T500,T500&lt;72501)),$F500,IF(OR(AND(25001&lt;T500,T500&lt;27501),AND(53500&lt;T500,T500&lt;57001),AND(72500&lt;T500,T500&lt;75001)),$G500,IF(OR(AND(27500&lt;T500,T500&lt;30001),AND(57000&lt;T500,T500&lt;60001),AND(75000&lt;T500,T500&lt;77500)),$H500,VLOOKUP(T500,BDins,6,FALSE)))))</f>
        <v>45</v>
      </c>
      <c r="U502">
        <f>IF(U504&gt;10000,HLOOKUP(U504,$O500:T503,4,FALSE),IF(OR(AND(22500&lt;U500,U500&lt;25001),AND(50000&lt;U500,U500&lt;53501),AND(70000&lt;U500,U500&lt;72501)),$F500,IF(OR(AND(25001&lt;U500,U500&lt;27501),AND(53500&lt;U500,U500&lt;57001),AND(72500&lt;U500,U500&lt;75001)),$G500,IF(OR(AND(27500&lt;U500,U500&lt;30001),AND(57000&lt;U500,U500&lt;60001),AND(75000&lt;U500,U500&lt;77500)),$H500,VLOOKUP(U500,BDins,6,FALSE)))))</f>
        <v>23.22</v>
      </c>
      <c r="V502">
        <f>IF(V504&gt;10000,HLOOKUP(V504,$O500:U503,4,FALSE),IF(OR(AND(22500&lt;V500,V500&lt;25001),AND(50000&lt;V500,V500&lt;53501),AND(70000&lt;V500,V500&lt;72501)),$F500,IF(OR(AND(25001&lt;V500,V500&lt;27501),AND(53500&lt;V500,V500&lt;57001),AND(72500&lt;V500,V500&lt;75001)),$G500,IF(OR(AND(27500&lt;V500,V500&lt;30001),AND(57000&lt;V500,V500&lt;60001),AND(75000&lt;V500,V500&lt;77500)),$H500,VLOOKUP(V500,BDins,6,FALSE)))))</f>
        <v>29.98</v>
      </c>
    </row>
    <row r="503" spans="1:24" x14ac:dyDescent="0.2">
      <c r="O503">
        <f t="shared" ref="O503:V503" si="73">IF($K500&gt;0,ROUND(O501*$E500/100,DpCU),IF(O504&gt;10000,ROUND(HLOOKUP(O504,$O500:$V503,4,FALSE)/100*O501,DpCU),IF(OR(O500&lt;20001,O500&gt;95000,AND(60000&lt;O500,O500&lt;70001)),ROUND(ROUND(O501*JL/$C500,DcCU)*O502,DpCU),IF(OR(AND(20000&lt;O500,O500&lt;22501),AND(30000&lt;O500,O500&lt;50001),77500&lt;O500),ROUND(O502*O501,DpCU),IF(OR(AND(22500&lt;O500,O500&lt;25001),AND(50000&lt;O500,O500&lt;53501),AND(70000&lt;O500,O500&lt;72501)),ROUND($F500/100*O501,DpCU),IF(OR(AND(25000&lt;O500,O500&lt;27501),AND(53500&lt;O500,O500&lt;57001),AND(72500&lt;O500,O500&lt;75001)),ROUND($G500/100*O501,DpCU),ROUND($H500/100*O501,DpCU)))))))</f>
        <v>1.67</v>
      </c>
      <c r="P503">
        <f t="shared" si="73"/>
        <v>13.87</v>
      </c>
      <c r="Q503">
        <f t="shared" si="73"/>
        <v>7.68</v>
      </c>
      <c r="R503">
        <f t="shared" si="73"/>
        <v>5.55</v>
      </c>
      <c r="S503">
        <f t="shared" si="73"/>
        <v>0.08</v>
      </c>
      <c r="T503">
        <f t="shared" si="73"/>
        <v>1.35</v>
      </c>
      <c r="U503">
        <f t="shared" si="73"/>
        <v>1.1599999999999999</v>
      </c>
      <c r="V503">
        <f t="shared" si="73"/>
        <v>1.5</v>
      </c>
    </row>
    <row r="504" spans="1:24" x14ac:dyDescent="0.2">
      <c r="B504" s="3" t="str">
        <f>A500&amp;"r"</f>
        <v>10100r</v>
      </c>
    </row>
    <row r="505" spans="1:24" x14ac:dyDescent="0.2">
      <c r="A505">
        <v>10101</v>
      </c>
      <c r="B505" s="3" t="s">
        <v>588</v>
      </c>
      <c r="C505" s="1">
        <f>ROUND(J505*JL*Frto/8,4)</f>
        <v>12</v>
      </c>
      <c r="D505" t="s">
        <v>210</v>
      </c>
      <c r="E505">
        <f>SUM($O508:$W508)</f>
        <v>34.130000000000003</v>
      </c>
      <c r="F505">
        <f>SUMIF($O505:$W505,"&lt;22501",$O508:$W508)</f>
        <v>23.22</v>
      </c>
      <c r="G505">
        <f>SUMIFS($O508:$W508,$O505:$W505,"&gt;30000",$O505:$W505,"&lt;50001")</f>
        <v>7.5</v>
      </c>
      <c r="H505">
        <f>SUMIFS($O508:$W508,$O505:$W505,"&gt;60000",$O505:$W505,"&lt;70001")</f>
        <v>0</v>
      </c>
      <c r="I505">
        <v>9</v>
      </c>
      <c r="J505">
        <v>12</v>
      </c>
      <c r="O505">
        <v>10001</v>
      </c>
      <c r="P505">
        <v>10002</v>
      </c>
      <c r="Q505">
        <v>10003</v>
      </c>
      <c r="R505">
        <v>30002</v>
      </c>
      <c r="S505">
        <v>30023</v>
      </c>
      <c r="T505">
        <v>30093</v>
      </c>
      <c r="U505">
        <v>70001</v>
      </c>
      <c r="V505">
        <v>77508</v>
      </c>
      <c r="W505">
        <v>77509</v>
      </c>
    </row>
    <row r="506" spans="1:24" x14ac:dyDescent="0.2">
      <c r="B506" s="3" t="str">
        <f>A505&amp;"C"</f>
        <v>10101C</v>
      </c>
      <c r="O506">
        <v>0.1</v>
      </c>
      <c r="P506">
        <v>1</v>
      </c>
      <c r="Q506">
        <v>0.75</v>
      </c>
      <c r="R506">
        <v>0.3</v>
      </c>
      <c r="S506">
        <v>4.0000000000000001E-3</v>
      </c>
      <c r="T506">
        <v>0.03</v>
      </c>
      <c r="U506">
        <v>5</v>
      </c>
      <c r="V506">
        <v>0.15</v>
      </c>
      <c r="W506">
        <v>0.05</v>
      </c>
    </row>
    <row r="507" spans="1:24" x14ac:dyDescent="0.2">
      <c r="O507">
        <f>IF(O509&gt;10000,HLOOKUP(O509,N505:$O508,4,FALSE),IF(OR(AND(22500&lt;O505,O505&lt;25001),AND(50000&lt;O505,O505&lt;53501),AND(70000&lt;O505,O505&lt;72501)),$F505,IF(OR(AND(25001&lt;O505,O505&lt;27501),AND(53500&lt;O505,O505&lt;57001),AND(72500&lt;O505,O505&lt;75001)),$G505,IF(OR(AND(27500&lt;O505,O505&lt;30001),AND(57000&lt;O505,O505&lt;60001),AND(75000&lt;O505,O505&lt;77500)),$H505,VLOOKUP(O505,BDins,6,FALSE)))))</f>
        <v>24.97</v>
      </c>
      <c r="P507">
        <f>IF(P509&gt;10000,HLOOKUP(P509,O505:$O508,4,FALSE),IF(OR(AND(22500&lt;P505,P505&lt;25001),AND(50000&lt;P505,P505&lt;53501),AND(70000&lt;P505,P505&lt;72501)),$F505,IF(OR(AND(25001&lt;P505,P505&lt;27501),AND(53500&lt;P505,P505&lt;57001),AND(72500&lt;P505,P505&lt;75001)),$G505,IF(OR(AND(27500&lt;P505,P505&lt;30001),AND(57000&lt;P505,P505&lt;60001),AND(75000&lt;P505,P505&lt;77500)),$H505,VLOOKUP(P505,BDins,6,FALSE)))))</f>
        <v>20.81</v>
      </c>
      <c r="Q507">
        <f>IF(Q509&gt;10000,HLOOKUP(Q509,$O505:P508,4,FALSE),IF(OR(AND(22500&lt;Q505,Q505&lt;25001),AND(50000&lt;Q505,Q505&lt;53501),AND(70000&lt;Q505,Q505&lt;72501)),$F505,IF(OR(AND(25001&lt;Q505,Q505&lt;27501),AND(53500&lt;Q505,Q505&lt;57001),AND(72500&lt;Q505,Q505&lt;75001)),$G505,IF(OR(AND(27500&lt;Q505,Q505&lt;30001),AND(57000&lt;Q505,Q505&lt;60001),AND(75000&lt;Q505,Q505&lt;77500)),$H505,VLOOKUP(Q505,BDins,6,FALSE)))))</f>
        <v>15.36</v>
      </c>
      <c r="R507">
        <f>IF(R509&gt;10000,HLOOKUP(R509,$O505:Q508,4,FALSE),IF(OR(AND(22500&lt;R505,R505&lt;25001),AND(50000&lt;R505,R505&lt;53501),AND(70000&lt;R505,R505&lt;72501)),$F505,IF(OR(AND(25001&lt;R505,R505&lt;27501),AND(53500&lt;R505,R505&lt;57001),AND(72500&lt;R505,R505&lt;75001)),$G505,IF(OR(AND(27500&lt;R505,R505&lt;30001),AND(57000&lt;R505,R505&lt;60001),AND(75000&lt;R505,R505&lt;77500)),$H505,VLOOKUP(R505,BDins,6,FALSE)))))</f>
        <v>18.5</v>
      </c>
      <c r="S507">
        <f>IF(S509&gt;10000,HLOOKUP(S509,$O505:R508,4,FALSE),IF(OR(AND(22500&lt;S505,S505&lt;25001),AND(50000&lt;S505,S505&lt;53501),AND(70000&lt;S505,S505&lt;72501)),$F505,IF(OR(AND(25001&lt;S505,S505&lt;27501),AND(53500&lt;S505,S505&lt;57001),AND(72500&lt;S505,S505&lt;75001)),$G505,IF(OR(AND(27500&lt;S505,S505&lt;30001),AND(57000&lt;S505,S505&lt;60001),AND(75000&lt;S505,S505&lt;77500)),$H505,VLOOKUP(S505,BDins,6,FALSE)))))</f>
        <v>150</v>
      </c>
      <c r="T507">
        <f>IF(T509&gt;10000,HLOOKUP(T509,$O505:S508,4,FALSE),IF(OR(AND(22500&lt;T505,T505&lt;25001),AND(50000&lt;T505,T505&lt;53501),AND(70000&lt;T505,T505&lt;72501)),$F505,IF(OR(AND(25001&lt;T505,T505&lt;27501),AND(53500&lt;T505,T505&lt;57001),AND(72500&lt;T505,T505&lt;75001)),$G505,IF(OR(AND(27500&lt;T505,T505&lt;30001),AND(57000&lt;T505,T505&lt;60001),AND(75000&lt;T505,T505&lt;77500)),$H505,VLOOKUP(T505,BDins,6,FALSE)))))</f>
        <v>45</v>
      </c>
      <c r="U507">
        <f>IF(U509&gt;10000,HLOOKUP(U509,$O505:T508,4,FALSE),IF(OR(AND(22500&lt;U505,U505&lt;25001),AND(50000&lt;U505,U505&lt;53501),AND(70000&lt;U505,U505&lt;72501)),$F505,IF(OR(AND(25001&lt;U505,U505&lt;27501),AND(53500&lt;U505,U505&lt;57001),AND(72500&lt;U505,U505&lt;75001)),$G505,IF(OR(AND(27500&lt;U505,U505&lt;30001),AND(57000&lt;U505,U505&lt;60001),AND(75000&lt;U505,U505&lt;77500)),$H505,VLOOKUP(U505,BDins,6,FALSE)))))</f>
        <v>23.22</v>
      </c>
      <c r="V507">
        <f>IF(V509&gt;10000,HLOOKUP(V509,$O505:U508,4,FALSE),IF(OR(AND(22500&lt;V505,V505&lt;25001),AND(50000&lt;V505,V505&lt;53501),AND(70000&lt;V505,V505&lt;72501)),$F505,IF(OR(AND(25001&lt;V505,V505&lt;27501),AND(53500&lt;V505,V505&lt;57001),AND(72500&lt;V505,V505&lt;75001)),$G505,IF(OR(AND(27500&lt;V505,V505&lt;30001),AND(57000&lt;V505,V505&lt;60001),AND(75000&lt;V505,V505&lt;77500)),$H505,VLOOKUP(V505,BDins,6,FALSE)))))</f>
        <v>5</v>
      </c>
      <c r="W507">
        <f>IF(W509&gt;10000,HLOOKUP(W509,$O505:V508,4,FALSE),IF(OR(AND(22500&lt;W505,W505&lt;25001),AND(50000&lt;W505,W505&lt;53501),AND(70000&lt;W505,W505&lt;72501)),$F505,IF(OR(AND(25001&lt;W505,W505&lt;27501),AND(53500&lt;W505,W505&lt;57001),AND(72500&lt;W505,W505&lt;75001)),$G505,IF(OR(AND(27500&lt;W505,W505&lt;30001),AND(57000&lt;W505,W505&lt;60001),AND(75000&lt;W505,W505&lt;77500)),$H505,VLOOKUP(W505,BDins,6,FALSE)))))</f>
        <v>29.98</v>
      </c>
    </row>
    <row r="508" spans="1:24" x14ac:dyDescent="0.2">
      <c r="O508">
        <f t="shared" ref="O508:W508" si="74">IF($K505&gt;0,ROUND(O506*$E505/100,DpCU),IF(O509&gt;10000,ROUND(HLOOKUP(O509,$O505:$W508,4,FALSE)/100*O506,DpCU),IF(OR(O505&lt;20001,O505&gt;95000,AND(60000&lt;O505,O505&lt;70001)),ROUND(ROUND(O506*JL/$C505,DcCU)*O507,DpCU),IF(OR(AND(20000&lt;O505,O505&lt;22501),AND(30000&lt;O505,O505&lt;50001),77500&lt;O505),ROUND(O507*O506,DpCU),IF(OR(AND(22500&lt;O505,O505&lt;25001),AND(50000&lt;O505,O505&lt;53501),AND(70000&lt;O505,O505&lt;72501)),ROUND($F505/100*O506,DpCU),IF(OR(AND(25000&lt;O505,O505&lt;27501),AND(53500&lt;O505,O505&lt;57001),AND(72500&lt;O505,O505&lt;75001)),ROUND($G505/100*O506,DpCU),ROUND($H505/100*O506,DpCU)))))))</f>
        <v>1.67</v>
      </c>
      <c r="P508">
        <f t="shared" si="74"/>
        <v>13.87</v>
      </c>
      <c r="Q508">
        <f t="shared" si="74"/>
        <v>7.68</v>
      </c>
      <c r="R508">
        <f t="shared" si="74"/>
        <v>5.55</v>
      </c>
      <c r="S508">
        <f t="shared" si="74"/>
        <v>0.6</v>
      </c>
      <c r="T508">
        <f t="shared" si="74"/>
        <v>1.35</v>
      </c>
      <c r="U508">
        <f t="shared" si="74"/>
        <v>1.1599999999999999</v>
      </c>
      <c r="V508">
        <f t="shared" si="74"/>
        <v>0.75</v>
      </c>
      <c r="W508">
        <f t="shared" si="74"/>
        <v>1.5</v>
      </c>
    </row>
    <row r="509" spans="1:24" x14ac:dyDescent="0.2">
      <c r="B509" s="3" t="str">
        <f>A505&amp;"r"</f>
        <v>10101r</v>
      </c>
    </row>
    <row r="510" spans="1:24" x14ac:dyDescent="0.2">
      <c r="A510">
        <v>10102</v>
      </c>
      <c r="B510" s="3" t="s">
        <v>590</v>
      </c>
      <c r="C510" s="1">
        <f>ROUND(J510*JL*Frto/8,4)</f>
        <v>12</v>
      </c>
      <c r="D510" t="s">
        <v>210</v>
      </c>
      <c r="E510">
        <f>SUM($O513:$X513)</f>
        <v>39.309999999999995</v>
      </c>
      <c r="F510">
        <f>SUMIF($O510:$X510,"&lt;22501",$O513:$X513)</f>
        <v>23.22</v>
      </c>
      <c r="G510">
        <f>SUMIFS($O513:$X513,$O510:$X510,"&gt;30000",$O510:$X510,"&lt;50001")</f>
        <v>14.48</v>
      </c>
      <c r="H510">
        <f>SUMIFS($O513:$X513,$O510:$X510,"&gt;60000",$O510:$X510,"&lt;70001")</f>
        <v>0</v>
      </c>
      <c r="I510">
        <v>10</v>
      </c>
      <c r="J510">
        <v>12</v>
      </c>
      <c r="O510">
        <v>10001</v>
      </c>
      <c r="P510">
        <v>10002</v>
      </c>
      <c r="Q510">
        <v>10003</v>
      </c>
      <c r="R510">
        <v>30023</v>
      </c>
      <c r="S510">
        <v>30056</v>
      </c>
      <c r="T510">
        <v>30058</v>
      </c>
      <c r="U510">
        <v>30093</v>
      </c>
      <c r="V510">
        <v>30095</v>
      </c>
      <c r="W510">
        <v>70001</v>
      </c>
      <c r="X510">
        <v>77509</v>
      </c>
    </row>
    <row r="511" spans="1:24" x14ac:dyDescent="0.2">
      <c r="B511" s="3" t="str">
        <f>A510&amp;"C"</f>
        <v>10102C</v>
      </c>
      <c r="O511">
        <v>0.1</v>
      </c>
      <c r="P511">
        <v>1</v>
      </c>
      <c r="Q511">
        <v>0.75</v>
      </c>
      <c r="R511">
        <v>8.9999999999999993E-3</v>
      </c>
      <c r="S511">
        <v>0.05</v>
      </c>
      <c r="T511">
        <v>0.4</v>
      </c>
      <c r="U511">
        <v>2.4E-2</v>
      </c>
      <c r="V511">
        <v>0.4</v>
      </c>
      <c r="W511">
        <v>5</v>
      </c>
      <c r="X511">
        <v>1.4999999999999999E-2</v>
      </c>
    </row>
    <row r="512" spans="1:24" x14ac:dyDescent="0.2">
      <c r="O512">
        <f>IF(O514&gt;10000,HLOOKUP(O514,N510:$O513,4,FALSE),IF(OR(AND(22500&lt;O510,O510&lt;25001),AND(50000&lt;O510,O510&lt;53501),AND(70000&lt;O510,O510&lt;72501)),$F510,IF(OR(AND(25001&lt;O510,O510&lt;27501),AND(53500&lt;O510,O510&lt;57001),AND(72500&lt;O510,O510&lt;75001)),$G510,IF(OR(AND(27500&lt;O510,O510&lt;30001),AND(57000&lt;O510,O510&lt;60001),AND(75000&lt;O510,O510&lt;77500)),$H510,VLOOKUP(O510,BDins,6,FALSE)))))</f>
        <v>24.97</v>
      </c>
      <c r="P512">
        <f>IF(P514&gt;10000,HLOOKUP(P514,O510:$O513,4,FALSE),IF(OR(AND(22500&lt;P510,P510&lt;25001),AND(50000&lt;P510,P510&lt;53501),AND(70000&lt;P510,P510&lt;72501)),$F510,IF(OR(AND(25001&lt;P510,P510&lt;27501),AND(53500&lt;P510,P510&lt;57001),AND(72500&lt;P510,P510&lt;75001)),$G510,IF(OR(AND(27500&lt;P510,P510&lt;30001),AND(57000&lt;P510,P510&lt;60001),AND(75000&lt;P510,P510&lt;77500)),$H510,VLOOKUP(P510,BDins,6,FALSE)))))</f>
        <v>20.81</v>
      </c>
      <c r="Q512">
        <f>IF(Q514&gt;10000,HLOOKUP(Q514,$O510:P513,4,FALSE),IF(OR(AND(22500&lt;Q510,Q510&lt;25001),AND(50000&lt;Q510,Q510&lt;53501),AND(70000&lt;Q510,Q510&lt;72501)),$F510,IF(OR(AND(25001&lt;Q510,Q510&lt;27501),AND(53500&lt;Q510,Q510&lt;57001),AND(72500&lt;Q510,Q510&lt;75001)),$G510,IF(OR(AND(27500&lt;Q510,Q510&lt;30001),AND(57000&lt;Q510,Q510&lt;60001),AND(75000&lt;Q510,Q510&lt;77500)),$H510,VLOOKUP(Q510,BDins,6,FALSE)))))</f>
        <v>15.36</v>
      </c>
      <c r="R512">
        <f>IF(R514&gt;10000,HLOOKUP(R514,$O510:Q513,4,FALSE),IF(OR(AND(22500&lt;R510,R510&lt;25001),AND(50000&lt;R510,R510&lt;53501),AND(70000&lt;R510,R510&lt;72501)),$F510,IF(OR(AND(25001&lt;R510,R510&lt;27501),AND(53500&lt;R510,R510&lt;57001),AND(72500&lt;R510,R510&lt;75001)),$G510,IF(OR(AND(27500&lt;R510,R510&lt;30001),AND(57000&lt;R510,R510&lt;60001),AND(75000&lt;R510,R510&lt;77500)),$H510,VLOOKUP(R510,BDins,6,FALSE)))))</f>
        <v>150</v>
      </c>
      <c r="S512">
        <f>IF(S514&gt;10000,HLOOKUP(S514,$O510:R513,4,FALSE),IF(OR(AND(22500&lt;S510,S510&lt;25001),AND(50000&lt;S510,S510&lt;53501),AND(70000&lt;S510,S510&lt;72501)),$F510,IF(OR(AND(25001&lt;S510,S510&lt;27501),AND(53500&lt;S510,S510&lt;57001),AND(72500&lt;S510,S510&lt;75001)),$G510,IF(OR(AND(27500&lt;S510,S510&lt;30001),AND(57000&lt;S510,S510&lt;60001),AND(75000&lt;S510,S510&lt;77500)),$H510,VLOOKUP(S510,BDins,6,FALSE)))))</f>
        <v>45</v>
      </c>
      <c r="T512">
        <f>IF(T514&gt;10000,HLOOKUP(T514,$O510:S513,4,FALSE),IF(OR(AND(22500&lt;T510,T510&lt;25001),AND(50000&lt;T510,T510&lt;53501),AND(70000&lt;T510,T510&lt;72501)),$F510,IF(OR(AND(25001&lt;T510,T510&lt;27501),AND(53500&lt;T510,T510&lt;57001),AND(72500&lt;T510,T510&lt;75001)),$G510,IF(OR(AND(27500&lt;T510,T510&lt;30001),AND(57000&lt;T510,T510&lt;60001),AND(75000&lt;T510,T510&lt;77500)),$H510,VLOOKUP(T510,BDins,6,FALSE)))))</f>
        <v>18.5</v>
      </c>
      <c r="U512">
        <f>IF(U514&gt;10000,HLOOKUP(U514,$O510:T513,4,FALSE),IF(OR(AND(22500&lt;U510,U510&lt;25001),AND(50000&lt;U510,U510&lt;53501),AND(70000&lt;U510,U510&lt;72501)),$F510,IF(OR(AND(25001&lt;U510,U510&lt;27501),AND(53500&lt;U510,U510&lt;57001),AND(72500&lt;U510,U510&lt;75001)),$G510,IF(OR(AND(27500&lt;U510,U510&lt;30001),AND(57000&lt;U510,U510&lt;60001),AND(75000&lt;U510,U510&lt;77500)),$H510,VLOOKUP(U510,BDins,6,FALSE)))))</f>
        <v>45</v>
      </c>
      <c r="V512">
        <f>IF(V514&gt;10000,HLOOKUP(V514,$O510:U513,4,FALSE),IF(OR(AND(22500&lt;V510,V510&lt;25001),AND(50000&lt;V510,V510&lt;53501),AND(70000&lt;V510,V510&lt;72501)),$F510,IF(OR(AND(25001&lt;V510,V510&lt;27501),AND(53500&lt;V510,V510&lt;57001),AND(72500&lt;V510,V510&lt;75001)),$G510,IF(OR(AND(27500&lt;V510,V510&lt;30001),AND(57000&lt;V510,V510&lt;60001),AND(75000&lt;V510,V510&lt;77500)),$H510,VLOOKUP(V510,BDins,6,FALSE)))))</f>
        <v>6</v>
      </c>
      <c r="W512">
        <f>IF(W514&gt;10000,HLOOKUP(W514,$O510:V513,4,FALSE),IF(OR(AND(22500&lt;W510,W510&lt;25001),AND(50000&lt;W510,W510&lt;53501),AND(70000&lt;W510,W510&lt;72501)),$F510,IF(OR(AND(25001&lt;W510,W510&lt;27501),AND(53500&lt;W510,W510&lt;57001),AND(72500&lt;W510,W510&lt;75001)),$G510,IF(OR(AND(27500&lt;W510,W510&lt;30001),AND(57000&lt;W510,W510&lt;60001),AND(75000&lt;W510,W510&lt;77500)),$H510,VLOOKUP(W510,BDins,6,FALSE)))))</f>
        <v>23.22</v>
      </c>
      <c r="X512">
        <f>IF(X514&gt;10000,HLOOKUP(X514,$O510:W513,4,FALSE),IF(OR(AND(22500&lt;X510,X510&lt;25001),AND(50000&lt;X510,X510&lt;53501),AND(70000&lt;X510,X510&lt;72501)),$F510,IF(OR(AND(25001&lt;X510,X510&lt;27501),AND(53500&lt;X510,X510&lt;57001),AND(72500&lt;X510,X510&lt;75001)),$G510,IF(OR(AND(27500&lt;X510,X510&lt;30001),AND(57000&lt;X510,X510&lt;60001),AND(75000&lt;X510,X510&lt;77500)),$H510,VLOOKUP(X510,BDins,6,FALSE)))))</f>
        <v>29.98</v>
      </c>
    </row>
    <row r="513" spans="1:24" x14ac:dyDescent="0.2">
      <c r="O513">
        <f t="shared" ref="O513:X513" si="75">IF($K510&gt;0,ROUND(O511*$E510/100,DpCU),IF(O514&gt;10000,ROUND(HLOOKUP(O514,$O510:$X513,4,FALSE)/100*O511,DpCU),IF(OR(O510&lt;20001,O510&gt;95000,AND(60000&lt;O510,O510&lt;70001)),ROUND(ROUND(O511*JL/$C510,DcCU)*O512,DpCU),IF(OR(AND(20000&lt;O510,O510&lt;22501),AND(30000&lt;O510,O510&lt;50001),77500&lt;O510),ROUND(O512*O511,DpCU),IF(OR(AND(22500&lt;O510,O510&lt;25001),AND(50000&lt;O510,O510&lt;53501),AND(70000&lt;O510,O510&lt;72501)),ROUND($F510/100*O511,DpCU),IF(OR(AND(25000&lt;O510,O510&lt;27501),AND(53500&lt;O510,O510&lt;57001),AND(72500&lt;O510,O510&lt;75001)),ROUND($G510/100*O511,DpCU),ROUND($H510/100*O511,DpCU)))))))</f>
        <v>1.67</v>
      </c>
      <c r="P513">
        <f t="shared" si="75"/>
        <v>13.87</v>
      </c>
      <c r="Q513">
        <f t="shared" si="75"/>
        <v>7.68</v>
      </c>
      <c r="R513">
        <f t="shared" si="75"/>
        <v>1.35</v>
      </c>
      <c r="S513">
        <f t="shared" si="75"/>
        <v>2.25</v>
      </c>
      <c r="T513">
        <f t="shared" si="75"/>
        <v>7.4</v>
      </c>
      <c r="U513">
        <f t="shared" si="75"/>
        <v>1.08</v>
      </c>
      <c r="V513">
        <f t="shared" si="75"/>
        <v>2.4</v>
      </c>
      <c r="W513">
        <f t="shared" si="75"/>
        <v>1.1599999999999999</v>
      </c>
      <c r="X513">
        <f t="shared" si="75"/>
        <v>0.45</v>
      </c>
    </row>
    <row r="514" spans="1:24" x14ac:dyDescent="0.2">
      <c r="B514" s="3" t="str">
        <f>A510&amp;"r"</f>
        <v>10102r</v>
      </c>
    </row>
    <row r="515" spans="1:24" x14ac:dyDescent="0.2">
      <c r="A515">
        <v>10103</v>
      </c>
      <c r="B515" s="3" t="s">
        <v>593</v>
      </c>
      <c r="C515" s="1">
        <f>ROUND(J515*JL*Frto/8,4)</f>
        <v>25</v>
      </c>
      <c r="D515" t="s">
        <v>194</v>
      </c>
      <c r="E515">
        <f>SUM($O518:$U518)</f>
        <v>13.959999999999999</v>
      </c>
      <c r="F515">
        <f>SUMIF($O515:$U515,"&lt;22501",$O518:$U518)</f>
        <v>11.15</v>
      </c>
      <c r="G515">
        <f>SUMIFS($O518:$U518,$O515:$U515,"&gt;30000",$O515:$U515,"&lt;50001")</f>
        <v>1.31</v>
      </c>
      <c r="H515">
        <f>SUMIFS($O518:$U518,$O515:$U515,"&gt;60000",$O515:$U515,"&lt;70001")</f>
        <v>0</v>
      </c>
      <c r="I515">
        <v>7</v>
      </c>
      <c r="J515">
        <v>25</v>
      </c>
      <c r="O515">
        <v>10001</v>
      </c>
      <c r="P515">
        <v>10002</v>
      </c>
      <c r="Q515">
        <v>10003</v>
      </c>
      <c r="R515">
        <v>30002</v>
      </c>
      <c r="S515">
        <v>30093</v>
      </c>
      <c r="T515">
        <v>70001</v>
      </c>
      <c r="U515">
        <v>77509</v>
      </c>
    </row>
    <row r="516" spans="1:24" x14ac:dyDescent="0.2">
      <c r="B516" s="3" t="str">
        <f>A515&amp;"C"</f>
        <v>10103C</v>
      </c>
      <c r="O516">
        <v>0.1</v>
      </c>
      <c r="P516">
        <v>1</v>
      </c>
      <c r="Q516">
        <v>0.75</v>
      </c>
      <c r="R516">
        <v>0.06</v>
      </c>
      <c r="S516">
        <v>4.4000000000000003E-3</v>
      </c>
      <c r="T516">
        <v>5</v>
      </c>
      <c r="U516">
        <v>3.125E-2</v>
      </c>
    </row>
    <row r="517" spans="1:24" x14ac:dyDescent="0.2">
      <c r="O517">
        <f>IF(O519&gt;10000,HLOOKUP(O519,N515:$O518,4,FALSE),IF(OR(AND(22500&lt;O515,O515&lt;25001),AND(50000&lt;O515,O515&lt;53501),AND(70000&lt;O515,O515&lt;72501)),$F515,IF(OR(AND(25001&lt;O515,O515&lt;27501),AND(53500&lt;O515,O515&lt;57001),AND(72500&lt;O515,O515&lt;75001)),$G515,IF(OR(AND(27500&lt;O515,O515&lt;30001),AND(57000&lt;O515,O515&lt;60001),AND(75000&lt;O515,O515&lt;77500)),$H515,VLOOKUP(O515,BDins,6,FALSE)))))</f>
        <v>24.97</v>
      </c>
      <c r="P517">
        <f>IF(P519&gt;10000,HLOOKUP(P519,O515:$O518,4,FALSE),IF(OR(AND(22500&lt;P515,P515&lt;25001),AND(50000&lt;P515,P515&lt;53501),AND(70000&lt;P515,P515&lt;72501)),$F515,IF(OR(AND(25001&lt;P515,P515&lt;27501),AND(53500&lt;P515,P515&lt;57001),AND(72500&lt;P515,P515&lt;75001)),$G515,IF(OR(AND(27500&lt;P515,P515&lt;30001),AND(57000&lt;P515,P515&lt;60001),AND(75000&lt;P515,P515&lt;77500)),$H515,VLOOKUP(P515,BDins,6,FALSE)))))</f>
        <v>20.81</v>
      </c>
      <c r="Q517">
        <f>IF(Q519&gt;10000,HLOOKUP(Q519,$O515:P518,4,FALSE),IF(OR(AND(22500&lt;Q515,Q515&lt;25001),AND(50000&lt;Q515,Q515&lt;53501),AND(70000&lt;Q515,Q515&lt;72501)),$F515,IF(OR(AND(25001&lt;Q515,Q515&lt;27501),AND(53500&lt;Q515,Q515&lt;57001),AND(72500&lt;Q515,Q515&lt;75001)),$G515,IF(OR(AND(27500&lt;Q515,Q515&lt;30001),AND(57000&lt;Q515,Q515&lt;60001),AND(75000&lt;Q515,Q515&lt;77500)),$H515,VLOOKUP(Q515,BDins,6,FALSE)))))</f>
        <v>15.36</v>
      </c>
      <c r="R517">
        <f>IF(R519&gt;10000,HLOOKUP(R519,$O515:Q518,4,FALSE),IF(OR(AND(22500&lt;R515,R515&lt;25001),AND(50000&lt;R515,R515&lt;53501),AND(70000&lt;R515,R515&lt;72501)),$F515,IF(OR(AND(25001&lt;R515,R515&lt;27501),AND(53500&lt;R515,R515&lt;57001),AND(72500&lt;R515,R515&lt;75001)),$G515,IF(OR(AND(27500&lt;R515,R515&lt;30001),AND(57000&lt;R515,R515&lt;60001),AND(75000&lt;R515,R515&lt;77500)),$H515,VLOOKUP(R515,BDins,6,FALSE)))))</f>
        <v>18.5</v>
      </c>
      <c r="S517">
        <f>IF(S519&gt;10000,HLOOKUP(S519,$O515:R518,4,FALSE),IF(OR(AND(22500&lt;S515,S515&lt;25001),AND(50000&lt;S515,S515&lt;53501),AND(70000&lt;S515,S515&lt;72501)),$F515,IF(OR(AND(25001&lt;S515,S515&lt;27501),AND(53500&lt;S515,S515&lt;57001),AND(72500&lt;S515,S515&lt;75001)),$G515,IF(OR(AND(27500&lt;S515,S515&lt;30001),AND(57000&lt;S515,S515&lt;60001),AND(75000&lt;S515,S515&lt;77500)),$H515,VLOOKUP(S515,BDins,6,FALSE)))))</f>
        <v>45</v>
      </c>
      <c r="T517">
        <f>IF(T519&gt;10000,HLOOKUP(T519,$O515:S518,4,FALSE),IF(OR(AND(22500&lt;T515,T515&lt;25001),AND(50000&lt;T515,T515&lt;53501),AND(70000&lt;T515,T515&lt;72501)),$F515,IF(OR(AND(25001&lt;T515,T515&lt;27501),AND(53500&lt;T515,T515&lt;57001),AND(72500&lt;T515,T515&lt;75001)),$G515,IF(OR(AND(27500&lt;T515,T515&lt;30001),AND(57000&lt;T515,T515&lt;60001),AND(75000&lt;T515,T515&lt;77500)),$H515,VLOOKUP(T515,BDins,6,FALSE)))))</f>
        <v>11.15</v>
      </c>
      <c r="U517">
        <f>IF(U519&gt;10000,HLOOKUP(U519,$O515:T518,4,FALSE),IF(OR(AND(22500&lt;U515,U515&lt;25001),AND(50000&lt;U515,U515&lt;53501),AND(70000&lt;U515,U515&lt;72501)),$F515,IF(OR(AND(25001&lt;U515,U515&lt;27501),AND(53500&lt;U515,U515&lt;57001),AND(72500&lt;U515,U515&lt;75001)),$G515,IF(OR(AND(27500&lt;U515,U515&lt;30001),AND(57000&lt;U515,U515&lt;60001),AND(75000&lt;U515,U515&lt;77500)),$H515,VLOOKUP(U515,BDins,6,FALSE)))))</f>
        <v>29.98</v>
      </c>
    </row>
    <row r="518" spans="1:24" x14ac:dyDescent="0.2">
      <c r="O518">
        <f t="shared" ref="O518:U518" si="76">IF($K515&gt;0,ROUND(O516*$E515/100,DpCU),IF(O519&gt;10000,ROUND(HLOOKUP(O519,$O515:$U518,4,FALSE)/100*O516,DpCU),IF(OR(O515&lt;20001,O515&gt;95000,AND(60000&lt;O515,O515&lt;70001)),ROUND(ROUND(O516*JL/$C515,DcCU)*O517,DpCU),IF(OR(AND(20000&lt;O515,O515&lt;22501),AND(30000&lt;O515,O515&lt;50001),77500&lt;O515),ROUND(O517*O516,DpCU),IF(OR(AND(22500&lt;O515,O515&lt;25001),AND(50000&lt;O515,O515&lt;53501),AND(70000&lt;O515,O515&lt;72501)),ROUND($F515/100*O516,DpCU),IF(OR(AND(25000&lt;O515,O515&lt;27501),AND(53500&lt;O515,O515&lt;57001),AND(72500&lt;O515,O515&lt;75001)),ROUND($G515/100*O516,DpCU),ROUND($H515/100*O516,DpCU)))))))</f>
        <v>0.8</v>
      </c>
      <c r="P518">
        <f t="shared" si="76"/>
        <v>6.66</v>
      </c>
      <c r="Q518">
        <f t="shared" si="76"/>
        <v>3.69</v>
      </c>
      <c r="R518">
        <f t="shared" si="76"/>
        <v>1.1100000000000001</v>
      </c>
      <c r="S518">
        <f t="shared" si="76"/>
        <v>0.2</v>
      </c>
      <c r="T518">
        <f t="shared" si="76"/>
        <v>0.56000000000000005</v>
      </c>
      <c r="U518">
        <f t="shared" si="76"/>
        <v>0.94</v>
      </c>
    </row>
    <row r="519" spans="1:24" x14ac:dyDescent="0.2">
      <c r="B519" s="3" t="str">
        <f>A515&amp;"r"</f>
        <v>10103r</v>
      </c>
    </row>
    <row r="520" spans="1:24" x14ac:dyDescent="0.2">
      <c r="A520">
        <v>10104</v>
      </c>
      <c r="B520" s="3" t="s">
        <v>595</v>
      </c>
      <c r="C520" s="1">
        <f>ROUND(J520*JL*Frto/8,4)</f>
        <v>150</v>
      </c>
      <c r="D520" t="s">
        <v>194</v>
      </c>
      <c r="E520">
        <f>SUM($O523:$T523)</f>
        <v>2.52</v>
      </c>
      <c r="F520">
        <f>SUMIF($O520:$T520,"&lt;22501",$O523:$T523)</f>
        <v>1.6500000000000001</v>
      </c>
      <c r="G520">
        <f>SUMIFS($O523:$T523,$O520:$T520,"&gt;30000",$O520:$T520,"&lt;50001")</f>
        <v>0.79</v>
      </c>
      <c r="H520">
        <f>SUMIFS($O523:$T523,$O520:$T520,"&gt;60000",$O520:$T520,"&lt;70001")</f>
        <v>0</v>
      </c>
      <c r="I520">
        <v>6</v>
      </c>
      <c r="J520">
        <v>150</v>
      </c>
      <c r="O520">
        <v>10001</v>
      </c>
      <c r="P520">
        <v>10002</v>
      </c>
      <c r="Q520">
        <v>10003</v>
      </c>
      <c r="R520">
        <v>30002</v>
      </c>
      <c r="S520">
        <v>30023</v>
      </c>
      <c r="T520">
        <v>70001</v>
      </c>
    </row>
    <row r="521" spans="1:24" x14ac:dyDescent="0.2">
      <c r="B521" s="3" t="str">
        <f>A520&amp;"C"</f>
        <v>10104C</v>
      </c>
      <c r="O521">
        <v>0.1</v>
      </c>
      <c r="P521">
        <v>1</v>
      </c>
      <c r="Q521">
        <v>0.5</v>
      </c>
      <c r="R521">
        <v>0.01</v>
      </c>
      <c r="S521">
        <v>4.0000000000000001E-3</v>
      </c>
      <c r="T521">
        <v>5</v>
      </c>
    </row>
    <row r="522" spans="1:24" x14ac:dyDescent="0.2">
      <c r="O522">
        <f>IF(O524&gt;10000,HLOOKUP(O524,N520:$O523,4,FALSE),IF(OR(AND(22500&lt;O520,O520&lt;25001),AND(50000&lt;O520,O520&lt;53501),AND(70000&lt;O520,O520&lt;72501)),$F520,IF(OR(AND(25001&lt;O520,O520&lt;27501),AND(53500&lt;O520,O520&lt;57001),AND(72500&lt;O520,O520&lt;75001)),$G520,IF(OR(AND(27500&lt;O520,O520&lt;30001),AND(57000&lt;O520,O520&lt;60001),AND(75000&lt;O520,O520&lt;77500)),$H520,VLOOKUP(O520,BDins,6,FALSE)))))</f>
        <v>24.97</v>
      </c>
      <c r="P522">
        <f>IF(P524&gt;10000,HLOOKUP(P524,O520:$O523,4,FALSE),IF(OR(AND(22500&lt;P520,P520&lt;25001),AND(50000&lt;P520,P520&lt;53501),AND(70000&lt;P520,P520&lt;72501)),$F520,IF(OR(AND(25001&lt;P520,P520&lt;27501),AND(53500&lt;P520,P520&lt;57001),AND(72500&lt;P520,P520&lt;75001)),$G520,IF(OR(AND(27500&lt;P520,P520&lt;30001),AND(57000&lt;P520,P520&lt;60001),AND(75000&lt;P520,P520&lt;77500)),$H520,VLOOKUP(P520,BDins,6,FALSE)))))</f>
        <v>20.81</v>
      </c>
      <c r="Q522">
        <f>IF(Q524&gt;10000,HLOOKUP(Q524,$O520:P523,4,FALSE),IF(OR(AND(22500&lt;Q520,Q520&lt;25001),AND(50000&lt;Q520,Q520&lt;53501),AND(70000&lt;Q520,Q520&lt;72501)),$F520,IF(OR(AND(25001&lt;Q520,Q520&lt;27501),AND(53500&lt;Q520,Q520&lt;57001),AND(72500&lt;Q520,Q520&lt;75001)),$G520,IF(OR(AND(27500&lt;Q520,Q520&lt;30001),AND(57000&lt;Q520,Q520&lt;60001),AND(75000&lt;Q520,Q520&lt;77500)),$H520,VLOOKUP(Q520,BDins,6,FALSE)))))</f>
        <v>15.36</v>
      </c>
      <c r="R522">
        <f>IF(R524&gt;10000,HLOOKUP(R524,$O520:Q523,4,FALSE),IF(OR(AND(22500&lt;R520,R520&lt;25001),AND(50000&lt;R520,R520&lt;53501),AND(70000&lt;R520,R520&lt;72501)),$F520,IF(OR(AND(25001&lt;R520,R520&lt;27501),AND(53500&lt;R520,R520&lt;57001),AND(72500&lt;R520,R520&lt;75001)),$G520,IF(OR(AND(27500&lt;R520,R520&lt;30001),AND(57000&lt;R520,R520&lt;60001),AND(75000&lt;R520,R520&lt;77500)),$H520,VLOOKUP(R520,BDins,6,FALSE)))))</f>
        <v>18.5</v>
      </c>
      <c r="S522">
        <f>IF(S524&gt;10000,HLOOKUP(S524,$O520:R523,4,FALSE),IF(OR(AND(22500&lt;S520,S520&lt;25001),AND(50000&lt;S520,S520&lt;53501),AND(70000&lt;S520,S520&lt;72501)),$F520,IF(OR(AND(25001&lt;S520,S520&lt;27501),AND(53500&lt;S520,S520&lt;57001),AND(72500&lt;S520,S520&lt;75001)),$G520,IF(OR(AND(27500&lt;S520,S520&lt;30001),AND(57000&lt;S520,S520&lt;60001),AND(75000&lt;S520,S520&lt;77500)),$H520,VLOOKUP(S520,BDins,6,FALSE)))))</f>
        <v>150</v>
      </c>
      <c r="T522">
        <f>IF(T524&gt;10000,HLOOKUP(T524,$O520:S523,4,FALSE),IF(OR(AND(22500&lt;T520,T520&lt;25001),AND(50000&lt;T520,T520&lt;53501),AND(70000&lt;T520,T520&lt;72501)),$F520,IF(OR(AND(25001&lt;T520,T520&lt;27501),AND(53500&lt;T520,T520&lt;57001),AND(72500&lt;T520,T520&lt;75001)),$G520,IF(OR(AND(27500&lt;T520,T520&lt;30001),AND(57000&lt;T520,T520&lt;60001),AND(75000&lt;T520,T520&lt;77500)),$H520,VLOOKUP(T520,BDins,6,FALSE)))))</f>
        <v>1.6500000000000001</v>
      </c>
    </row>
    <row r="523" spans="1:24" x14ac:dyDescent="0.2">
      <c r="O523">
        <f t="shared" ref="O523:T523" si="77">IF($K520&gt;0,ROUND(O521*$E520/100,DpCU),IF(O524&gt;10000,ROUND(HLOOKUP(O524,$O520:$T523,4,FALSE)/100*O521,DpCU),IF(OR(O520&lt;20001,O520&gt;95000,AND(60000&lt;O520,O520&lt;70001)),ROUND(ROUND(O521*JL/$C520,DcCU)*O522,DpCU),IF(OR(AND(20000&lt;O520,O520&lt;22501),AND(30000&lt;O520,O520&lt;50001),77500&lt;O520),ROUND(O522*O521,DpCU),IF(OR(AND(22500&lt;O520,O520&lt;25001),AND(50000&lt;O520,O520&lt;53501),AND(70000&lt;O520,O520&lt;72501)),ROUND($F520/100*O521,DpCU),IF(OR(AND(25000&lt;O520,O520&lt;27501),AND(53500&lt;O520,O520&lt;57001),AND(72500&lt;O520,O520&lt;75001)),ROUND($G520/100*O521,DpCU),ROUND($H520/100*O521,DpCU)))))))</f>
        <v>0.13</v>
      </c>
      <c r="P523">
        <f t="shared" si="77"/>
        <v>1.1100000000000001</v>
      </c>
      <c r="Q523">
        <f t="shared" si="77"/>
        <v>0.41</v>
      </c>
      <c r="R523">
        <f t="shared" si="77"/>
        <v>0.19</v>
      </c>
      <c r="S523">
        <f t="shared" si="77"/>
        <v>0.6</v>
      </c>
      <c r="T523">
        <f t="shared" si="77"/>
        <v>0.08</v>
      </c>
    </row>
    <row r="524" spans="1:24" x14ac:dyDescent="0.2">
      <c r="B524" s="3" t="str">
        <f>A520&amp;"r"</f>
        <v>10104r</v>
      </c>
    </row>
    <row r="525" spans="1:24" x14ac:dyDescent="0.2">
      <c r="A525">
        <v>10105</v>
      </c>
      <c r="B525" s="3" t="s">
        <v>597</v>
      </c>
      <c r="C525" s="1">
        <f>ROUND(J525*JL*Frto/8,4)</f>
        <v>100</v>
      </c>
      <c r="D525" t="s">
        <v>194</v>
      </c>
      <c r="E525">
        <f>SUM($O528:$T528)</f>
        <v>3.38</v>
      </c>
      <c r="F525">
        <f>SUMIF($O525:$T525,"&lt;22501",$O528:$T528)</f>
        <v>2.4699999999999998</v>
      </c>
      <c r="G525">
        <f>SUMIFS($O528:$T528,$O525:$T525,"&gt;30000",$O525:$T525,"&lt;50001")</f>
        <v>0.79</v>
      </c>
      <c r="H525">
        <f>SUMIFS($O528:$T528,$O525:$T525,"&gt;60000",$O525:$T525,"&lt;70001")</f>
        <v>0</v>
      </c>
      <c r="I525">
        <v>6</v>
      </c>
      <c r="J525">
        <v>100</v>
      </c>
      <c r="O525">
        <v>10001</v>
      </c>
      <c r="P525">
        <v>10002</v>
      </c>
      <c r="Q525">
        <v>10003</v>
      </c>
      <c r="R525">
        <v>30002</v>
      </c>
      <c r="S525">
        <v>30023</v>
      </c>
      <c r="T525">
        <v>70001</v>
      </c>
    </row>
    <row r="526" spans="1:24" x14ac:dyDescent="0.2">
      <c r="B526" s="3" t="str">
        <f>A525&amp;"C"</f>
        <v>10105C</v>
      </c>
      <c r="O526">
        <v>0.1</v>
      </c>
      <c r="P526">
        <v>1</v>
      </c>
      <c r="Q526">
        <v>0.5</v>
      </c>
      <c r="R526">
        <v>0.01</v>
      </c>
      <c r="S526">
        <v>4.0000000000000001E-3</v>
      </c>
      <c r="T526">
        <v>5</v>
      </c>
    </row>
    <row r="527" spans="1:24" x14ac:dyDescent="0.2">
      <c r="O527">
        <f>IF(O529&gt;10000,HLOOKUP(O529,N525:$O528,4,FALSE),IF(OR(AND(22500&lt;O525,O525&lt;25001),AND(50000&lt;O525,O525&lt;53501),AND(70000&lt;O525,O525&lt;72501)),$F525,IF(OR(AND(25001&lt;O525,O525&lt;27501),AND(53500&lt;O525,O525&lt;57001),AND(72500&lt;O525,O525&lt;75001)),$G525,IF(OR(AND(27500&lt;O525,O525&lt;30001),AND(57000&lt;O525,O525&lt;60001),AND(75000&lt;O525,O525&lt;77500)),$H525,VLOOKUP(O525,BDins,6,FALSE)))))</f>
        <v>24.97</v>
      </c>
      <c r="P527">
        <f>IF(P529&gt;10000,HLOOKUP(P529,O525:$O528,4,FALSE),IF(OR(AND(22500&lt;P525,P525&lt;25001),AND(50000&lt;P525,P525&lt;53501),AND(70000&lt;P525,P525&lt;72501)),$F525,IF(OR(AND(25001&lt;P525,P525&lt;27501),AND(53500&lt;P525,P525&lt;57001),AND(72500&lt;P525,P525&lt;75001)),$G525,IF(OR(AND(27500&lt;P525,P525&lt;30001),AND(57000&lt;P525,P525&lt;60001),AND(75000&lt;P525,P525&lt;77500)),$H525,VLOOKUP(P525,BDins,6,FALSE)))))</f>
        <v>20.81</v>
      </c>
      <c r="Q527">
        <f>IF(Q529&gt;10000,HLOOKUP(Q529,$O525:P528,4,FALSE),IF(OR(AND(22500&lt;Q525,Q525&lt;25001),AND(50000&lt;Q525,Q525&lt;53501),AND(70000&lt;Q525,Q525&lt;72501)),$F525,IF(OR(AND(25001&lt;Q525,Q525&lt;27501),AND(53500&lt;Q525,Q525&lt;57001),AND(72500&lt;Q525,Q525&lt;75001)),$G525,IF(OR(AND(27500&lt;Q525,Q525&lt;30001),AND(57000&lt;Q525,Q525&lt;60001),AND(75000&lt;Q525,Q525&lt;77500)),$H525,VLOOKUP(Q525,BDins,6,FALSE)))))</f>
        <v>15.36</v>
      </c>
      <c r="R527">
        <f>IF(R529&gt;10000,HLOOKUP(R529,$O525:Q528,4,FALSE),IF(OR(AND(22500&lt;R525,R525&lt;25001),AND(50000&lt;R525,R525&lt;53501),AND(70000&lt;R525,R525&lt;72501)),$F525,IF(OR(AND(25001&lt;R525,R525&lt;27501),AND(53500&lt;R525,R525&lt;57001),AND(72500&lt;R525,R525&lt;75001)),$G525,IF(OR(AND(27500&lt;R525,R525&lt;30001),AND(57000&lt;R525,R525&lt;60001),AND(75000&lt;R525,R525&lt;77500)),$H525,VLOOKUP(R525,BDins,6,FALSE)))))</f>
        <v>18.5</v>
      </c>
      <c r="S527">
        <f>IF(S529&gt;10000,HLOOKUP(S529,$O525:R528,4,FALSE),IF(OR(AND(22500&lt;S525,S525&lt;25001),AND(50000&lt;S525,S525&lt;53501),AND(70000&lt;S525,S525&lt;72501)),$F525,IF(OR(AND(25001&lt;S525,S525&lt;27501),AND(53500&lt;S525,S525&lt;57001),AND(72500&lt;S525,S525&lt;75001)),$G525,IF(OR(AND(27500&lt;S525,S525&lt;30001),AND(57000&lt;S525,S525&lt;60001),AND(75000&lt;S525,S525&lt;77500)),$H525,VLOOKUP(S525,BDins,6,FALSE)))))</f>
        <v>150</v>
      </c>
      <c r="T527">
        <f>IF(T529&gt;10000,HLOOKUP(T529,$O525:S528,4,FALSE),IF(OR(AND(22500&lt;T525,T525&lt;25001),AND(50000&lt;T525,T525&lt;53501),AND(70000&lt;T525,T525&lt;72501)),$F525,IF(OR(AND(25001&lt;T525,T525&lt;27501),AND(53500&lt;T525,T525&lt;57001),AND(72500&lt;T525,T525&lt;75001)),$G525,IF(OR(AND(27500&lt;T525,T525&lt;30001),AND(57000&lt;T525,T525&lt;60001),AND(75000&lt;T525,T525&lt;77500)),$H525,VLOOKUP(T525,BDins,6,FALSE)))))</f>
        <v>2.4699999999999998</v>
      </c>
    </row>
    <row r="528" spans="1:24" x14ac:dyDescent="0.2">
      <c r="O528">
        <f t="shared" ref="O528:T528" si="78">IF($K525&gt;0,ROUND(O526*$E525/100,DpCU),IF(O529&gt;10000,ROUND(HLOOKUP(O529,$O525:$T528,4,FALSE)/100*O526,DpCU),IF(OR(O525&lt;20001,O525&gt;95000,AND(60000&lt;O525,O525&lt;70001)),ROUND(ROUND(O526*JL/$C525,DcCU)*O527,DpCU),IF(OR(AND(20000&lt;O525,O525&lt;22501),AND(30000&lt;O525,O525&lt;50001),77500&lt;O525),ROUND(O527*O526,DpCU),IF(OR(AND(22500&lt;O525,O525&lt;25001),AND(50000&lt;O525,O525&lt;53501),AND(70000&lt;O525,O525&lt;72501)),ROUND($F525/100*O526,DpCU),IF(OR(AND(25000&lt;O525,O525&lt;27501),AND(53500&lt;O525,O525&lt;57001),AND(72500&lt;O525,O525&lt;75001)),ROUND($G525/100*O526,DpCU),ROUND($H525/100*O526,DpCU)))))))</f>
        <v>0.2</v>
      </c>
      <c r="P528">
        <f t="shared" si="78"/>
        <v>1.66</v>
      </c>
      <c r="Q528">
        <f t="shared" si="78"/>
        <v>0.61</v>
      </c>
      <c r="R528">
        <f t="shared" si="78"/>
        <v>0.19</v>
      </c>
      <c r="S528">
        <f t="shared" si="78"/>
        <v>0.6</v>
      </c>
      <c r="T528">
        <f t="shared" si="78"/>
        <v>0.12</v>
      </c>
    </row>
    <row r="529" spans="1:23" x14ac:dyDescent="0.2">
      <c r="B529" s="3" t="str">
        <f>A525&amp;"r"</f>
        <v>10105r</v>
      </c>
    </row>
    <row r="530" spans="1:23" x14ac:dyDescent="0.2">
      <c r="A530">
        <v>10106</v>
      </c>
      <c r="B530" s="3" t="s">
        <v>599</v>
      </c>
      <c r="C530" s="1">
        <f>ROUND(J530*JL*Frto/8,4)</f>
        <v>12</v>
      </c>
      <c r="D530" t="s">
        <v>210</v>
      </c>
      <c r="E530">
        <f>SUM($O533:$W533)</f>
        <v>34.639999999999993</v>
      </c>
      <c r="F530">
        <f>SUMIF($O530:$W530,"&lt;22501",$O533:$W533)</f>
        <v>23.22</v>
      </c>
      <c r="G530">
        <f>SUMIFS($O533:$W533,$O530:$W530,"&gt;30000",$O530:$W530,"&lt;50001")</f>
        <v>8.76</v>
      </c>
      <c r="H530">
        <f>SUMIFS($O533:$W533,$O530:$W530,"&gt;60000",$O530:$W530,"&lt;70001")</f>
        <v>0</v>
      </c>
      <c r="I530">
        <v>9</v>
      </c>
      <c r="J530">
        <v>12</v>
      </c>
      <c r="O530">
        <v>10001</v>
      </c>
      <c r="P530">
        <v>10002</v>
      </c>
      <c r="Q530">
        <v>10003</v>
      </c>
      <c r="R530">
        <v>30023</v>
      </c>
      <c r="S530">
        <v>30053</v>
      </c>
      <c r="T530">
        <v>30058</v>
      </c>
      <c r="U530">
        <v>30093</v>
      </c>
      <c r="V530">
        <v>70001</v>
      </c>
      <c r="W530">
        <v>77509</v>
      </c>
    </row>
    <row r="531" spans="1:23" x14ac:dyDescent="0.2">
      <c r="B531" s="3" t="str">
        <f>A530&amp;"C"</f>
        <v>10106C</v>
      </c>
      <c r="O531">
        <v>0.1</v>
      </c>
      <c r="P531">
        <v>1</v>
      </c>
      <c r="Q531">
        <v>0.75</v>
      </c>
      <c r="R531">
        <v>4.0000000000000001E-3</v>
      </c>
      <c r="S531">
        <v>0.5</v>
      </c>
      <c r="T531">
        <v>0.25</v>
      </c>
      <c r="U531">
        <v>3.5000000000000003E-2</v>
      </c>
      <c r="V531">
        <v>5</v>
      </c>
      <c r="W531">
        <v>0.05</v>
      </c>
    </row>
    <row r="532" spans="1:23" x14ac:dyDescent="0.2">
      <c r="O532">
        <f>IF(O534&gt;10000,HLOOKUP(O534,N530:$O533,4,FALSE),IF(OR(AND(22500&lt;O530,O530&lt;25001),AND(50000&lt;O530,O530&lt;53501),AND(70000&lt;O530,O530&lt;72501)),$F530,IF(OR(AND(25001&lt;O530,O530&lt;27501),AND(53500&lt;O530,O530&lt;57001),AND(72500&lt;O530,O530&lt;75001)),$G530,IF(OR(AND(27500&lt;O530,O530&lt;30001),AND(57000&lt;O530,O530&lt;60001),AND(75000&lt;O530,O530&lt;77500)),$H530,VLOOKUP(O530,BDins,6,FALSE)))))</f>
        <v>24.97</v>
      </c>
      <c r="P532">
        <f>IF(P534&gt;10000,HLOOKUP(P534,O530:$O533,4,FALSE),IF(OR(AND(22500&lt;P530,P530&lt;25001),AND(50000&lt;P530,P530&lt;53501),AND(70000&lt;P530,P530&lt;72501)),$F530,IF(OR(AND(25001&lt;P530,P530&lt;27501),AND(53500&lt;P530,P530&lt;57001),AND(72500&lt;P530,P530&lt;75001)),$G530,IF(OR(AND(27500&lt;P530,P530&lt;30001),AND(57000&lt;P530,P530&lt;60001),AND(75000&lt;P530,P530&lt;77500)),$H530,VLOOKUP(P530,BDins,6,FALSE)))))</f>
        <v>20.81</v>
      </c>
      <c r="Q532">
        <f>IF(Q534&gt;10000,HLOOKUP(Q534,$O530:P533,4,FALSE),IF(OR(AND(22500&lt;Q530,Q530&lt;25001),AND(50000&lt;Q530,Q530&lt;53501),AND(70000&lt;Q530,Q530&lt;72501)),$F530,IF(OR(AND(25001&lt;Q530,Q530&lt;27501),AND(53500&lt;Q530,Q530&lt;57001),AND(72500&lt;Q530,Q530&lt;75001)),$G530,IF(OR(AND(27500&lt;Q530,Q530&lt;30001),AND(57000&lt;Q530,Q530&lt;60001),AND(75000&lt;Q530,Q530&lt;77500)),$H530,VLOOKUP(Q530,BDins,6,FALSE)))))</f>
        <v>15.36</v>
      </c>
      <c r="R532">
        <f>IF(R534&gt;10000,HLOOKUP(R534,$O530:Q533,4,FALSE),IF(OR(AND(22500&lt;R530,R530&lt;25001),AND(50000&lt;R530,R530&lt;53501),AND(70000&lt;R530,R530&lt;72501)),$F530,IF(OR(AND(25001&lt;R530,R530&lt;27501),AND(53500&lt;R530,R530&lt;57001),AND(72500&lt;R530,R530&lt;75001)),$G530,IF(OR(AND(27500&lt;R530,R530&lt;30001),AND(57000&lt;R530,R530&lt;60001),AND(75000&lt;R530,R530&lt;77500)),$H530,VLOOKUP(R530,BDins,6,FALSE)))))</f>
        <v>150</v>
      </c>
      <c r="S532">
        <f>IF(S534&gt;10000,HLOOKUP(S534,$O530:R533,4,FALSE),IF(OR(AND(22500&lt;S530,S530&lt;25001),AND(50000&lt;S530,S530&lt;53501),AND(70000&lt;S530,S530&lt;72501)),$F530,IF(OR(AND(25001&lt;S530,S530&lt;27501),AND(53500&lt;S530,S530&lt;57001),AND(72500&lt;S530,S530&lt;75001)),$G530,IF(OR(AND(27500&lt;S530,S530&lt;30001),AND(57000&lt;S530,S530&lt;60001),AND(75000&lt;S530,S530&lt;77500)),$H530,VLOOKUP(S530,BDins,6,FALSE)))))</f>
        <v>3.9</v>
      </c>
      <c r="T532">
        <f>IF(T534&gt;10000,HLOOKUP(T534,$O530:S533,4,FALSE),IF(OR(AND(22500&lt;T530,T530&lt;25001),AND(50000&lt;T530,T530&lt;53501),AND(70000&lt;T530,T530&lt;72501)),$F530,IF(OR(AND(25001&lt;T530,T530&lt;27501),AND(53500&lt;T530,T530&lt;57001),AND(72500&lt;T530,T530&lt;75001)),$G530,IF(OR(AND(27500&lt;T530,T530&lt;30001),AND(57000&lt;T530,T530&lt;60001),AND(75000&lt;T530,T530&lt;77500)),$H530,VLOOKUP(T530,BDins,6,FALSE)))))</f>
        <v>18.5</v>
      </c>
      <c r="U532">
        <f>IF(U534&gt;10000,HLOOKUP(U534,$O530:T533,4,FALSE),IF(OR(AND(22500&lt;U530,U530&lt;25001),AND(50000&lt;U530,U530&lt;53501),AND(70000&lt;U530,U530&lt;72501)),$F530,IF(OR(AND(25001&lt;U530,U530&lt;27501),AND(53500&lt;U530,U530&lt;57001),AND(72500&lt;U530,U530&lt;75001)),$G530,IF(OR(AND(27500&lt;U530,U530&lt;30001),AND(57000&lt;U530,U530&lt;60001),AND(75000&lt;U530,U530&lt;77500)),$H530,VLOOKUP(U530,BDins,6,FALSE)))))</f>
        <v>45</v>
      </c>
      <c r="V532">
        <f>IF(V534&gt;10000,HLOOKUP(V534,$O530:U533,4,FALSE),IF(OR(AND(22500&lt;V530,V530&lt;25001),AND(50000&lt;V530,V530&lt;53501),AND(70000&lt;V530,V530&lt;72501)),$F530,IF(OR(AND(25001&lt;V530,V530&lt;27501),AND(53500&lt;V530,V530&lt;57001),AND(72500&lt;V530,V530&lt;75001)),$G530,IF(OR(AND(27500&lt;V530,V530&lt;30001),AND(57000&lt;V530,V530&lt;60001),AND(75000&lt;V530,V530&lt;77500)),$H530,VLOOKUP(V530,BDins,6,FALSE)))))</f>
        <v>23.22</v>
      </c>
      <c r="W532">
        <f>IF(W534&gt;10000,HLOOKUP(W534,$O530:V533,4,FALSE),IF(OR(AND(22500&lt;W530,W530&lt;25001),AND(50000&lt;W530,W530&lt;53501),AND(70000&lt;W530,W530&lt;72501)),$F530,IF(OR(AND(25001&lt;W530,W530&lt;27501),AND(53500&lt;W530,W530&lt;57001),AND(72500&lt;W530,W530&lt;75001)),$G530,IF(OR(AND(27500&lt;W530,W530&lt;30001),AND(57000&lt;W530,W530&lt;60001),AND(75000&lt;W530,W530&lt;77500)),$H530,VLOOKUP(W530,BDins,6,FALSE)))))</f>
        <v>29.98</v>
      </c>
    </row>
    <row r="533" spans="1:23" x14ac:dyDescent="0.2">
      <c r="O533">
        <f t="shared" ref="O533:W533" si="79">IF($K530&gt;0,ROUND(O531*$E530/100,DpCU),IF(O534&gt;10000,ROUND(HLOOKUP(O534,$O530:$W533,4,FALSE)/100*O531,DpCU),IF(OR(O530&lt;20001,O530&gt;95000,AND(60000&lt;O530,O530&lt;70001)),ROUND(ROUND(O531*JL/$C530,DcCU)*O532,DpCU),IF(OR(AND(20000&lt;O530,O530&lt;22501),AND(30000&lt;O530,O530&lt;50001),77500&lt;O530),ROUND(O532*O531,DpCU),IF(OR(AND(22500&lt;O530,O530&lt;25001),AND(50000&lt;O530,O530&lt;53501),AND(70000&lt;O530,O530&lt;72501)),ROUND($F530/100*O531,DpCU),IF(OR(AND(25000&lt;O530,O530&lt;27501),AND(53500&lt;O530,O530&lt;57001),AND(72500&lt;O530,O530&lt;75001)),ROUND($G530/100*O531,DpCU),ROUND($H530/100*O531,DpCU)))))))</f>
        <v>1.67</v>
      </c>
      <c r="P533">
        <f t="shared" si="79"/>
        <v>13.87</v>
      </c>
      <c r="Q533">
        <f t="shared" si="79"/>
        <v>7.68</v>
      </c>
      <c r="R533">
        <f t="shared" si="79"/>
        <v>0.6</v>
      </c>
      <c r="S533">
        <f t="shared" si="79"/>
        <v>1.95</v>
      </c>
      <c r="T533">
        <f t="shared" si="79"/>
        <v>4.63</v>
      </c>
      <c r="U533">
        <f t="shared" si="79"/>
        <v>1.58</v>
      </c>
      <c r="V533">
        <f t="shared" si="79"/>
        <v>1.1599999999999999</v>
      </c>
      <c r="W533">
        <f t="shared" si="79"/>
        <v>1.5</v>
      </c>
    </row>
    <row r="534" spans="1:23" x14ac:dyDescent="0.2">
      <c r="B534" s="3" t="str">
        <f>A530&amp;"r"</f>
        <v>10106r</v>
      </c>
    </row>
    <row r="535" spans="1:23" x14ac:dyDescent="0.2">
      <c r="A535">
        <v>10107</v>
      </c>
      <c r="B535" s="3" t="s">
        <v>601</v>
      </c>
      <c r="C535" s="1">
        <f>ROUND(J535*JL*Frto/8,4)</f>
        <v>15</v>
      </c>
      <c r="D535" t="s">
        <v>194</v>
      </c>
      <c r="E535">
        <f>SUM($O538:$V538)</f>
        <v>26.07</v>
      </c>
      <c r="F535">
        <f>SUMIF($O535:$V535,"&lt;22501",$O538:$V538)</f>
        <v>16.53</v>
      </c>
      <c r="G535">
        <f>SUMIFS($O538:$V538,$O535:$V535,"&gt;30000",$O535:$V535,"&lt;50001")</f>
        <v>8.7099999999999991</v>
      </c>
      <c r="H535">
        <f>SUMIFS($O538:$V538,$O535:$V535,"&gt;60000",$O535:$V535,"&lt;70001")</f>
        <v>0</v>
      </c>
      <c r="I535">
        <v>8</v>
      </c>
      <c r="J535">
        <v>15</v>
      </c>
      <c r="O535">
        <v>10001</v>
      </c>
      <c r="P535">
        <v>10002</v>
      </c>
      <c r="Q535">
        <v>10003</v>
      </c>
      <c r="R535">
        <v>30002</v>
      </c>
      <c r="S535">
        <v>30023</v>
      </c>
      <c r="T535">
        <v>30048</v>
      </c>
      <c r="U535">
        <v>30056</v>
      </c>
      <c r="V535">
        <v>70001</v>
      </c>
    </row>
    <row r="536" spans="1:23" x14ac:dyDescent="0.2">
      <c r="B536" s="3" t="str">
        <f>A535&amp;"C"</f>
        <v>10107C</v>
      </c>
      <c r="O536">
        <v>0.1</v>
      </c>
      <c r="P536">
        <v>1</v>
      </c>
      <c r="Q536">
        <v>0.5</v>
      </c>
      <c r="R536">
        <v>0.3</v>
      </c>
      <c r="S536">
        <v>4.0000000000000001E-3</v>
      </c>
      <c r="T536">
        <v>3.5999999999999997E-2</v>
      </c>
      <c r="U536">
        <v>0.05</v>
      </c>
      <c r="V536">
        <v>5</v>
      </c>
    </row>
    <row r="537" spans="1:23" x14ac:dyDescent="0.2">
      <c r="O537">
        <f>IF(O539&gt;10000,HLOOKUP(O539,N535:$O538,4,FALSE),IF(OR(AND(22500&lt;O535,O535&lt;25001),AND(50000&lt;O535,O535&lt;53501),AND(70000&lt;O535,O535&lt;72501)),$F535,IF(OR(AND(25001&lt;O535,O535&lt;27501),AND(53500&lt;O535,O535&lt;57001),AND(72500&lt;O535,O535&lt;75001)),$G535,IF(OR(AND(27500&lt;O535,O535&lt;30001),AND(57000&lt;O535,O535&lt;60001),AND(75000&lt;O535,O535&lt;77500)),$H535,VLOOKUP(O535,BDins,6,FALSE)))))</f>
        <v>24.97</v>
      </c>
      <c r="P537">
        <f>IF(P539&gt;10000,HLOOKUP(P539,O535:$O538,4,FALSE),IF(OR(AND(22500&lt;P535,P535&lt;25001),AND(50000&lt;P535,P535&lt;53501),AND(70000&lt;P535,P535&lt;72501)),$F535,IF(OR(AND(25001&lt;P535,P535&lt;27501),AND(53500&lt;P535,P535&lt;57001),AND(72500&lt;P535,P535&lt;75001)),$G535,IF(OR(AND(27500&lt;P535,P535&lt;30001),AND(57000&lt;P535,P535&lt;60001),AND(75000&lt;P535,P535&lt;77500)),$H535,VLOOKUP(P535,BDins,6,FALSE)))))</f>
        <v>20.81</v>
      </c>
      <c r="Q537">
        <f>IF(Q539&gt;10000,HLOOKUP(Q539,$O535:P538,4,FALSE),IF(OR(AND(22500&lt;Q535,Q535&lt;25001),AND(50000&lt;Q535,Q535&lt;53501),AND(70000&lt;Q535,Q535&lt;72501)),$F535,IF(OR(AND(25001&lt;Q535,Q535&lt;27501),AND(53500&lt;Q535,Q535&lt;57001),AND(72500&lt;Q535,Q535&lt;75001)),$G535,IF(OR(AND(27500&lt;Q535,Q535&lt;30001),AND(57000&lt;Q535,Q535&lt;60001),AND(75000&lt;Q535,Q535&lt;77500)),$H535,VLOOKUP(Q535,BDins,6,FALSE)))))</f>
        <v>15.36</v>
      </c>
      <c r="R537">
        <f>IF(R539&gt;10000,HLOOKUP(R539,$O535:Q538,4,FALSE),IF(OR(AND(22500&lt;R535,R535&lt;25001),AND(50000&lt;R535,R535&lt;53501),AND(70000&lt;R535,R535&lt;72501)),$F535,IF(OR(AND(25001&lt;R535,R535&lt;27501),AND(53500&lt;R535,R535&lt;57001),AND(72500&lt;R535,R535&lt;75001)),$G535,IF(OR(AND(27500&lt;R535,R535&lt;30001),AND(57000&lt;R535,R535&lt;60001),AND(75000&lt;R535,R535&lt;77500)),$H535,VLOOKUP(R535,BDins,6,FALSE)))))</f>
        <v>18.5</v>
      </c>
      <c r="S537">
        <f>IF(S539&gt;10000,HLOOKUP(S539,$O535:R538,4,FALSE),IF(OR(AND(22500&lt;S535,S535&lt;25001),AND(50000&lt;S535,S535&lt;53501),AND(70000&lt;S535,S535&lt;72501)),$F535,IF(OR(AND(25001&lt;S535,S535&lt;27501),AND(53500&lt;S535,S535&lt;57001),AND(72500&lt;S535,S535&lt;75001)),$G535,IF(OR(AND(27500&lt;S535,S535&lt;30001),AND(57000&lt;S535,S535&lt;60001),AND(75000&lt;S535,S535&lt;77500)),$H535,VLOOKUP(S535,BDins,6,FALSE)))))</f>
        <v>150</v>
      </c>
      <c r="T537">
        <f>IF(T539&gt;10000,HLOOKUP(T539,$O535:S538,4,FALSE),IF(OR(AND(22500&lt;T535,T535&lt;25001),AND(50000&lt;T535,T535&lt;53501),AND(70000&lt;T535,T535&lt;72501)),$F535,IF(OR(AND(25001&lt;T535,T535&lt;27501),AND(53500&lt;T535,T535&lt;57001),AND(72500&lt;T535,T535&lt;75001)),$G535,IF(OR(AND(27500&lt;T535,T535&lt;30001),AND(57000&lt;T535,T535&lt;60001),AND(75000&lt;T535,T535&lt;77500)),$H535,VLOOKUP(T535,BDins,6,FALSE)))))</f>
        <v>8.5</v>
      </c>
      <c r="U537">
        <f>IF(U539&gt;10000,HLOOKUP(U539,$O535:T538,4,FALSE),IF(OR(AND(22500&lt;U535,U535&lt;25001),AND(50000&lt;U535,U535&lt;53501),AND(70000&lt;U535,U535&lt;72501)),$F535,IF(OR(AND(25001&lt;U535,U535&lt;27501),AND(53500&lt;U535,U535&lt;57001),AND(72500&lt;U535,U535&lt;75001)),$G535,IF(OR(AND(27500&lt;U535,U535&lt;30001),AND(57000&lt;U535,U535&lt;60001),AND(75000&lt;U535,U535&lt;77500)),$H535,VLOOKUP(U535,BDins,6,FALSE)))))</f>
        <v>45</v>
      </c>
      <c r="V537">
        <f>IF(V539&gt;10000,HLOOKUP(V539,$O535:U538,4,FALSE),IF(OR(AND(22500&lt;V535,V535&lt;25001),AND(50000&lt;V535,V535&lt;53501),AND(70000&lt;V535,V535&lt;72501)),$F535,IF(OR(AND(25001&lt;V535,V535&lt;27501),AND(53500&lt;V535,V535&lt;57001),AND(72500&lt;V535,V535&lt;75001)),$G535,IF(OR(AND(27500&lt;V535,V535&lt;30001),AND(57000&lt;V535,V535&lt;60001),AND(75000&lt;V535,V535&lt;77500)),$H535,VLOOKUP(V535,BDins,6,FALSE)))))</f>
        <v>16.53</v>
      </c>
    </row>
    <row r="538" spans="1:23" x14ac:dyDescent="0.2">
      <c r="O538">
        <f t="shared" ref="O538:V538" si="80">IF($K535&gt;0,ROUND(O536*$E535/100,DpCU),IF(O539&gt;10000,ROUND(HLOOKUP(O539,$O535:$V538,4,FALSE)/100*O536,DpCU),IF(OR(O535&lt;20001,O535&gt;95000,AND(60000&lt;O535,O535&lt;70001)),ROUND(ROUND(O536*JL/$C535,DcCU)*O537,DpCU),IF(OR(AND(20000&lt;O535,O535&lt;22501),AND(30000&lt;O535,O535&lt;50001),77500&lt;O535),ROUND(O537*O536,DpCU),IF(OR(AND(22500&lt;O535,O535&lt;25001),AND(50000&lt;O535,O535&lt;53501),AND(70000&lt;O535,O535&lt;72501)),ROUND($F535/100*O536,DpCU),IF(OR(AND(25000&lt;O535,O535&lt;27501),AND(53500&lt;O535,O535&lt;57001),AND(72500&lt;O535,O535&lt;75001)),ROUND($G535/100*O536,DpCU),ROUND($H535/100*O536,DpCU)))))))</f>
        <v>1.33</v>
      </c>
      <c r="P538">
        <f t="shared" si="80"/>
        <v>11.1</v>
      </c>
      <c r="Q538">
        <f t="shared" si="80"/>
        <v>4.0999999999999996</v>
      </c>
      <c r="R538">
        <f t="shared" si="80"/>
        <v>5.55</v>
      </c>
      <c r="S538">
        <f t="shared" si="80"/>
        <v>0.6</v>
      </c>
      <c r="T538">
        <f t="shared" si="80"/>
        <v>0.31</v>
      </c>
      <c r="U538">
        <f t="shared" si="80"/>
        <v>2.25</v>
      </c>
      <c r="V538">
        <f t="shared" si="80"/>
        <v>0.83</v>
      </c>
    </row>
    <row r="539" spans="1:23" x14ac:dyDescent="0.2">
      <c r="B539" s="3" t="str">
        <f>A535&amp;"r"</f>
        <v>10107r</v>
      </c>
    </row>
    <row r="540" spans="1:23" x14ac:dyDescent="0.2">
      <c r="A540">
        <v>10108</v>
      </c>
      <c r="B540" s="3" t="s">
        <v>603</v>
      </c>
      <c r="C540" s="1">
        <f>ROUND(J540*JL*Frto/8,4)</f>
        <v>15</v>
      </c>
      <c r="D540" t="s">
        <v>210</v>
      </c>
      <c r="E540">
        <f>SUM($O543:$V543)</f>
        <v>28.369999999999997</v>
      </c>
      <c r="F540">
        <f>SUMIF($O540:$V540,"&lt;22501",$O543:$V543)</f>
        <v>16.53</v>
      </c>
      <c r="G540">
        <f>SUMIFS($O543:$V543,$O540:$V540,"&gt;30000",$O540:$V540,"&lt;50001")</f>
        <v>11.010000000000002</v>
      </c>
      <c r="H540">
        <f>SUMIFS($O543:$V543,$O540:$V540,"&gt;60000",$O540:$V540,"&lt;70001")</f>
        <v>0</v>
      </c>
      <c r="I540">
        <v>8</v>
      </c>
      <c r="J540">
        <v>15</v>
      </c>
      <c r="O540">
        <v>10001</v>
      </c>
      <c r="P540">
        <v>10002</v>
      </c>
      <c r="Q540">
        <v>10003</v>
      </c>
      <c r="R540">
        <v>30002</v>
      </c>
      <c r="S540">
        <v>30023</v>
      </c>
      <c r="T540">
        <v>30048</v>
      </c>
      <c r="U540">
        <v>30056</v>
      </c>
      <c r="V540">
        <v>70001</v>
      </c>
    </row>
    <row r="541" spans="1:23" x14ac:dyDescent="0.2">
      <c r="B541" s="3" t="str">
        <f>A540&amp;"C"</f>
        <v>10108C</v>
      </c>
      <c r="O541">
        <v>0.1</v>
      </c>
      <c r="P541">
        <v>1</v>
      </c>
      <c r="Q541">
        <v>0.5</v>
      </c>
      <c r="R541">
        <v>0.4</v>
      </c>
      <c r="S541">
        <v>4.0000000000000001E-3</v>
      </c>
      <c r="T541">
        <v>3.5999999999999997E-2</v>
      </c>
      <c r="U541">
        <v>0.06</v>
      </c>
      <c r="V541">
        <v>5</v>
      </c>
    </row>
    <row r="542" spans="1:23" x14ac:dyDescent="0.2">
      <c r="O542">
        <f>IF(O544&gt;10000,HLOOKUP(O544,N540:$O543,4,FALSE),IF(OR(AND(22500&lt;O540,O540&lt;25001),AND(50000&lt;O540,O540&lt;53501),AND(70000&lt;O540,O540&lt;72501)),$F540,IF(OR(AND(25001&lt;O540,O540&lt;27501),AND(53500&lt;O540,O540&lt;57001),AND(72500&lt;O540,O540&lt;75001)),$G540,IF(OR(AND(27500&lt;O540,O540&lt;30001),AND(57000&lt;O540,O540&lt;60001),AND(75000&lt;O540,O540&lt;77500)),$H540,VLOOKUP(O540,BDins,6,FALSE)))))</f>
        <v>24.97</v>
      </c>
      <c r="P542">
        <f>IF(P544&gt;10000,HLOOKUP(P544,O540:$O543,4,FALSE),IF(OR(AND(22500&lt;P540,P540&lt;25001),AND(50000&lt;P540,P540&lt;53501),AND(70000&lt;P540,P540&lt;72501)),$F540,IF(OR(AND(25001&lt;P540,P540&lt;27501),AND(53500&lt;P540,P540&lt;57001),AND(72500&lt;P540,P540&lt;75001)),$G540,IF(OR(AND(27500&lt;P540,P540&lt;30001),AND(57000&lt;P540,P540&lt;60001),AND(75000&lt;P540,P540&lt;77500)),$H540,VLOOKUP(P540,BDins,6,FALSE)))))</f>
        <v>20.81</v>
      </c>
      <c r="Q542">
        <f>IF(Q544&gt;10000,HLOOKUP(Q544,$O540:P543,4,FALSE),IF(OR(AND(22500&lt;Q540,Q540&lt;25001),AND(50000&lt;Q540,Q540&lt;53501),AND(70000&lt;Q540,Q540&lt;72501)),$F540,IF(OR(AND(25001&lt;Q540,Q540&lt;27501),AND(53500&lt;Q540,Q540&lt;57001),AND(72500&lt;Q540,Q540&lt;75001)),$G540,IF(OR(AND(27500&lt;Q540,Q540&lt;30001),AND(57000&lt;Q540,Q540&lt;60001),AND(75000&lt;Q540,Q540&lt;77500)),$H540,VLOOKUP(Q540,BDins,6,FALSE)))))</f>
        <v>15.36</v>
      </c>
      <c r="R542">
        <f>IF(R544&gt;10000,HLOOKUP(R544,$O540:Q543,4,FALSE),IF(OR(AND(22500&lt;R540,R540&lt;25001),AND(50000&lt;R540,R540&lt;53501),AND(70000&lt;R540,R540&lt;72501)),$F540,IF(OR(AND(25001&lt;R540,R540&lt;27501),AND(53500&lt;R540,R540&lt;57001),AND(72500&lt;R540,R540&lt;75001)),$G540,IF(OR(AND(27500&lt;R540,R540&lt;30001),AND(57000&lt;R540,R540&lt;60001),AND(75000&lt;R540,R540&lt;77500)),$H540,VLOOKUP(R540,BDins,6,FALSE)))))</f>
        <v>18.5</v>
      </c>
      <c r="S542">
        <f>IF(S544&gt;10000,HLOOKUP(S544,$O540:R543,4,FALSE),IF(OR(AND(22500&lt;S540,S540&lt;25001),AND(50000&lt;S540,S540&lt;53501),AND(70000&lt;S540,S540&lt;72501)),$F540,IF(OR(AND(25001&lt;S540,S540&lt;27501),AND(53500&lt;S540,S540&lt;57001),AND(72500&lt;S540,S540&lt;75001)),$G540,IF(OR(AND(27500&lt;S540,S540&lt;30001),AND(57000&lt;S540,S540&lt;60001),AND(75000&lt;S540,S540&lt;77500)),$H540,VLOOKUP(S540,BDins,6,FALSE)))))</f>
        <v>150</v>
      </c>
      <c r="T542">
        <f>IF(T544&gt;10000,HLOOKUP(T544,$O540:S543,4,FALSE),IF(OR(AND(22500&lt;T540,T540&lt;25001),AND(50000&lt;T540,T540&lt;53501),AND(70000&lt;T540,T540&lt;72501)),$F540,IF(OR(AND(25001&lt;T540,T540&lt;27501),AND(53500&lt;T540,T540&lt;57001),AND(72500&lt;T540,T540&lt;75001)),$G540,IF(OR(AND(27500&lt;T540,T540&lt;30001),AND(57000&lt;T540,T540&lt;60001),AND(75000&lt;T540,T540&lt;77500)),$H540,VLOOKUP(T540,BDins,6,FALSE)))))</f>
        <v>8.5</v>
      </c>
      <c r="U542">
        <f>IF(U544&gt;10000,HLOOKUP(U544,$O540:T543,4,FALSE),IF(OR(AND(22500&lt;U540,U540&lt;25001),AND(50000&lt;U540,U540&lt;53501),AND(70000&lt;U540,U540&lt;72501)),$F540,IF(OR(AND(25001&lt;U540,U540&lt;27501),AND(53500&lt;U540,U540&lt;57001),AND(72500&lt;U540,U540&lt;75001)),$G540,IF(OR(AND(27500&lt;U540,U540&lt;30001),AND(57000&lt;U540,U540&lt;60001),AND(75000&lt;U540,U540&lt;77500)),$H540,VLOOKUP(U540,BDins,6,FALSE)))))</f>
        <v>45</v>
      </c>
      <c r="V542">
        <f>IF(V544&gt;10000,HLOOKUP(V544,$O540:U543,4,FALSE),IF(OR(AND(22500&lt;V540,V540&lt;25001),AND(50000&lt;V540,V540&lt;53501),AND(70000&lt;V540,V540&lt;72501)),$F540,IF(OR(AND(25001&lt;V540,V540&lt;27501),AND(53500&lt;V540,V540&lt;57001),AND(72500&lt;V540,V540&lt;75001)),$G540,IF(OR(AND(27500&lt;V540,V540&lt;30001),AND(57000&lt;V540,V540&lt;60001),AND(75000&lt;V540,V540&lt;77500)),$H540,VLOOKUP(V540,BDins,6,FALSE)))))</f>
        <v>16.53</v>
      </c>
    </row>
    <row r="543" spans="1:23" x14ac:dyDescent="0.2">
      <c r="O543">
        <f t="shared" ref="O543:V543" si="81">IF($K540&gt;0,ROUND(O541*$E540/100,DpCU),IF(O544&gt;10000,ROUND(HLOOKUP(O544,$O540:$V543,4,FALSE)/100*O541,DpCU),IF(OR(O540&lt;20001,O540&gt;95000,AND(60000&lt;O540,O540&lt;70001)),ROUND(ROUND(O541*JL/$C540,DcCU)*O542,DpCU),IF(OR(AND(20000&lt;O540,O540&lt;22501),AND(30000&lt;O540,O540&lt;50001),77500&lt;O540),ROUND(O542*O541,DpCU),IF(OR(AND(22500&lt;O540,O540&lt;25001),AND(50000&lt;O540,O540&lt;53501),AND(70000&lt;O540,O540&lt;72501)),ROUND($F540/100*O541,DpCU),IF(OR(AND(25000&lt;O540,O540&lt;27501),AND(53500&lt;O540,O540&lt;57001),AND(72500&lt;O540,O540&lt;75001)),ROUND($G540/100*O541,DpCU),ROUND($H540/100*O541,DpCU)))))))</f>
        <v>1.33</v>
      </c>
      <c r="P543">
        <f t="shared" si="81"/>
        <v>11.1</v>
      </c>
      <c r="Q543">
        <f t="shared" si="81"/>
        <v>4.0999999999999996</v>
      </c>
      <c r="R543">
        <f t="shared" si="81"/>
        <v>7.4</v>
      </c>
      <c r="S543">
        <f t="shared" si="81"/>
        <v>0.6</v>
      </c>
      <c r="T543">
        <f t="shared" si="81"/>
        <v>0.31</v>
      </c>
      <c r="U543">
        <f t="shared" si="81"/>
        <v>2.7</v>
      </c>
      <c r="V543">
        <f t="shared" si="81"/>
        <v>0.83</v>
      </c>
    </row>
    <row r="544" spans="1:23" x14ac:dyDescent="0.2">
      <c r="B544" s="3" t="str">
        <f>A540&amp;"r"</f>
        <v>10108r</v>
      </c>
    </row>
    <row r="545" spans="1:26" x14ac:dyDescent="0.2">
      <c r="A545">
        <v>10109</v>
      </c>
      <c r="B545" s="3" t="s">
        <v>605</v>
      </c>
      <c r="C545" s="1">
        <f>ROUND(J545*JL*Frto/8,4)</f>
        <v>18</v>
      </c>
      <c r="D545" t="s">
        <v>194</v>
      </c>
      <c r="E545">
        <f>SUM($O548:$X548)</f>
        <v>35.839999999999996</v>
      </c>
      <c r="F545">
        <f>SUMIF($O545:$X545,"&lt;22501",$O548:$X548)</f>
        <v>17.189999999999998</v>
      </c>
      <c r="G545">
        <f>SUMIFS($O548:$X548,$O545:$X545,"&gt;30000",$O545:$X545,"&lt;50001")</f>
        <v>17.79</v>
      </c>
      <c r="H545">
        <f>SUMIFS($O548:$X548,$O545:$X545,"&gt;60000",$O545:$X545,"&lt;70001")</f>
        <v>0</v>
      </c>
      <c r="I545">
        <v>10</v>
      </c>
      <c r="J545">
        <v>18</v>
      </c>
      <c r="O545">
        <v>10001</v>
      </c>
      <c r="P545">
        <v>10002</v>
      </c>
      <c r="Q545">
        <v>10003</v>
      </c>
      <c r="R545">
        <v>30023</v>
      </c>
      <c r="S545">
        <v>30048</v>
      </c>
      <c r="T545">
        <v>30096</v>
      </c>
      <c r="U545">
        <v>30097</v>
      </c>
      <c r="V545">
        <v>30098</v>
      </c>
      <c r="W545">
        <v>30099</v>
      </c>
      <c r="X545">
        <v>70001</v>
      </c>
    </row>
    <row r="546" spans="1:26" x14ac:dyDescent="0.2">
      <c r="B546" s="3" t="str">
        <f>A545&amp;"C"</f>
        <v>10109C</v>
      </c>
      <c r="O546">
        <v>0.1</v>
      </c>
      <c r="P546">
        <v>1</v>
      </c>
      <c r="Q546">
        <v>1</v>
      </c>
      <c r="R546">
        <v>3.0000000000000001E-3</v>
      </c>
      <c r="S546">
        <v>5.5E-2</v>
      </c>
      <c r="T546">
        <v>0.5</v>
      </c>
      <c r="U546">
        <v>0.09</v>
      </c>
      <c r="V546">
        <v>0.06</v>
      </c>
      <c r="W546">
        <v>1.05</v>
      </c>
      <c r="X546">
        <v>5</v>
      </c>
    </row>
    <row r="547" spans="1:26" x14ac:dyDescent="0.2">
      <c r="O547">
        <f>IF(O549&gt;10000,HLOOKUP(O549,N545:$O548,4,FALSE),IF(OR(AND(22500&lt;O545,O545&lt;25001),AND(50000&lt;O545,O545&lt;53501),AND(70000&lt;O545,O545&lt;72501)),$F545,IF(OR(AND(25001&lt;O545,O545&lt;27501),AND(53500&lt;O545,O545&lt;57001),AND(72500&lt;O545,O545&lt;75001)),$G545,IF(OR(AND(27500&lt;O545,O545&lt;30001),AND(57000&lt;O545,O545&lt;60001),AND(75000&lt;O545,O545&lt;77500)),$H545,VLOOKUP(O545,BDins,6,FALSE)))))</f>
        <v>24.97</v>
      </c>
      <c r="P547">
        <f>IF(P549&gt;10000,HLOOKUP(P549,O545:$O548,4,FALSE),IF(OR(AND(22500&lt;P545,P545&lt;25001),AND(50000&lt;P545,P545&lt;53501),AND(70000&lt;P545,P545&lt;72501)),$F545,IF(OR(AND(25001&lt;P545,P545&lt;27501),AND(53500&lt;P545,P545&lt;57001),AND(72500&lt;P545,P545&lt;75001)),$G545,IF(OR(AND(27500&lt;P545,P545&lt;30001),AND(57000&lt;P545,P545&lt;60001),AND(75000&lt;P545,P545&lt;77500)),$H545,VLOOKUP(P545,BDins,6,FALSE)))))</f>
        <v>20.81</v>
      </c>
      <c r="Q547">
        <f>IF(Q549&gt;10000,HLOOKUP(Q549,$O545:P548,4,FALSE),IF(OR(AND(22500&lt;Q545,Q545&lt;25001),AND(50000&lt;Q545,Q545&lt;53501),AND(70000&lt;Q545,Q545&lt;72501)),$F545,IF(OR(AND(25001&lt;Q545,Q545&lt;27501),AND(53500&lt;Q545,Q545&lt;57001),AND(72500&lt;Q545,Q545&lt;75001)),$G545,IF(OR(AND(27500&lt;Q545,Q545&lt;30001),AND(57000&lt;Q545,Q545&lt;60001),AND(75000&lt;Q545,Q545&lt;77500)),$H545,VLOOKUP(Q545,BDins,6,FALSE)))))</f>
        <v>15.36</v>
      </c>
      <c r="R547">
        <f>IF(R549&gt;10000,HLOOKUP(R549,$O545:Q548,4,FALSE),IF(OR(AND(22500&lt;R545,R545&lt;25001),AND(50000&lt;R545,R545&lt;53501),AND(70000&lt;R545,R545&lt;72501)),$F545,IF(OR(AND(25001&lt;R545,R545&lt;27501),AND(53500&lt;R545,R545&lt;57001),AND(72500&lt;R545,R545&lt;75001)),$G545,IF(OR(AND(27500&lt;R545,R545&lt;30001),AND(57000&lt;R545,R545&lt;60001),AND(75000&lt;R545,R545&lt;77500)),$H545,VLOOKUP(R545,BDins,6,FALSE)))))</f>
        <v>150</v>
      </c>
      <c r="S547">
        <f>IF(S549&gt;10000,HLOOKUP(S549,$O545:R548,4,FALSE),IF(OR(AND(22500&lt;S545,S545&lt;25001),AND(50000&lt;S545,S545&lt;53501),AND(70000&lt;S545,S545&lt;72501)),$F545,IF(OR(AND(25001&lt;S545,S545&lt;27501),AND(53500&lt;S545,S545&lt;57001),AND(72500&lt;S545,S545&lt;75001)),$G545,IF(OR(AND(27500&lt;S545,S545&lt;30001),AND(57000&lt;S545,S545&lt;60001),AND(75000&lt;S545,S545&lt;77500)),$H545,VLOOKUP(S545,BDins,6,FALSE)))))</f>
        <v>8.5</v>
      </c>
      <c r="T547">
        <f>IF(T549&gt;10000,HLOOKUP(T549,$O545:S548,4,FALSE),IF(OR(AND(22500&lt;T545,T545&lt;25001),AND(50000&lt;T545,T545&lt;53501),AND(70000&lt;T545,T545&lt;72501)),$F545,IF(OR(AND(25001&lt;T545,T545&lt;27501),AND(53500&lt;T545,T545&lt;57001),AND(72500&lt;T545,T545&lt;75001)),$G545,IF(OR(AND(27500&lt;T545,T545&lt;30001),AND(57000&lt;T545,T545&lt;60001),AND(75000&lt;T545,T545&lt;77500)),$H545,VLOOKUP(T545,BDins,6,FALSE)))))</f>
        <v>19.95</v>
      </c>
      <c r="U547">
        <f>IF(U549&gt;10000,HLOOKUP(U549,$O545:T548,4,FALSE),IF(OR(AND(22500&lt;U545,U545&lt;25001),AND(50000&lt;U545,U545&lt;53501),AND(70000&lt;U545,U545&lt;72501)),$F545,IF(OR(AND(25001&lt;U545,U545&lt;27501),AND(53500&lt;U545,U545&lt;57001),AND(72500&lt;U545,U545&lt;75001)),$G545,IF(OR(AND(27500&lt;U545,U545&lt;30001),AND(57000&lt;U545,U545&lt;60001),AND(75000&lt;U545,U545&lt;77500)),$H545,VLOOKUP(U545,BDins,6,FALSE)))))</f>
        <v>3.5</v>
      </c>
      <c r="V547">
        <f>IF(V549&gt;10000,HLOOKUP(V549,$O545:U548,4,FALSE),IF(OR(AND(22500&lt;V545,V545&lt;25001),AND(50000&lt;V545,V545&lt;53501),AND(70000&lt;V545,V545&lt;72501)),$F545,IF(OR(AND(25001&lt;V545,V545&lt;27501),AND(53500&lt;V545,V545&lt;57001),AND(72500&lt;V545,V545&lt;75001)),$G545,IF(OR(AND(27500&lt;V545,V545&lt;30001),AND(57000&lt;V545,V545&lt;60001),AND(75000&lt;V545,V545&lt;77500)),$H545,VLOOKUP(V545,BDins,6,FALSE)))))</f>
        <v>22</v>
      </c>
      <c r="W547">
        <f>IF(W549&gt;10000,HLOOKUP(W549,$O545:V548,4,FALSE),IF(OR(AND(22500&lt;W545,W545&lt;25001),AND(50000&lt;W545,W545&lt;53501),AND(70000&lt;W545,W545&lt;72501)),$F545,IF(OR(AND(25001&lt;W545,W545&lt;27501),AND(53500&lt;W545,W545&lt;57001),AND(72500&lt;W545,W545&lt;75001)),$G545,IF(OR(AND(27500&lt;W545,W545&lt;30001),AND(57000&lt;W545,W545&lt;60001),AND(75000&lt;W545,W545&lt;77500)),$H545,VLOOKUP(W545,BDins,6,FALSE)))))</f>
        <v>5</v>
      </c>
      <c r="X547">
        <f>IF(X549&gt;10000,HLOOKUP(X549,$O545:W548,4,FALSE),IF(OR(AND(22500&lt;X545,X545&lt;25001),AND(50000&lt;X545,X545&lt;53501),AND(70000&lt;X545,X545&lt;72501)),$F545,IF(OR(AND(25001&lt;X545,X545&lt;27501),AND(53500&lt;X545,X545&lt;57001),AND(72500&lt;X545,X545&lt;75001)),$G545,IF(OR(AND(27500&lt;X545,X545&lt;30001),AND(57000&lt;X545,X545&lt;60001),AND(75000&lt;X545,X545&lt;77500)),$H545,VLOOKUP(X545,BDins,6,FALSE)))))</f>
        <v>17.189999999999998</v>
      </c>
    </row>
    <row r="548" spans="1:26" x14ac:dyDescent="0.2">
      <c r="O548">
        <f t="shared" ref="O548:X548" si="82">IF($K545&gt;0,ROUND(O546*$E545/100,DpCU),IF(O549&gt;10000,ROUND(HLOOKUP(O549,$O545:$X548,4,FALSE)/100*O546,DpCU),IF(OR(O545&lt;20001,O545&gt;95000,AND(60000&lt;O545,O545&lt;70001)),ROUND(ROUND(O546*JL/$C545,DcCU)*O547,DpCU),IF(OR(AND(20000&lt;O545,O545&lt;22501),AND(30000&lt;O545,O545&lt;50001),77500&lt;O545),ROUND(O547*O546,DpCU),IF(OR(AND(22500&lt;O545,O545&lt;25001),AND(50000&lt;O545,O545&lt;53501),AND(70000&lt;O545,O545&lt;72501)),ROUND($F545/100*O546,DpCU),IF(OR(AND(25000&lt;O545,O545&lt;27501),AND(53500&lt;O545,O545&lt;57001),AND(72500&lt;O545,O545&lt;75001)),ROUND($G545/100*O546,DpCU),ROUND($H545/100*O546,DpCU)))))))</f>
        <v>1.1100000000000001</v>
      </c>
      <c r="P548">
        <f t="shared" si="82"/>
        <v>9.25</v>
      </c>
      <c r="Q548">
        <f t="shared" si="82"/>
        <v>6.83</v>
      </c>
      <c r="R548">
        <f t="shared" si="82"/>
        <v>0.45</v>
      </c>
      <c r="S548">
        <f t="shared" si="82"/>
        <v>0.47</v>
      </c>
      <c r="T548">
        <f t="shared" si="82"/>
        <v>9.98</v>
      </c>
      <c r="U548">
        <f t="shared" si="82"/>
        <v>0.32</v>
      </c>
      <c r="V548">
        <f t="shared" si="82"/>
        <v>1.32</v>
      </c>
      <c r="W548">
        <f t="shared" si="82"/>
        <v>5.25</v>
      </c>
      <c r="X548">
        <f t="shared" si="82"/>
        <v>0.86</v>
      </c>
    </row>
    <row r="549" spans="1:26" x14ac:dyDescent="0.2">
      <c r="B549" s="3" t="str">
        <f>A545&amp;"r"</f>
        <v>10109r</v>
      </c>
    </row>
    <row r="550" spans="1:26" x14ac:dyDescent="0.2">
      <c r="A550">
        <v>10110</v>
      </c>
      <c r="B550" s="3" t="s">
        <v>611</v>
      </c>
      <c r="C550" s="1">
        <f>ROUND(J550*JL*Frto/8,4)</f>
        <v>20</v>
      </c>
      <c r="D550" t="s">
        <v>210</v>
      </c>
      <c r="E550">
        <f>SUM($O553:$W553)</f>
        <v>44.6</v>
      </c>
      <c r="F550">
        <f>SUMIF($O550:$W550,"&lt;22501",$O553:$W553)</f>
        <v>15.46</v>
      </c>
      <c r="G550">
        <f>SUMIFS($O553:$W553,$O550:$W550,"&gt;30000",$O550:$W550,"&lt;50001")</f>
        <v>28.369999999999997</v>
      </c>
      <c r="H550">
        <f>SUMIFS($O553:$W553,$O550:$W550,"&gt;60000",$O550:$W550,"&lt;70001")</f>
        <v>0</v>
      </c>
      <c r="I550">
        <v>9</v>
      </c>
      <c r="J550">
        <v>20</v>
      </c>
      <c r="O550">
        <v>10001</v>
      </c>
      <c r="P550">
        <v>10002</v>
      </c>
      <c r="Q550">
        <v>10003</v>
      </c>
      <c r="R550">
        <v>30023</v>
      </c>
      <c r="S550">
        <v>30048</v>
      </c>
      <c r="T550">
        <v>30096</v>
      </c>
      <c r="U550">
        <v>30097</v>
      </c>
      <c r="V550">
        <v>30098</v>
      </c>
      <c r="W550">
        <v>70001</v>
      </c>
    </row>
    <row r="551" spans="1:26" x14ac:dyDescent="0.2">
      <c r="B551" s="3" t="str">
        <f>A550&amp;"C"</f>
        <v>10110C</v>
      </c>
      <c r="O551">
        <v>0.1</v>
      </c>
      <c r="P551">
        <v>1</v>
      </c>
      <c r="Q551">
        <v>1</v>
      </c>
      <c r="R551">
        <v>5.0000000000000001E-3</v>
      </c>
      <c r="S551">
        <v>5.5E-2</v>
      </c>
      <c r="T551">
        <v>1.05</v>
      </c>
      <c r="U551">
        <v>0.2</v>
      </c>
      <c r="V551">
        <v>0.25</v>
      </c>
      <c r="W551">
        <v>5</v>
      </c>
    </row>
    <row r="552" spans="1:26" x14ac:dyDescent="0.2">
      <c r="O552">
        <f>IF(O554&gt;10000,HLOOKUP(O554,N550:$O553,4,FALSE),IF(OR(AND(22500&lt;O550,O550&lt;25001),AND(50000&lt;O550,O550&lt;53501),AND(70000&lt;O550,O550&lt;72501)),$F550,IF(OR(AND(25001&lt;O550,O550&lt;27501),AND(53500&lt;O550,O550&lt;57001),AND(72500&lt;O550,O550&lt;75001)),$G550,IF(OR(AND(27500&lt;O550,O550&lt;30001),AND(57000&lt;O550,O550&lt;60001),AND(75000&lt;O550,O550&lt;77500)),$H550,VLOOKUP(O550,BDins,6,FALSE)))))</f>
        <v>24.97</v>
      </c>
      <c r="P552">
        <f>IF(P554&gt;10000,HLOOKUP(P554,O550:$O553,4,FALSE),IF(OR(AND(22500&lt;P550,P550&lt;25001),AND(50000&lt;P550,P550&lt;53501),AND(70000&lt;P550,P550&lt;72501)),$F550,IF(OR(AND(25001&lt;P550,P550&lt;27501),AND(53500&lt;P550,P550&lt;57001),AND(72500&lt;P550,P550&lt;75001)),$G550,IF(OR(AND(27500&lt;P550,P550&lt;30001),AND(57000&lt;P550,P550&lt;60001),AND(75000&lt;P550,P550&lt;77500)),$H550,VLOOKUP(P550,BDins,6,FALSE)))))</f>
        <v>20.81</v>
      </c>
      <c r="Q552">
        <f>IF(Q554&gt;10000,HLOOKUP(Q554,$O550:P553,4,FALSE),IF(OR(AND(22500&lt;Q550,Q550&lt;25001),AND(50000&lt;Q550,Q550&lt;53501),AND(70000&lt;Q550,Q550&lt;72501)),$F550,IF(OR(AND(25001&lt;Q550,Q550&lt;27501),AND(53500&lt;Q550,Q550&lt;57001),AND(72500&lt;Q550,Q550&lt;75001)),$G550,IF(OR(AND(27500&lt;Q550,Q550&lt;30001),AND(57000&lt;Q550,Q550&lt;60001),AND(75000&lt;Q550,Q550&lt;77500)),$H550,VLOOKUP(Q550,BDins,6,FALSE)))))</f>
        <v>15.36</v>
      </c>
      <c r="R552">
        <f>IF(R554&gt;10000,HLOOKUP(R554,$O550:Q553,4,FALSE),IF(OR(AND(22500&lt;R550,R550&lt;25001),AND(50000&lt;R550,R550&lt;53501),AND(70000&lt;R550,R550&lt;72501)),$F550,IF(OR(AND(25001&lt;R550,R550&lt;27501),AND(53500&lt;R550,R550&lt;57001),AND(72500&lt;R550,R550&lt;75001)),$G550,IF(OR(AND(27500&lt;R550,R550&lt;30001),AND(57000&lt;R550,R550&lt;60001),AND(75000&lt;R550,R550&lt;77500)),$H550,VLOOKUP(R550,BDins,6,FALSE)))))</f>
        <v>150</v>
      </c>
      <c r="S552">
        <f>IF(S554&gt;10000,HLOOKUP(S554,$O550:R553,4,FALSE),IF(OR(AND(22500&lt;S550,S550&lt;25001),AND(50000&lt;S550,S550&lt;53501),AND(70000&lt;S550,S550&lt;72501)),$F550,IF(OR(AND(25001&lt;S550,S550&lt;27501),AND(53500&lt;S550,S550&lt;57001),AND(72500&lt;S550,S550&lt;75001)),$G550,IF(OR(AND(27500&lt;S550,S550&lt;30001),AND(57000&lt;S550,S550&lt;60001),AND(75000&lt;S550,S550&lt;77500)),$H550,VLOOKUP(S550,BDins,6,FALSE)))))</f>
        <v>8.5</v>
      </c>
      <c r="T552">
        <f>IF(T554&gt;10000,HLOOKUP(T554,$O550:S553,4,FALSE),IF(OR(AND(22500&lt;T550,T550&lt;25001),AND(50000&lt;T550,T550&lt;53501),AND(70000&lt;T550,T550&lt;72501)),$F550,IF(OR(AND(25001&lt;T550,T550&lt;27501),AND(53500&lt;T550,T550&lt;57001),AND(72500&lt;T550,T550&lt;75001)),$G550,IF(OR(AND(27500&lt;T550,T550&lt;30001),AND(57000&lt;T550,T550&lt;60001),AND(75000&lt;T550,T550&lt;77500)),$H550,VLOOKUP(T550,BDins,6,FALSE)))))</f>
        <v>19.95</v>
      </c>
      <c r="U552">
        <f>IF(U554&gt;10000,HLOOKUP(U554,$O550:T553,4,FALSE),IF(OR(AND(22500&lt;U550,U550&lt;25001),AND(50000&lt;U550,U550&lt;53501),AND(70000&lt;U550,U550&lt;72501)),$F550,IF(OR(AND(25001&lt;U550,U550&lt;27501),AND(53500&lt;U550,U550&lt;57001),AND(72500&lt;U550,U550&lt;75001)),$G550,IF(OR(AND(27500&lt;U550,U550&lt;30001),AND(57000&lt;U550,U550&lt;60001),AND(75000&lt;U550,U550&lt;77500)),$H550,VLOOKUP(U550,BDins,6,FALSE)))))</f>
        <v>3.5</v>
      </c>
      <c r="V552">
        <f>IF(V554&gt;10000,HLOOKUP(V554,$O550:U553,4,FALSE),IF(OR(AND(22500&lt;V550,V550&lt;25001),AND(50000&lt;V550,V550&lt;53501),AND(70000&lt;V550,V550&lt;72501)),$F550,IF(OR(AND(25001&lt;V550,V550&lt;27501),AND(53500&lt;V550,V550&lt;57001),AND(72500&lt;V550,V550&lt;75001)),$G550,IF(OR(AND(27500&lt;V550,V550&lt;30001),AND(57000&lt;V550,V550&lt;60001),AND(75000&lt;V550,V550&lt;77500)),$H550,VLOOKUP(V550,BDins,6,FALSE)))))</f>
        <v>22</v>
      </c>
      <c r="W552">
        <f>IF(W554&gt;10000,HLOOKUP(W554,$O550:V553,4,FALSE),IF(OR(AND(22500&lt;W550,W550&lt;25001),AND(50000&lt;W550,W550&lt;53501),AND(70000&lt;W550,W550&lt;72501)),$F550,IF(OR(AND(25001&lt;W550,W550&lt;27501),AND(53500&lt;W550,W550&lt;57001),AND(72500&lt;W550,W550&lt;75001)),$G550,IF(OR(AND(27500&lt;W550,W550&lt;30001),AND(57000&lt;W550,W550&lt;60001),AND(75000&lt;W550,W550&lt;77500)),$H550,VLOOKUP(W550,BDins,6,FALSE)))))</f>
        <v>15.46</v>
      </c>
    </row>
    <row r="553" spans="1:26" x14ac:dyDescent="0.2">
      <c r="O553">
        <f t="shared" ref="O553:W553" si="83">IF($K550&gt;0,ROUND(O551*$E550/100,DpCU),IF(O554&gt;10000,ROUND(HLOOKUP(O554,$O550:$W553,4,FALSE)/100*O551,DpCU),IF(OR(O550&lt;20001,O550&gt;95000,AND(60000&lt;O550,O550&lt;70001)),ROUND(ROUND(O551*JL/$C550,DcCU)*O552,DpCU),IF(OR(AND(20000&lt;O550,O550&lt;22501),AND(30000&lt;O550,O550&lt;50001),77500&lt;O550),ROUND(O552*O551,DpCU),IF(OR(AND(22500&lt;O550,O550&lt;25001),AND(50000&lt;O550,O550&lt;53501),AND(70000&lt;O550,O550&lt;72501)),ROUND($F550/100*O551,DpCU),IF(OR(AND(25000&lt;O550,O550&lt;27501),AND(53500&lt;O550,O550&lt;57001),AND(72500&lt;O550,O550&lt;75001)),ROUND($G550/100*O551,DpCU),ROUND($H550/100*O551,DpCU)))))))</f>
        <v>1</v>
      </c>
      <c r="P553">
        <f t="shared" si="83"/>
        <v>8.32</v>
      </c>
      <c r="Q553">
        <f t="shared" si="83"/>
        <v>6.14</v>
      </c>
      <c r="R553">
        <f t="shared" si="83"/>
        <v>0.75</v>
      </c>
      <c r="S553">
        <f t="shared" si="83"/>
        <v>0.47</v>
      </c>
      <c r="T553">
        <f t="shared" si="83"/>
        <v>20.95</v>
      </c>
      <c r="U553">
        <f t="shared" si="83"/>
        <v>0.7</v>
      </c>
      <c r="V553">
        <f t="shared" si="83"/>
        <v>5.5</v>
      </c>
      <c r="W553">
        <f t="shared" si="83"/>
        <v>0.77</v>
      </c>
    </row>
    <row r="554" spans="1:26" x14ac:dyDescent="0.2">
      <c r="B554" s="3" t="str">
        <f>A550&amp;"r"</f>
        <v>10110r</v>
      </c>
    </row>
    <row r="555" spans="1:26" x14ac:dyDescent="0.2">
      <c r="A555">
        <v>10111</v>
      </c>
      <c r="B555" s="3" t="s">
        <v>615</v>
      </c>
      <c r="C555" s="1">
        <f>ROUND(J555*JL*Frto/8,4)</f>
        <v>15</v>
      </c>
      <c r="D555" t="s">
        <v>210</v>
      </c>
      <c r="E555">
        <f>SUM($O558:$X558)</f>
        <v>30.090000000000003</v>
      </c>
      <c r="F555">
        <f>SUMIF($O555:$X555,"&lt;22501",$O558:$X558)</f>
        <v>18.57</v>
      </c>
      <c r="G555">
        <f>SUMIFS($O558:$X558,$O555:$X555,"&gt;30000",$O555:$X555,"&lt;50001")</f>
        <v>9.09</v>
      </c>
      <c r="H555">
        <f>SUMIFS($O558:$X558,$O555:$X555,"&gt;60000",$O555:$X555,"&lt;70001")</f>
        <v>0</v>
      </c>
      <c r="I555">
        <v>10</v>
      </c>
      <c r="J555">
        <v>15</v>
      </c>
      <c r="O555">
        <v>10001</v>
      </c>
      <c r="P555">
        <v>10002</v>
      </c>
      <c r="Q555">
        <v>10003</v>
      </c>
      <c r="R555">
        <v>30002</v>
      </c>
      <c r="S555">
        <v>30023</v>
      </c>
      <c r="T555">
        <v>30051</v>
      </c>
      <c r="U555">
        <v>30053</v>
      </c>
      <c r="V555">
        <v>30093</v>
      </c>
      <c r="W555">
        <v>70001</v>
      </c>
      <c r="X555">
        <v>77509</v>
      </c>
    </row>
    <row r="556" spans="1:26" x14ac:dyDescent="0.2">
      <c r="B556" s="3" t="str">
        <f>A555&amp;"C"</f>
        <v>10111C</v>
      </c>
      <c r="O556">
        <v>0.1</v>
      </c>
      <c r="P556">
        <v>1</v>
      </c>
      <c r="Q556">
        <v>0.75</v>
      </c>
      <c r="R556">
        <v>0.3</v>
      </c>
      <c r="S556">
        <v>4.0000000000000001E-3</v>
      </c>
      <c r="T556">
        <v>8.9999999999999993E-3</v>
      </c>
      <c r="U556">
        <v>0.4</v>
      </c>
      <c r="V556">
        <v>0.03</v>
      </c>
      <c r="W556">
        <v>5</v>
      </c>
      <c r="X556">
        <v>0.05</v>
      </c>
    </row>
    <row r="557" spans="1:26" x14ac:dyDescent="0.2">
      <c r="O557">
        <f>IF(O559&gt;10000,HLOOKUP(O559,N555:$O558,4,FALSE),IF(OR(AND(22500&lt;O555,O555&lt;25001),AND(50000&lt;O555,O555&lt;53501),AND(70000&lt;O555,O555&lt;72501)),$F555,IF(OR(AND(25001&lt;O555,O555&lt;27501),AND(53500&lt;O555,O555&lt;57001),AND(72500&lt;O555,O555&lt;75001)),$G555,IF(OR(AND(27500&lt;O555,O555&lt;30001),AND(57000&lt;O555,O555&lt;60001),AND(75000&lt;O555,O555&lt;77500)),$H555,VLOOKUP(O555,BDins,6,FALSE)))))</f>
        <v>24.97</v>
      </c>
      <c r="P557">
        <f>IF(P559&gt;10000,HLOOKUP(P559,O555:$O558,4,FALSE),IF(OR(AND(22500&lt;P555,P555&lt;25001),AND(50000&lt;P555,P555&lt;53501),AND(70000&lt;P555,P555&lt;72501)),$F555,IF(OR(AND(25001&lt;P555,P555&lt;27501),AND(53500&lt;P555,P555&lt;57001),AND(72500&lt;P555,P555&lt;75001)),$G555,IF(OR(AND(27500&lt;P555,P555&lt;30001),AND(57000&lt;P555,P555&lt;60001),AND(75000&lt;P555,P555&lt;77500)),$H555,VLOOKUP(P555,BDins,6,FALSE)))))</f>
        <v>20.81</v>
      </c>
      <c r="Q557">
        <f>IF(Q559&gt;10000,HLOOKUP(Q559,$O555:P558,4,FALSE),IF(OR(AND(22500&lt;Q555,Q555&lt;25001),AND(50000&lt;Q555,Q555&lt;53501),AND(70000&lt;Q555,Q555&lt;72501)),$F555,IF(OR(AND(25001&lt;Q555,Q555&lt;27501),AND(53500&lt;Q555,Q555&lt;57001),AND(72500&lt;Q555,Q555&lt;75001)),$G555,IF(OR(AND(27500&lt;Q555,Q555&lt;30001),AND(57000&lt;Q555,Q555&lt;60001),AND(75000&lt;Q555,Q555&lt;77500)),$H555,VLOOKUP(Q555,BDins,6,FALSE)))))</f>
        <v>15.36</v>
      </c>
      <c r="R557">
        <f>IF(R559&gt;10000,HLOOKUP(R559,$O555:Q558,4,FALSE),IF(OR(AND(22500&lt;R555,R555&lt;25001),AND(50000&lt;R555,R555&lt;53501),AND(70000&lt;R555,R555&lt;72501)),$F555,IF(OR(AND(25001&lt;R555,R555&lt;27501),AND(53500&lt;R555,R555&lt;57001),AND(72500&lt;R555,R555&lt;75001)),$G555,IF(OR(AND(27500&lt;R555,R555&lt;30001),AND(57000&lt;R555,R555&lt;60001),AND(75000&lt;R555,R555&lt;77500)),$H555,VLOOKUP(R555,BDins,6,FALSE)))))</f>
        <v>18.5</v>
      </c>
      <c r="S557">
        <f>IF(S559&gt;10000,HLOOKUP(S559,$O555:R558,4,FALSE),IF(OR(AND(22500&lt;S555,S555&lt;25001),AND(50000&lt;S555,S555&lt;53501),AND(70000&lt;S555,S555&lt;72501)),$F555,IF(OR(AND(25001&lt;S555,S555&lt;27501),AND(53500&lt;S555,S555&lt;57001),AND(72500&lt;S555,S555&lt;75001)),$G555,IF(OR(AND(27500&lt;S555,S555&lt;30001),AND(57000&lt;S555,S555&lt;60001),AND(75000&lt;S555,S555&lt;77500)),$H555,VLOOKUP(S555,BDins,6,FALSE)))))</f>
        <v>150</v>
      </c>
      <c r="T557">
        <f>IF(T559&gt;10000,HLOOKUP(T559,$O555:S558,4,FALSE),IF(OR(AND(22500&lt;T555,T555&lt;25001),AND(50000&lt;T555,T555&lt;53501),AND(70000&lt;T555,T555&lt;72501)),$F555,IF(OR(AND(25001&lt;T555,T555&lt;27501),AND(53500&lt;T555,T555&lt;57001),AND(72500&lt;T555,T555&lt;75001)),$G555,IF(OR(AND(27500&lt;T555,T555&lt;30001),AND(57000&lt;T555,T555&lt;60001),AND(75000&lt;T555,T555&lt;77500)),$H555,VLOOKUP(T555,BDins,6,FALSE)))))</f>
        <v>3.5</v>
      </c>
      <c r="U557">
        <f>IF(U559&gt;10000,HLOOKUP(U559,$O555:T558,4,FALSE),IF(OR(AND(22500&lt;U555,U555&lt;25001),AND(50000&lt;U555,U555&lt;53501),AND(70000&lt;U555,U555&lt;72501)),$F555,IF(OR(AND(25001&lt;U555,U555&lt;27501),AND(53500&lt;U555,U555&lt;57001),AND(72500&lt;U555,U555&lt;75001)),$G555,IF(OR(AND(27500&lt;U555,U555&lt;30001),AND(57000&lt;U555,U555&lt;60001),AND(75000&lt;U555,U555&lt;77500)),$H555,VLOOKUP(U555,BDins,6,FALSE)))))</f>
        <v>3.9</v>
      </c>
      <c r="V557">
        <f>IF(V559&gt;10000,HLOOKUP(V559,$O555:U558,4,FALSE),IF(OR(AND(22500&lt;V555,V555&lt;25001),AND(50000&lt;V555,V555&lt;53501),AND(70000&lt;V555,V555&lt;72501)),$F555,IF(OR(AND(25001&lt;V555,V555&lt;27501),AND(53500&lt;V555,V555&lt;57001),AND(72500&lt;V555,V555&lt;75001)),$G555,IF(OR(AND(27500&lt;V555,V555&lt;30001),AND(57000&lt;V555,V555&lt;60001),AND(75000&lt;V555,V555&lt;77500)),$H555,VLOOKUP(V555,BDins,6,FALSE)))))</f>
        <v>45</v>
      </c>
      <c r="W557">
        <f>IF(W559&gt;10000,HLOOKUP(W559,$O555:V558,4,FALSE),IF(OR(AND(22500&lt;W555,W555&lt;25001),AND(50000&lt;W555,W555&lt;53501),AND(70000&lt;W555,W555&lt;72501)),$F555,IF(OR(AND(25001&lt;W555,W555&lt;27501),AND(53500&lt;W555,W555&lt;57001),AND(72500&lt;W555,W555&lt;75001)),$G555,IF(OR(AND(27500&lt;W555,W555&lt;30001),AND(57000&lt;W555,W555&lt;60001),AND(75000&lt;W555,W555&lt;77500)),$H555,VLOOKUP(W555,BDins,6,FALSE)))))</f>
        <v>18.57</v>
      </c>
      <c r="X557">
        <f>IF(X559&gt;10000,HLOOKUP(X559,$O555:W558,4,FALSE),IF(OR(AND(22500&lt;X555,X555&lt;25001),AND(50000&lt;X555,X555&lt;53501),AND(70000&lt;X555,X555&lt;72501)),$F555,IF(OR(AND(25001&lt;X555,X555&lt;27501),AND(53500&lt;X555,X555&lt;57001),AND(72500&lt;X555,X555&lt;75001)),$G555,IF(OR(AND(27500&lt;X555,X555&lt;30001),AND(57000&lt;X555,X555&lt;60001),AND(75000&lt;X555,X555&lt;77500)),$H555,VLOOKUP(X555,BDins,6,FALSE)))))</f>
        <v>29.98</v>
      </c>
    </row>
    <row r="558" spans="1:26" x14ac:dyDescent="0.2">
      <c r="O558">
        <f t="shared" ref="O558:X558" si="84">IF($K555&gt;0,ROUND(O556*$E555/100,DpCU),IF(O559&gt;10000,ROUND(HLOOKUP(O559,$O555:$X558,4,FALSE)/100*O556,DpCU),IF(OR(O555&lt;20001,O555&gt;95000,AND(60000&lt;O555,O555&lt;70001)),ROUND(ROUND(O556*JL/$C555,DcCU)*O557,DpCU),IF(OR(AND(20000&lt;O555,O555&lt;22501),AND(30000&lt;O555,O555&lt;50001),77500&lt;O555),ROUND(O557*O556,DpCU),IF(OR(AND(22500&lt;O555,O555&lt;25001),AND(50000&lt;O555,O555&lt;53501),AND(70000&lt;O555,O555&lt;72501)),ROUND($F555/100*O556,DpCU),IF(OR(AND(25000&lt;O555,O555&lt;27501),AND(53500&lt;O555,O555&lt;57001),AND(72500&lt;O555,O555&lt;75001)),ROUND($G555/100*O556,DpCU),ROUND($H555/100*O556,DpCU)))))))</f>
        <v>1.33</v>
      </c>
      <c r="P558">
        <f t="shared" si="84"/>
        <v>11.1</v>
      </c>
      <c r="Q558">
        <f t="shared" si="84"/>
        <v>6.14</v>
      </c>
      <c r="R558">
        <f t="shared" si="84"/>
        <v>5.55</v>
      </c>
      <c r="S558">
        <f t="shared" si="84"/>
        <v>0.6</v>
      </c>
      <c r="T558">
        <f t="shared" si="84"/>
        <v>0.03</v>
      </c>
      <c r="U558">
        <f t="shared" si="84"/>
        <v>1.56</v>
      </c>
      <c r="V558">
        <f t="shared" si="84"/>
        <v>1.35</v>
      </c>
      <c r="W558">
        <f t="shared" si="84"/>
        <v>0.93</v>
      </c>
      <c r="X558">
        <f t="shared" si="84"/>
        <v>1.5</v>
      </c>
    </row>
    <row r="559" spans="1:26" x14ac:dyDescent="0.2">
      <c r="B559" s="3" t="str">
        <f>A555&amp;"r"</f>
        <v>10111r</v>
      </c>
    </row>
    <row r="560" spans="1:26" x14ac:dyDescent="0.2">
      <c r="A560">
        <v>10112</v>
      </c>
      <c r="B560" s="3" t="s">
        <v>619</v>
      </c>
      <c r="C560" s="1">
        <f>ROUND(J560*JL*Frto/8,4)</f>
        <v>100</v>
      </c>
      <c r="D560" t="s">
        <v>210</v>
      </c>
      <c r="E560">
        <f>SUM($O563:$Z563)</f>
        <v>41.389999999999993</v>
      </c>
      <c r="F560">
        <f>SUMIF($O560:$Z560,"&lt;22501",$O563:$Z563)</f>
        <v>13.14</v>
      </c>
      <c r="G560">
        <f>SUMIFS($O563:$Z563,$O560:$Z560,"&gt;30000",$O560:$Z560,"&lt;50001")</f>
        <v>24.83</v>
      </c>
      <c r="H560">
        <f>SUMIFS($O563:$Z563,$O560:$Z560,"&gt;60000",$O560:$Z560,"&lt;70001")</f>
        <v>1.26</v>
      </c>
      <c r="I560">
        <v>12</v>
      </c>
      <c r="J560">
        <v>100</v>
      </c>
      <c r="O560">
        <v>10001</v>
      </c>
      <c r="P560">
        <v>10002</v>
      </c>
      <c r="Q560">
        <v>10003</v>
      </c>
      <c r="R560">
        <v>10004</v>
      </c>
      <c r="S560">
        <v>10008</v>
      </c>
      <c r="T560">
        <v>30002</v>
      </c>
      <c r="U560">
        <v>30023</v>
      </c>
      <c r="V560">
        <v>30056</v>
      </c>
      <c r="W560">
        <v>30062</v>
      </c>
      <c r="X560">
        <v>60010</v>
      </c>
      <c r="Y560">
        <v>70001</v>
      </c>
      <c r="Z560">
        <v>77509</v>
      </c>
    </row>
    <row r="561" spans="1:26" x14ac:dyDescent="0.2">
      <c r="B561" s="3" t="str">
        <f>A560&amp;"C"</f>
        <v>10112C</v>
      </c>
      <c r="O561">
        <v>0.1</v>
      </c>
      <c r="P561">
        <v>3</v>
      </c>
      <c r="Q561">
        <v>4</v>
      </c>
      <c r="R561">
        <v>1</v>
      </c>
      <c r="S561">
        <v>1</v>
      </c>
      <c r="T561">
        <v>0.5</v>
      </c>
      <c r="U561">
        <v>8.2000000000000003E-2</v>
      </c>
      <c r="V561">
        <v>7.0000000000000007E-2</v>
      </c>
      <c r="W561">
        <v>1.2500000000000001E-2</v>
      </c>
      <c r="X561">
        <v>0.5</v>
      </c>
      <c r="Y561">
        <v>5</v>
      </c>
      <c r="Z561">
        <v>0.05</v>
      </c>
    </row>
    <row r="562" spans="1:26" x14ac:dyDescent="0.2">
      <c r="O562">
        <f>IF(O564&gt;10000,HLOOKUP(O564,N560:$O563,4,FALSE),IF(OR(AND(22500&lt;O560,O560&lt;25001),AND(50000&lt;O560,O560&lt;53501),AND(70000&lt;O560,O560&lt;72501)),$F560,IF(OR(AND(25001&lt;O560,O560&lt;27501),AND(53500&lt;O560,O560&lt;57001),AND(72500&lt;O560,O560&lt;75001)),$G560,IF(OR(AND(27500&lt;O560,O560&lt;30001),AND(57000&lt;O560,O560&lt;60001),AND(75000&lt;O560,O560&lt;77500)),$H560,VLOOKUP(O560,BDins,6,FALSE)))))</f>
        <v>24.97</v>
      </c>
      <c r="P562">
        <f>IF(P564&gt;10000,HLOOKUP(P564,O560:$O563,4,FALSE),IF(OR(AND(22500&lt;P560,P560&lt;25001),AND(50000&lt;P560,P560&lt;53501),AND(70000&lt;P560,P560&lt;72501)),$F560,IF(OR(AND(25001&lt;P560,P560&lt;27501),AND(53500&lt;P560,P560&lt;57001),AND(72500&lt;P560,P560&lt;75001)),$G560,IF(OR(AND(27500&lt;P560,P560&lt;30001),AND(57000&lt;P560,P560&lt;60001),AND(75000&lt;P560,P560&lt;77500)),$H560,VLOOKUP(P560,BDins,6,FALSE)))))</f>
        <v>20.81</v>
      </c>
      <c r="Q562">
        <f>IF(Q564&gt;10000,HLOOKUP(Q564,$O560:P563,4,FALSE),IF(OR(AND(22500&lt;Q560,Q560&lt;25001),AND(50000&lt;Q560,Q560&lt;53501),AND(70000&lt;Q560,Q560&lt;72501)),$F560,IF(OR(AND(25001&lt;Q560,Q560&lt;27501),AND(53500&lt;Q560,Q560&lt;57001),AND(72500&lt;Q560,Q560&lt;75001)),$G560,IF(OR(AND(27500&lt;Q560,Q560&lt;30001),AND(57000&lt;Q560,Q560&lt;60001),AND(75000&lt;Q560,Q560&lt;77500)),$H560,VLOOKUP(Q560,BDins,6,FALSE)))))</f>
        <v>15.36</v>
      </c>
      <c r="R562">
        <f>IF(R564&gt;10000,HLOOKUP(R564,$O560:Q563,4,FALSE),IF(OR(AND(22500&lt;R560,R560&lt;25001),AND(50000&lt;R560,R560&lt;53501),AND(70000&lt;R560,R560&lt;72501)),$F560,IF(OR(AND(25001&lt;R560,R560&lt;27501),AND(53500&lt;R560,R560&lt;57001),AND(72500&lt;R560,R560&lt;75001)),$G560,IF(OR(AND(27500&lt;R560,R560&lt;30001),AND(57000&lt;R560,R560&lt;60001),AND(75000&lt;R560,R560&lt;77500)),$H560,VLOOKUP(R560,BDins,6,FALSE)))))</f>
        <v>20.81</v>
      </c>
      <c r="S562">
        <f>IF(S564&gt;10000,HLOOKUP(S564,$O560:R563,4,FALSE),IF(OR(AND(22500&lt;S560,S560&lt;25001),AND(50000&lt;S560,S560&lt;53501),AND(70000&lt;S560,S560&lt;72501)),$F560,IF(OR(AND(25001&lt;S560,S560&lt;27501),AND(53500&lt;S560,S560&lt;57001),AND(72500&lt;S560,S560&lt;75001)),$G560,IF(OR(AND(27500&lt;S560,S560&lt;30001),AND(57000&lt;S560,S560&lt;60001),AND(75000&lt;S560,S560&lt;77500)),$H560,VLOOKUP(S560,BDins,6,FALSE)))))</f>
        <v>17.09</v>
      </c>
      <c r="T562">
        <f>IF(T564&gt;10000,HLOOKUP(T564,$O560:S563,4,FALSE),IF(OR(AND(22500&lt;T560,T560&lt;25001),AND(50000&lt;T560,T560&lt;53501),AND(70000&lt;T560,T560&lt;72501)),$F560,IF(OR(AND(25001&lt;T560,T560&lt;27501),AND(53500&lt;T560,T560&lt;57001),AND(72500&lt;T560,T560&lt;75001)),$G560,IF(OR(AND(27500&lt;T560,T560&lt;30001),AND(57000&lt;T560,T560&lt;60001),AND(75000&lt;T560,T560&lt;77500)),$H560,VLOOKUP(T560,BDins,6,FALSE)))))</f>
        <v>18.5</v>
      </c>
      <c r="U562">
        <f>IF(U564&gt;10000,HLOOKUP(U564,$O560:T563,4,FALSE),IF(OR(AND(22500&lt;U560,U560&lt;25001),AND(50000&lt;U560,U560&lt;53501),AND(70000&lt;U560,U560&lt;72501)),$F560,IF(OR(AND(25001&lt;U560,U560&lt;27501),AND(53500&lt;U560,U560&lt;57001),AND(72500&lt;U560,U560&lt;75001)),$G560,IF(OR(AND(27500&lt;U560,U560&lt;30001),AND(57000&lt;U560,U560&lt;60001),AND(75000&lt;U560,U560&lt;77500)),$H560,VLOOKUP(U560,BDins,6,FALSE)))))</f>
        <v>150</v>
      </c>
      <c r="V562">
        <f>IF(V564&gt;10000,HLOOKUP(V564,$O560:U563,4,FALSE),IF(OR(AND(22500&lt;V560,V560&lt;25001),AND(50000&lt;V560,V560&lt;53501),AND(70000&lt;V560,V560&lt;72501)),$F560,IF(OR(AND(25001&lt;V560,V560&lt;27501),AND(53500&lt;V560,V560&lt;57001),AND(72500&lt;V560,V560&lt;75001)),$G560,IF(OR(AND(27500&lt;V560,V560&lt;30001),AND(57000&lt;V560,V560&lt;60001),AND(75000&lt;V560,V560&lt;77500)),$H560,VLOOKUP(V560,BDins,6,FALSE)))))</f>
        <v>45</v>
      </c>
      <c r="W562">
        <f>IF(W564&gt;10000,HLOOKUP(W564,$O560:V563,4,FALSE),IF(OR(AND(22500&lt;W560,W560&lt;25001),AND(50000&lt;W560,W560&lt;53501),AND(70000&lt;W560,W560&lt;72501)),$F560,IF(OR(AND(25001&lt;W560,W560&lt;27501),AND(53500&lt;W560,W560&lt;57001),AND(72500&lt;W560,W560&lt;75001)),$G560,IF(OR(AND(27500&lt;W560,W560&lt;30001),AND(57000&lt;W560,W560&lt;60001),AND(75000&lt;W560,W560&lt;77500)),$H560,VLOOKUP(W560,BDins,6,FALSE)))))</f>
        <v>10.5</v>
      </c>
      <c r="X562">
        <f>IF(X564&gt;10000,HLOOKUP(X564,$O560:W563,4,FALSE),IF(OR(AND(22500&lt;X560,X560&lt;25001),AND(50000&lt;X560,X560&lt;53501),AND(70000&lt;X560,X560&lt;72501)),$F560,IF(OR(AND(25001&lt;X560,X560&lt;27501),AND(53500&lt;X560,X560&lt;57001),AND(72500&lt;X560,X560&lt;75001)),$G560,IF(OR(AND(27500&lt;X560,X560&lt;30001),AND(57000&lt;X560,X560&lt;60001),AND(75000&lt;X560,X560&lt;77500)),$H560,VLOOKUP(X560,BDins,6,FALSE)))))</f>
        <v>31.5</v>
      </c>
      <c r="Y562">
        <f>IF(Y564&gt;10000,HLOOKUP(Y564,$O560:X563,4,FALSE),IF(OR(AND(22500&lt;Y560,Y560&lt;25001),AND(50000&lt;Y560,Y560&lt;53501),AND(70000&lt;Y560,Y560&lt;72501)),$F560,IF(OR(AND(25001&lt;Y560,Y560&lt;27501),AND(53500&lt;Y560,Y560&lt;57001),AND(72500&lt;Y560,Y560&lt;75001)),$G560,IF(OR(AND(27500&lt;Y560,Y560&lt;30001),AND(57000&lt;Y560,Y560&lt;60001),AND(75000&lt;Y560,Y560&lt;77500)),$H560,VLOOKUP(Y560,BDins,6,FALSE)))))</f>
        <v>13.14</v>
      </c>
      <c r="Z562">
        <f>IF(Z564&gt;10000,HLOOKUP(Z564,$O560:Y563,4,FALSE),IF(OR(AND(22500&lt;Z560,Z560&lt;25001),AND(50000&lt;Z560,Z560&lt;53501),AND(70000&lt;Z560,Z560&lt;72501)),$F560,IF(OR(AND(25001&lt;Z560,Z560&lt;27501),AND(53500&lt;Z560,Z560&lt;57001),AND(72500&lt;Z560,Z560&lt;75001)),$G560,IF(OR(AND(27500&lt;Z560,Z560&lt;30001),AND(57000&lt;Z560,Z560&lt;60001),AND(75000&lt;Z560,Z560&lt;77500)),$H560,VLOOKUP(Z560,BDins,6,FALSE)))))</f>
        <v>29.98</v>
      </c>
    </row>
    <row r="563" spans="1:26" x14ac:dyDescent="0.2">
      <c r="O563">
        <f t="shared" ref="O563:Z563" si="85">IF($K560&gt;0,ROUND(O561*$E560/100,DpCU),IF(O564&gt;10000,ROUND(HLOOKUP(O564,$O560:$Z563,4,FALSE)/100*O561,DpCU),IF(OR(O560&lt;20001,O560&gt;95000,AND(60000&lt;O560,O560&lt;70001)),ROUND(ROUND(O561*JL/$C560,DcCU)*O562,DpCU),IF(OR(AND(20000&lt;O560,O560&lt;22501),AND(30000&lt;O560,O560&lt;50001),77500&lt;O560),ROUND(O562*O561,DpCU),IF(OR(AND(22500&lt;O560,O560&lt;25001),AND(50000&lt;O560,O560&lt;53501),AND(70000&lt;O560,O560&lt;72501)),ROUND($F560/100*O561,DpCU),IF(OR(AND(25000&lt;O560,O560&lt;27501),AND(53500&lt;O560,O560&lt;57001),AND(72500&lt;O560,O560&lt;75001)),ROUND($G560/100*O561,DpCU),ROUND($H560/100*O561,DpCU)))))))</f>
        <v>0.2</v>
      </c>
      <c r="P563">
        <f t="shared" si="85"/>
        <v>4.99</v>
      </c>
      <c r="Q563">
        <f t="shared" si="85"/>
        <v>4.92</v>
      </c>
      <c r="R563">
        <f t="shared" si="85"/>
        <v>1.66</v>
      </c>
      <c r="S563">
        <f t="shared" si="85"/>
        <v>1.37</v>
      </c>
      <c r="T563">
        <f t="shared" si="85"/>
        <v>9.25</v>
      </c>
      <c r="U563">
        <f t="shared" si="85"/>
        <v>12.3</v>
      </c>
      <c r="V563">
        <f t="shared" si="85"/>
        <v>3.15</v>
      </c>
      <c r="W563">
        <f t="shared" si="85"/>
        <v>0.13</v>
      </c>
      <c r="X563">
        <f t="shared" si="85"/>
        <v>1.26</v>
      </c>
      <c r="Y563">
        <f t="shared" si="85"/>
        <v>0.66</v>
      </c>
      <c r="Z563">
        <f t="shared" si="85"/>
        <v>1.5</v>
      </c>
    </row>
    <row r="564" spans="1:26" x14ac:dyDescent="0.2">
      <c r="B564" s="3" t="str">
        <f>A560&amp;"r"</f>
        <v>10112r</v>
      </c>
    </row>
    <row r="565" spans="1:26" x14ac:dyDescent="0.2">
      <c r="A565">
        <v>10113</v>
      </c>
      <c r="B565" s="3" t="s">
        <v>621</v>
      </c>
      <c r="C565" s="1">
        <f>ROUND(J565*JL*Frto/8,4)</f>
        <v>15</v>
      </c>
      <c r="D565" t="s">
        <v>210</v>
      </c>
      <c r="E565">
        <f>SUM($O568:$W568)</f>
        <v>52.019999999999989</v>
      </c>
      <c r="F565">
        <f>SUMIF($O565:$W565,"&lt;22501",$O568:$W568)</f>
        <v>18.57</v>
      </c>
      <c r="G565">
        <f>SUMIFS($O568:$W568,$O565:$W565,"&gt;30000",$O565:$W565,"&lt;50001")</f>
        <v>32.519999999999996</v>
      </c>
      <c r="H565">
        <f>SUMIFS($O568:$W568,$O565:$W565,"&gt;60000",$O565:$W565,"&lt;70001")</f>
        <v>0</v>
      </c>
      <c r="I565">
        <v>9</v>
      </c>
      <c r="J565">
        <v>15</v>
      </c>
      <c r="O565">
        <v>10001</v>
      </c>
      <c r="P565">
        <v>10002</v>
      </c>
      <c r="Q565">
        <v>10003</v>
      </c>
      <c r="R565">
        <v>30023</v>
      </c>
      <c r="S565">
        <v>30100</v>
      </c>
      <c r="T565">
        <v>30101</v>
      </c>
      <c r="U565">
        <v>30102</v>
      </c>
      <c r="V565">
        <v>30103</v>
      </c>
      <c r="W565">
        <v>70001</v>
      </c>
    </row>
    <row r="566" spans="1:26" x14ac:dyDescent="0.2">
      <c r="B566" s="3" t="str">
        <f>A565&amp;"C"</f>
        <v>10113C</v>
      </c>
      <c r="O566">
        <v>0.1</v>
      </c>
      <c r="P566">
        <v>1</v>
      </c>
      <c r="Q566">
        <v>0.75</v>
      </c>
      <c r="R566">
        <v>6.0000000000000001E-3</v>
      </c>
      <c r="S566">
        <v>2.5000000000000001E-2</v>
      </c>
      <c r="T566">
        <v>0.19500000000000001</v>
      </c>
      <c r="U566">
        <v>1.05</v>
      </c>
      <c r="V566">
        <v>0.3</v>
      </c>
      <c r="W566">
        <v>5</v>
      </c>
    </row>
    <row r="567" spans="1:26" x14ac:dyDescent="0.2">
      <c r="O567">
        <f>IF(O569&gt;10000,HLOOKUP(O569,N565:$O568,4,FALSE),IF(OR(AND(22500&lt;O565,O565&lt;25001),AND(50000&lt;O565,O565&lt;53501),AND(70000&lt;O565,O565&lt;72501)),$F565,IF(OR(AND(25001&lt;O565,O565&lt;27501),AND(53500&lt;O565,O565&lt;57001),AND(72500&lt;O565,O565&lt;75001)),$G565,IF(OR(AND(27500&lt;O565,O565&lt;30001),AND(57000&lt;O565,O565&lt;60001),AND(75000&lt;O565,O565&lt;77500)),$H565,VLOOKUP(O565,BDins,6,FALSE)))))</f>
        <v>24.97</v>
      </c>
      <c r="P567">
        <f>IF(P569&gt;10000,HLOOKUP(P569,O565:$O568,4,FALSE),IF(OR(AND(22500&lt;P565,P565&lt;25001),AND(50000&lt;P565,P565&lt;53501),AND(70000&lt;P565,P565&lt;72501)),$F565,IF(OR(AND(25001&lt;P565,P565&lt;27501),AND(53500&lt;P565,P565&lt;57001),AND(72500&lt;P565,P565&lt;75001)),$G565,IF(OR(AND(27500&lt;P565,P565&lt;30001),AND(57000&lt;P565,P565&lt;60001),AND(75000&lt;P565,P565&lt;77500)),$H565,VLOOKUP(P565,BDins,6,FALSE)))))</f>
        <v>20.81</v>
      </c>
      <c r="Q567">
        <f>IF(Q569&gt;10000,HLOOKUP(Q569,$O565:P568,4,FALSE),IF(OR(AND(22500&lt;Q565,Q565&lt;25001),AND(50000&lt;Q565,Q565&lt;53501),AND(70000&lt;Q565,Q565&lt;72501)),$F565,IF(OR(AND(25001&lt;Q565,Q565&lt;27501),AND(53500&lt;Q565,Q565&lt;57001),AND(72500&lt;Q565,Q565&lt;75001)),$G565,IF(OR(AND(27500&lt;Q565,Q565&lt;30001),AND(57000&lt;Q565,Q565&lt;60001),AND(75000&lt;Q565,Q565&lt;77500)),$H565,VLOOKUP(Q565,BDins,6,FALSE)))))</f>
        <v>15.36</v>
      </c>
      <c r="R567">
        <f>IF(R569&gt;10000,HLOOKUP(R569,$O565:Q568,4,FALSE),IF(OR(AND(22500&lt;R565,R565&lt;25001),AND(50000&lt;R565,R565&lt;53501),AND(70000&lt;R565,R565&lt;72501)),$F565,IF(OR(AND(25001&lt;R565,R565&lt;27501),AND(53500&lt;R565,R565&lt;57001),AND(72500&lt;R565,R565&lt;75001)),$G565,IF(OR(AND(27500&lt;R565,R565&lt;30001),AND(57000&lt;R565,R565&lt;60001),AND(75000&lt;R565,R565&lt;77500)),$H565,VLOOKUP(R565,BDins,6,FALSE)))))</f>
        <v>150</v>
      </c>
      <c r="S567">
        <f>IF(S569&gt;10000,HLOOKUP(S569,$O565:R568,4,FALSE),IF(OR(AND(22500&lt;S565,S565&lt;25001),AND(50000&lt;S565,S565&lt;53501),AND(70000&lt;S565,S565&lt;72501)),$F565,IF(OR(AND(25001&lt;S565,S565&lt;27501),AND(53500&lt;S565,S565&lt;57001),AND(72500&lt;S565,S565&lt;75001)),$G565,IF(OR(AND(27500&lt;S565,S565&lt;30001),AND(57000&lt;S565,S565&lt;60001),AND(75000&lt;S565,S565&lt;77500)),$H565,VLOOKUP(S565,BDins,6,FALSE)))))</f>
        <v>5</v>
      </c>
      <c r="T567">
        <f>IF(T569&gt;10000,HLOOKUP(T569,$O565:S568,4,FALSE),IF(OR(AND(22500&lt;T565,T565&lt;25001),AND(50000&lt;T565,T565&lt;53501),AND(70000&lt;T565,T565&lt;72501)),$F565,IF(OR(AND(25001&lt;T565,T565&lt;27501),AND(53500&lt;T565,T565&lt;57001),AND(72500&lt;T565,T565&lt;75001)),$G565,IF(OR(AND(27500&lt;T565,T565&lt;30001),AND(57000&lt;T565,T565&lt;60001),AND(75000&lt;T565,T565&lt;77500)),$H565,VLOOKUP(T565,BDins,6,FALSE)))))</f>
        <v>6</v>
      </c>
      <c r="U567">
        <f>IF(U569&gt;10000,HLOOKUP(U569,$O565:T568,4,FALSE),IF(OR(AND(22500&lt;U565,U565&lt;25001),AND(50000&lt;U565,U565&lt;53501),AND(70000&lt;U565,U565&lt;72501)),$F565,IF(OR(AND(25001&lt;U565,U565&lt;27501),AND(53500&lt;U565,U565&lt;57001),AND(72500&lt;U565,U565&lt;75001)),$G565,IF(OR(AND(27500&lt;U565,U565&lt;30001),AND(57000&lt;U565,U565&lt;60001),AND(75000&lt;U565,U565&lt;77500)),$H565,VLOOKUP(U565,BDins,6,FALSE)))))</f>
        <v>21</v>
      </c>
      <c r="V567">
        <f>IF(V569&gt;10000,HLOOKUP(V569,$O565:U568,4,FALSE),IF(OR(AND(22500&lt;V565,V565&lt;25001),AND(50000&lt;V565,V565&lt;53501),AND(70000&lt;V565,V565&lt;72501)),$F565,IF(OR(AND(25001&lt;V565,V565&lt;27501),AND(53500&lt;V565,V565&lt;57001),AND(72500&lt;V565,V565&lt;75001)),$G565,IF(OR(AND(27500&lt;V565,V565&lt;30001),AND(57000&lt;V565,V565&lt;60001),AND(75000&lt;V565,V565&lt;77500)),$H565,VLOOKUP(V565,BDins,6,FALSE)))))</f>
        <v>27.55</v>
      </c>
      <c r="W567">
        <f>IF(W569&gt;10000,HLOOKUP(W569,$O565:V568,4,FALSE),IF(OR(AND(22500&lt;W565,W565&lt;25001),AND(50000&lt;W565,W565&lt;53501),AND(70000&lt;W565,W565&lt;72501)),$F565,IF(OR(AND(25001&lt;W565,W565&lt;27501),AND(53500&lt;W565,W565&lt;57001),AND(72500&lt;W565,W565&lt;75001)),$G565,IF(OR(AND(27500&lt;W565,W565&lt;30001),AND(57000&lt;W565,W565&lt;60001),AND(75000&lt;W565,W565&lt;77500)),$H565,VLOOKUP(W565,BDins,6,FALSE)))))</f>
        <v>18.57</v>
      </c>
    </row>
    <row r="568" spans="1:26" x14ac:dyDescent="0.2">
      <c r="O568">
        <f t="shared" ref="O568:W568" si="86">IF($K565&gt;0,ROUND(O566*$E565/100,DpCU),IF(O569&gt;10000,ROUND(HLOOKUP(O569,$O565:$W568,4,FALSE)/100*O566,DpCU),IF(OR(O565&lt;20001,O565&gt;95000,AND(60000&lt;O565,O565&lt;70001)),ROUND(ROUND(O566*JL/$C565,DcCU)*O567,DpCU),IF(OR(AND(20000&lt;O565,O565&lt;22501),AND(30000&lt;O565,O565&lt;50001),77500&lt;O565),ROUND(O567*O566,DpCU),IF(OR(AND(22500&lt;O565,O565&lt;25001),AND(50000&lt;O565,O565&lt;53501),AND(70000&lt;O565,O565&lt;72501)),ROUND($F565/100*O566,DpCU),IF(OR(AND(25000&lt;O565,O565&lt;27501),AND(53500&lt;O565,O565&lt;57001),AND(72500&lt;O565,O565&lt;75001)),ROUND($G565/100*O566,DpCU),ROUND($H565/100*O566,DpCU)))))))</f>
        <v>1.33</v>
      </c>
      <c r="P568">
        <f t="shared" si="86"/>
        <v>11.1</v>
      </c>
      <c r="Q568">
        <f t="shared" si="86"/>
        <v>6.14</v>
      </c>
      <c r="R568">
        <f t="shared" si="86"/>
        <v>0.9</v>
      </c>
      <c r="S568">
        <f t="shared" si="86"/>
        <v>0.13</v>
      </c>
      <c r="T568">
        <f t="shared" si="86"/>
        <v>1.17</v>
      </c>
      <c r="U568">
        <f t="shared" si="86"/>
        <v>22.05</v>
      </c>
      <c r="V568">
        <f t="shared" si="86"/>
        <v>8.27</v>
      </c>
      <c r="W568">
        <f t="shared" si="86"/>
        <v>0.93</v>
      </c>
    </row>
    <row r="569" spans="1:26" x14ac:dyDescent="0.2">
      <c r="B569" s="3" t="str">
        <f>A565&amp;"r"</f>
        <v>10113r</v>
      </c>
    </row>
    <row r="570" spans="1:26" x14ac:dyDescent="0.2">
      <c r="A570">
        <v>10114</v>
      </c>
      <c r="B570" s="3" t="s">
        <v>628</v>
      </c>
      <c r="C570" s="1">
        <f>ROUND(J570*JL*Frto/8,4)</f>
        <v>15</v>
      </c>
      <c r="D570" t="s">
        <v>210</v>
      </c>
      <c r="E570">
        <f>SUM($O573:$X573)</f>
        <v>46.709999999999994</v>
      </c>
      <c r="F570">
        <f>SUMIF($O570:$X570,"&lt;22501",$O573:$X573)</f>
        <v>18.57</v>
      </c>
      <c r="G570">
        <f>SUMIFS($O573:$X573,$O570:$X570,"&gt;30000",$O570:$X570,"&lt;50001")</f>
        <v>27.21</v>
      </c>
      <c r="H570">
        <f>SUMIFS($O573:$X573,$O570:$X570,"&gt;60000",$O570:$X570,"&lt;70001")</f>
        <v>0</v>
      </c>
      <c r="I570">
        <v>10</v>
      </c>
      <c r="J570">
        <v>15</v>
      </c>
      <c r="O570">
        <v>10001</v>
      </c>
      <c r="P570">
        <v>10002</v>
      </c>
      <c r="Q570">
        <v>10003</v>
      </c>
      <c r="R570">
        <v>30023</v>
      </c>
      <c r="S570">
        <v>30048</v>
      </c>
      <c r="T570">
        <v>30097</v>
      </c>
      <c r="U570">
        <v>30100</v>
      </c>
      <c r="V570">
        <v>30104</v>
      </c>
      <c r="W570">
        <v>30105</v>
      </c>
      <c r="X570">
        <v>70001</v>
      </c>
    </row>
    <row r="571" spans="1:26" x14ac:dyDescent="0.2">
      <c r="B571" s="3" t="str">
        <f>A570&amp;"C"</f>
        <v>10114C</v>
      </c>
      <c r="O571">
        <v>0.1</v>
      </c>
      <c r="P571">
        <v>1</v>
      </c>
      <c r="Q571">
        <v>0.75</v>
      </c>
      <c r="R571">
        <v>6.0000000000000001E-3</v>
      </c>
      <c r="S571">
        <v>5.5E-2</v>
      </c>
      <c r="T571">
        <v>0.25</v>
      </c>
      <c r="U571">
        <v>2.5000000000000001E-2</v>
      </c>
      <c r="V571">
        <v>1.05</v>
      </c>
      <c r="W571">
        <v>0.3</v>
      </c>
      <c r="X571">
        <v>5</v>
      </c>
    </row>
    <row r="572" spans="1:26" x14ac:dyDescent="0.2">
      <c r="O572">
        <f>IF(O574&gt;10000,HLOOKUP(O574,N570:$O573,4,FALSE),IF(OR(AND(22500&lt;O570,O570&lt;25001),AND(50000&lt;O570,O570&lt;53501),AND(70000&lt;O570,O570&lt;72501)),$F570,IF(OR(AND(25001&lt;O570,O570&lt;27501),AND(53500&lt;O570,O570&lt;57001),AND(72500&lt;O570,O570&lt;75001)),$G570,IF(OR(AND(27500&lt;O570,O570&lt;30001),AND(57000&lt;O570,O570&lt;60001),AND(75000&lt;O570,O570&lt;77500)),$H570,VLOOKUP(O570,BDins,6,FALSE)))))</f>
        <v>24.97</v>
      </c>
      <c r="P572">
        <f>IF(P574&gt;10000,HLOOKUP(P574,O570:$O573,4,FALSE),IF(OR(AND(22500&lt;P570,P570&lt;25001),AND(50000&lt;P570,P570&lt;53501),AND(70000&lt;P570,P570&lt;72501)),$F570,IF(OR(AND(25001&lt;P570,P570&lt;27501),AND(53500&lt;P570,P570&lt;57001),AND(72500&lt;P570,P570&lt;75001)),$G570,IF(OR(AND(27500&lt;P570,P570&lt;30001),AND(57000&lt;P570,P570&lt;60001),AND(75000&lt;P570,P570&lt;77500)),$H570,VLOOKUP(P570,BDins,6,FALSE)))))</f>
        <v>20.81</v>
      </c>
      <c r="Q572">
        <f>IF(Q574&gt;10000,HLOOKUP(Q574,$O570:P573,4,FALSE),IF(OR(AND(22500&lt;Q570,Q570&lt;25001),AND(50000&lt;Q570,Q570&lt;53501),AND(70000&lt;Q570,Q570&lt;72501)),$F570,IF(OR(AND(25001&lt;Q570,Q570&lt;27501),AND(53500&lt;Q570,Q570&lt;57001),AND(72500&lt;Q570,Q570&lt;75001)),$G570,IF(OR(AND(27500&lt;Q570,Q570&lt;30001),AND(57000&lt;Q570,Q570&lt;60001),AND(75000&lt;Q570,Q570&lt;77500)),$H570,VLOOKUP(Q570,BDins,6,FALSE)))))</f>
        <v>15.36</v>
      </c>
      <c r="R572">
        <f>IF(R574&gt;10000,HLOOKUP(R574,$O570:Q573,4,FALSE),IF(OR(AND(22500&lt;R570,R570&lt;25001),AND(50000&lt;R570,R570&lt;53501),AND(70000&lt;R570,R570&lt;72501)),$F570,IF(OR(AND(25001&lt;R570,R570&lt;27501),AND(53500&lt;R570,R570&lt;57001),AND(72500&lt;R570,R570&lt;75001)),$G570,IF(OR(AND(27500&lt;R570,R570&lt;30001),AND(57000&lt;R570,R570&lt;60001),AND(75000&lt;R570,R570&lt;77500)),$H570,VLOOKUP(R570,BDins,6,FALSE)))))</f>
        <v>150</v>
      </c>
      <c r="S572">
        <f>IF(S574&gt;10000,HLOOKUP(S574,$O570:R573,4,FALSE),IF(OR(AND(22500&lt;S570,S570&lt;25001),AND(50000&lt;S570,S570&lt;53501),AND(70000&lt;S570,S570&lt;72501)),$F570,IF(OR(AND(25001&lt;S570,S570&lt;27501),AND(53500&lt;S570,S570&lt;57001),AND(72500&lt;S570,S570&lt;75001)),$G570,IF(OR(AND(27500&lt;S570,S570&lt;30001),AND(57000&lt;S570,S570&lt;60001),AND(75000&lt;S570,S570&lt;77500)),$H570,VLOOKUP(S570,BDins,6,FALSE)))))</f>
        <v>8.5</v>
      </c>
      <c r="T572">
        <f>IF(T574&gt;10000,HLOOKUP(T574,$O570:S573,4,FALSE),IF(OR(AND(22500&lt;T570,T570&lt;25001),AND(50000&lt;T570,T570&lt;53501),AND(70000&lt;T570,T570&lt;72501)),$F570,IF(OR(AND(25001&lt;T570,T570&lt;27501),AND(53500&lt;T570,T570&lt;57001),AND(72500&lt;T570,T570&lt;75001)),$G570,IF(OR(AND(27500&lt;T570,T570&lt;30001),AND(57000&lt;T570,T570&lt;60001),AND(75000&lt;T570,T570&lt;77500)),$H570,VLOOKUP(T570,BDins,6,FALSE)))))</f>
        <v>3.5</v>
      </c>
      <c r="U572">
        <f>IF(U574&gt;10000,HLOOKUP(U574,$O570:T573,4,FALSE),IF(OR(AND(22500&lt;U570,U570&lt;25001),AND(50000&lt;U570,U570&lt;53501),AND(70000&lt;U570,U570&lt;72501)),$F570,IF(OR(AND(25001&lt;U570,U570&lt;27501),AND(53500&lt;U570,U570&lt;57001),AND(72500&lt;U570,U570&lt;75001)),$G570,IF(OR(AND(27500&lt;U570,U570&lt;30001),AND(57000&lt;U570,U570&lt;60001),AND(75000&lt;U570,U570&lt;77500)),$H570,VLOOKUP(U570,BDins,6,FALSE)))))</f>
        <v>5</v>
      </c>
      <c r="V572">
        <f>IF(V574&gt;10000,HLOOKUP(V574,$O570:U573,4,FALSE),IF(OR(AND(22500&lt;V570,V570&lt;25001),AND(50000&lt;V570,V570&lt;53501),AND(70000&lt;V570,V570&lt;72501)),$F570,IF(OR(AND(25001&lt;V570,V570&lt;27501),AND(53500&lt;V570,V570&lt;57001),AND(72500&lt;V570,V570&lt;75001)),$G570,IF(OR(AND(27500&lt;V570,V570&lt;30001),AND(57000&lt;V570,V570&lt;60001),AND(75000&lt;V570,V570&lt;77500)),$H570,VLOOKUP(V570,BDins,6,FALSE)))))</f>
        <v>19.5</v>
      </c>
      <c r="W572">
        <f>IF(W574&gt;10000,HLOOKUP(W574,$O570:V573,4,FALSE),IF(OR(AND(22500&lt;W570,W570&lt;25001),AND(50000&lt;W570,W570&lt;53501),AND(70000&lt;W570,W570&lt;72501)),$F570,IF(OR(AND(25001&lt;W570,W570&lt;27501),AND(53500&lt;W570,W570&lt;57001),AND(72500&lt;W570,W570&lt;75001)),$G570,IF(OR(AND(27500&lt;W570,W570&lt;30001),AND(57000&lt;W570,W570&lt;60001),AND(75000&lt;W570,W570&lt;77500)),$H570,VLOOKUP(W570,BDins,6,FALSE)))))</f>
        <v>14.5</v>
      </c>
      <c r="X572">
        <f>IF(X574&gt;10000,HLOOKUP(X574,$O570:W573,4,FALSE),IF(OR(AND(22500&lt;X570,X570&lt;25001),AND(50000&lt;X570,X570&lt;53501),AND(70000&lt;X570,X570&lt;72501)),$F570,IF(OR(AND(25001&lt;X570,X570&lt;27501),AND(53500&lt;X570,X570&lt;57001),AND(72500&lt;X570,X570&lt;75001)),$G570,IF(OR(AND(27500&lt;X570,X570&lt;30001),AND(57000&lt;X570,X570&lt;60001),AND(75000&lt;X570,X570&lt;77500)),$H570,VLOOKUP(X570,BDins,6,FALSE)))))</f>
        <v>18.57</v>
      </c>
    </row>
    <row r="573" spans="1:26" x14ac:dyDescent="0.2">
      <c r="O573">
        <f t="shared" ref="O573:X573" si="87">IF($K570&gt;0,ROUND(O571*$E570/100,DpCU),IF(O574&gt;10000,ROUND(HLOOKUP(O574,$O570:$X573,4,FALSE)/100*O571,DpCU),IF(OR(O570&lt;20001,O570&gt;95000,AND(60000&lt;O570,O570&lt;70001)),ROUND(ROUND(O571*JL/$C570,DcCU)*O572,DpCU),IF(OR(AND(20000&lt;O570,O570&lt;22501),AND(30000&lt;O570,O570&lt;50001),77500&lt;O570),ROUND(O572*O571,DpCU),IF(OR(AND(22500&lt;O570,O570&lt;25001),AND(50000&lt;O570,O570&lt;53501),AND(70000&lt;O570,O570&lt;72501)),ROUND($F570/100*O571,DpCU),IF(OR(AND(25000&lt;O570,O570&lt;27501),AND(53500&lt;O570,O570&lt;57001),AND(72500&lt;O570,O570&lt;75001)),ROUND($G570/100*O571,DpCU),ROUND($H570/100*O571,DpCU)))))))</f>
        <v>1.33</v>
      </c>
      <c r="P573">
        <f t="shared" si="87"/>
        <v>11.1</v>
      </c>
      <c r="Q573">
        <f t="shared" si="87"/>
        <v>6.14</v>
      </c>
      <c r="R573">
        <f t="shared" si="87"/>
        <v>0.9</v>
      </c>
      <c r="S573">
        <f t="shared" si="87"/>
        <v>0.47</v>
      </c>
      <c r="T573">
        <f t="shared" si="87"/>
        <v>0.88</v>
      </c>
      <c r="U573">
        <f t="shared" si="87"/>
        <v>0.13</v>
      </c>
      <c r="V573">
        <f t="shared" si="87"/>
        <v>20.48</v>
      </c>
      <c r="W573">
        <f t="shared" si="87"/>
        <v>4.3499999999999996</v>
      </c>
      <c r="X573">
        <f t="shared" si="87"/>
        <v>0.93</v>
      </c>
    </row>
    <row r="574" spans="1:26" x14ac:dyDescent="0.2">
      <c r="B574" s="3" t="str">
        <f>A570&amp;"r"</f>
        <v>10114r</v>
      </c>
    </row>
    <row r="575" spans="1:26" x14ac:dyDescent="0.2">
      <c r="A575">
        <v>10115</v>
      </c>
      <c r="B575" s="3" t="s">
        <v>632</v>
      </c>
      <c r="C575" s="1">
        <f>ROUND(J575*JL*Frto/8,4)</f>
        <v>15</v>
      </c>
      <c r="D575" t="s">
        <v>210</v>
      </c>
      <c r="E575">
        <f>SUM($O578:$X578)</f>
        <v>49.250000000000007</v>
      </c>
      <c r="F575">
        <f>SUMIF($O575:$X575,"&lt;22501",$O578:$X578)</f>
        <v>18.57</v>
      </c>
      <c r="G575">
        <f>SUMIFS($O578:$X578,$O575:$X575,"&gt;30000",$O575:$X575,"&lt;50001")</f>
        <v>29.749999999999996</v>
      </c>
      <c r="H575">
        <f>SUMIFS($O578:$X578,$O575:$X575,"&gt;60000",$O575:$X575,"&lt;70001")</f>
        <v>0</v>
      </c>
      <c r="I575">
        <v>10</v>
      </c>
      <c r="J575">
        <v>15</v>
      </c>
      <c r="O575">
        <v>10001</v>
      </c>
      <c r="P575">
        <v>10002</v>
      </c>
      <c r="Q575">
        <v>10003</v>
      </c>
      <c r="R575">
        <v>30023</v>
      </c>
      <c r="S575">
        <v>30048</v>
      </c>
      <c r="T575">
        <v>30096</v>
      </c>
      <c r="U575">
        <v>30097</v>
      </c>
      <c r="V575">
        <v>30098</v>
      </c>
      <c r="W575">
        <v>30100</v>
      </c>
      <c r="X575">
        <v>70001</v>
      </c>
    </row>
    <row r="576" spans="1:26" x14ac:dyDescent="0.2">
      <c r="B576" s="3" t="str">
        <f>A575&amp;"C"</f>
        <v>10115C</v>
      </c>
      <c r="O576">
        <v>0.1</v>
      </c>
      <c r="P576">
        <v>1</v>
      </c>
      <c r="Q576">
        <v>0.75</v>
      </c>
      <c r="R576">
        <v>6.0000000000000001E-3</v>
      </c>
      <c r="S576">
        <v>5.5E-2</v>
      </c>
      <c r="T576">
        <v>1.05</v>
      </c>
      <c r="U576">
        <v>0.2</v>
      </c>
      <c r="V576">
        <v>0.3</v>
      </c>
      <c r="W576">
        <v>2.5000000000000001E-2</v>
      </c>
      <c r="X576">
        <v>5</v>
      </c>
    </row>
    <row r="577" spans="1:27" x14ac:dyDescent="0.2">
      <c r="O577">
        <f>IF(O579&gt;10000,HLOOKUP(O579,N575:$O578,4,FALSE),IF(OR(AND(22500&lt;O575,O575&lt;25001),AND(50000&lt;O575,O575&lt;53501),AND(70000&lt;O575,O575&lt;72501)),$F575,IF(OR(AND(25001&lt;O575,O575&lt;27501),AND(53500&lt;O575,O575&lt;57001),AND(72500&lt;O575,O575&lt;75001)),$G575,IF(OR(AND(27500&lt;O575,O575&lt;30001),AND(57000&lt;O575,O575&lt;60001),AND(75000&lt;O575,O575&lt;77500)),$H575,VLOOKUP(O575,BDins,6,FALSE)))))</f>
        <v>24.97</v>
      </c>
      <c r="P577">
        <f>IF(P579&gt;10000,HLOOKUP(P579,O575:$O578,4,FALSE),IF(OR(AND(22500&lt;P575,P575&lt;25001),AND(50000&lt;P575,P575&lt;53501),AND(70000&lt;P575,P575&lt;72501)),$F575,IF(OR(AND(25001&lt;P575,P575&lt;27501),AND(53500&lt;P575,P575&lt;57001),AND(72500&lt;P575,P575&lt;75001)),$G575,IF(OR(AND(27500&lt;P575,P575&lt;30001),AND(57000&lt;P575,P575&lt;60001),AND(75000&lt;P575,P575&lt;77500)),$H575,VLOOKUP(P575,BDins,6,FALSE)))))</f>
        <v>20.81</v>
      </c>
      <c r="Q577">
        <f>IF(Q579&gt;10000,HLOOKUP(Q579,$O575:P578,4,FALSE),IF(OR(AND(22500&lt;Q575,Q575&lt;25001),AND(50000&lt;Q575,Q575&lt;53501),AND(70000&lt;Q575,Q575&lt;72501)),$F575,IF(OR(AND(25001&lt;Q575,Q575&lt;27501),AND(53500&lt;Q575,Q575&lt;57001),AND(72500&lt;Q575,Q575&lt;75001)),$G575,IF(OR(AND(27500&lt;Q575,Q575&lt;30001),AND(57000&lt;Q575,Q575&lt;60001),AND(75000&lt;Q575,Q575&lt;77500)),$H575,VLOOKUP(Q575,BDins,6,FALSE)))))</f>
        <v>15.36</v>
      </c>
      <c r="R577">
        <f>IF(R579&gt;10000,HLOOKUP(R579,$O575:Q578,4,FALSE),IF(OR(AND(22500&lt;R575,R575&lt;25001),AND(50000&lt;R575,R575&lt;53501),AND(70000&lt;R575,R575&lt;72501)),$F575,IF(OR(AND(25001&lt;R575,R575&lt;27501),AND(53500&lt;R575,R575&lt;57001),AND(72500&lt;R575,R575&lt;75001)),$G575,IF(OR(AND(27500&lt;R575,R575&lt;30001),AND(57000&lt;R575,R575&lt;60001),AND(75000&lt;R575,R575&lt;77500)),$H575,VLOOKUP(R575,BDins,6,FALSE)))))</f>
        <v>150</v>
      </c>
      <c r="S577">
        <f>IF(S579&gt;10000,HLOOKUP(S579,$O575:R578,4,FALSE),IF(OR(AND(22500&lt;S575,S575&lt;25001),AND(50000&lt;S575,S575&lt;53501),AND(70000&lt;S575,S575&lt;72501)),$F575,IF(OR(AND(25001&lt;S575,S575&lt;27501),AND(53500&lt;S575,S575&lt;57001),AND(72500&lt;S575,S575&lt;75001)),$G575,IF(OR(AND(27500&lt;S575,S575&lt;30001),AND(57000&lt;S575,S575&lt;60001),AND(75000&lt;S575,S575&lt;77500)),$H575,VLOOKUP(S575,BDins,6,FALSE)))))</f>
        <v>8.5</v>
      </c>
      <c r="T577">
        <f>IF(T579&gt;10000,HLOOKUP(T579,$O575:S578,4,FALSE),IF(OR(AND(22500&lt;T575,T575&lt;25001),AND(50000&lt;T575,T575&lt;53501),AND(70000&lt;T575,T575&lt;72501)),$F575,IF(OR(AND(25001&lt;T575,T575&lt;27501),AND(53500&lt;T575,T575&lt;57001),AND(72500&lt;T575,T575&lt;75001)),$G575,IF(OR(AND(27500&lt;T575,T575&lt;30001),AND(57000&lt;T575,T575&lt;60001),AND(75000&lt;T575,T575&lt;77500)),$H575,VLOOKUP(T575,BDins,6,FALSE)))))</f>
        <v>19.95</v>
      </c>
      <c r="U577">
        <f>IF(U579&gt;10000,HLOOKUP(U579,$O575:T578,4,FALSE),IF(OR(AND(22500&lt;U575,U575&lt;25001),AND(50000&lt;U575,U575&lt;53501),AND(70000&lt;U575,U575&lt;72501)),$F575,IF(OR(AND(25001&lt;U575,U575&lt;27501),AND(53500&lt;U575,U575&lt;57001),AND(72500&lt;U575,U575&lt;75001)),$G575,IF(OR(AND(27500&lt;U575,U575&lt;30001),AND(57000&lt;U575,U575&lt;60001),AND(75000&lt;U575,U575&lt;77500)),$H575,VLOOKUP(U575,BDins,6,FALSE)))))</f>
        <v>3.5</v>
      </c>
      <c r="V577">
        <f>IF(V579&gt;10000,HLOOKUP(V579,$O575:U578,4,FALSE),IF(OR(AND(22500&lt;V575,V575&lt;25001),AND(50000&lt;V575,V575&lt;53501),AND(70000&lt;V575,V575&lt;72501)),$F575,IF(OR(AND(25001&lt;V575,V575&lt;27501),AND(53500&lt;V575,V575&lt;57001),AND(72500&lt;V575,V575&lt;75001)),$G575,IF(OR(AND(27500&lt;V575,V575&lt;30001),AND(57000&lt;V575,V575&lt;60001),AND(75000&lt;V575,V575&lt;77500)),$H575,VLOOKUP(V575,BDins,6,FALSE)))))</f>
        <v>22</v>
      </c>
      <c r="W577">
        <f>IF(W579&gt;10000,HLOOKUP(W579,$O575:V578,4,FALSE),IF(OR(AND(22500&lt;W575,W575&lt;25001),AND(50000&lt;W575,W575&lt;53501),AND(70000&lt;W575,W575&lt;72501)),$F575,IF(OR(AND(25001&lt;W575,W575&lt;27501),AND(53500&lt;W575,W575&lt;57001),AND(72500&lt;W575,W575&lt;75001)),$G575,IF(OR(AND(27500&lt;W575,W575&lt;30001),AND(57000&lt;W575,W575&lt;60001),AND(75000&lt;W575,W575&lt;77500)),$H575,VLOOKUP(W575,BDins,6,FALSE)))))</f>
        <v>5</v>
      </c>
      <c r="X577">
        <f>IF(X579&gt;10000,HLOOKUP(X579,$O575:W578,4,FALSE),IF(OR(AND(22500&lt;X575,X575&lt;25001),AND(50000&lt;X575,X575&lt;53501),AND(70000&lt;X575,X575&lt;72501)),$F575,IF(OR(AND(25001&lt;X575,X575&lt;27501),AND(53500&lt;X575,X575&lt;57001),AND(72500&lt;X575,X575&lt;75001)),$G575,IF(OR(AND(27500&lt;X575,X575&lt;30001),AND(57000&lt;X575,X575&lt;60001),AND(75000&lt;X575,X575&lt;77500)),$H575,VLOOKUP(X575,BDins,6,FALSE)))))</f>
        <v>18.57</v>
      </c>
    </row>
    <row r="578" spans="1:27" x14ac:dyDescent="0.2">
      <c r="O578">
        <f t="shared" ref="O578:X578" si="88">IF($K575&gt;0,ROUND(O576*$E575/100,DpCU),IF(O579&gt;10000,ROUND(HLOOKUP(O579,$O575:$X578,4,FALSE)/100*O576,DpCU),IF(OR(O575&lt;20001,O575&gt;95000,AND(60000&lt;O575,O575&lt;70001)),ROUND(ROUND(O576*JL/$C575,DcCU)*O577,DpCU),IF(OR(AND(20000&lt;O575,O575&lt;22501),AND(30000&lt;O575,O575&lt;50001),77500&lt;O575),ROUND(O577*O576,DpCU),IF(OR(AND(22500&lt;O575,O575&lt;25001),AND(50000&lt;O575,O575&lt;53501),AND(70000&lt;O575,O575&lt;72501)),ROUND($F575/100*O576,DpCU),IF(OR(AND(25000&lt;O575,O575&lt;27501),AND(53500&lt;O575,O575&lt;57001),AND(72500&lt;O575,O575&lt;75001)),ROUND($G575/100*O576,DpCU),ROUND($H575/100*O576,DpCU)))))))</f>
        <v>1.33</v>
      </c>
      <c r="P578">
        <f t="shared" si="88"/>
        <v>11.1</v>
      </c>
      <c r="Q578">
        <f t="shared" si="88"/>
        <v>6.14</v>
      </c>
      <c r="R578">
        <f t="shared" si="88"/>
        <v>0.9</v>
      </c>
      <c r="S578">
        <f t="shared" si="88"/>
        <v>0.47</v>
      </c>
      <c r="T578">
        <f t="shared" si="88"/>
        <v>20.95</v>
      </c>
      <c r="U578">
        <f t="shared" si="88"/>
        <v>0.7</v>
      </c>
      <c r="V578">
        <f t="shared" si="88"/>
        <v>6.6</v>
      </c>
      <c r="W578">
        <f t="shared" si="88"/>
        <v>0.13</v>
      </c>
      <c r="X578">
        <f t="shared" si="88"/>
        <v>0.93</v>
      </c>
    </row>
    <row r="579" spans="1:27" x14ac:dyDescent="0.2">
      <c r="B579" s="3" t="str">
        <f>A575&amp;"r"</f>
        <v>10115r</v>
      </c>
    </row>
    <row r="580" spans="1:27" x14ac:dyDescent="0.2">
      <c r="A580">
        <v>10116</v>
      </c>
      <c r="B580" s="3" t="s">
        <v>634</v>
      </c>
      <c r="C580" s="1">
        <f>ROUND(J580*JL*Frto/8,4)</f>
        <v>50</v>
      </c>
      <c r="D580" t="s">
        <v>210</v>
      </c>
      <c r="E580">
        <f>SUM($O583:$U583)</f>
        <v>9.36</v>
      </c>
      <c r="F580">
        <f>SUMIF($O580:$U580,"&lt;22501",$O583:$U583)</f>
        <v>6.1899999999999995</v>
      </c>
      <c r="G580">
        <f>SUMIFS($O583:$U583,$O580:$U580,"&gt;30000",$O580:$U580,"&lt;50001")</f>
        <v>2.86</v>
      </c>
      <c r="H580">
        <f>SUMIFS($O583:$U583,$O580:$U580,"&gt;60000",$O580:$U580,"&lt;70001")</f>
        <v>0</v>
      </c>
      <c r="I580">
        <v>7</v>
      </c>
      <c r="J580">
        <v>50</v>
      </c>
      <c r="O580">
        <v>10001</v>
      </c>
      <c r="P580">
        <v>10002</v>
      </c>
      <c r="Q580">
        <v>10003</v>
      </c>
      <c r="R580">
        <v>30002</v>
      </c>
      <c r="S580">
        <v>30093</v>
      </c>
      <c r="T580">
        <v>30094</v>
      </c>
      <c r="U580">
        <v>70001</v>
      </c>
    </row>
    <row r="581" spans="1:27" x14ac:dyDescent="0.2">
      <c r="B581" s="3" t="str">
        <f>A580&amp;"C"</f>
        <v>10116C</v>
      </c>
      <c r="O581">
        <v>0.1</v>
      </c>
      <c r="P581">
        <v>1</v>
      </c>
      <c r="Q581">
        <v>1</v>
      </c>
      <c r="R581">
        <v>0.1</v>
      </c>
      <c r="S581">
        <v>2.1999999999999999E-2</v>
      </c>
      <c r="T581">
        <v>4.0000000000000001E-3</v>
      </c>
      <c r="U581">
        <v>5</v>
      </c>
    </row>
    <row r="582" spans="1:27" x14ac:dyDescent="0.2">
      <c r="O582">
        <f>IF(O584&gt;10000,HLOOKUP(O584,N580:$O583,4,FALSE),IF(OR(AND(22500&lt;O580,O580&lt;25001),AND(50000&lt;O580,O580&lt;53501),AND(70000&lt;O580,O580&lt;72501)),$F580,IF(OR(AND(25001&lt;O580,O580&lt;27501),AND(53500&lt;O580,O580&lt;57001),AND(72500&lt;O580,O580&lt;75001)),$G580,IF(OR(AND(27500&lt;O580,O580&lt;30001),AND(57000&lt;O580,O580&lt;60001),AND(75000&lt;O580,O580&lt;77500)),$H580,VLOOKUP(O580,BDins,6,FALSE)))))</f>
        <v>24.97</v>
      </c>
      <c r="P582">
        <f>IF(P584&gt;10000,HLOOKUP(P584,O580:$O583,4,FALSE),IF(OR(AND(22500&lt;P580,P580&lt;25001),AND(50000&lt;P580,P580&lt;53501),AND(70000&lt;P580,P580&lt;72501)),$F580,IF(OR(AND(25001&lt;P580,P580&lt;27501),AND(53500&lt;P580,P580&lt;57001),AND(72500&lt;P580,P580&lt;75001)),$G580,IF(OR(AND(27500&lt;P580,P580&lt;30001),AND(57000&lt;P580,P580&lt;60001),AND(75000&lt;P580,P580&lt;77500)),$H580,VLOOKUP(P580,BDins,6,FALSE)))))</f>
        <v>20.81</v>
      </c>
      <c r="Q582">
        <f>IF(Q584&gt;10000,HLOOKUP(Q584,$O580:P583,4,FALSE),IF(OR(AND(22500&lt;Q580,Q580&lt;25001),AND(50000&lt;Q580,Q580&lt;53501),AND(70000&lt;Q580,Q580&lt;72501)),$F580,IF(OR(AND(25001&lt;Q580,Q580&lt;27501),AND(53500&lt;Q580,Q580&lt;57001),AND(72500&lt;Q580,Q580&lt;75001)),$G580,IF(OR(AND(27500&lt;Q580,Q580&lt;30001),AND(57000&lt;Q580,Q580&lt;60001),AND(75000&lt;Q580,Q580&lt;77500)),$H580,VLOOKUP(Q580,BDins,6,FALSE)))))</f>
        <v>15.36</v>
      </c>
      <c r="R582">
        <f>IF(R584&gt;10000,HLOOKUP(R584,$O580:Q583,4,FALSE),IF(OR(AND(22500&lt;R580,R580&lt;25001),AND(50000&lt;R580,R580&lt;53501),AND(70000&lt;R580,R580&lt;72501)),$F580,IF(OR(AND(25001&lt;R580,R580&lt;27501),AND(53500&lt;R580,R580&lt;57001),AND(72500&lt;R580,R580&lt;75001)),$G580,IF(OR(AND(27500&lt;R580,R580&lt;30001),AND(57000&lt;R580,R580&lt;60001),AND(75000&lt;R580,R580&lt;77500)),$H580,VLOOKUP(R580,BDins,6,FALSE)))))</f>
        <v>18.5</v>
      </c>
      <c r="S582">
        <f>IF(S584&gt;10000,HLOOKUP(S584,$O580:R583,4,FALSE),IF(OR(AND(22500&lt;S580,S580&lt;25001),AND(50000&lt;S580,S580&lt;53501),AND(70000&lt;S580,S580&lt;72501)),$F580,IF(OR(AND(25001&lt;S580,S580&lt;27501),AND(53500&lt;S580,S580&lt;57001),AND(72500&lt;S580,S580&lt;75001)),$G580,IF(OR(AND(27500&lt;S580,S580&lt;30001),AND(57000&lt;S580,S580&lt;60001),AND(75000&lt;S580,S580&lt;77500)),$H580,VLOOKUP(S580,BDins,6,FALSE)))))</f>
        <v>45</v>
      </c>
      <c r="T582">
        <f>IF(T584&gt;10000,HLOOKUP(T584,$O580:S583,4,FALSE),IF(OR(AND(22500&lt;T580,T580&lt;25001),AND(50000&lt;T580,T580&lt;53501),AND(70000&lt;T580,T580&lt;72501)),$F580,IF(OR(AND(25001&lt;T580,T580&lt;27501),AND(53500&lt;T580,T580&lt;57001),AND(72500&lt;T580,T580&lt;75001)),$G580,IF(OR(AND(27500&lt;T580,T580&lt;30001),AND(57000&lt;T580,T580&lt;60001),AND(75000&lt;T580,T580&lt;77500)),$H580,VLOOKUP(T580,BDins,6,FALSE)))))</f>
        <v>5</v>
      </c>
      <c r="U582">
        <f>IF(U584&gt;10000,HLOOKUP(U584,$O580:T583,4,FALSE),IF(OR(AND(22500&lt;U580,U580&lt;25001),AND(50000&lt;U580,U580&lt;53501),AND(70000&lt;U580,U580&lt;72501)),$F580,IF(OR(AND(25001&lt;U580,U580&lt;27501),AND(53500&lt;U580,U580&lt;57001),AND(72500&lt;U580,U580&lt;75001)),$G580,IF(OR(AND(27500&lt;U580,U580&lt;30001),AND(57000&lt;U580,U580&lt;60001),AND(75000&lt;U580,U580&lt;77500)),$H580,VLOOKUP(U580,BDins,6,FALSE)))))</f>
        <v>6.1899999999999995</v>
      </c>
    </row>
    <row r="583" spans="1:27" x14ac:dyDescent="0.2">
      <c r="O583">
        <f t="shared" ref="O583:U583" si="89">IF($K580&gt;0,ROUND(O581*$E580/100,DpCU),IF(O584&gt;10000,ROUND(HLOOKUP(O584,$O580:$U583,4,FALSE)/100*O581,DpCU),IF(OR(O580&lt;20001,O580&gt;95000,AND(60000&lt;O580,O580&lt;70001)),ROUND(ROUND(O581*JL/$C580,DcCU)*O582,DpCU),IF(OR(AND(20000&lt;O580,O580&lt;22501),AND(30000&lt;O580,O580&lt;50001),77500&lt;O580),ROUND(O582*O581,DpCU),IF(OR(AND(22500&lt;O580,O580&lt;25001),AND(50000&lt;O580,O580&lt;53501),AND(70000&lt;O580,O580&lt;72501)),ROUND($F580/100*O581,DpCU),IF(OR(AND(25000&lt;O580,O580&lt;27501),AND(53500&lt;O580,O580&lt;57001),AND(72500&lt;O580,O580&lt;75001)),ROUND($G580/100*O581,DpCU),ROUND($H580/100*O581,DpCU)))))))</f>
        <v>0.4</v>
      </c>
      <c r="P583">
        <f t="shared" si="89"/>
        <v>3.33</v>
      </c>
      <c r="Q583">
        <f t="shared" si="89"/>
        <v>2.46</v>
      </c>
      <c r="R583">
        <f t="shared" si="89"/>
        <v>1.85</v>
      </c>
      <c r="S583">
        <f t="shared" si="89"/>
        <v>0.99</v>
      </c>
      <c r="T583">
        <f t="shared" si="89"/>
        <v>0.02</v>
      </c>
      <c r="U583">
        <f t="shared" si="89"/>
        <v>0.31</v>
      </c>
    </row>
    <row r="584" spans="1:27" x14ac:dyDescent="0.2">
      <c r="B584" s="3" t="str">
        <f>A580&amp;"r"</f>
        <v>10116r</v>
      </c>
    </row>
    <row r="585" spans="1:27" x14ac:dyDescent="0.2">
      <c r="A585">
        <v>10117</v>
      </c>
      <c r="B585" s="3" t="s">
        <v>636</v>
      </c>
      <c r="C585" s="1">
        <f>ROUND(J585*JL*Frto/8,4)</f>
        <v>100</v>
      </c>
      <c r="D585" t="s">
        <v>210</v>
      </c>
      <c r="E585">
        <f>SUM($O588:$AA588)</f>
        <v>424.15</v>
      </c>
      <c r="F585">
        <f>SUMIF($O585:$AA585,"&lt;22501",$O588:$AA588)</f>
        <v>15.82</v>
      </c>
      <c r="G585">
        <f>SUMIFS($O588:$AA588,$O585:$AA585,"&gt;30000",$O585:$AA585,"&lt;50001")</f>
        <v>31.290000000000003</v>
      </c>
      <c r="H585">
        <f>SUMIFS($O588:$AA588,$O585:$AA585,"&gt;60000",$O585:$AA585,"&lt;70001")</f>
        <v>1.5</v>
      </c>
      <c r="I585">
        <v>13</v>
      </c>
      <c r="J585">
        <v>100</v>
      </c>
      <c r="O585">
        <v>10001</v>
      </c>
      <c r="P585">
        <v>10002</v>
      </c>
      <c r="Q585">
        <v>10003</v>
      </c>
      <c r="R585">
        <v>30002</v>
      </c>
      <c r="S585">
        <v>30023</v>
      </c>
      <c r="T585">
        <v>30056</v>
      </c>
      <c r="U585">
        <v>30062</v>
      </c>
      <c r="V585">
        <v>30073</v>
      </c>
      <c r="W585">
        <v>30080</v>
      </c>
      <c r="X585">
        <v>60010</v>
      </c>
      <c r="Y585">
        <v>60014</v>
      </c>
      <c r="Z585">
        <v>70001</v>
      </c>
      <c r="AA585">
        <v>77509</v>
      </c>
    </row>
    <row r="586" spans="1:27" x14ac:dyDescent="0.2">
      <c r="B586" s="3" t="str">
        <f>A585&amp;"C"</f>
        <v>10117C</v>
      </c>
      <c r="O586">
        <v>0.1</v>
      </c>
      <c r="P586">
        <v>2</v>
      </c>
      <c r="Q586">
        <v>10</v>
      </c>
      <c r="R586">
        <v>1</v>
      </c>
      <c r="S586">
        <v>2.5000000000000001E-2</v>
      </c>
      <c r="T586">
        <v>5.0999999999999997E-2</v>
      </c>
      <c r="U586">
        <v>2.5000000000000001E-2</v>
      </c>
      <c r="V586">
        <v>0.2</v>
      </c>
      <c r="W586">
        <v>9.5000000000000001E-2</v>
      </c>
      <c r="X586">
        <v>0.5</v>
      </c>
      <c r="Y586">
        <v>0.5</v>
      </c>
      <c r="Z586">
        <v>5</v>
      </c>
      <c r="AA586">
        <v>12.5</v>
      </c>
    </row>
    <row r="587" spans="1:27" x14ac:dyDescent="0.2">
      <c r="O587">
        <f>IF(O589&gt;10000,HLOOKUP(O589,N585:$O588,4,FALSE),IF(OR(AND(22500&lt;O585,O585&lt;25001),AND(50000&lt;O585,O585&lt;53501),AND(70000&lt;O585,O585&lt;72501)),$F585,IF(OR(AND(25001&lt;O585,O585&lt;27501),AND(53500&lt;O585,O585&lt;57001),AND(72500&lt;O585,O585&lt;75001)),$G585,IF(OR(AND(27500&lt;O585,O585&lt;30001),AND(57000&lt;O585,O585&lt;60001),AND(75000&lt;O585,O585&lt;77500)),$H585,VLOOKUP(O585,BDins,6,FALSE)))))</f>
        <v>24.97</v>
      </c>
      <c r="P587">
        <f>IF(P589&gt;10000,HLOOKUP(P589,O585:$O588,4,FALSE),IF(OR(AND(22500&lt;P585,P585&lt;25001),AND(50000&lt;P585,P585&lt;53501),AND(70000&lt;P585,P585&lt;72501)),$F585,IF(OR(AND(25001&lt;P585,P585&lt;27501),AND(53500&lt;P585,P585&lt;57001),AND(72500&lt;P585,P585&lt;75001)),$G585,IF(OR(AND(27500&lt;P585,P585&lt;30001),AND(57000&lt;P585,P585&lt;60001),AND(75000&lt;P585,P585&lt;77500)),$H585,VLOOKUP(P585,BDins,6,FALSE)))))</f>
        <v>20.81</v>
      </c>
      <c r="Q587">
        <f>IF(Q589&gt;10000,HLOOKUP(Q589,$O585:P588,4,FALSE),IF(OR(AND(22500&lt;Q585,Q585&lt;25001),AND(50000&lt;Q585,Q585&lt;53501),AND(70000&lt;Q585,Q585&lt;72501)),$F585,IF(OR(AND(25001&lt;Q585,Q585&lt;27501),AND(53500&lt;Q585,Q585&lt;57001),AND(72500&lt;Q585,Q585&lt;75001)),$G585,IF(OR(AND(27500&lt;Q585,Q585&lt;30001),AND(57000&lt;Q585,Q585&lt;60001),AND(75000&lt;Q585,Q585&lt;77500)),$H585,VLOOKUP(Q585,BDins,6,FALSE)))))</f>
        <v>15.36</v>
      </c>
      <c r="R587">
        <f>IF(R589&gt;10000,HLOOKUP(R589,$O585:Q588,4,FALSE),IF(OR(AND(22500&lt;R585,R585&lt;25001),AND(50000&lt;R585,R585&lt;53501),AND(70000&lt;R585,R585&lt;72501)),$F585,IF(OR(AND(25001&lt;R585,R585&lt;27501),AND(53500&lt;R585,R585&lt;57001),AND(72500&lt;R585,R585&lt;75001)),$G585,IF(OR(AND(27500&lt;R585,R585&lt;30001),AND(57000&lt;R585,R585&lt;60001),AND(75000&lt;R585,R585&lt;77500)),$H585,VLOOKUP(R585,BDins,6,FALSE)))))</f>
        <v>18.5</v>
      </c>
      <c r="S587">
        <f>IF(S589&gt;10000,HLOOKUP(S589,$O585:R588,4,FALSE),IF(OR(AND(22500&lt;S585,S585&lt;25001),AND(50000&lt;S585,S585&lt;53501),AND(70000&lt;S585,S585&lt;72501)),$F585,IF(OR(AND(25001&lt;S585,S585&lt;27501),AND(53500&lt;S585,S585&lt;57001),AND(72500&lt;S585,S585&lt;75001)),$G585,IF(OR(AND(27500&lt;S585,S585&lt;30001),AND(57000&lt;S585,S585&lt;60001),AND(75000&lt;S585,S585&lt;77500)),$H585,VLOOKUP(S585,BDins,6,FALSE)))))</f>
        <v>150</v>
      </c>
      <c r="T587">
        <f>IF(T589&gt;10000,HLOOKUP(T589,$O585:S588,4,FALSE),IF(OR(AND(22500&lt;T585,T585&lt;25001),AND(50000&lt;T585,T585&lt;53501),AND(70000&lt;T585,T585&lt;72501)),$F585,IF(OR(AND(25001&lt;T585,T585&lt;27501),AND(53500&lt;T585,T585&lt;57001),AND(72500&lt;T585,T585&lt;75001)),$G585,IF(OR(AND(27500&lt;T585,T585&lt;30001),AND(57000&lt;T585,T585&lt;60001),AND(75000&lt;T585,T585&lt;77500)),$H585,VLOOKUP(T585,BDins,6,FALSE)))))</f>
        <v>45</v>
      </c>
      <c r="U587">
        <f>IF(U589&gt;10000,HLOOKUP(U589,$O585:T588,4,FALSE),IF(OR(AND(22500&lt;U585,U585&lt;25001),AND(50000&lt;U585,U585&lt;53501),AND(70000&lt;U585,U585&lt;72501)),$F585,IF(OR(AND(25001&lt;U585,U585&lt;27501),AND(53500&lt;U585,U585&lt;57001),AND(72500&lt;U585,U585&lt;75001)),$G585,IF(OR(AND(27500&lt;U585,U585&lt;30001),AND(57000&lt;U585,U585&lt;60001),AND(75000&lt;U585,U585&lt;77500)),$H585,VLOOKUP(U585,BDins,6,FALSE)))))</f>
        <v>10.5</v>
      </c>
      <c r="V587">
        <f>IF(V589&gt;10000,HLOOKUP(V589,$O585:U588,4,FALSE),IF(OR(AND(22500&lt;V585,V585&lt;25001),AND(50000&lt;V585,V585&lt;53501),AND(70000&lt;V585,V585&lt;72501)),$F585,IF(OR(AND(25001&lt;V585,V585&lt;27501),AND(53500&lt;V585,V585&lt;57001),AND(72500&lt;V585,V585&lt;75001)),$G585,IF(OR(AND(27500&lt;V585,V585&lt;30001),AND(57000&lt;V585,V585&lt;60001),AND(75000&lt;V585,V585&lt;77500)),$H585,VLOOKUP(V585,BDins,6,FALSE)))))</f>
        <v>3.9</v>
      </c>
      <c r="W587">
        <f>IF(W589&gt;10000,HLOOKUP(W589,$O585:V588,4,FALSE),IF(OR(AND(22500&lt;W585,W585&lt;25001),AND(50000&lt;W585,W585&lt;53501),AND(70000&lt;W585,W585&lt;72501)),$F585,IF(OR(AND(25001&lt;W585,W585&lt;27501),AND(53500&lt;W585,W585&lt;57001),AND(72500&lt;W585,W585&lt;75001)),$G585,IF(OR(AND(27500&lt;W585,W585&lt;30001),AND(57000&lt;W585,W585&lt;60001),AND(75000&lt;W585,W585&lt;77500)),$H585,VLOOKUP(W585,BDins,6,FALSE)))))</f>
        <v>60</v>
      </c>
      <c r="X587">
        <f>IF(X589&gt;10000,HLOOKUP(X589,$O585:W588,4,FALSE),IF(OR(AND(22500&lt;X585,X585&lt;25001),AND(50000&lt;X585,X585&lt;53501),AND(70000&lt;X585,X585&lt;72501)),$F585,IF(OR(AND(25001&lt;X585,X585&lt;27501),AND(53500&lt;X585,X585&lt;57001),AND(72500&lt;X585,X585&lt;75001)),$G585,IF(OR(AND(27500&lt;X585,X585&lt;30001),AND(57000&lt;X585,X585&lt;60001),AND(75000&lt;X585,X585&lt;77500)),$H585,VLOOKUP(X585,BDins,6,FALSE)))))</f>
        <v>31.5</v>
      </c>
      <c r="Y587">
        <f>IF(Y589&gt;10000,HLOOKUP(Y589,$O585:X588,4,FALSE),IF(OR(AND(22500&lt;Y585,Y585&lt;25001),AND(50000&lt;Y585,Y585&lt;53501),AND(70000&lt;Y585,Y585&lt;72501)),$F585,IF(OR(AND(25001&lt;Y585,Y585&lt;27501),AND(53500&lt;Y585,Y585&lt;57001),AND(72500&lt;Y585,Y585&lt;75001)),$G585,IF(OR(AND(27500&lt;Y585,Y585&lt;30001),AND(57000&lt;Y585,Y585&lt;60001),AND(75000&lt;Y585,Y585&lt;77500)),$H585,VLOOKUP(Y585,BDins,6,FALSE)))))</f>
        <v>5.9</v>
      </c>
      <c r="Z587">
        <f>IF(Z589&gt;10000,HLOOKUP(Z589,$O585:Y588,4,FALSE),IF(OR(AND(22500&lt;Z585,Z585&lt;25001),AND(50000&lt;Z585,Z585&lt;53501),AND(70000&lt;Z585,Z585&lt;72501)),$F585,IF(OR(AND(25001&lt;Z585,Z585&lt;27501),AND(53500&lt;Z585,Z585&lt;57001),AND(72500&lt;Z585,Z585&lt;75001)),$G585,IF(OR(AND(27500&lt;Z585,Z585&lt;30001),AND(57000&lt;Z585,Z585&lt;60001),AND(75000&lt;Z585,Z585&lt;77500)),$H585,VLOOKUP(Z585,BDins,6,FALSE)))))</f>
        <v>15.82</v>
      </c>
      <c r="AA587">
        <f>IF(AA589&gt;10000,HLOOKUP(AA589,$O585:Z588,4,FALSE),IF(OR(AND(22500&lt;AA585,AA585&lt;25001),AND(50000&lt;AA585,AA585&lt;53501),AND(70000&lt;AA585,AA585&lt;72501)),$F585,IF(OR(AND(25001&lt;AA585,AA585&lt;27501),AND(53500&lt;AA585,AA585&lt;57001),AND(72500&lt;AA585,AA585&lt;75001)),$G585,IF(OR(AND(27500&lt;AA585,AA585&lt;30001),AND(57000&lt;AA585,AA585&lt;60001),AND(75000&lt;AA585,AA585&lt;77500)),$H585,VLOOKUP(AA585,BDins,6,FALSE)))))</f>
        <v>29.98</v>
      </c>
    </row>
    <row r="588" spans="1:27" x14ac:dyDescent="0.2">
      <c r="O588">
        <f t="shared" ref="O588:AA588" si="90">IF($K585&gt;0,ROUND(O586*$E585/100,DpCU),IF(O589&gt;10000,ROUND(HLOOKUP(O589,$O585:$AA588,4,FALSE)/100*O586,DpCU),IF(OR(O585&lt;20001,O585&gt;95000,AND(60000&lt;O585,O585&lt;70001)),ROUND(ROUND(O586*JL/$C585,DcCU)*O587,DpCU),IF(OR(AND(20000&lt;O585,O585&lt;22501),AND(30000&lt;O585,O585&lt;50001),77500&lt;O585),ROUND(O587*O586,DpCU),IF(OR(AND(22500&lt;O585,O585&lt;25001),AND(50000&lt;O585,O585&lt;53501),AND(70000&lt;O585,O585&lt;72501)),ROUND($F585/100*O586,DpCU),IF(OR(AND(25000&lt;O585,O585&lt;27501),AND(53500&lt;O585,O585&lt;57001),AND(72500&lt;O585,O585&lt;75001)),ROUND($G585/100*O586,DpCU),ROUND($H585/100*O586,DpCU)))))))</f>
        <v>0.2</v>
      </c>
      <c r="P588">
        <f t="shared" si="90"/>
        <v>3.33</v>
      </c>
      <c r="Q588">
        <f t="shared" si="90"/>
        <v>12.29</v>
      </c>
      <c r="R588">
        <f t="shared" si="90"/>
        <v>18.5</v>
      </c>
      <c r="S588">
        <f t="shared" si="90"/>
        <v>3.75</v>
      </c>
      <c r="T588">
        <f t="shared" si="90"/>
        <v>2.2999999999999998</v>
      </c>
      <c r="U588">
        <f t="shared" si="90"/>
        <v>0.26</v>
      </c>
      <c r="V588">
        <f t="shared" si="90"/>
        <v>0.78</v>
      </c>
      <c r="W588">
        <f t="shared" si="90"/>
        <v>5.7</v>
      </c>
      <c r="X588">
        <f t="shared" si="90"/>
        <v>1.26</v>
      </c>
      <c r="Y588">
        <f t="shared" si="90"/>
        <v>0.24</v>
      </c>
      <c r="Z588">
        <f t="shared" si="90"/>
        <v>0.79</v>
      </c>
      <c r="AA588">
        <f t="shared" si="90"/>
        <v>374.75</v>
      </c>
    </row>
    <row r="589" spans="1:27" x14ac:dyDescent="0.2">
      <c r="B589" s="3" t="str">
        <f>A585&amp;"r"</f>
        <v>10117r</v>
      </c>
    </row>
    <row r="590" spans="1:27" x14ac:dyDescent="0.2">
      <c r="A590">
        <v>10118</v>
      </c>
      <c r="B590" s="3" t="s">
        <v>642</v>
      </c>
      <c r="C590" s="1">
        <f>ROUND(J590*JL*Frto/8,4)</f>
        <v>15</v>
      </c>
      <c r="D590" t="s">
        <v>210</v>
      </c>
      <c r="E590">
        <f>SUM($O593:$W593)</f>
        <v>45.810000000000009</v>
      </c>
      <c r="F590">
        <f>SUMIF($O590:$W590,"&lt;22501",$O593:$W593)</f>
        <v>18.57</v>
      </c>
      <c r="G590">
        <f>SUMIFS($O593:$W593,$O590:$W590,"&gt;30000",$O590:$W590,"&lt;50001")</f>
        <v>26.309999999999995</v>
      </c>
      <c r="H590">
        <f>SUMIFS($O593:$W593,$O590:$W590,"&gt;60000",$O590:$W590,"&lt;70001")</f>
        <v>0</v>
      </c>
      <c r="I590">
        <v>9</v>
      </c>
      <c r="J590">
        <v>15</v>
      </c>
      <c r="O590">
        <v>10001</v>
      </c>
      <c r="P590">
        <v>10002</v>
      </c>
      <c r="Q590">
        <v>10003</v>
      </c>
      <c r="R590">
        <v>30023</v>
      </c>
      <c r="S590">
        <v>30096</v>
      </c>
      <c r="T590">
        <v>30097</v>
      </c>
      <c r="U590">
        <v>30100</v>
      </c>
      <c r="V590">
        <v>30105</v>
      </c>
      <c r="W590">
        <v>70001</v>
      </c>
    </row>
    <row r="591" spans="1:27" x14ac:dyDescent="0.2">
      <c r="B591" s="3" t="str">
        <f>A590&amp;"C"</f>
        <v>10118C</v>
      </c>
      <c r="O591">
        <v>0.1</v>
      </c>
      <c r="P591">
        <v>1</v>
      </c>
      <c r="Q591">
        <v>0.75</v>
      </c>
      <c r="R591">
        <v>6.0000000000000001E-3</v>
      </c>
      <c r="S591">
        <v>1.05</v>
      </c>
      <c r="T591">
        <v>0.2</v>
      </c>
      <c r="U591">
        <v>2.5000000000000001E-2</v>
      </c>
      <c r="V591">
        <v>0.25</v>
      </c>
      <c r="W591">
        <v>5</v>
      </c>
    </row>
    <row r="592" spans="1:27" x14ac:dyDescent="0.2">
      <c r="O592">
        <f>IF(O594&gt;10000,HLOOKUP(O594,N590:$O593,4,FALSE),IF(OR(AND(22500&lt;O590,O590&lt;25001),AND(50000&lt;O590,O590&lt;53501),AND(70000&lt;O590,O590&lt;72501)),$F590,IF(OR(AND(25001&lt;O590,O590&lt;27501),AND(53500&lt;O590,O590&lt;57001),AND(72500&lt;O590,O590&lt;75001)),$G590,IF(OR(AND(27500&lt;O590,O590&lt;30001),AND(57000&lt;O590,O590&lt;60001),AND(75000&lt;O590,O590&lt;77500)),$H590,VLOOKUP(O590,BDins,6,FALSE)))))</f>
        <v>24.97</v>
      </c>
      <c r="P592">
        <f>IF(P594&gt;10000,HLOOKUP(P594,O590:$O593,4,FALSE),IF(OR(AND(22500&lt;P590,P590&lt;25001),AND(50000&lt;P590,P590&lt;53501),AND(70000&lt;P590,P590&lt;72501)),$F590,IF(OR(AND(25001&lt;P590,P590&lt;27501),AND(53500&lt;P590,P590&lt;57001),AND(72500&lt;P590,P590&lt;75001)),$G590,IF(OR(AND(27500&lt;P590,P590&lt;30001),AND(57000&lt;P590,P590&lt;60001),AND(75000&lt;P590,P590&lt;77500)),$H590,VLOOKUP(P590,BDins,6,FALSE)))))</f>
        <v>20.81</v>
      </c>
      <c r="Q592">
        <f>IF(Q594&gt;10000,HLOOKUP(Q594,$O590:P593,4,FALSE),IF(OR(AND(22500&lt;Q590,Q590&lt;25001),AND(50000&lt;Q590,Q590&lt;53501),AND(70000&lt;Q590,Q590&lt;72501)),$F590,IF(OR(AND(25001&lt;Q590,Q590&lt;27501),AND(53500&lt;Q590,Q590&lt;57001),AND(72500&lt;Q590,Q590&lt;75001)),$G590,IF(OR(AND(27500&lt;Q590,Q590&lt;30001),AND(57000&lt;Q590,Q590&lt;60001),AND(75000&lt;Q590,Q590&lt;77500)),$H590,VLOOKUP(Q590,BDins,6,FALSE)))))</f>
        <v>15.36</v>
      </c>
      <c r="R592">
        <f>IF(R594&gt;10000,HLOOKUP(R594,$O590:Q593,4,FALSE),IF(OR(AND(22500&lt;R590,R590&lt;25001),AND(50000&lt;R590,R590&lt;53501),AND(70000&lt;R590,R590&lt;72501)),$F590,IF(OR(AND(25001&lt;R590,R590&lt;27501),AND(53500&lt;R590,R590&lt;57001),AND(72500&lt;R590,R590&lt;75001)),$G590,IF(OR(AND(27500&lt;R590,R590&lt;30001),AND(57000&lt;R590,R590&lt;60001),AND(75000&lt;R590,R590&lt;77500)),$H590,VLOOKUP(R590,BDins,6,FALSE)))))</f>
        <v>150</v>
      </c>
      <c r="S592">
        <f>IF(S594&gt;10000,HLOOKUP(S594,$O590:R593,4,FALSE),IF(OR(AND(22500&lt;S590,S590&lt;25001),AND(50000&lt;S590,S590&lt;53501),AND(70000&lt;S590,S590&lt;72501)),$F590,IF(OR(AND(25001&lt;S590,S590&lt;27501),AND(53500&lt;S590,S590&lt;57001),AND(72500&lt;S590,S590&lt;75001)),$G590,IF(OR(AND(27500&lt;S590,S590&lt;30001),AND(57000&lt;S590,S590&lt;60001),AND(75000&lt;S590,S590&lt;77500)),$H590,VLOOKUP(S590,BDins,6,FALSE)))))</f>
        <v>19.95</v>
      </c>
      <c r="T592">
        <f>IF(T594&gt;10000,HLOOKUP(T594,$O590:S593,4,FALSE),IF(OR(AND(22500&lt;T590,T590&lt;25001),AND(50000&lt;T590,T590&lt;53501),AND(70000&lt;T590,T590&lt;72501)),$F590,IF(OR(AND(25001&lt;T590,T590&lt;27501),AND(53500&lt;T590,T590&lt;57001),AND(72500&lt;T590,T590&lt;75001)),$G590,IF(OR(AND(27500&lt;T590,T590&lt;30001),AND(57000&lt;T590,T590&lt;60001),AND(75000&lt;T590,T590&lt;77500)),$H590,VLOOKUP(T590,BDins,6,FALSE)))))</f>
        <v>3.5</v>
      </c>
      <c r="U592">
        <f>IF(U594&gt;10000,HLOOKUP(U594,$O590:T593,4,FALSE),IF(OR(AND(22500&lt;U590,U590&lt;25001),AND(50000&lt;U590,U590&lt;53501),AND(70000&lt;U590,U590&lt;72501)),$F590,IF(OR(AND(25001&lt;U590,U590&lt;27501),AND(53500&lt;U590,U590&lt;57001),AND(72500&lt;U590,U590&lt;75001)),$G590,IF(OR(AND(27500&lt;U590,U590&lt;30001),AND(57000&lt;U590,U590&lt;60001),AND(75000&lt;U590,U590&lt;77500)),$H590,VLOOKUP(U590,BDins,6,FALSE)))))</f>
        <v>5</v>
      </c>
      <c r="V592">
        <f>IF(V594&gt;10000,HLOOKUP(V594,$O590:U593,4,FALSE),IF(OR(AND(22500&lt;V590,V590&lt;25001),AND(50000&lt;V590,V590&lt;53501),AND(70000&lt;V590,V590&lt;72501)),$F590,IF(OR(AND(25001&lt;V590,V590&lt;27501),AND(53500&lt;V590,V590&lt;57001),AND(72500&lt;V590,V590&lt;75001)),$G590,IF(OR(AND(27500&lt;V590,V590&lt;30001),AND(57000&lt;V590,V590&lt;60001),AND(75000&lt;V590,V590&lt;77500)),$H590,VLOOKUP(V590,BDins,6,FALSE)))))</f>
        <v>14.5</v>
      </c>
      <c r="W592">
        <f>IF(W594&gt;10000,HLOOKUP(W594,$O590:V593,4,FALSE),IF(OR(AND(22500&lt;W590,W590&lt;25001),AND(50000&lt;W590,W590&lt;53501),AND(70000&lt;W590,W590&lt;72501)),$F590,IF(OR(AND(25001&lt;W590,W590&lt;27501),AND(53500&lt;W590,W590&lt;57001),AND(72500&lt;W590,W590&lt;75001)),$G590,IF(OR(AND(27500&lt;W590,W590&lt;30001),AND(57000&lt;W590,W590&lt;60001),AND(75000&lt;W590,W590&lt;77500)),$H590,VLOOKUP(W590,BDins,6,FALSE)))))</f>
        <v>18.57</v>
      </c>
    </row>
    <row r="593" spans="1:23" x14ac:dyDescent="0.2">
      <c r="O593">
        <f t="shared" ref="O593:W593" si="91">IF($K590&gt;0,ROUND(O591*$E590/100,DpCU),IF(O594&gt;10000,ROUND(HLOOKUP(O594,$O590:$W593,4,FALSE)/100*O591,DpCU),IF(OR(O590&lt;20001,O590&gt;95000,AND(60000&lt;O590,O590&lt;70001)),ROUND(ROUND(O591*JL/$C590,DcCU)*O592,DpCU),IF(OR(AND(20000&lt;O590,O590&lt;22501),AND(30000&lt;O590,O590&lt;50001),77500&lt;O590),ROUND(O592*O591,DpCU),IF(OR(AND(22500&lt;O590,O590&lt;25001),AND(50000&lt;O590,O590&lt;53501),AND(70000&lt;O590,O590&lt;72501)),ROUND($F590/100*O591,DpCU),IF(OR(AND(25000&lt;O590,O590&lt;27501),AND(53500&lt;O590,O590&lt;57001),AND(72500&lt;O590,O590&lt;75001)),ROUND($G590/100*O591,DpCU),ROUND($H590/100*O591,DpCU)))))))</f>
        <v>1.33</v>
      </c>
      <c r="P593">
        <f t="shared" si="91"/>
        <v>11.1</v>
      </c>
      <c r="Q593">
        <f t="shared" si="91"/>
        <v>6.14</v>
      </c>
      <c r="R593">
        <f t="shared" si="91"/>
        <v>0.9</v>
      </c>
      <c r="S593">
        <f t="shared" si="91"/>
        <v>20.95</v>
      </c>
      <c r="T593">
        <f t="shared" si="91"/>
        <v>0.7</v>
      </c>
      <c r="U593">
        <f t="shared" si="91"/>
        <v>0.13</v>
      </c>
      <c r="V593">
        <f t="shared" si="91"/>
        <v>3.63</v>
      </c>
      <c r="W593">
        <f t="shared" si="91"/>
        <v>0.93</v>
      </c>
    </row>
    <row r="594" spans="1:23" x14ac:dyDescent="0.2">
      <c r="B594" s="3" t="str">
        <f>A590&amp;"r"</f>
        <v>10118r</v>
      </c>
    </row>
    <row r="595" spans="1:23" x14ac:dyDescent="0.2">
      <c r="A595">
        <v>10119</v>
      </c>
      <c r="B595" s="3" t="s">
        <v>646</v>
      </c>
      <c r="C595" s="1">
        <f>ROUND(J595*JL*Frto/8,4)</f>
        <v>30</v>
      </c>
      <c r="D595" t="s">
        <v>194</v>
      </c>
      <c r="E595">
        <f>SUM($O598:$W598)</f>
        <v>16.239999999999998</v>
      </c>
      <c r="F595">
        <f>SUMIF($O595:$W595,"&lt;22501",$O598:$W598)</f>
        <v>7.57</v>
      </c>
      <c r="G595">
        <f>SUMIFS($O598:$W598,$O595:$W595,"&gt;30000",$O595:$W595,"&lt;50001")</f>
        <v>2.67</v>
      </c>
      <c r="H595">
        <f>SUMIFS($O598:$W598,$O595:$W595,"&gt;60000",$O595:$W595,"&lt;70001")</f>
        <v>0</v>
      </c>
      <c r="I595">
        <v>9</v>
      </c>
      <c r="J595">
        <v>30</v>
      </c>
      <c r="O595">
        <v>10001</v>
      </c>
      <c r="P595">
        <v>10002</v>
      </c>
      <c r="Q595">
        <v>10003</v>
      </c>
      <c r="R595">
        <v>30014</v>
      </c>
      <c r="S595">
        <v>30100</v>
      </c>
      <c r="T595">
        <v>30103</v>
      </c>
      <c r="U595">
        <v>30106</v>
      </c>
      <c r="V595">
        <v>70001</v>
      </c>
      <c r="W595">
        <v>77509</v>
      </c>
    </row>
    <row r="596" spans="1:23" x14ac:dyDescent="0.2">
      <c r="B596" s="3" t="str">
        <f>A595&amp;"C"</f>
        <v>10119C</v>
      </c>
      <c r="O596">
        <v>0.1</v>
      </c>
      <c r="P596">
        <v>1</v>
      </c>
      <c r="Q596">
        <v>0.33</v>
      </c>
      <c r="R596">
        <v>5.0000000000000001E-3</v>
      </c>
      <c r="S596">
        <v>2.5000000000000001E-2</v>
      </c>
      <c r="T596">
        <v>2.5000000000000001E-2</v>
      </c>
      <c r="U596">
        <v>0.105</v>
      </c>
      <c r="V596">
        <v>5</v>
      </c>
      <c r="W596">
        <v>0.1875</v>
      </c>
    </row>
    <row r="597" spans="1:23" x14ac:dyDescent="0.2">
      <c r="O597">
        <f>IF(O599&gt;10000,HLOOKUP(O599,N595:$O598,4,FALSE),IF(OR(AND(22500&lt;O595,O595&lt;25001),AND(50000&lt;O595,O595&lt;53501),AND(70000&lt;O595,O595&lt;72501)),$F595,IF(OR(AND(25001&lt;O595,O595&lt;27501),AND(53500&lt;O595,O595&lt;57001),AND(72500&lt;O595,O595&lt;75001)),$G595,IF(OR(AND(27500&lt;O595,O595&lt;30001),AND(57000&lt;O595,O595&lt;60001),AND(75000&lt;O595,O595&lt;77500)),$H595,VLOOKUP(O595,BDins,6,FALSE)))))</f>
        <v>24.97</v>
      </c>
      <c r="P597">
        <f>IF(P599&gt;10000,HLOOKUP(P599,O595:$O598,4,FALSE),IF(OR(AND(22500&lt;P595,P595&lt;25001),AND(50000&lt;P595,P595&lt;53501),AND(70000&lt;P595,P595&lt;72501)),$F595,IF(OR(AND(25001&lt;P595,P595&lt;27501),AND(53500&lt;P595,P595&lt;57001),AND(72500&lt;P595,P595&lt;75001)),$G595,IF(OR(AND(27500&lt;P595,P595&lt;30001),AND(57000&lt;P595,P595&lt;60001),AND(75000&lt;P595,P595&lt;77500)),$H595,VLOOKUP(P595,BDins,6,FALSE)))))</f>
        <v>20.81</v>
      </c>
      <c r="Q597">
        <f>IF(Q599&gt;10000,HLOOKUP(Q599,$O595:P598,4,FALSE),IF(OR(AND(22500&lt;Q595,Q595&lt;25001),AND(50000&lt;Q595,Q595&lt;53501),AND(70000&lt;Q595,Q595&lt;72501)),$F595,IF(OR(AND(25001&lt;Q595,Q595&lt;27501),AND(53500&lt;Q595,Q595&lt;57001),AND(72500&lt;Q595,Q595&lt;75001)),$G595,IF(OR(AND(27500&lt;Q595,Q595&lt;30001),AND(57000&lt;Q595,Q595&lt;60001),AND(75000&lt;Q595,Q595&lt;77500)),$H595,VLOOKUP(Q595,BDins,6,FALSE)))))</f>
        <v>15.36</v>
      </c>
      <c r="R597">
        <f>IF(R599&gt;10000,HLOOKUP(R599,$O595:Q598,4,FALSE),IF(OR(AND(22500&lt;R595,R595&lt;25001),AND(50000&lt;R595,R595&lt;53501),AND(70000&lt;R595,R595&lt;72501)),$F595,IF(OR(AND(25001&lt;R595,R595&lt;27501),AND(53500&lt;R595,R595&lt;57001),AND(72500&lt;R595,R595&lt;75001)),$G595,IF(OR(AND(27500&lt;R595,R595&lt;30001),AND(57000&lt;R595,R595&lt;60001),AND(75000&lt;R595,R595&lt;77500)),$H595,VLOOKUP(R595,BDins,6,FALSE)))))</f>
        <v>12</v>
      </c>
      <c r="S597">
        <f>IF(S599&gt;10000,HLOOKUP(S599,$O595:R598,4,FALSE),IF(OR(AND(22500&lt;S595,S595&lt;25001),AND(50000&lt;S595,S595&lt;53501),AND(70000&lt;S595,S595&lt;72501)),$F595,IF(OR(AND(25001&lt;S595,S595&lt;27501),AND(53500&lt;S595,S595&lt;57001),AND(72500&lt;S595,S595&lt;75001)),$G595,IF(OR(AND(27500&lt;S595,S595&lt;30001),AND(57000&lt;S595,S595&lt;60001),AND(75000&lt;S595,S595&lt;77500)),$H595,VLOOKUP(S595,BDins,6,FALSE)))))</f>
        <v>5</v>
      </c>
      <c r="T597">
        <f>IF(T599&gt;10000,HLOOKUP(T599,$O595:S598,4,FALSE),IF(OR(AND(22500&lt;T595,T595&lt;25001),AND(50000&lt;T595,T595&lt;53501),AND(70000&lt;T595,T595&lt;72501)),$F595,IF(OR(AND(25001&lt;T595,T595&lt;27501),AND(53500&lt;T595,T595&lt;57001),AND(72500&lt;T595,T595&lt;75001)),$G595,IF(OR(AND(27500&lt;T595,T595&lt;30001),AND(57000&lt;T595,T595&lt;60001),AND(75000&lt;T595,T595&lt;77500)),$H595,VLOOKUP(T595,BDins,6,FALSE)))))</f>
        <v>27.55</v>
      </c>
      <c r="U597">
        <f>IF(U599&gt;10000,HLOOKUP(U599,$O595:T598,4,FALSE),IF(OR(AND(22500&lt;U595,U595&lt;25001),AND(50000&lt;U595,U595&lt;53501),AND(70000&lt;U595,U595&lt;72501)),$F595,IF(OR(AND(25001&lt;U595,U595&lt;27501),AND(53500&lt;U595,U595&lt;57001),AND(72500&lt;U595,U595&lt;75001)),$G595,IF(OR(AND(27500&lt;U595,U595&lt;30001),AND(57000&lt;U595,U595&lt;60001),AND(75000&lt;U595,U595&lt;77500)),$H595,VLOOKUP(U595,BDins,6,FALSE)))))</f>
        <v>17</v>
      </c>
      <c r="V597">
        <f>IF(V599&gt;10000,HLOOKUP(V599,$O595:U598,4,FALSE),IF(OR(AND(22500&lt;V595,V595&lt;25001),AND(50000&lt;V595,V595&lt;53501),AND(70000&lt;V595,V595&lt;72501)),$F595,IF(OR(AND(25001&lt;V595,V595&lt;27501),AND(53500&lt;V595,V595&lt;57001),AND(72500&lt;V595,V595&lt;75001)),$G595,IF(OR(AND(27500&lt;V595,V595&lt;30001),AND(57000&lt;V595,V595&lt;60001),AND(75000&lt;V595,V595&lt;77500)),$H595,VLOOKUP(V595,BDins,6,FALSE)))))</f>
        <v>7.57</v>
      </c>
      <c r="W597">
        <f>IF(W599&gt;10000,HLOOKUP(W599,$O595:V598,4,FALSE),IF(OR(AND(22500&lt;W595,W595&lt;25001),AND(50000&lt;W595,W595&lt;53501),AND(70000&lt;W595,W595&lt;72501)),$F595,IF(OR(AND(25001&lt;W595,W595&lt;27501),AND(53500&lt;W595,W595&lt;57001),AND(72500&lt;W595,W595&lt;75001)),$G595,IF(OR(AND(27500&lt;W595,W595&lt;30001),AND(57000&lt;W595,W595&lt;60001),AND(75000&lt;W595,W595&lt;77500)),$H595,VLOOKUP(W595,BDins,6,FALSE)))))</f>
        <v>29.98</v>
      </c>
    </row>
    <row r="598" spans="1:23" x14ac:dyDescent="0.2">
      <c r="O598">
        <f t="shared" ref="O598:W598" si="92">IF($K595&gt;0,ROUND(O596*$E595/100,DpCU),IF(O599&gt;10000,ROUND(HLOOKUP(O599,$O595:$W598,4,FALSE)/100*O596,DpCU),IF(OR(O595&lt;20001,O595&gt;95000,AND(60000&lt;O595,O595&lt;70001)),ROUND(ROUND(O596*JL/$C595,DcCU)*O597,DpCU),IF(OR(AND(20000&lt;O595,O595&lt;22501),AND(30000&lt;O595,O595&lt;50001),77500&lt;O595),ROUND(O597*O596,DpCU),IF(OR(AND(22500&lt;O595,O595&lt;25001),AND(50000&lt;O595,O595&lt;53501),AND(70000&lt;O595,O595&lt;72501)),ROUND($F595/100*O596,DpCU),IF(OR(AND(25000&lt;O595,O595&lt;27501),AND(53500&lt;O595,O595&lt;57001),AND(72500&lt;O595,O595&lt;75001)),ROUND($G595/100*O596,DpCU),ROUND($H595/100*O596,DpCU)))))))</f>
        <v>0.67</v>
      </c>
      <c r="P598">
        <f t="shared" si="92"/>
        <v>5.55</v>
      </c>
      <c r="Q598">
        <f t="shared" si="92"/>
        <v>1.35</v>
      </c>
      <c r="R598">
        <f t="shared" si="92"/>
        <v>0.06</v>
      </c>
      <c r="S598">
        <f t="shared" si="92"/>
        <v>0.13</v>
      </c>
      <c r="T598">
        <f t="shared" si="92"/>
        <v>0.69</v>
      </c>
      <c r="U598">
        <f t="shared" si="92"/>
        <v>1.79</v>
      </c>
      <c r="V598">
        <f t="shared" si="92"/>
        <v>0.38</v>
      </c>
      <c r="W598">
        <f t="shared" si="92"/>
        <v>5.62</v>
      </c>
    </row>
    <row r="599" spans="1:23" x14ac:dyDescent="0.2">
      <c r="B599" s="3" t="str">
        <f>A595&amp;"r"</f>
        <v>10119r</v>
      </c>
    </row>
    <row r="600" spans="1:23" x14ac:dyDescent="0.2">
      <c r="A600">
        <v>10120</v>
      </c>
      <c r="B600" s="3" t="s">
        <v>649</v>
      </c>
      <c r="C600" s="1">
        <f>ROUND(J600*JL*Frto/8,4)</f>
        <v>30</v>
      </c>
      <c r="D600" t="s">
        <v>194</v>
      </c>
      <c r="E600">
        <f>SUM($O603:$W603)</f>
        <v>67.42</v>
      </c>
      <c r="F600">
        <f>SUMIF($O600:$W600,"&lt;22501",$O603:$W603)</f>
        <v>8.27</v>
      </c>
      <c r="G600">
        <f>SUMIFS($O603:$W603,$O600:$W600,"&gt;30000",$O600:$W600,"&lt;50001")</f>
        <v>2.5299999999999998</v>
      </c>
      <c r="H600">
        <f>SUMIFS($O603:$W603,$O600:$W600,"&gt;60000",$O600:$W600,"&lt;70001")</f>
        <v>0</v>
      </c>
      <c r="I600">
        <v>9</v>
      </c>
      <c r="J600">
        <v>30</v>
      </c>
      <c r="O600">
        <v>10001</v>
      </c>
      <c r="P600">
        <v>10002</v>
      </c>
      <c r="Q600">
        <v>10003</v>
      </c>
      <c r="R600">
        <v>30097</v>
      </c>
      <c r="S600">
        <v>30100</v>
      </c>
      <c r="T600">
        <v>30104</v>
      </c>
      <c r="U600">
        <v>30105</v>
      </c>
      <c r="V600">
        <v>70001</v>
      </c>
      <c r="W600">
        <v>77509</v>
      </c>
    </row>
    <row r="601" spans="1:23" x14ac:dyDescent="0.2">
      <c r="B601" s="3" t="str">
        <f>A600&amp;"C"</f>
        <v>10120C</v>
      </c>
      <c r="O601">
        <v>0.1</v>
      </c>
      <c r="P601">
        <v>1</v>
      </c>
      <c r="Q601">
        <v>0.5</v>
      </c>
      <c r="R601">
        <v>0.02</v>
      </c>
      <c r="S601">
        <v>0.01</v>
      </c>
      <c r="T601">
        <v>0.105</v>
      </c>
      <c r="U601">
        <v>2.5000000000000001E-2</v>
      </c>
      <c r="V601">
        <v>5</v>
      </c>
      <c r="W601">
        <v>1.875</v>
      </c>
    </row>
    <row r="602" spans="1:23" x14ac:dyDescent="0.2">
      <c r="O602">
        <f>IF(O604&gt;10000,HLOOKUP(O604,N600:$O603,4,FALSE),IF(OR(AND(22500&lt;O600,O600&lt;25001),AND(50000&lt;O600,O600&lt;53501),AND(70000&lt;O600,O600&lt;72501)),$F600,IF(OR(AND(25001&lt;O600,O600&lt;27501),AND(53500&lt;O600,O600&lt;57001),AND(72500&lt;O600,O600&lt;75001)),$G600,IF(OR(AND(27500&lt;O600,O600&lt;30001),AND(57000&lt;O600,O600&lt;60001),AND(75000&lt;O600,O600&lt;77500)),$H600,VLOOKUP(O600,BDins,6,FALSE)))))</f>
        <v>24.97</v>
      </c>
      <c r="P602">
        <f>IF(P604&gt;10000,HLOOKUP(P604,O600:$O603,4,FALSE),IF(OR(AND(22500&lt;P600,P600&lt;25001),AND(50000&lt;P600,P600&lt;53501),AND(70000&lt;P600,P600&lt;72501)),$F600,IF(OR(AND(25001&lt;P600,P600&lt;27501),AND(53500&lt;P600,P600&lt;57001),AND(72500&lt;P600,P600&lt;75001)),$G600,IF(OR(AND(27500&lt;P600,P600&lt;30001),AND(57000&lt;P600,P600&lt;60001),AND(75000&lt;P600,P600&lt;77500)),$H600,VLOOKUP(P600,BDins,6,FALSE)))))</f>
        <v>20.81</v>
      </c>
      <c r="Q602">
        <f>IF(Q604&gt;10000,HLOOKUP(Q604,$O600:P603,4,FALSE),IF(OR(AND(22500&lt;Q600,Q600&lt;25001),AND(50000&lt;Q600,Q600&lt;53501),AND(70000&lt;Q600,Q600&lt;72501)),$F600,IF(OR(AND(25001&lt;Q600,Q600&lt;27501),AND(53500&lt;Q600,Q600&lt;57001),AND(72500&lt;Q600,Q600&lt;75001)),$G600,IF(OR(AND(27500&lt;Q600,Q600&lt;30001),AND(57000&lt;Q600,Q600&lt;60001),AND(75000&lt;Q600,Q600&lt;77500)),$H600,VLOOKUP(Q600,BDins,6,FALSE)))))</f>
        <v>15.36</v>
      </c>
      <c r="R602">
        <f>IF(R604&gt;10000,HLOOKUP(R604,$O600:Q603,4,FALSE),IF(OR(AND(22500&lt;R600,R600&lt;25001),AND(50000&lt;R600,R600&lt;53501),AND(70000&lt;R600,R600&lt;72501)),$F600,IF(OR(AND(25001&lt;R600,R600&lt;27501),AND(53500&lt;R600,R600&lt;57001),AND(72500&lt;R600,R600&lt;75001)),$G600,IF(OR(AND(27500&lt;R600,R600&lt;30001),AND(57000&lt;R600,R600&lt;60001),AND(75000&lt;R600,R600&lt;77500)),$H600,VLOOKUP(R600,BDins,6,FALSE)))))</f>
        <v>3.5</v>
      </c>
      <c r="S602">
        <f>IF(S604&gt;10000,HLOOKUP(S604,$O600:R603,4,FALSE),IF(OR(AND(22500&lt;S600,S600&lt;25001),AND(50000&lt;S600,S600&lt;53501),AND(70000&lt;S600,S600&lt;72501)),$F600,IF(OR(AND(25001&lt;S600,S600&lt;27501),AND(53500&lt;S600,S600&lt;57001),AND(72500&lt;S600,S600&lt;75001)),$G600,IF(OR(AND(27500&lt;S600,S600&lt;30001),AND(57000&lt;S600,S600&lt;60001),AND(75000&lt;S600,S600&lt;77500)),$H600,VLOOKUP(S600,BDins,6,FALSE)))))</f>
        <v>5</v>
      </c>
      <c r="T602">
        <f>IF(T604&gt;10000,HLOOKUP(T604,$O600:S603,4,FALSE),IF(OR(AND(22500&lt;T600,T600&lt;25001),AND(50000&lt;T600,T600&lt;53501),AND(70000&lt;T600,T600&lt;72501)),$F600,IF(OR(AND(25001&lt;T600,T600&lt;27501),AND(53500&lt;T600,T600&lt;57001),AND(72500&lt;T600,T600&lt;75001)),$G600,IF(OR(AND(27500&lt;T600,T600&lt;30001),AND(57000&lt;T600,T600&lt;60001),AND(75000&lt;T600,T600&lt;77500)),$H600,VLOOKUP(T600,BDins,6,FALSE)))))</f>
        <v>19.5</v>
      </c>
      <c r="U602">
        <f>IF(U604&gt;10000,HLOOKUP(U604,$O600:T603,4,FALSE),IF(OR(AND(22500&lt;U600,U600&lt;25001),AND(50000&lt;U600,U600&lt;53501),AND(70000&lt;U600,U600&lt;72501)),$F600,IF(OR(AND(25001&lt;U600,U600&lt;27501),AND(53500&lt;U600,U600&lt;57001),AND(72500&lt;U600,U600&lt;75001)),$G600,IF(OR(AND(27500&lt;U600,U600&lt;30001),AND(57000&lt;U600,U600&lt;60001),AND(75000&lt;U600,U600&lt;77500)),$H600,VLOOKUP(U600,BDins,6,FALSE)))))</f>
        <v>14.5</v>
      </c>
      <c r="V602">
        <f>IF(V604&gt;10000,HLOOKUP(V604,$O600:U603,4,FALSE),IF(OR(AND(22500&lt;V600,V600&lt;25001),AND(50000&lt;V600,V600&lt;53501),AND(70000&lt;V600,V600&lt;72501)),$F600,IF(OR(AND(25001&lt;V600,V600&lt;27501),AND(53500&lt;V600,V600&lt;57001),AND(72500&lt;V600,V600&lt;75001)),$G600,IF(OR(AND(27500&lt;V600,V600&lt;30001),AND(57000&lt;V600,V600&lt;60001),AND(75000&lt;V600,V600&lt;77500)),$H600,VLOOKUP(V600,BDins,6,FALSE)))))</f>
        <v>8.27</v>
      </c>
      <c r="W602">
        <f>IF(W604&gt;10000,HLOOKUP(W604,$O600:V603,4,FALSE),IF(OR(AND(22500&lt;W600,W600&lt;25001),AND(50000&lt;W600,W600&lt;53501),AND(70000&lt;W600,W600&lt;72501)),$F600,IF(OR(AND(25001&lt;W600,W600&lt;27501),AND(53500&lt;W600,W600&lt;57001),AND(72500&lt;W600,W600&lt;75001)),$G600,IF(OR(AND(27500&lt;W600,W600&lt;30001),AND(57000&lt;W600,W600&lt;60001),AND(75000&lt;W600,W600&lt;77500)),$H600,VLOOKUP(W600,BDins,6,FALSE)))))</f>
        <v>29.98</v>
      </c>
    </row>
    <row r="603" spans="1:23" x14ac:dyDescent="0.2">
      <c r="O603">
        <f t="shared" ref="O603:W603" si="93">IF($K600&gt;0,ROUND(O601*$E600/100,DpCU),IF(O604&gt;10000,ROUND(HLOOKUP(O604,$O600:$W603,4,FALSE)/100*O601,DpCU),IF(OR(O600&lt;20001,O600&gt;95000,AND(60000&lt;O600,O600&lt;70001)),ROUND(ROUND(O601*JL/$C600,DcCU)*O602,DpCU),IF(OR(AND(20000&lt;O600,O600&lt;22501),AND(30000&lt;O600,O600&lt;50001),77500&lt;O600),ROUND(O602*O601,DpCU),IF(OR(AND(22500&lt;O600,O600&lt;25001),AND(50000&lt;O600,O600&lt;53501),AND(70000&lt;O600,O600&lt;72501)),ROUND($F600/100*O601,DpCU),IF(OR(AND(25000&lt;O600,O600&lt;27501),AND(53500&lt;O600,O600&lt;57001),AND(72500&lt;O600,O600&lt;75001)),ROUND($G600/100*O601,DpCU),ROUND($H600/100*O601,DpCU)))))))</f>
        <v>0.67</v>
      </c>
      <c r="P603">
        <f t="shared" si="93"/>
        <v>5.55</v>
      </c>
      <c r="Q603">
        <f t="shared" si="93"/>
        <v>2.0499999999999998</v>
      </c>
      <c r="R603">
        <f t="shared" si="93"/>
        <v>7.0000000000000007E-2</v>
      </c>
      <c r="S603">
        <f t="shared" si="93"/>
        <v>0.05</v>
      </c>
      <c r="T603">
        <f t="shared" si="93"/>
        <v>2.0499999999999998</v>
      </c>
      <c r="U603">
        <f t="shared" si="93"/>
        <v>0.36</v>
      </c>
      <c r="V603">
        <f t="shared" si="93"/>
        <v>0.41</v>
      </c>
      <c r="W603">
        <f t="shared" si="93"/>
        <v>56.21</v>
      </c>
    </row>
    <row r="604" spans="1:23" x14ac:dyDescent="0.2">
      <c r="B604" s="3" t="str">
        <f>A600&amp;"r"</f>
        <v>10120r</v>
      </c>
    </row>
    <row r="605" spans="1:23" x14ac:dyDescent="0.2">
      <c r="A605">
        <v>10121</v>
      </c>
      <c r="B605" s="3" t="s">
        <v>651</v>
      </c>
      <c r="C605" s="1">
        <f>ROUND(J605*JL*Frto/8,4)</f>
        <v>20</v>
      </c>
      <c r="D605" t="s">
        <v>194</v>
      </c>
      <c r="E605">
        <f>SUM($O608:$W608)</f>
        <v>53.059999999999995</v>
      </c>
      <c r="F605">
        <f>SUMIF($O605:$W605,"&lt;22501",$O608:$W608)</f>
        <v>12.39</v>
      </c>
      <c r="G605">
        <f>SUMIFS($O608:$W608,$O605:$W605,"&gt;30000",$O605:$W605,"&lt;50001")</f>
        <v>2.5699999999999994</v>
      </c>
      <c r="H605">
        <f>SUMIFS($O608:$W608,$O605:$W605,"&gt;60000",$O605:$W605,"&lt;70001")</f>
        <v>0</v>
      </c>
      <c r="I605">
        <v>9</v>
      </c>
      <c r="J605">
        <v>20</v>
      </c>
      <c r="O605">
        <v>10001</v>
      </c>
      <c r="P605">
        <v>10002</v>
      </c>
      <c r="Q605">
        <v>10003</v>
      </c>
      <c r="R605">
        <v>30096</v>
      </c>
      <c r="S605">
        <v>30097</v>
      </c>
      <c r="T605">
        <v>30100</v>
      </c>
      <c r="U605">
        <v>30105</v>
      </c>
      <c r="V605">
        <v>70001</v>
      </c>
      <c r="W605">
        <v>77509</v>
      </c>
    </row>
    <row r="606" spans="1:23" x14ac:dyDescent="0.2">
      <c r="B606" s="3" t="str">
        <f>A605&amp;"C"</f>
        <v>10121C</v>
      </c>
      <c r="O606">
        <v>0.1</v>
      </c>
      <c r="P606">
        <v>1</v>
      </c>
      <c r="Q606">
        <v>0.5</v>
      </c>
      <c r="R606">
        <v>0.105</v>
      </c>
      <c r="S606">
        <v>0.02</v>
      </c>
      <c r="T606">
        <v>0.01</v>
      </c>
      <c r="U606">
        <v>2.5000000000000001E-2</v>
      </c>
      <c r="V606">
        <v>5</v>
      </c>
      <c r="W606">
        <v>1.25</v>
      </c>
    </row>
    <row r="607" spans="1:23" x14ac:dyDescent="0.2">
      <c r="O607">
        <f>IF(O609&gt;10000,HLOOKUP(O609,N605:$O608,4,FALSE),IF(OR(AND(22500&lt;O605,O605&lt;25001),AND(50000&lt;O605,O605&lt;53501),AND(70000&lt;O605,O605&lt;72501)),$F605,IF(OR(AND(25001&lt;O605,O605&lt;27501),AND(53500&lt;O605,O605&lt;57001),AND(72500&lt;O605,O605&lt;75001)),$G605,IF(OR(AND(27500&lt;O605,O605&lt;30001),AND(57000&lt;O605,O605&lt;60001),AND(75000&lt;O605,O605&lt;77500)),$H605,VLOOKUP(O605,BDins,6,FALSE)))))</f>
        <v>24.97</v>
      </c>
      <c r="P607">
        <f>IF(P609&gt;10000,HLOOKUP(P609,O605:$O608,4,FALSE),IF(OR(AND(22500&lt;P605,P605&lt;25001),AND(50000&lt;P605,P605&lt;53501),AND(70000&lt;P605,P605&lt;72501)),$F605,IF(OR(AND(25001&lt;P605,P605&lt;27501),AND(53500&lt;P605,P605&lt;57001),AND(72500&lt;P605,P605&lt;75001)),$G605,IF(OR(AND(27500&lt;P605,P605&lt;30001),AND(57000&lt;P605,P605&lt;60001),AND(75000&lt;P605,P605&lt;77500)),$H605,VLOOKUP(P605,BDins,6,FALSE)))))</f>
        <v>20.81</v>
      </c>
      <c r="Q607">
        <f>IF(Q609&gt;10000,HLOOKUP(Q609,$O605:P608,4,FALSE),IF(OR(AND(22500&lt;Q605,Q605&lt;25001),AND(50000&lt;Q605,Q605&lt;53501),AND(70000&lt;Q605,Q605&lt;72501)),$F605,IF(OR(AND(25001&lt;Q605,Q605&lt;27501),AND(53500&lt;Q605,Q605&lt;57001),AND(72500&lt;Q605,Q605&lt;75001)),$G605,IF(OR(AND(27500&lt;Q605,Q605&lt;30001),AND(57000&lt;Q605,Q605&lt;60001),AND(75000&lt;Q605,Q605&lt;77500)),$H605,VLOOKUP(Q605,BDins,6,FALSE)))))</f>
        <v>15.36</v>
      </c>
      <c r="R607">
        <f>IF(R609&gt;10000,HLOOKUP(R609,$O605:Q608,4,FALSE),IF(OR(AND(22500&lt;R605,R605&lt;25001),AND(50000&lt;R605,R605&lt;53501),AND(70000&lt;R605,R605&lt;72501)),$F605,IF(OR(AND(25001&lt;R605,R605&lt;27501),AND(53500&lt;R605,R605&lt;57001),AND(72500&lt;R605,R605&lt;75001)),$G605,IF(OR(AND(27500&lt;R605,R605&lt;30001),AND(57000&lt;R605,R605&lt;60001),AND(75000&lt;R605,R605&lt;77500)),$H605,VLOOKUP(R605,BDins,6,FALSE)))))</f>
        <v>19.95</v>
      </c>
      <c r="S607">
        <f>IF(S609&gt;10000,HLOOKUP(S609,$O605:R608,4,FALSE),IF(OR(AND(22500&lt;S605,S605&lt;25001),AND(50000&lt;S605,S605&lt;53501),AND(70000&lt;S605,S605&lt;72501)),$F605,IF(OR(AND(25001&lt;S605,S605&lt;27501),AND(53500&lt;S605,S605&lt;57001),AND(72500&lt;S605,S605&lt;75001)),$G605,IF(OR(AND(27500&lt;S605,S605&lt;30001),AND(57000&lt;S605,S605&lt;60001),AND(75000&lt;S605,S605&lt;77500)),$H605,VLOOKUP(S605,BDins,6,FALSE)))))</f>
        <v>3.5</v>
      </c>
      <c r="T607">
        <f>IF(T609&gt;10000,HLOOKUP(T609,$O605:S608,4,FALSE),IF(OR(AND(22500&lt;T605,T605&lt;25001),AND(50000&lt;T605,T605&lt;53501),AND(70000&lt;T605,T605&lt;72501)),$F605,IF(OR(AND(25001&lt;T605,T605&lt;27501),AND(53500&lt;T605,T605&lt;57001),AND(72500&lt;T605,T605&lt;75001)),$G605,IF(OR(AND(27500&lt;T605,T605&lt;30001),AND(57000&lt;T605,T605&lt;60001),AND(75000&lt;T605,T605&lt;77500)),$H605,VLOOKUP(T605,BDins,6,FALSE)))))</f>
        <v>5</v>
      </c>
      <c r="U607">
        <f>IF(U609&gt;10000,HLOOKUP(U609,$O605:T608,4,FALSE),IF(OR(AND(22500&lt;U605,U605&lt;25001),AND(50000&lt;U605,U605&lt;53501),AND(70000&lt;U605,U605&lt;72501)),$F605,IF(OR(AND(25001&lt;U605,U605&lt;27501),AND(53500&lt;U605,U605&lt;57001),AND(72500&lt;U605,U605&lt;75001)),$G605,IF(OR(AND(27500&lt;U605,U605&lt;30001),AND(57000&lt;U605,U605&lt;60001),AND(75000&lt;U605,U605&lt;77500)),$H605,VLOOKUP(U605,BDins,6,FALSE)))))</f>
        <v>14.5</v>
      </c>
      <c r="V607">
        <f>IF(V609&gt;10000,HLOOKUP(V609,$O605:U608,4,FALSE),IF(OR(AND(22500&lt;V605,V605&lt;25001),AND(50000&lt;V605,V605&lt;53501),AND(70000&lt;V605,V605&lt;72501)),$F605,IF(OR(AND(25001&lt;V605,V605&lt;27501),AND(53500&lt;V605,V605&lt;57001),AND(72500&lt;V605,V605&lt;75001)),$G605,IF(OR(AND(27500&lt;V605,V605&lt;30001),AND(57000&lt;V605,V605&lt;60001),AND(75000&lt;V605,V605&lt;77500)),$H605,VLOOKUP(V605,BDins,6,FALSE)))))</f>
        <v>12.39</v>
      </c>
      <c r="W607">
        <f>IF(W609&gt;10000,HLOOKUP(W609,$O605:V608,4,FALSE),IF(OR(AND(22500&lt;W605,W605&lt;25001),AND(50000&lt;W605,W605&lt;53501),AND(70000&lt;W605,W605&lt;72501)),$F605,IF(OR(AND(25001&lt;W605,W605&lt;27501),AND(53500&lt;W605,W605&lt;57001),AND(72500&lt;W605,W605&lt;75001)),$G605,IF(OR(AND(27500&lt;W605,W605&lt;30001),AND(57000&lt;W605,W605&lt;60001),AND(75000&lt;W605,W605&lt;77500)),$H605,VLOOKUP(W605,BDins,6,FALSE)))))</f>
        <v>29.98</v>
      </c>
    </row>
    <row r="608" spans="1:23" x14ac:dyDescent="0.2">
      <c r="O608">
        <f t="shared" ref="O608:W608" si="94">IF($K605&gt;0,ROUND(O606*$E605/100,DpCU),IF(O609&gt;10000,ROUND(HLOOKUP(O609,$O605:$W608,4,FALSE)/100*O606,DpCU),IF(OR(O605&lt;20001,O605&gt;95000,AND(60000&lt;O605,O605&lt;70001)),ROUND(ROUND(O606*JL/$C605,DcCU)*O607,DpCU),IF(OR(AND(20000&lt;O605,O605&lt;22501),AND(30000&lt;O605,O605&lt;50001),77500&lt;O605),ROUND(O607*O606,DpCU),IF(OR(AND(22500&lt;O605,O605&lt;25001),AND(50000&lt;O605,O605&lt;53501),AND(70000&lt;O605,O605&lt;72501)),ROUND($F605/100*O606,DpCU),IF(OR(AND(25000&lt;O605,O605&lt;27501),AND(53500&lt;O605,O605&lt;57001),AND(72500&lt;O605,O605&lt;75001)),ROUND($G605/100*O606,DpCU),ROUND($H605/100*O606,DpCU)))))))</f>
        <v>1</v>
      </c>
      <c r="P608">
        <f t="shared" si="94"/>
        <v>8.32</v>
      </c>
      <c r="Q608">
        <f t="shared" si="94"/>
        <v>3.07</v>
      </c>
      <c r="R608">
        <f t="shared" si="94"/>
        <v>2.09</v>
      </c>
      <c r="S608">
        <f t="shared" si="94"/>
        <v>7.0000000000000007E-2</v>
      </c>
      <c r="T608">
        <f t="shared" si="94"/>
        <v>0.05</v>
      </c>
      <c r="U608">
        <f t="shared" si="94"/>
        <v>0.36</v>
      </c>
      <c r="V608">
        <f t="shared" si="94"/>
        <v>0.62</v>
      </c>
      <c r="W608">
        <f t="shared" si="94"/>
        <v>37.479999999999997</v>
      </c>
    </row>
    <row r="609" spans="1:24" x14ac:dyDescent="0.2">
      <c r="B609" s="3" t="str">
        <f>A605&amp;"r"</f>
        <v>10121r</v>
      </c>
    </row>
    <row r="610" spans="1:24" x14ac:dyDescent="0.2">
      <c r="A610">
        <v>10122</v>
      </c>
      <c r="B610" s="3" t="s">
        <v>653</v>
      </c>
      <c r="C610" s="1">
        <f>ROUND(J610*JL*Frto/8,4)</f>
        <v>30</v>
      </c>
      <c r="D610" t="s">
        <v>194</v>
      </c>
      <c r="E610">
        <f>SUM($O613:$U613)</f>
        <v>9.5</v>
      </c>
      <c r="F610">
        <f>SUMIF($O610:$U610,"&lt;22501",$O613:$U613)</f>
        <v>8.27</v>
      </c>
      <c r="G610">
        <f>SUMIFS($O613:$U613,$O610:$U610,"&gt;30000",$O610:$U610,"&lt;50001")</f>
        <v>0.75</v>
      </c>
      <c r="H610">
        <f>SUMIFS($O613:$U613,$O610:$U610,"&gt;60000",$O610:$U610,"&lt;70001")</f>
        <v>0</v>
      </c>
      <c r="I610">
        <v>7</v>
      </c>
      <c r="J610">
        <v>30</v>
      </c>
      <c r="O610">
        <v>10001</v>
      </c>
      <c r="P610">
        <v>10002</v>
      </c>
      <c r="Q610">
        <v>10003</v>
      </c>
      <c r="R610">
        <v>30058</v>
      </c>
      <c r="S610">
        <v>30093</v>
      </c>
      <c r="T610">
        <v>70001</v>
      </c>
      <c r="U610">
        <v>80008</v>
      </c>
    </row>
    <row r="611" spans="1:24" x14ac:dyDescent="0.2">
      <c r="B611" s="3" t="str">
        <f>A610&amp;"C"</f>
        <v>10122C</v>
      </c>
      <c r="O611">
        <v>0.1</v>
      </c>
      <c r="P611">
        <v>1</v>
      </c>
      <c r="Q611">
        <v>0.5</v>
      </c>
      <c r="R611">
        <v>3.1E-2</v>
      </c>
      <c r="S611">
        <v>4.0000000000000001E-3</v>
      </c>
      <c r="T611">
        <v>5</v>
      </c>
      <c r="U611">
        <v>1.3180000000000001</v>
      </c>
    </row>
    <row r="612" spans="1:24" x14ac:dyDescent="0.2">
      <c r="O612">
        <f>IF(O614&gt;10000,HLOOKUP(O614,N610:$O613,4,FALSE),IF(OR(AND(22500&lt;O610,O610&lt;25001),AND(50000&lt;O610,O610&lt;53501),AND(70000&lt;O610,O610&lt;72501)),$F610,IF(OR(AND(25001&lt;O610,O610&lt;27501),AND(53500&lt;O610,O610&lt;57001),AND(72500&lt;O610,O610&lt;75001)),$G610,IF(OR(AND(27500&lt;O610,O610&lt;30001),AND(57000&lt;O610,O610&lt;60001),AND(75000&lt;O610,O610&lt;77500)),$H610,VLOOKUP(O610,BDins,6,FALSE)))))</f>
        <v>24.97</v>
      </c>
      <c r="P612">
        <f>IF(P614&gt;10000,HLOOKUP(P614,O610:$O613,4,FALSE),IF(OR(AND(22500&lt;P610,P610&lt;25001),AND(50000&lt;P610,P610&lt;53501),AND(70000&lt;P610,P610&lt;72501)),$F610,IF(OR(AND(25001&lt;P610,P610&lt;27501),AND(53500&lt;P610,P610&lt;57001),AND(72500&lt;P610,P610&lt;75001)),$G610,IF(OR(AND(27500&lt;P610,P610&lt;30001),AND(57000&lt;P610,P610&lt;60001),AND(75000&lt;P610,P610&lt;77500)),$H610,VLOOKUP(P610,BDins,6,FALSE)))))</f>
        <v>20.81</v>
      </c>
      <c r="Q612">
        <f>IF(Q614&gt;10000,HLOOKUP(Q614,$O610:P613,4,FALSE),IF(OR(AND(22500&lt;Q610,Q610&lt;25001),AND(50000&lt;Q610,Q610&lt;53501),AND(70000&lt;Q610,Q610&lt;72501)),$F610,IF(OR(AND(25001&lt;Q610,Q610&lt;27501),AND(53500&lt;Q610,Q610&lt;57001),AND(72500&lt;Q610,Q610&lt;75001)),$G610,IF(OR(AND(27500&lt;Q610,Q610&lt;30001),AND(57000&lt;Q610,Q610&lt;60001),AND(75000&lt;Q610,Q610&lt;77500)),$H610,VLOOKUP(Q610,BDins,6,FALSE)))))</f>
        <v>15.36</v>
      </c>
      <c r="R612">
        <f>IF(R614&gt;10000,HLOOKUP(R614,$O610:Q613,4,FALSE),IF(OR(AND(22500&lt;R610,R610&lt;25001),AND(50000&lt;R610,R610&lt;53501),AND(70000&lt;R610,R610&lt;72501)),$F610,IF(OR(AND(25001&lt;R610,R610&lt;27501),AND(53500&lt;R610,R610&lt;57001),AND(72500&lt;R610,R610&lt;75001)),$G610,IF(OR(AND(27500&lt;R610,R610&lt;30001),AND(57000&lt;R610,R610&lt;60001),AND(75000&lt;R610,R610&lt;77500)),$H610,VLOOKUP(R610,BDins,6,FALSE)))))</f>
        <v>18.5</v>
      </c>
      <c r="S612">
        <f>IF(S614&gt;10000,HLOOKUP(S614,$O610:R613,4,FALSE),IF(OR(AND(22500&lt;S610,S610&lt;25001),AND(50000&lt;S610,S610&lt;53501),AND(70000&lt;S610,S610&lt;72501)),$F610,IF(OR(AND(25001&lt;S610,S610&lt;27501),AND(53500&lt;S610,S610&lt;57001),AND(72500&lt;S610,S610&lt;75001)),$G610,IF(OR(AND(27500&lt;S610,S610&lt;30001),AND(57000&lt;S610,S610&lt;60001),AND(75000&lt;S610,S610&lt;77500)),$H610,VLOOKUP(S610,BDins,6,FALSE)))))</f>
        <v>45</v>
      </c>
      <c r="T612">
        <f>IF(T614&gt;10000,HLOOKUP(T614,$O610:S613,4,FALSE),IF(OR(AND(22500&lt;T610,T610&lt;25001),AND(50000&lt;T610,T610&lt;53501),AND(70000&lt;T610,T610&lt;72501)),$F610,IF(OR(AND(25001&lt;T610,T610&lt;27501),AND(53500&lt;T610,T610&lt;57001),AND(72500&lt;T610,T610&lt;75001)),$G610,IF(OR(AND(27500&lt;T610,T610&lt;30001),AND(57000&lt;T610,T610&lt;60001),AND(75000&lt;T610,T610&lt;77500)),$H610,VLOOKUP(T610,BDins,6,FALSE)))))</f>
        <v>8.27</v>
      </c>
      <c r="U612">
        <f>IF(U614&gt;10000,HLOOKUP(U614,$O610:T613,4,FALSE),IF(OR(AND(22500&lt;U610,U610&lt;25001),AND(50000&lt;U610,U610&lt;53501),AND(70000&lt;U610,U610&lt;72501)),$F610,IF(OR(AND(25001&lt;U610,U610&lt;27501),AND(53500&lt;U610,U610&lt;57001),AND(72500&lt;U610,U610&lt;75001)),$G610,IF(OR(AND(27500&lt;U610,U610&lt;30001),AND(57000&lt;U610,U610&lt;60001),AND(75000&lt;U610,U610&lt;77500)),$H610,VLOOKUP(U610,BDins,6,FALSE)))))</f>
        <v>0.05</v>
      </c>
    </row>
    <row r="613" spans="1:24" x14ac:dyDescent="0.2">
      <c r="O613">
        <f t="shared" ref="O613:U613" si="95">IF($K610&gt;0,ROUND(O611*$E610/100,DpCU),IF(O614&gt;10000,ROUND(HLOOKUP(O614,$O610:$U613,4,FALSE)/100*O611,DpCU),IF(OR(O610&lt;20001,O610&gt;95000,AND(60000&lt;O610,O610&lt;70001)),ROUND(ROUND(O611*JL/$C610,DcCU)*O612,DpCU),IF(OR(AND(20000&lt;O610,O610&lt;22501),AND(30000&lt;O610,O610&lt;50001),77500&lt;O610),ROUND(O612*O611,DpCU),IF(OR(AND(22500&lt;O610,O610&lt;25001),AND(50000&lt;O610,O610&lt;53501),AND(70000&lt;O610,O610&lt;72501)),ROUND($F610/100*O611,DpCU),IF(OR(AND(25000&lt;O610,O610&lt;27501),AND(53500&lt;O610,O610&lt;57001),AND(72500&lt;O610,O610&lt;75001)),ROUND($G610/100*O611,DpCU),ROUND($H610/100*O611,DpCU)))))))</f>
        <v>0.67</v>
      </c>
      <c r="P613">
        <f t="shared" si="95"/>
        <v>5.55</v>
      </c>
      <c r="Q613">
        <f t="shared" si="95"/>
        <v>2.0499999999999998</v>
      </c>
      <c r="R613">
        <f t="shared" si="95"/>
        <v>0.56999999999999995</v>
      </c>
      <c r="S613">
        <f t="shared" si="95"/>
        <v>0.18</v>
      </c>
      <c r="T613">
        <f t="shared" si="95"/>
        <v>0.41</v>
      </c>
      <c r="U613">
        <f t="shared" si="95"/>
        <v>7.0000000000000007E-2</v>
      </c>
    </row>
    <row r="614" spans="1:24" x14ac:dyDescent="0.2">
      <c r="B614" s="3" t="str">
        <f>A610&amp;"r"</f>
        <v>10122r</v>
      </c>
    </row>
    <row r="615" spans="1:24" x14ac:dyDescent="0.2">
      <c r="A615">
        <v>10123</v>
      </c>
      <c r="B615" s="3" t="s">
        <v>658</v>
      </c>
      <c r="C615" s="1">
        <f>ROUND(J615*JL*Frto/8,4)</f>
        <v>25</v>
      </c>
      <c r="D615" t="s">
        <v>210</v>
      </c>
      <c r="E615">
        <f>SUM($O618:$X618)</f>
        <v>55.72</v>
      </c>
      <c r="F615">
        <f>SUMIF($O615:$X615,"&lt;22501",$O618:$X618)</f>
        <v>22.759999999999998</v>
      </c>
      <c r="G615">
        <f>SUMIFS($O618:$X618,$O615:$X615,"&gt;30000",$O615:$X615,"&lt;50001")</f>
        <v>31.82</v>
      </c>
      <c r="H615">
        <f>SUMIFS($O618:$X618,$O615:$X615,"&gt;60000",$O615:$X615,"&lt;70001")</f>
        <v>0</v>
      </c>
      <c r="I615">
        <v>10</v>
      </c>
      <c r="J615">
        <v>25</v>
      </c>
      <c r="O615">
        <v>10001</v>
      </c>
      <c r="P615">
        <v>10002</v>
      </c>
      <c r="Q615">
        <v>10003</v>
      </c>
      <c r="R615">
        <v>10008</v>
      </c>
      <c r="S615">
        <v>30002</v>
      </c>
      <c r="T615">
        <v>30023</v>
      </c>
      <c r="U615">
        <v>30056</v>
      </c>
      <c r="V615">
        <v>30107</v>
      </c>
      <c r="W615">
        <v>30108</v>
      </c>
      <c r="X615">
        <v>70001</v>
      </c>
    </row>
    <row r="616" spans="1:24" x14ac:dyDescent="0.2">
      <c r="B616" s="3" t="str">
        <f>A615&amp;"C"</f>
        <v>10123C</v>
      </c>
      <c r="O616">
        <v>0.1</v>
      </c>
      <c r="P616">
        <v>1</v>
      </c>
      <c r="Q616">
        <v>2</v>
      </c>
      <c r="R616">
        <v>1</v>
      </c>
      <c r="S616">
        <v>0.4</v>
      </c>
      <c r="T616">
        <v>0.01</v>
      </c>
      <c r="U616">
        <v>0.1</v>
      </c>
      <c r="V616">
        <v>7.0000000000000007E-2</v>
      </c>
      <c r="W616">
        <v>16.5</v>
      </c>
      <c r="X616">
        <v>5</v>
      </c>
    </row>
    <row r="617" spans="1:24" x14ac:dyDescent="0.2">
      <c r="O617">
        <f>IF(O619&gt;10000,HLOOKUP(O619,N615:$O618,4,FALSE),IF(OR(AND(22500&lt;O615,O615&lt;25001),AND(50000&lt;O615,O615&lt;53501),AND(70000&lt;O615,O615&lt;72501)),$F615,IF(OR(AND(25001&lt;O615,O615&lt;27501),AND(53500&lt;O615,O615&lt;57001),AND(72500&lt;O615,O615&lt;75001)),$G615,IF(OR(AND(27500&lt;O615,O615&lt;30001),AND(57000&lt;O615,O615&lt;60001),AND(75000&lt;O615,O615&lt;77500)),$H615,VLOOKUP(O615,BDins,6,FALSE)))))</f>
        <v>24.97</v>
      </c>
      <c r="P617">
        <f>IF(P619&gt;10000,HLOOKUP(P619,O615:$O618,4,FALSE),IF(OR(AND(22500&lt;P615,P615&lt;25001),AND(50000&lt;P615,P615&lt;53501),AND(70000&lt;P615,P615&lt;72501)),$F615,IF(OR(AND(25001&lt;P615,P615&lt;27501),AND(53500&lt;P615,P615&lt;57001),AND(72500&lt;P615,P615&lt;75001)),$G615,IF(OR(AND(27500&lt;P615,P615&lt;30001),AND(57000&lt;P615,P615&lt;60001),AND(75000&lt;P615,P615&lt;77500)),$H615,VLOOKUP(P615,BDins,6,FALSE)))))</f>
        <v>20.81</v>
      </c>
      <c r="Q617">
        <f>IF(Q619&gt;10000,HLOOKUP(Q619,$O615:P618,4,FALSE),IF(OR(AND(22500&lt;Q615,Q615&lt;25001),AND(50000&lt;Q615,Q615&lt;53501),AND(70000&lt;Q615,Q615&lt;72501)),$F615,IF(OR(AND(25001&lt;Q615,Q615&lt;27501),AND(53500&lt;Q615,Q615&lt;57001),AND(72500&lt;Q615,Q615&lt;75001)),$G615,IF(OR(AND(27500&lt;Q615,Q615&lt;30001),AND(57000&lt;Q615,Q615&lt;60001),AND(75000&lt;Q615,Q615&lt;77500)),$H615,VLOOKUP(Q615,BDins,6,FALSE)))))</f>
        <v>15.36</v>
      </c>
      <c r="R617">
        <f>IF(R619&gt;10000,HLOOKUP(R619,$O615:Q618,4,FALSE),IF(OR(AND(22500&lt;R615,R615&lt;25001),AND(50000&lt;R615,R615&lt;53501),AND(70000&lt;R615,R615&lt;72501)),$F615,IF(OR(AND(25001&lt;R615,R615&lt;27501),AND(53500&lt;R615,R615&lt;57001),AND(72500&lt;R615,R615&lt;75001)),$G615,IF(OR(AND(27500&lt;R615,R615&lt;30001),AND(57000&lt;R615,R615&lt;60001),AND(75000&lt;R615,R615&lt;77500)),$H615,VLOOKUP(R615,BDins,6,FALSE)))))</f>
        <v>17.09</v>
      </c>
      <c r="S617">
        <f>IF(S619&gt;10000,HLOOKUP(S619,$O615:R618,4,FALSE),IF(OR(AND(22500&lt;S615,S615&lt;25001),AND(50000&lt;S615,S615&lt;53501),AND(70000&lt;S615,S615&lt;72501)),$F615,IF(OR(AND(25001&lt;S615,S615&lt;27501),AND(53500&lt;S615,S615&lt;57001),AND(72500&lt;S615,S615&lt;75001)),$G615,IF(OR(AND(27500&lt;S615,S615&lt;30001),AND(57000&lt;S615,S615&lt;60001),AND(75000&lt;S615,S615&lt;77500)),$H615,VLOOKUP(S615,BDins,6,FALSE)))))</f>
        <v>18.5</v>
      </c>
      <c r="T617">
        <f>IF(T619&gt;10000,HLOOKUP(T619,$O615:S618,4,FALSE),IF(OR(AND(22500&lt;T615,T615&lt;25001),AND(50000&lt;T615,T615&lt;53501),AND(70000&lt;T615,T615&lt;72501)),$F615,IF(OR(AND(25001&lt;T615,T615&lt;27501),AND(53500&lt;T615,T615&lt;57001),AND(72500&lt;T615,T615&lt;75001)),$G615,IF(OR(AND(27500&lt;T615,T615&lt;30001),AND(57000&lt;T615,T615&lt;60001),AND(75000&lt;T615,T615&lt;77500)),$H615,VLOOKUP(T615,BDins,6,FALSE)))))</f>
        <v>150</v>
      </c>
      <c r="U617">
        <f>IF(U619&gt;10000,HLOOKUP(U619,$O615:T618,4,FALSE),IF(OR(AND(22500&lt;U615,U615&lt;25001),AND(50000&lt;U615,U615&lt;53501),AND(70000&lt;U615,U615&lt;72501)),$F615,IF(OR(AND(25001&lt;U615,U615&lt;27501),AND(53500&lt;U615,U615&lt;57001),AND(72500&lt;U615,U615&lt;75001)),$G615,IF(OR(AND(27500&lt;U615,U615&lt;30001),AND(57000&lt;U615,U615&lt;60001),AND(75000&lt;U615,U615&lt;77500)),$H615,VLOOKUP(U615,BDins,6,FALSE)))))</f>
        <v>45</v>
      </c>
      <c r="V617">
        <f>IF(V619&gt;10000,HLOOKUP(V619,$O615:U618,4,FALSE),IF(OR(AND(22500&lt;V615,V615&lt;25001),AND(50000&lt;V615,V615&lt;53501),AND(70000&lt;V615,V615&lt;72501)),$F615,IF(OR(AND(25001&lt;V615,V615&lt;27501),AND(53500&lt;V615,V615&lt;57001),AND(72500&lt;V615,V615&lt;75001)),$G615,IF(OR(AND(27500&lt;V615,V615&lt;30001),AND(57000&lt;V615,V615&lt;60001),AND(75000&lt;V615,V615&lt;77500)),$H615,VLOOKUP(V615,BDins,6,FALSE)))))</f>
        <v>3.9</v>
      </c>
      <c r="W617">
        <f>IF(W619&gt;10000,HLOOKUP(W619,$O615:V618,4,FALSE),IF(OR(AND(22500&lt;W615,W615&lt;25001),AND(50000&lt;W615,W615&lt;53501),AND(70000&lt;W615,W615&lt;72501)),$F615,IF(OR(AND(25001&lt;W615,W615&lt;27501),AND(53500&lt;W615,W615&lt;57001),AND(72500&lt;W615,W615&lt;75001)),$G615,IF(OR(AND(27500&lt;W615,W615&lt;30001),AND(57000&lt;W615,W615&lt;60001),AND(75000&lt;W615,W615&lt;77500)),$H615,VLOOKUP(W615,BDins,6,FALSE)))))</f>
        <v>1.1000000000000001</v>
      </c>
      <c r="X617">
        <f>IF(X619&gt;10000,HLOOKUP(X619,$O615:W618,4,FALSE),IF(OR(AND(22500&lt;X615,X615&lt;25001),AND(50000&lt;X615,X615&lt;53501),AND(70000&lt;X615,X615&lt;72501)),$F615,IF(OR(AND(25001&lt;X615,X615&lt;27501),AND(53500&lt;X615,X615&lt;57001),AND(72500&lt;X615,X615&lt;75001)),$G615,IF(OR(AND(27500&lt;X615,X615&lt;30001),AND(57000&lt;X615,X615&lt;60001),AND(75000&lt;X615,X615&lt;77500)),$H615,VLOOKUP(X615,BDins,6,FALSE)))))</f>
        <v>22.759999999999998</v>
      </c>
    </row>
    <row r="618" spans="1:24" x14ac:dyDescent="0.2">
      <c r="O618">
        <f t="shared" ref="O618:X618" si="96">IF($K615&gt;0,ROUND(O616*$E615/100,DpCU),IF(O619&gt;10000,ROUND(HLOOKUP(O619,$O615:$X618,4,FALSE)/100*O616,DpCU),IF(OR(O615&lt;20001,O615&gt;95000,AND(60000&lt;O615,O615&lt;70001)),ROUND(ROUND(O616*JL/$C615,DcCU)*O617,DpCU),IF(OR(AND(20000&lt;O615,O615&lt;22501),AND(30000&lt;O615,O615&lt;50001),77500&lt;O615),ROUND(O617*O616,DpCU),IF(OR(AND(22500&lt;O615,O615&lt;25001),AND(50000&lt;O615,O615&lt;53501),AND(70000&lt;O615,O615&lt;72501)),ROUND($F615/100*O616,DpCU),IF(OR(AND(25000&lt;O615,O615&lt;27501),AND(53500&lt;O615,O615&lt;57001),AND(72500&lt;O615,O615&lt;75001)),ROUND($G615/100*O616,DpCU),ROUND($H615/100*O616,DpCU)))))))</f>
        <v>0.8</v>
      </c>
      <c r="P618">
        <f t="shared" si="96"/>
        <v>6.66</v>
      </c>
      <c r="Q618">
        <f t="shared" si="96"/>
        <v>9.83</v>
      </c>
      <c r="R618">
        <f t="shared" si="96"/>
        <v>5.47</v>
      </c>
      <c r="S618">
        <f t="shared" si="96"/>
        <v>7.4</v>
      </c>
      <c r="T618">
        <f t="shared" si="96"/>
        <v>1.5</v>
      </c>
      <c r="U618">
        <f t="shared" si="96"/>
        <v>4.5</v>
      </c>
      <c r="V618">
        <f t="shared" si="96"/>
        <v>0.27</v>
      </c>
      <c r="W618">
        <f t="shared" si="96"/>
        <v>18.149999999999999</v>
      </c>
      <c r="X618">
        <f t="shared" si="96"/>
        <v>1.1399999999999999</v>
      </c>
    </row>
    <row r="619" spans="1:24" x14ac:dyDescent="0.2">
      <c r="B619" s="3" t="str">
        <f>A615&amp;"r"</f>
        <v>10123r</v>
      </c>
    </row>
    <row r="620" spans="1:24" x14ac:dyDescent="0.2">
      <c r="A620">
        <v>10124</v>
      </c>
      <c r="B620" s="3" t="s">
        <v>666</v>
      </c>
      <c r="C620" s="1">
        <f>ROUND(J620*JL*Frto/8,4)</f>
        <v>0.5</v>
      </c>
      <c r="D620" t="s">
        <v>7</v>
      </c>
      <c r="E620">
        <f>SUM($O623:$S623)</f>
        <v>2678.67</v>
      </c>
      <c r="F620">
        <f>SUMIF($O620:$S620,"&lt;22501",$O623:$S623)</f>
        <v>646.34999999999991</v>
      </c>
      <c r="G620">
        <f>SUMIFS($O623:$S623,$O620:$S620,"&gt;30000",$O620:$S620,"&lt;50001")</f>
        <v>2000</v>
      </c>
      <c r="H620">
        <f>SUMIFS($O623:$S623,$O620:$S620,"&gt;60000",$O620:$S620,"&lt;70001")</f>
        <v>0</v>
      </c>
      <c r="I620">
        <v>5</v>
      </c>
      <c r="J620">
        <v>0.5</v>
      </c>
      <c r="O620">
        <v>10001</v>
      </c>
      <c r="P620">
        <v>10002</v>
      </c>
      <c r="Q620">
        <v>10008</v>
      </c>
      <c r="R620">
        <v>30109</v>
      </c>
      <c r="S620">
        <v>70001</v>
      </c>
    </row>
    <row r="621" spans="1:24" x14ac:dyDescent="0.2">
      <c r="B621" s="3" t="str">
        <f>A620&amp;"C"</f>
        <v>10124C</v>
      </c>
      <c r="O621">
        <v>0.1</v>
      </c>
      <c r="P621">
        <v>1</v>
      </c>
      <c r="Q621">
        <v>1</v>
      </c>
      <c r="R621">
        <v>1</v>
      </c>
      <c r="S621">
        <v>5</v>
      </c>
    </row>
    <row r="622" spans="1:24" x14ac:dyDescent="0.2">
      <c r="O622">
        <f>IF(O624&gt;10000,HLOOKUP(O624,N620:$O623,4,FALSE),IF(OR(AND(22500&lt;O620,O620&lt;25001),AND(50000&lt;O620,O620&lt;53501),AND(70000&lt;O620,O620&lt;72501)),$F620,IF(OR(AND(25001&lt;O620,O620&lt;27501),AND(53500&lt;O620,O620&lt;57001),AND(72500&lt;O620,O620&lt;75001)),$G620,IF(OR(AND(27500&lt;O620,O620&lt;30001),AND(57000&lt;O620,O620&lt;60001),AND(75000&lt;O620,O620&lt;77500)),$H620,VLOOKUP(O620,BDins,6,FALSE)))))</f>
        <v>24.97</v>
      </c>
      <c r="P622">
        <f>IF(P624&gt;10000,HLOOKUP(P624,O620:$O623,4,FALSE),IF(OR(AND(22500&lt;P620,P620&lt;25001),AND(50000&lt;P620,P620&lt;53501),AND(70000&lt;P620,P620&lt;72501)),$F620,IF(OR(AND(25001&lt;P620,P620&lt;27501),AND(53500&lt;P620,P620&lt;57001),AND(72500&lt;P620,P620&lt;75001)),$G620,IF(OR(AND(27500&lt;P620,P620&lt;30001),AND(57000&lt;P620,P620&lt;60001),AND(75000&lt;P620,P620&lt;77500)),$H620,VLOOKUP(P620,BDins,6,FALSE)))))</f>
        <v>20.81</v>
      </c>
      <c r="Q622">
        <f>IF(Q624&gt;10000,HLOOKUP(Q624,$O620:P623,4,FALSE),IF(OR(AND(22500&lt;Q620,Q620&lt;25001),AND(50000&lt;Q620,Q620&lt;53501),AND(70000&lt;Q620,Q620&lt;72501)),$F620,IF(OR(AND(25001&lt;Q620,Q620&lt;27501),AND(53500&lt;Q620,Q620&lt;57001),AND(72500&lt;Q620,Q620&lt;75001)),$G620,IF(OR(AND(27500&lt;Q620,Q620&lt;30001),AND(57000&lt;Q620,Q620&lt;60001),AND(75000&lt;Q620,Q620&lt;77500)),$H620,VLOOKUP(Q620,BDins,6,FALSE)))))</f>
        <v>17.09</v>
      </c>
      <c r="R622">
        <f>IF(R624&gt;10000,HLOOKUP(R624,$O620:Q623,4,FALSE),IF(OR(AND(22500&lt;R620,R620&lt;25001),AND(50000&lt;R620,R620&lt;53501),AND(70000&lt;R620,R620&lt;72501)),$F620,IF(OR(AND(25001&lt;R620,R620&lt;27501),AND(53500&lt;R620,R620&lt;57001),AND(72500&lt;R620,R620&lt;75001)),$G620,IF(OR(AND(27500&lt;R620,R620&lt;30001),AND(57000&lt;R620,R620&lt;60001),AND(75000&lt;R620,R620&lt;77500)),$H620,VLOOKUP(R620,BDins,6,FALSE)))))</f>
        <v>2000</v>
      </c>
      <c r="S622">
        <f>IF(S624&gt;10000,HLOOKUP(S624,$O620:R623,4,FALSE),IF(OR(AND(22500&lt;S620,S620&lt;25001),AND(50000&lt;S620,S620&lt;53501),AND(70000&lt;S620,S620&lt;72501)),$F620,IF(OR(AND(25001&lt;S620,S620&lt;27501),AND(53500&lt;S620,S620&lt;57001),AND(72500&lt;S620,S620&lt;75001)),$G620,IF(OR(AND(27500&lt;S620,S620&lt;30001),AND(57000&lt;S620,S620&lt;60001),AND(75000&lt;S620,S620&lt;77500)),$H620,VLOOKUP(S620,BDins,6,FALSE)))))</f>
        <v>646.34999999999991</v>
      </c>
    </row>
    <row r="623" spans="1:24" x14ac:dyDescent="0.2">
      <c r="O623">
        <f>IF($K620&gt;0,ROUND(O621*$E620/100,DpCU),IF(O624&gt;10000,ROUND(HLOOKUP(O624,$O620:$S623,4,FALSE)/100*O621,DpCU),IF(OR(O620&lt;20001,O620&gt;95000,AND(60000&lt;O620,O620&lt;70001)),ROUND(ROUND(O621*JL/$C620,DcCU)*O622,DpCU),IF(OR(AND(20000&lt;O620,O620&lt;22501),AND(30000&lt;O620,O620&lt;50001),77500&lt;O620),ROUND(O622*O621,DpCU),IF(OR(AND(22500&lt;O620,O620&lt;25001),AND(50000&lt;O620,O620&lt;53501),AND(70000&lt;O620,O620&lt;72501)),ROUND($F620/100*O621,DpCU),IF(OR(AND(25000&lt;O620,O620&lt;27501),AND(53500&lt;O620,O620&lt;57001),AND(72500&lt;O620,O620&lt;75001)),ROUND($G620/100*O621,DpCU),ROUND($H620/100*O621,DpCU)))))))</f>
        <v>39.950000000000003</v>
      </c>
      <c r="P623">
        <f>IF($K620&gt;0,ROUND(P621*$E620/100,DpCU),IF(P624&gt;10000,ROUND(HLOOKUP(P624,$O620:$S623,4,FALSE)/100*P621,DpCU),IF(OR(P620&lt;20001,P620&gt;95000,AND(60000&lt;P620,P620&lt;70001)),ROUND(ROUND(P621*JL/$C620,DcCU)*P622,DpCU),IF(OR(AND(20000&lt;P620,P620&lt;22501),AND(30000&lt;P620,P620&lt;50001),77500&lt;P620),ROUND(P622*P621,DpCU),IF(OR(AND(22500&lt;P620,P620&lt;25001),AND(50000&lt;P620,P620&lt;53501),AND(70000&lt;P620,P620&lt;72501)),ROUND($F620/100*P621,DpCU),IF(OR(AND(25000&lt;P620,P620&lt;27501),AND(53500&lt;P620,P620&lt;57001),AND(72500&lt;P620,P620&lt;75001)),ROUND($G620/100*P621,DpCU),ROUND($H620/100*P621,DpCU)))))))</f>
        <v>332.96</v>
      </c>
      <c r="Q623">
        <f>IF($K620&gt;0,ROUND(Q621*$E620/100,DpCU),IF(Q624&gt;10000,ROUND(HLOOKUP(Q624,$O620:$S623,4,FALSE)/100*Q621,DpCU),IF(OR(Q620&lt;20001,Q620&gt;95000,AND(60000&lt;Q620,Q620&lt;70001)),ROUND(ROUND(Q621*JL/$C620,DcCU)*Q622,DpCU),IF(OR(AND(20000&lt;Q620,Q620&lt;22501),AND(30000&lt;Q620,Q620&lt;50001),77500&lt;Q620),ROUND(Q622*Q621,DpCU),IF(OR(AND(22500&lt;Q620,Q620&lt;25001),AND(50000&lt;Q620,Q620&lt;53501),AND(70000&lt;Q620,Q620&lt;72501)),ROUND($F620/100*Q621,DpCU),IF(OR(AND(25000&lt;Q620,Q620&lt;27501),AND(53500&lt;Q620,Q620&lt;57001),AND(72500&lt;Q620,Q620&lt;75001)),ROUND($G620/100*Q621,DpCU),ROUND($H620/100*Q621,DpCU)))))))</f>
        <v>273.44</v>
      </c>
      <c r="R623">
        <f>IF($K620&gt;0,ROUND(R621*$E620/100,DpCU),IF(R624&gt;10000,ROUND(HLOOKUP(R624,$O620:$S623,4,FALSE)/100*R621,DpCU),IF(OR(R620&lt;20001,R620&gt;95000,AND(60000&lt;R620,R620&lt;70001)),ROUND(ROUND(R621*JL/$C620,DcCU)*R622,DpCU),IF(OR(AND(20000&lt;R620,R620&lt;22501),AND(30000&lt;R620,R620&lt;50001),77500&lt;R620),ROUND(R622*R621,DpCU),IF(OR(AND(22500&lt;R620,R620&lt;25001),AND(50000&lt;R620,R620&lt;53501),AND(70000&lt;R620,R620&lt;72501)),ROUND($F620/100*R621,DpCU),IF(OR(AND(25000&lt;R620,R620&lt;27501),AND(53500&lt;R620,R620&lt;57001),AND(72500&lt;R620,R620&lt;75001)),ROUND($G620/100*R621,DpCU),ROUND($H620/100*R621,DpCU)))))))</f>
        <v>2000</v>
      </c>
      <c r="S623">
        <f>IF($K620&gt;0,ROUND(S621*$E620/100,DpCU),IF(S624&gt;10000,ROUND(HLOOKUP(S624,$O620:$S623,4,FALSE)/100*S621,DpCU),IF(OR(S620&lt;20001,S620&gt;95000,AND(60000&lt;S620,S620&lt;70001)),ROUND(ROUND(S621*JL/$C620,DcCU)*S622,DpCU),IF(OR(AND(20000&lt;S620,S620&lt;22501),AND(30000&lt;S620,S620&lt;50001),77500&lt;S620),ROUND(S622*S621,DpCU),IF(OR(AND(22500&lt;S620,S620&lt;25001),AND(50000&lt;S620,S620&lt;53501),AND(70000&lt;S620,S620&lt;72501)),ROUND($F620/100*S621,DpCU),IF(OR(AND(25000&lt;S620,S620&lt;27501),AND(53500&lt;S620,S620&lt;57001),AND(72500&lt;S620,S620&lt;75001)),ROUND($G620/100*S621,DpCU),ROUND($H620/100*S621,DpCU)))))))</f>
        <v>32.32</v>
      </c>
    </row>
    <row r="624" spans="1:24" x14ac:dyDescent="0.2">
      <c r="B624" s="3" t="str">
        <f>A620&amp;"r"</f>
        <v>10124r</v>
      </c>
    </row>
    <row r="625" spans="1:21" x14ac:dyDescent="0.2">
      <c r="A625">
        <v>10125</v>
      </c>
      <c r="B625" s="3" t="s">
        <v>669</v>
      </c>
      <c r="C625" s="1">
        <f>ROUND(J625*JL*Frto/8,4)</f>
        <v>3.5</v>
      </c>
      <c r="D625" t="s">
        <v>7</v>
      </c>
      <c r="E625">
        <f>SUM($O628:$U628)</f>
        <v>634.36</v>
      </c>
      <c r="F625">
        <f>SUMIF($O625:$U625,"&lt;22501",$O628:$U628)</f>
        <v>92.34</v>
      </c>
      <c r="G625">
        <f>SUMIFS($O628:$U628,$O625:$U625,"&gt;30000",$O625:$U625,"&lt;50001")</f>
        <v>537.4</v>
      </c>
      <c r="H625">
        <f>SUMIFS($O628:$U628,$O625:$U625,"&gt;60000",$O625:$U625,"&lt;70001")</f>
        <v>0</v>
      </c>
      <c r="I625">
        <v>7</v>
      </c>
      <c r="J625">
        <v>3.5</v>
      </c>
      <c r="O625">
        <v>10001</v>
      </c>
      <c r="P625">
        <v>10002</v>
      </c>
      <c r="Q625">
        <v>10008</v>
      </c>
      <c r="R625">
        <v>30110</v>
      </c>
      <c r="S625">
        <v>30111</v>
      </c>
      <c r="T625">
        <v>30112</v>
      </c>
      <c r="U625">
        <v>70001</v>
      </c>
    </row>
    <row r="626" spans="1:21" x14ac:dyDescent="0.2">
      <c r="B626" s="3" t="str">
        <f>A625&amp;"C"</f>
        <v>10125C</v>
      </c>
      <c r="O626">
        <v>0.1</v>
      </c>
      <c r="P626">
        <v>1</v>
      </c>
      <c r="Q626">
        <v>1</v>
      </c>
      <c r="R626">
        <v>6</v>
      </c>
      <c r="S626">
        <v>1</v>
      </c>
      <c r="T626">
        <v>1</v>
      </c>
      <c r="U626">
        <v>5</v>
      </c>
    </row>
    <row r="627" spans="1:21" x14ac:dyDescent="0.2">
      <c r="O627">
        <f>IF(O629&gt;10000,HLOOKUP(O629,N625:$O628,4,FALSE),IF(OR(AND(22500&lt;O625,O625&lt;25001),AND(50000&lt;O625,O625&lt;53501),AND(70000&lt;O625,O625&lt;72501)),$F625,IF(OR(AND(25001&lt;O625,O625&lt;27501),AND(53500&lt;O625,O625&lt;57001),AND(72500&lt;O625,O625&lt;75001)),$G625,IF(OR(AND(27500&lt;O625,O625&lt;30001),AND(57000&lt;O625,O625&lt;60001),AND(75000&lt;O625,O625&lt;77500)),$H625,VLOOKUP(O625,BDins,6,FALSE)))))</f>
        <v>24.97</v>
      </c>
      <c r="P627">
        <f>IF(P629&gt;10000,HLOOKUP(P629,O625:$O628,4,FALSE),IF(OR(AND(22500&lt;P625,P625&lt;25001),AND(50000&lt;P625,P625&lt;53501),AND(70000&lt;P625,P625&lt;72501)),$F625,IF(OR(AND(25001&lt;P625,P625&lt;27501),AND(53500&lt;P625,P625&lt;57001),AND(72500&lt;P625,P625&lt;75001)),$G625,IF(OR(AND(27500&lt;P625,P625&lt;30001),AND(57000&lt;P625,P625&lt;60001),AND(75000&lt;P625,P625&lt;77500)),$H625,VLOOKUP(P625,BDins,6,FALSE)))))</f>
        <v>20.81</v>
      </c>
      <c r="Q627">
        <f>IF(Q629&gt;10000,HLOOKUP(Q629,$O625:P628,4,FALSE),IF(OR(AND(22500&lt;Q625,Q625&lt;25001),AND(50000&lt;Q625,Q625&lt;53501),AND(70000&lt;Q625,Q625&lt;72501)),$F625,IF(OR(AND(25001&lt;Q625,Q625&lt;27501),AND(53500&lt;Q625,Q625&lt;57001),AND(72500&lt;Q625,Q625&lt;75001)),$G625,IF(OR(AND(27500&lt;Q625,Q625&lt;30001),AND(57000&lt;Q625,Q625&lt;60001),AND(75000&lt;Q625,Q625&lt;77500)),$H625,VLOOKUP(Q625,BDins,6,FALSE)))))</f>
        <v>17.09</v>
      </c>
      <c r="R627">
        <f>IF(R629&gt;10000,HLOOKUP(R629,$O625:Q628,4,FALSE),IF(OR(AND(22500&lt;R625,R625&lt;25001),AND(50000&lt;R625,R625&lt;53501),AND(70000&lt;R625,R625&lt;72501)),$F625,IF(OR(AND(25001&lt;R625,R625&lt;27501),AND(53500&lt;R625,R625&lt;57001),AND(72500&lt;R625,R625&lt;75001)),$G625,IF(OR(AND(27500&lt;R625,R625&lt;30001),AND(57000&lt;R625,R625&lt;60001),AND(75000&lt;R625,R625&lt;77500)),$H625,VLOOKUP(R625,BDins,6,FALSE)))))</f>
        <v>0.4</v>
      </c>
      <c r="S627">
        <f>IF(S629&gt;10000,HLOOKUP(S629,$O625:R628,4,FALSE),IF(OR(AND(22500&lt;S625,S625&lt;25001),AND(50000&lt;S625,S625&lt;53501),AND(70000&lt;S625,S625&lt;72501)),$F625,IF(OR(AND(25001&lt;S625,S625&lt;27501),AND(53500&lt;S625,S625&lt;57001),AND(72500&lt;S625,S625&lt;75001)),$G625,IF(OR(AND(27500&lt;S625,S625&lt;30001),AND(57000&lt;S625,S625&lt;60001),AND(75000&lt;S625,S625&lt;77500)),$H625,VLOOKUP(S625,BDins,6,FALSE)))))</f>
        <v>424</v>
      </c>
      <c r="T627">
        <f>IF(T629&gt;10000,HLOOKUP(T629,$O625:S628,4,FALSE),IF(OR(AND(22500&lt;T625,T625&lt;25001),AND(50000&lt;T625,T625&lt;53501),AND(70000&lt;T625,T625&lt;72501)),$F625,IF(OR(AND(25001&lt;T625,T625&lt;27501),AND(53500&lt;T625,T625&lt;57001),AND(72500&lt;T625,T625&lt;75001)),$G625,IF(OR(AND(27500&lt;T625,T625&lt;30001),AND(57000&lt;T625,T625&lt;60001),AND(75000&lt;T625,T625&lt;77500)),$H625,VLOOKUP(T625,BDins,6,FALSE)))))</f>
        <v>111</v>
      </c>
      <c r="U627">
        <f>IF(U629&gt;10000,HLOOKUP(U629,$O625:T628,4,FALSE),IF(OR(AND(22500&lt;U625,U625&lt;25001),AND(50000&lt;U625,U625&lt;53501),AND(70000&lt;U625,U625&lt;72501)),$F625,IF(OR(AND(25001&lt;U625,U625&lt;27501),AND(53500&lt;U625,U625&lt;57001),AND(72500&lt;U625,U625&lt;75001)),$G625,IF(OR(AND(27500&lt;U625,U625&lt;30001),AND(57000&lt;U625,U625&lt;60001),AND(75000&lt;U625,U625&lt;77500)),$H625,VLOOKUP(U625,BDins,6,FALSE)))))</f>
        <v>92.34</v>
      </c>
    </row>
    <row r="628" spans="1:21" x14ac:dyDescent="0.2">
      <c r="O628">
        <f t="shared" ref="O628:U628" si="97">IF($K625&gt;0,ROUND(O626*$E625/100,DpCU),IF(O629&gt;10000,ROUND(HLOOKUP(O629,$O625:$U628,4,FALSE)/100*O626,DpCU),IF(OR(O625&lt;20001,O625&gt;95000,AND(60000&lt;O625,O625&lt;70001)),ROUND(ROUND(O626*JL/$C625,DcCU)*O627,DpCU),IF(OR(AND(20000&lt;O625,O625&lt;22501),AND(30000&lt;O625,O625&lt;50001),77500&lt;O625),ROUND(O627*O626,DpCU),IF(OR(AND(22500&lt;O625,O625&lt;25001),AND(50000&lt;O625,O625&lt;53501),AND(70000&lt;O625,O625&lt;72501)),ROUND($F625/100*O626,DpCU),IF(OR(AND(25000&lt;O625,O625&lt;27501),AND(53500&lt;O625,O625&lt;57001),AND(72500&lt;O625,O625&lt;75001)),ROUND($G625/100*O626,DpCU),ROUND($H625/100*O626,DpCU)))))))</f>
        <v>5.71</v>
      </c>
      <c r="P628">
        <f t="shared" si="97"/>
        <v>47.57</v>
      </c>
      <c r="Q628">
        <f t="shared" si="97"/>
        <v>39.06</v>
      </c>
      <c r="R628">
        <f t="shared" si="97"/>
        <v>2.4</v>
      </c>
      <c r="S628">
        <f t="shared" si="97"/>
        <v>424</v>
      </c>
      <c r="T628">
        <f t="shared" si="97"/>
        <v>111</v>
      </c>
      <c r="U628">
        <f t="shared" si="97"/>
        <v>4.62</v>
      </c>
    </row>
    <row r="629" spans="1:21" x14ac:dyDescent="0.2">
      <c r="B629" s="3" t="str">
        <f>A625&amp;"r"</f>
        <v>10125r</v>
      </c>
    </row>
    <row r="630" spans="1:21" x14ac:dyDescent="0.2">
      <c r="A630">
        <v>10126</v>
      </c>
      <c r="B630" s="3" t="s">
        <v>674</v>
      </c>
      <c r="C630" s="1">
        <f>ROUND(J630*JL*Frto/8,4)</f>
        <v>4</v>
      </c>
      <c r="D630" t="s">
        <v>7</v>
      </c>
      <c r="E630">
        <f>SUM($O633:$U633)</f>
        <v>303.83</v>
      </c>
      <c r="F630">
        <f>SUMIF($O630:$U630,"&lt;22501",$O633:$U633)</f>
        <v>80.789999999999992</v>
      </c>
      <c r="G630">
        <f>SUMIFS($O633:$U633,$O630:$U630,"&gt;30000",$O630:$U630,"&lt;50001")</f>
        <v>219</v>
      </c>
      <c r="H630">
        <f>SUMIFS($O633:$U633,$O630:$U630,"&gt;60000",$O630:$U630,"&lt;70001")</f>
        <v>0</v>
      </c>
      <c r="I630">
        <v>7</v>
      </c>
      <c r="J630">
        <v>4</v>
      </c>
      <c r="O630">
        <v>10001</v>
      </c>
      <c r="P630">
        <v>10002</v>
      </c>
      <c r="Q630">
        <v>10008</v>
      </c>
      <c r="R630">
        <v>30110</v>
      </c>
      <c r="S630">
        <v>30113</v>
      </c>
      <c r="T630">
        <v>30114</v>
      </c>
      <c r="U630">
        <v>70001</v>
      </c>
    </row>
    <row r="631" spans="1:21" x14ac:dyDescent="0.2">
      <c r="B631" s="3" t="str">
        <f>A630&amp;"C"</f>
        <v>10126C</v>
      </c>
      <c r="O631">
        <v>0.1</v>
      </c>
      <c r="P631">
        <v>1</v>
      </c>
      <c r="Q631">
        <v>1</v>
      </c>
      <c r="R631">
        <v>5</v>
      </c>
      <c r="S631">
        <v>1</v>
      </c>
      <c r="T631">
        <v>1</v>
      </c>
      <c r="U631">
        <v>5</v>
      </c>
    </row>
    <row r="632" spans="1:21" x14ac:dyDescent="0.2">
      <c r="O632">
        <f>IF(O634&gt;10000,HLOOKUP(O634,N630:$O633,4,FALSE),IF(OR(AND(22500&lt;O630,O630&lt;25001),AND(50000&lt;O630,O630&lt;53501),AND(70000&lt;O630,O630&lt;72501)),$F630,IF(OR(AND(25001&lt;O630,O630&lt;27501),AND(53500&lt;O630,O630&lt;57001),AND(72500&lt;O630,O630&lt;75001)),$G630,IF(OR(AND(27500&lt;O630,O630&lt;30001),AND(57000&lt;O630,O630&lt;60001),AND(75000&lt;O630,O630&lt;77500)),$H630,VLOOKUP(O630,BDins,6,FALSE)))))</f>
        <v>24.97</v>
      </c>
      <c r="P632">
        <f>IF(P634&gt;10000,HLOOKUP(P634,O630:$O633,4,FALSE),IF(OR(AND(22500&lt;P630,P630&lt;25001),AND(50000&lt;P630,P630&lt;53501),AND(70000&lt;P630,P630&lt;72501)),$F630,IF(OR(AND(25001&lt;P630,P630&lt;27501),AND(53500&lt;P630,P630&lt;57001),AND(72500&lt;P630,P630&lt;75001)),$G630,IF(OR(AND(27500&lt;P630,P630&lt;30001),AND(57000&lt;P630,P630&lt;60001),AND(75000&lt;P630,P630&lt;77500)),$H630,VLOOKUP(P630,BDins,6,FALSE)))))</f>
        <v>20.81</v>
      </c>
      <c r="Q632">
        <f>IF(Q634&gt;10000,HLOOKUP(Q634,$O630:P633,4,FALSE),IF(OR(AND(22500&lt;Q630,Q630&lt;25001),AND(50000&lt;Q630,Q630&lt;53501),AND(70000&lt;Q630,Q630&lt;72501)),$F630,IF(OR(AND(25001&lt;Q630,Q630&lt;27501),AND(53500&lt;Q630,Q630&lt;57001),AND(72500&lt;Q630,Q630&lt;75001)),$G630,IF(OR(AND(27500&lt;Q630,Q630&lt;30001),AND(57000&lt;Q630,Q630&lt;60001),AND(75000&lt;Q630,Q630&lt;77500)),$H630,VLOOKUP(Q630,BDins,6,FALSE)))))</f>
        <v>17.09</v>
      </c>
      <c r="R632">
        <f>IF(R634&gt;10000,HLOOKUP(R634,$O630:Q633,4,FALSE),IF(OR(AND(22500&lt;R630,R630&lt;25001),AND(50000&lt;R630,R630&lt;53501),AND(70000&lt;R630,R630&lt;72501)),$F630,IF(OR(AND(25001&lt;R630,R630&lt;27501),AND(53500&lt;R630,R630&lt;57001),AND(72500&lt;R630,R630&lt;75001)),$G630,IF(OR(AND(27500&lt;R630,R630&lt;30001),AND(57000&lt;R630,R630&lt;60001),AND(75000&lt;R630,R630&lt;77500)),$H630,VLOOKUP(R630,BDins,6,FALSE)))))</f>
        <v>0.4</v>
      </c>
      <c r="S632">
        <f>IF(S634&gt;10000,HLOOKUP(S634,$O630:R633,4,FALSE),IF(OR(AND(22500&lt;S630,S630&lt;25001),AND(50000&lt;S630,S630&lt;53501),AND(70000&lt;S630,S630&lt;72501)),$F630,IF(OR(AND(25001&lt;S630,S630&lt;27501),AND(53500&lt;S630,S630&lt;57001),AND(72500&lt;S630,S630&lt;75001)),$G630,IF(OR(AND(27500&lt;S630,S630&lt;30001),AND(57000&lt;S630,S630&lt;60001),AND(75000&lt;S630,S630&lt;77500)),$H630,VLOOKUP(S630,BDins,6,FALSE)))))</f>
        <v>57</v>
      </c>
      <c r="T632">
        <f>IF(T634&gt;10000,HLOOKUP(T634,$O630:S633,4,FALSE),IF(OR(AND(22500&lt;T630,T630&lt;25001),AND(50000&lt;T630,T630&lt;53501),AND(70000&lt;T630,T630&lt;72501)),$F630,IF(OR(AND(25001&lt;T630,T630&lt;27501),AND(53500&lt;T630,T630&lt;57001),AND(72500&lt;T630,T630&lt;75001)),$G630,IF(OR(AND(27500&lt;T630,T630&lt;30001),AND(57000&lt;T630,T630&lt;60001),AND(75000&lt;T630,T630&lt;77500)),$H630,VLOOKUP(T630,BDins,6,FALSE)))))</f>
        <v>160</v>
      </c>
      <c r="U632">
        <f>IF(U634&gt;10000,HLOOKUP(U634,$O630:T633,4,FALSE),IF(OR(AND(22500&lt;U630,U630&lt;25001),AND(50000&lt;U630,U630&lt;53501),AND(70000&lt;U630,U630&lt;72501)),$F630,IF(OR(AND(25001&lt;U630,U630&lt;27501),AND(53500&lt;U630,U630&lt;57001),AND(72500&lt;U630,U630&lt;75001)),$G630,IF(OR(AND(27500&lt;U630,U630&lt;30001),AND(57000&lt;U630,U630&lt;60001),AND(75000&lt;U630,U630&lt;77500)),$H630,VLOOKUP(U630,BDins,6,FALSE)))))</f>
        <v>80.789999999999992</v>
      </c>
    </row>
    <row r="633" spans="1:21" x14ac:dyDescent="0.2">
      <c r="O633">
        <f t="shared" ref="O633:U633" si="98">IF($K630&gt;0,ROUND(O631*$E630/100,DpCU),IF(O634&gt;10000,ROUND(HLOOKUP(O634,$O630:$U633,4,FALSE)/100*O631,DpCU),IF(OR(O630&lt;20001,O630&gt;95000,AND(60000&lt;O630,O630&lt;70001)),ROUND(ROUND(O631*JL/$C630,DcCU)*O632,DpCU),IF(OR(AND(20000&lt;O630,O630&lt;22501),AND(30000&lt;O630,O630&lt;50001),77500&lt;O630),ROUND(O632*O631,DpCU),IF(OR(AND(22500&lt;O630,O630&lt;25001),AND(50000&lt;O630,O630&lt;53501),AND(70000&lt;O630,O630&lt;72501)),ROUND($F630/100*O631,DpCU),IF(OR(AND(25000&lt;O630,O630&lt;27501),AND(53500&lt;O630,O630&lt;57001),AND(72500&lt;O630,O630&lt;75001)),ROUND($G630/100*O631,DpCU),ROUND($H630/100*O631,DpCU)))))))</f>
        <v>4.99</v>
      </c>
      <c r="P633">
        <f t="shared" si="98"/>
        <v>41.62</v>
      </c>
      <c r="Q633">
        <f t="shared" si="98"/>
        <v>34.18</v>
      </c>
      <c r="R633">
        <f t="shared" si="98"/>
        <v>2</v>
      </c>
      <c r="S633">
        <f t="shared" si="98"/>
        <v>57</v>
      </c>
      <c r="T633">
        <f t="shared" si="98"/>
        <v>160</v>
      </c>
      <c r="U633">
        <f t="shared" si="98"/>
        <v>4.04</v>
      </c>
    </row>
    <row r="634" spans="1:21" x14ac:dyDescent="0.2">
      <c r="B634" s="3" t="str">
        <f>A630&amp;"r"</f>
        <v>10126r</v>
      </c>
    </row>
    <row r="635" spans="1:21" x14ac:dyDescent="0.2">
      <c r="A635">
        <v>10127</v>
      </c>
      <c r="B635" s="3" t="s">
        <v>678</v>
      </c>
      <c r="C635" s="1">
        <f>ROUND(J635*JL*Frto/8,4)</f>
        <v>4</v>
      </c>
      <c r="D635" t="s">
        <v>7</v>
      </c>
      <c r="E635">
        <f>SUM($O638:$U638)</f>
        <v>293.83</v>
      </c>
      <c r="F635">
        <f>SUMIF($O635:$U635,"&lt;22501",$O638:$U638)</f>
        <v>80.789999999999992</v>
      </c>
      <c r="G635">
        <f>SUMIFS($O638:$U638,$O635:$U635,"&gt;30000",$O635:$U635,"&lt;50001")</f>
        <v>209</v>
      </c>
      <c r="H635">
        <f>SUMIFS($O638:$U638,$O635:$U635,"&gt;60000",$O635:$U635,"&lt;70001")</f>
        <v>0</v>
      </c>
      <c r="I635">
        <v>7</v>
      </c>
      <c r="J635">
        <v>4</v>
      </c>
      <c r="O635">
        <v>10001</v>
      </c>
      <c r="P635">
        <v>10002</v>
      </c>
      <c r="Q635">
        <v>10008</v>
      </c>
      <c r="R635">
        <v>30110</v>
      </c>
      <c r="S635">
        <v>30113</v>
      </c>
      <c r="T635">
        <v>30115</v>
      </c>
      <c r="U635">
        <v>70001</v>
      </c>
    </row>
    <row r="636" spans="1:21" x14ac:dyDescent="0.2">
      <c r="B636" s="3" t="str">
        <f>A635&amp;"C"</f>
        <v>10127C</v>
      </c>
      <c r="O636">
        <v>0.1</v>
      </c>
      <c r="P636">
        <v>1</v>
      </c>
      <c r="Q636">
        <v>1</v>
      </c>
      <c r="R636">
        <v>5</v>
      </c>
      <c r="S636">
        <v>1</v>
      </c>
      <c r="T636">
        <v>1</v>
      </c>
      <c r="U636">
        <v>5</v>
      </c>
    </row>
    <row r="637" spans="1:21" x14ac:dyDescent="0.2">
      <c r="O637">
        <f>IF(O639&gt;10000,HLOOKUP(O639,N635:$O638,4,FALSE),IF(OR(AND(22500&lt;O635,O635&lt;25001),AND(50000&lt;O635,O635&lt;53501),AND(70000&lt;O635,O635&lt;72501)),$F635,IF(OR(AND(25001&lt;O635,O635&lt;27501),AND(53500&lt;O635,O635&lt;57001),AND(72500&lt;O635,O635&lt;75001)),$G635,IF(OR(AND(27500&lt;O635,O635&lt;30001),AND(57000&lt;O635,O635&lt;60001),AND(75000&lt;O635,O635&lt;77500)),$H635,VLOOKUP(O635,BDins,6,FALSE)))))</f>
        <v>24.97</v>
      </c>
      <c r="P637">
        <f>IF(P639&gt;10000,HLOOKUP(P639,O635:$O638,4,FALSE),IF(OR(AND(22500&lt;P635,P635&lt;25001),AND(50000&lt;P635,P635&lt;53501),AND(70000&lt;P635,P635&lt;72501)),$F635,IF(OR(AND(25001&lt;P635,P635&lt;27501),AND(53500&lt;P635,P635&lt;57001),AND(72500&lt;P635,P635&lt;75001)),$G635,IF(OR(AND(27500&lt;P635,P635&lt;30001),AND(57000&lt;P635,P635&lt;60001),AND(75000&lt;P635,P635&lt;77500)),$H635,VLOOKUP(P635,BDins,6,FALSE)))))</f>
        <v>20.81</v>
      </c>
      <c r="Q637">
        <f>IF(Q639&gt;10000,HLOOKUP(Q639,$O635:P638,4,FALSE),IF(OR(AND(22500&lt;Q635,Q635&lt;25001),AND(50000&lt;Q635,Q635&lt;53501),AND(70000&lt;Q635,Q635&lt;72501)),$F635,IF(OR(AND(25001&lt;Q635,Q635&lt;27501),AND(53500&lt;Q635,Q635&lt;57001),AND(72500&lt;Q635,Q635&lt;75001)),$G635,IF(OR(AND(27500&lt;Q635,Q635&lt;30001),AND(57000&lt;Q635,Q635&lt;60001),AND(75000&lt;Q635,Q635&lt;77500)),$H635,VLOOKUP(Q635,BDins,6,FALSE)))))</f>
        <v>17.09</v>
      </c>
      <c r="R637">
        <f>IF(R639&gt;10000,HLOOKUP(R639,$O635:Q638,4,FALSE),IF(OR(AND(22500&lt;R635,R635&lt;25001),AND(50000&lt;R635,R635&lt;53501),AND(70000&lt;R635,R635&lt;72501)),$F635,IF(OR(AND(25001&lt;R635,R635&lt;27501),AND(53500&lt;R635,R635&lt;57001),AND(72500&lt;R635,R635&lt;75001)),$G635,IF(OR(AND(27500&lt;R635,R635&lt;30001),AND(57000&lt;R635,R635&lt;60001),AND(75000&lt;R635,R635&lt;77500)),$H635,VLOOKUP(R635,BDins,6,FALSE)))))</f>
        <v>0.4</v>
      </c>
      <c r="S637">
        <f>IF(S639&gt;10000,HLOOKUP(S639,$O635:R638,4,FALSE),IF(OR(AND(22500&lt;S635,S635&lt;25001),AND(50000&lt;S635,S635&lt;53501),AND(70000&lt;S635,S635&lt;72501)),$F635,IF(OR(AND(25001&lt;S635,S635&lt;27501),AND(53500&lt;S635,S635&lt;57001),AND(72500&lt;S635,S635&lt;75001)),$G635,IF(OR(AND(27500&lt;S635,S635&lt;30001),AND(57000&lt;S635,S635&lt;60001),AND(75000&lt;S635,S635&lt;77500)),$H635,VLOOKUP(S635,BDins,6,FALSE)))))</f>
        <v>57</v>
      </c>
      <c r="T637">
        <f>IF(T639&gt;10000,HLOOKUP(T639,$O635:S638,4,FALSE),IF(OR(AND(22500&lt;T635,T635&lt;25001),AND(50000&lt;T635,T635&lt;53501),AND(70000&lt;T635,T635&lt;72501)),$F635,IF(OR(AND(25001&lt;T635,T635&lt;27501),AND(53500&lt;T635,T635&lt;57001),AND(72500&lt;T635,T635&lt;75001)),$G635,IF(OR(AND(27500&lt;T635,T635&lt;30001),AND(57000&lt;T635,T635&lt;60001),AND(75000&lt;T635,T635&lt;77500)),$H635,VLOOKUP(T635,BDins,6,FALSE)))))</f>
        <v>150</v>
      </c>
      <c r="U637">
        <f>IF(U639&gt;10000,HLOOKUP(U639,$O635:T638,4,FALSE),IF(OR(AND(22500&lt;U635,U635&lt;25001),AND(50000&lt;U635,U635&lt;53501),AND(70000&lt;U635,U635&lt;72501)),$F635,IF(OR(AND(25001&lt;U635,U635&lt;27501),AND(53500&lt;U635,U635&lt;57001),AND(72500&lt;U635,U635&lt;75001)),$G635,IF(OR(AND(27500&lt;U635,U635&lt;30001),AND(57000&lt;U635,U635&lt;60001),AND(75000&lt;U635,U635&lt;77500)),$H635,VLOOKUP(U635,BDins,6,FALSE)))))</f>
        <v>80.789999999999992</v>
      </c>
    </row>
    <row r="638" spans="1:21" x14ac:dyDescent="0.2">
      <c r="O638">
        <f t="shared" ref="O638:U638" si="99">IF($K635&gt;0,ROUND(O636*$E635/100,DpCU),IF(O639&gt;10000,ROUND(HLOOKUP(O639,$O635:$U638,4,FALSE)/100*O636,DpCU),IF(OR(O635&lt;20001,O635&gt;95000,AND(60000&lt;O635,O635&lt;70001)),ROUND(ROUND(O636*JL/$C635,DcCU)*O637,DpCU),IF(OR(AND(20000&lt;O635,O635&lt;22501),AND(30000&lt;O635,O635&lt;50001),77500&lt;O635),ROUND(O637*O636,DpCU),IF(OR(AND(22500&lt;O635,O635&lt;25001),AND(50000&lt;O635,O635&lt;53501),AND(70000&lt;O635,O635&lt;72501)),ROUND($F635/100*O636,DpCU),IF(OR(AND(25000&lt;O635,O635&lt;27501),AND(53500&lt;O635,O635&lt;57001),AND(72500&lt;O635,O635&lt;75001)),ROUND($G635/100*O636,DpCU),ROUND($H635/100*O636,DpCU)))))))</f>
        <v>4.99</v>
      </c>
      <c r="P638">
        <f t="shared" si="99"/>
        <v>41.62</v>
      </c>
      <c r="Q638">
        <f t="shared" si="99"/>
        <v>34.18</v>
      </c>
      <c r="R638">
        <f t="shared" si="99"/>
        <v>2</v>
      </c>
      <c r="S638">
        <f t="shared" si="99"/>
        <v>57</v>
      </c>
      <c r="T638">
        <f t="shared" si="99"/>
        <v>150</v>
      </c>
      <c r="U638">
        <f t="shared" si="99"/>
        <v>4.04</v>
      </c>
    </row>
    <row r="639" spans="1:21" x14ac:dyDescent="0.2">
      <c r="B639" s="3" t="str">
        <f>A635&amp;"r"</f>
        <v>10127r</v>
      </c>
    </row>
    <row r="640" spans="1:21" x14ac:dyDescent="0.2">
      <c r="A640">
        <v>10128</v>
      </c>
      <c r="B640" s="3" t="s">
        <v>681</v>
      </c>
      <c r="C640" s="1">
        <f>ROUND(J640*JL*Frto/8,4)</f>
        <v>4</v>
      </c>
      <c r="D640" t="s">
        <v>7</v>
      </c>
      <c r="E640">
        <f>SUM($O643:$T643)</f>
        <v>383.23</v>
      </c>
      <c r="F640">
        <f>SUMIF($O640:$T640,"&lt;22501",$O643:$T643)</f>
        <v>80.789999999999992</v>
      </c>
      <c r="G640">
        <f>SUMIFS($O643:$T643,$O640:$T640,"&gt;30000",$O640:$T640,"&lt;50001")</f>
        <v>302.39999999999998</v>
      </c>
      <c r="H640">
        <f>SUMIFS($O643:$T643,$O640:$T640,"&gt;60000",$O640:$T640,"&lt;70001")</f>
        <v>0</v>
      </c>
      <c r="I640">
        <v>6</v>
      </c>
      <c r="J640">
        <v>4</v>
      </c>
      <c r="O640">
        <v>10001</v>
      </c>
      <c r="P640">
        <v>10002</v>
      </c>
      <c r="Q640">
        <v>10008</v>
      </c>
      <c r="R640">
        <v>30116</v>
      </c>
      <c r="S640">
        <v>30117</v>
      </c>
      <c r="T640">
        <v>70001</v>
      </c>
    </row>
    <row r="641" spans="1:20" x14ac:dyDescent="0.2">
      <c r="B641" s="3" t="str">
        <f>A640&amp;"C"</f>
        <v>10128C</v>
      </c>
      <c r="O641">
        <v>0.1</v>
      </c>
      <c r="P641">
        <v>1</v>
      </c>
      <c r="Q641">
        <v>1</v>
      </c>
      <c r="R641">
        <v>6</v>
      </c>
      <c r="S641">
        <v>1</v>
      </c>
      <c r="T641">
        <v>0.05</v>
      </c>
    </row>
    <row r="642" spans="1:20" x14ac:dyDescent="0.2">
      <c r="O642">
        <f>IF(O644&gt;10000,HLOOKUP(O644,N640:$O643,4,FALSE),IF(OR(AND(22500&lt;O640,O640&lt;25001),AND(50000&lt;O640,O640&lt;53501),AND(70000&lt;O640,O640&lt;72501)),$F640,IF(OR(AND(25001&lt;O640,O640&lt;27501),AND(53500&lt;O640,O640&lt;57001),AND(72500&lt;O640,O640&lt;75001)),$G640,IF(OR(AND(27500&lt;O640,O640&lt;30001),AND(57000&lt;O640,O640&lt;60001),AND(75000&lt;O640,O640&lt;77500)),$H640,VLOOKUP(O640,BDins,6,FALSE)))))</f>
        <v>24.97</v>
      </c>
      <c r="P642">
        <f>IF(P644&gt;10000,HLOOKUP(P644,O640:$O643,4,FALSE),IF(OR(AND(22500&lt;P640,P640&lt;25001),AND(50000&lt;P640,P640&lt;53501),AND(70000&lt;P640,P640&lt;72501)),$F640,IF(OR(AND(25001&lt;P640,P640&lt;27501),AND(53500&lt;P640,P640&lt;57001),AND(72500&lt;P640,P640&lt;75001)),$G640,IF(OR(AND(27500&lt;P640,P640&lt;30001),AND(57000&lt;P640,P640&lt;60001),AND(75000&lt;P640,P640&lt;77500)),$H640,VLOOKUP(P640,BDins,6,FALSE)))))</f>
        <v>20.81</v>
      </c>
      <c r="Q642">
        <f>IF(Q644&gt;10000,HLOOKUP(Q644,$O640:P643,4,FALSE),IF(OR(AND(22500&lt;Q640,Q640&lt;25001),AND(50000&lt;Q640,Q640&lt;53501),AND(70000&lt;Q640,Q640&lt;72501)),$F640,IF(OR(AND(25001&lt;Q640,Q640&lt;27501),AND(53500&lt;Q640,Q640&lt;57001),AND(72500&lt;Q640,Q640&lt;75001)),$G640,IF(OR(AND(27500&lt;Q640,Q640&lt;30001),AND(57000&lt;Q640,Q640&lt;60001),AND(75000&lt;Q640,Q640&lt;77500)),$H640,VLOOKUP(Q640,BDins,6,FALSE)))))</f>
        <v>17.09</v>
      </c>
      <c r="R642">
        <f>IF(R644&gt;10000,HLOOKUP(R644,$O640:Q643,4,FALSE),IF(OR(AND(22500&lt;R640,R640&lt;25001),AND(50000&lt;R640,R640&lt;53501),AND(70000&lt;R640,R640&lt;72501)),$F640,IF(OR(AND(25001&lt;R640,R640&lt;27501),AND(53500&lt;R640,R640&lt;57001),AND(72500&lt;R640,R640&lt;75001)),$G640,IF(OR(AND(27500&lt;R640,R640&lt;30001),AND(57000&lt;R640,R640&lt;60001),AND(75000&lt;R640,R640&lt;77500)),$H640,VLOOKUP(R640,BDins,6,FALSE)))))</f>
        <v>0.4</v>
      </c>
      <c r="S642">
        <f>IF(S644&gt;10000,HLOOKUP(S644,$O640:R643,4,FALSE),IF(OR(AND(22500&lt;S640,S640&lt;25001),AND(50000&lt;S640,S640&lt;53501),AND(70000&lt;S640,S640&lt;72501)),$F640,IF(OR(AND(25001&lt;S640,S640&lt;27501),AND(53500&lt;S640,S640&lt;57001),AND(72500&lt;S640,S640&lt;75001)),$G640,IF(OR(AND(27500&lt;S640,S640&lt;30001),AND(57000&lt;S640,S640&lt;60001),AND(75000&lt;S640,S640&lt;77500)),$H640,VLOOKUP(S640,BDins,6,FALSE)))))</f>
        <v>300</v>
      </c>
      <c r="T642">
        <f>IF(T644&gt;10000,HLOOKUP(T644,$O640:S643,4,FALSE),IF(OR(AND(22500&lt;T640,T640&lt;25001),AND(50000&lt;T640,T640&lt;53501),AND(70000&lt;T640,T640&lt;72501)),$F640,IF(OR(AND(25001&lt;T640,T640&lt;27501),AND(53500&lt;T640,T640&lt;57001),AND(72500&lt;T640,T640&lt;75001)),$G640,IF(OR(AND(27500&lt;T640,T640&lt;30001),AND(57000&lt;T640,T640&lt;60001),AND(75000&lt;T640,T640&lt;77500)),$H640,VLOOKUP(T640,BDins,6,FALSE)))))</f>
        <v>80.789999999999992</v>
      </c>
    </row>
    <row r="643" spans="1:20" x14ac:dyDescent="0.2">
      <c r="O643">
        <f t="shared" ref="O643:T643" si="100">IF($K640&gt;0,ROUND(O641*$E640/100,DpCU),IF(O644&gt;10000,ROUND(HLOOKUP(O644,$O640:$T643,4,FALSE)/100*O641,DpCU),IF(OR(O640&lt;20001,O640&gt;95000,AND(60000&lt;O640,O640&lt;70001)),ROUND(ROUND(O641*JL/$C640,DcCU)*O642,DpCU),IF(OR(AND(20000&lt;O640,O640&lt;22501),AND(30000&lt;O640,O640&lt;50001),77500&lt;O640),ROUND(O642*O641,DpCU),IF(OR(AND(22500&lt;O640,O640&lt;25001),AND(50000&lt;O640,O640&lt;53501),AND(70000&lt;O640,O640&lt;72501)),ROUND($F640/100*O641,DpCU),IF(OR(AND(25000&lt;O640,O640&lt;27501),AND(53500&lt;O640,O640&lt;57001),AND(72500&lt;O640,O640&lt;75001)),ROUND($G640/100*O641,DpCU),ROUND($H640/100*O641,DpCU)))))))</f>
        <v>4.99</v>
      </c>
      <c r="P643">
        <f t="shared" si="100"/>
        <v>41.62</v>
      </c>
      <c r="Q643">
        <f t="shared" si="100"/>
        <v>34.18</v>
      </c>
      <c r="R643">
        <f t="shared" si="100"/>
        <v>2.4</v>
      </c>
      <c r="S643">
        <f t="shared" si="100"/>
        <v>300</v>
      </c>
      <c r="T643">
        <f t="shared" si="100"/>
        <v>0.04</v>
      </c>
    </row>
    <row r="644" spans="1:20" x14ac:dyDescent="0.2">
      <c r="B644" s="3" t="str">
        <f>A640&amp;"r"</f>
        <v>10128r</v>
      </c>
    </row>
    <row r="645" spans="1:20" x14ac:dyDescent="0.2">
      <c r="A645">
        <v>10129</v>
      </c>
      <c r="B645" s="3" t="s">
        <v>685</v>
      </c>
      <c r="C645" s="1">
        <f>ROUND(J645*JL*Frto/8,4)</f>
        <v>4</v>
      </c>
      <c r="D645" t="s">
        <v>7</v>
      </c>
      <c r="E645">
        <f>SUM($O648:$T648)</f>
        <v>498.23</v>
      </c>
      <c r="F645">
        <f>SUMIF($O645:$T645,"&lt;22501",$O648:$T648)</f>
        <v>80.789999999999992</v>
      </c>
      <c r="G645">
        <f>SUMIFS($O648:$T648,$O645:$T645,"&gt;30000",$O645:$T645,"&lt;50001")</f>
        <v>417.4</v>
      </c>
      <c r="H645">
        <f>SUMIFS($O648:$T648,$O645:$T645,"&gt;60000",$O645:$T645,"&lt;70001")</f>
        <v>0</v>
      </c>
      <c r="I645">
        <v>6</v>
      </c>
      <c r="J645">
        <v>4</v>
      </c>
      <c r="O645">
        <v>10001</v>
      </c>
      <c r="P645">
        <v>10002</v>
      </c>
      <c r="Q645">
        <v>10008</v>
      </c>
      <c r="R645">
        <v>30116</v>
      </c>
      <c r="S645">
        <v>30118</v>
      </c>
      <c r="T645">
        <v>70001</v>
      </c>
    </row>
    <row r="646" spans="1:20" x14ac:dyDescent="0.2">
      <c r="B646" s="3" t="str">
        <f>A645&amp;"C"</f>
        <v>10129C</v>
      </c>
      <c r="O646">
        <v>0.1</v>
      </c>
      <c r="P646">
        <v>1</v>
      </c>
      <c r="Q646">
        <v>1</v>
      </c>
      <c r="R646">
        <v>6</v>
      </c>
      <c r="S646">
        <v>1</v>
      </c>
      <c r="T646">
        <v>0.05</v>
      </c>
    </row>
    <row r="647" spans="1:20" x14ac:dyDescent="0.2">
      <c r="O647">
        <f>IF(O649&gt;10000,HLOOKUP(O649,N645:$O648,4,FALSE),IF(OR(AND(22500&lt;O645,O645&lt;25001),AND(50000&lt;O645,O645&lt;53501),AND(70000&lt;O645,O645&lt;72501)),$F645,IF(OR(AND(25001&lt;O645,O645&lt;27501),AND(53500&lt;O645,O645&lt;57001),AND(72500&lt;O645,O645&lt;75001)),$G645,IF(OR(AND(27500&lt;O645,O645&lt;30001),AND(57000&lt;O645,O645&lt;60001),AND(75000&lt;O645,O645&lt;77500)),$H645,VLOOKUP(O645,BDins,6,FALSE)))))</f>
        <v>24.97</v>
      </c>
      <c r="P647">
        <f>IF(P649&gt;10000,HLOOKUP(P649,O645:$O648,4,FALSE),IF(OR(AND(22500&lt;P645,P645&lt;25001),AND(50000&lt;P645,P645&lt;53501),AND(70000&lt;P645,P645&lt;72501)),$F645,IF(OR(AND(25001&lt;P645,P645&lt;27501),AND(53500&lt;P645,P645&lt;57001),AND(72500&lt;P645,P645&lt;75001)),$G645,IF(OR(AND(27500&lt;P645,P645&lt;30001),AND(57000&lt;P645,P645&lt;60001),AND(75000&lt;P645,P645&lt;77500)),$H645,VLOOKUP(P645,BDins,6,FALSE)))))</f>
        <v>20.81</v>
      </c>
      <c r="Q647">
        <f>IF(Q649&gt;10000,HLOOKUP(Q649,$O645:P648,4,FALSE),IF(OR(AND(22500&lt;Q645,Q645&lt;25001),AND(50000&lt;Q645,Q645&lt;53501),AND(70000&lt;Q645,Q645&lt;72501)),$F645,IF(OR(AND(25001&lt;Q645,Q645&lt;27501),AND(53500&lt;Q645,Q645&lt;57001),AND(72500&lt;Q645,Q645&lt;75001)),$G645,IF(OR(AND(27500&lt;Q645,Q645&lt;30001),AND(57000&lt;Q645,Q645&lt;60001),AND(75000&lt;Q645,Q645&lt;77500)),$H645,VLOOKUP(Q645,BDins,6,FALSE)))))</f>
        <v>17.09</v>
      </c>
      <c r="R647">
        <f>IF(R649&gt;10000,HLOOKUP(R649,$O645:Q648,4,FALSE),IF(OR(AND(22500&lt;R645,R645&lt;25001),AND(50000&lt;R645,R645&lt;53501),AND(70000&lt;R645,R645&lt;72501)),$F645,IF(OR(AND(25001&lt;R645,R645&lt;27501),AND(53500&lt;R645,R645&lt;57001),AND(72500&lt;R645,R645&lt;75001)),$G645,IF(OR(AND(27500&lt;R645,R645&lt;30001),AND(57000&lt;R645,R645&lt;60001),AND(75000&lt;R645,R645&lt;77500)),$H645,VLOOKUP(R645,BDins,6,FALSE)))))</f>
        <v>0.4</v>
      </c>
      <c r="S647">
        <f>IF(S649&gt;10000,HLOOKUP(S649,$O645:R648,4,FALSE),IF(OR(AND(22500&lt;S645,S645&lt;25001),AND(50000&lt;S645,S645&lt;53501),AND(70000&lt;S645,S645&lt;72501)),$F645,IF(OR(AND(25001&lt;S645,S645&lt;27501),AND(53500&lt;S645,S645&lt;57001),AND(72500&lt;S645,S645&lt;75001)),$G645,IF(OR(AND(27500&lt;S645,S645&lt;30001),AND(57000&lt;S645,S645&lt;60001),AND(75000&lt;S645,S645&lt;77500)),$H645,VLOOKUP(S645,BDins,6,FALSE)))))</f>
        <v>415</v>
      </c>
      <c r="T647">
        <f>IF(T649&gt;10000,HLOOKUP(T649,$O645:S648,4,FALSE),IF(OR(AND(22500&lt;T645,T645&lt;25001),AND(50000&lt;T645,T645&lt;53501),AND(70000&lt;T645,T645&lt;72501)),$F645,IF(OR(AND(25001&lt;T645,T645&lt;27501),AND(53500&lt;T645,T645&lt;57001),AND(72500&lt;T645,T645&lt;75001)),$G645,IF(OR(AND(27500&lt;T645,T645&lt;30001),AND(57000&lt;T645,T645&lt;60001),AND(75000&lt;T645,T645&lt;77500)),$H645,VLOOKUP(T645,BDins,6,FALSE)))))</f>
        <v>80.789999999999992</v>
      </c>
    </row>
    <row r="648" spans="1:20" x14ac:dyDescent="0.2">
      <c r="O648">
        <f t="shared" ref="O648:T648" si="101">IF($K645&gt;0,ROUND(O646*$E645/100,DpCU),IF(O649&gt;10000,ROUND(HLOOKUP(O649,$O645:$T648,4,FALSE)/100*O646,DpCU),IF(OR(O645&lt;20001,O645&gt;95000,AND(60000&lt;O645,O645&lt;70001)),ROUND(ROUND(O646*JL/$C645,DcCU)*O647,DpCU),IF(OR(AND(20000&lt;O645,O645&lt;22501),AND(30000&lt;O645,O645&lt;50001),77500&lt;O645),ROUND(O647*O646,DpCU),IF(OR(AND(22500&lt;O645,O645&lt;25001),AND(50000&lt;O645,O645&lt;53501),AND(70000&lt;O645,O645&lt;72501)),ROUND($F645/100*O646,DpCU),IF(OR(AND(25000&lt;O645,O645&lt;27501),AND(53500&lt;O645,O645&lt;57001),AND(72500&lt;O645,O645&lt;75001)),ROUND($G645/100*O646,DpCU),ROUND($H645/100*O646,DpCU)))))))</f>
        <v>4.99</v>
      </c>
      <c r="P648">
        <f t="shared" si="101"/>
        <v>41.62</v>
      </c>
      <c r="Q648">
        <f t="shared" si="101"/>
        <v>34.18</v>
      </c>
      <c r="R648">
        <f t="shared" si="101"/>
        <v>2.4</v>
      </c>
      <c r="S648">
        <f t="shared" si="101"/>
        <v>415</v>
      </c>
      <c r="T648">
        <f t="shared" si="101"/>
        <v>0.04</v>
      </c>
    </row>
    <row r="649" spans="1:20" x14ac:dyDescent="0.2">
      <c r="B649" s="3" t="str">
        <f>A645&amp;"r"</f>
        <v>10129r</v>
      </c>
    </row>
    <row r="650" spans="1:20" x14ac:dyDescent="0.2">
      <c r="A650">
        <v>10130</v>
      </c>
      <c r="B650" s="3" t="s">
        <v>690</v>
      </c>
      <c r="C650" s="1">
        <f>ROUND(J650*JL*Frto/8,4)</f>
        <v>1</v>
      </c>
      <c r="D650" t="s">
        <v>194</v>
      </c>
      <c r="E650">
        <f>SUM($O653:$O653)</f>
        <v>450</v>
      </c>
      <c r="F650">
        <f>SUMIF($O650:$O650,"&lt;22501",$O653:$O653)</f>
        <v>0</v>
      </c>
      <c r="G650">
        <f>SUMIFS($O653:$O653,$O650:$O650,"&gt;30000",$O650:$O650,"&lt;50001")</f>
        <v>450</v>
      </c>
      <c r="H650">
        <f>SUMIFS($O653:$O653,$O650:$O650,"&gt;60000",$O650:$O650,"&lt;70001")</f>
        <v>0</v>
      </c>
      <c r="I650">
        <v>1</v>
      </c>
      <c r="J650">
        <v>1</v>
      </c>
      <c r="O650">
        <v>30119</v>
      </c>
    </row>
    <row r="651" spans="1:20" x14ac:dyDescent="0.2">
      <c r="B651" s="3" t="str">
        <f>A650&amp;"C"</f>
        <v>10130C</v>
      </c>
      <c r="O651">
        <v>1</v>
      </c>
    </row>
    <row r="652" spans="1:20" x14ac:dyDescent="0.2">
      <c r="O652">
        <f>IF(O654&gt;10000,HLOOKUP(O654,N650:$O653,4,FALSE),IF(OR(AND(22500&lt;O650,O650&lt;25001),AND(50000&lt;O650,O650&lt;53501),AND(70000&lt;O650,O650&lt;72501)),$F650,IF(OR(AND(25001&lt;O650,O650&lt;27501),AND(53500&lt;O650,O650&lt;57001),AND(72500&lt;O650,O650&lt;75001)),$G650,IF(OR(AND(27500&lt;O650,O650&lt;30001),AND(57000&lt;O650,O650&lt;60001),AND(75000&lt;O650,O650&lt;77500)),$H650,VLOOKUP(O650,BDins,6,FALSE)))))</f>
        <v>450</v>
      </c>
    </row>
    <row r="653" spans="1:20" x14ac:dyDescent="0.2">
      <c r="O653">
        <f>IF($K650&gt;0,ROUND(O651*$E650/100,DpCU),IF(O654&gt;10000,ROUND(HLOOKUP(O654,$O650:$O653,4,FALSE)/100*O651,DpCU),IF(OR(O650&lt;20001,O650&gt;95000,AND(60000&lt;O650,O650&lt;70001)),ROUND(ROUND(O651*JL/$C650,DcCU)*O652,DpCU),IF(OR(AND(20000&lt;O650,O650&lt;22501),AND(30000&lt;O650,O650&lt;50001),77500&lt;O650),ROUND(O652*O651,DpCU),IF(OR(AND(22500&lt;O650,O650&lt;25001),AND(50000&lt;O650,O650&lt;53501),AND(70000&lt;O650,O650&lt;72501)),ROUND($F650/100*O651,DpCU),IF(OR(AND(25000&lt;O650,O650&lt;27501),AND(53500&lt;O650,O650&lt;57001),AND(72500&lt;O650,O650&lt;75001)),ROUND($G650/100*O651,DpCU),ROUND($H650/100*O651,DpCU)))))))</f>
        <v>450</v>
      </c>
    </row>
    <row r="654" spans="1:20" x14ac:dyDescent="0.2">
      <c r="B654" s="3" t="str">
        <f>A650&amp;"r"</f>
        <v>10130r</v>
      </c>
    </row>
    <row r="655" spans="1:20" x14ac:dyDescent="0.2">
      <c r="A655">
        <v>10131</v>
      </c>
      <c r="B655" s="3" t="s">
        <v>693</v>
      </c>
      <c r="C655" s="1">
        <f>ROUND(J655*JL*Frto/8,4)</f>
        <v>1</v>
      </c>
      <c r="D655" t="s">
        <v>194</v>
      </c>
      <c r="E655">
        <f>SUM($O658:$O658)</f>
        <v>400</v>
      </c>
      <c r="F655">
        <f>SUMIF($O655:$O655,"&lt;22501",$O658:$O658)</f>
        <v>0</v>
      </c>
      <c r="G655">
        <f>SUMIFS($O658:$O658,$O655:$O655,"&gt;30000",$O655:$O655,"&lt;50001")</f>
        <v>400</v>
      </c>
      <c r="H655">
        <f>SUMIFS($O658:$O658,$O655:$O655,"&gt;60000",$O655:$O655,"&lt;70001")</f>
        <v>0</v>
      </c>
      <c r="I655">
        <v>1</v>
      </c>
      <c r="J655">
        <v>1</v>
      </c>
      <c r="O655">
        <v>30120</v>
      </c>
    </row>
    <row r="656" spans="1:20" x14ac:dyDescent="0.2">
      <c r="B656" s="3" t="str">
        <f>A655&amp;"C"</f>
        <v>10131C</v>
      </c>
      <c r="O656">
        <v>1</v>
      </c>
    </row>
    <row r="657" spans="1:15" x14ac:dyDescent="0.2">
      <c r="O657">
        <f>IF(O659&gt;10000,HLOOKUP(O659,N655:$O658,4,FALSE),IF(OR(AND(22500&lt;O655,O655&lt;25001),AND(50000&lt;O655,O655&lt;53501),AND(70000&lt;O655,O655&lt;72501)),$F655,IF(OR(AND(25001&lt;O655,O655&lt;27501),AND(53500&lt;O655,O655&lt;57001),AND(72500&lt;O655,O655&lt;75001)),$G655,IF(OR(AND(27500&lt;O655,O655&lt;30001),AND(57000&lt;O655,O655&lt;60001),AND(75000&lt;O655,O655&lt;77500)),$H655,VLOOKUP(O655,BDins,6,FALSE)))))</f>
        <v>400</v>
      </c>
    </row>
    <row r="658" spans="1:15" x14ac:dyDescent="0.2">
      <c r="O658">
        <f>IF($K655&gt;0,ROUND(O656*$E655/100,DpCU),IF(O659&gt;10000,ROUND(HLOOKUP(O659,$O655:$O658,4,FALSE)/100*O656,DpCU),IF(OR(O655&lt;20001,O655&gt;95000,AND(60000&lt;O655,O655&lt;70001)),ROUND(ROUND(O656*JL/$C655,DcCU)*O657,DpCU),IF(OR(AND(20000&lt;O655,O655&lt;22501),AND(30000&lt;O655,O655&lt;50001),77500&lt;O655),ROUND(O657*O656,DpCU),IF(OR(AND(22500&lt;O655,O655&lt;25001),AND(50000&lt;O655,O655&lt;53501),AND(70000&lt;O655,O655&lt;72501)),ROUND($F655/100*O656,DpCU),IF(OR(AND(25000&lt;O655,O655&lt;27501),AND(53500&lt;O655,O655&lt;57001),AND(72500&lt;O655,O655&lt;75001)),ROUND($G655/100*O656,DpCU),ROUND($H655/100*O656,DpCU)))))))</f>
        <v>400</v>
      </c>
    </row>
    <row r="659" spans="1:15" x14ac:dyDescent="0.2">
      <c r="B659" s="3" t="str">
        <f>A655&amp;"r"</f>
        <v>10131r</v>
      </c>
    </row>
    <row r="660" spans="1:15" x14ac:dyDescent="0.2">
      <c r="A660">
        <v>10132</v>
      </c>
      <c r="B660" s="3" t="s">
        <v>698</v>
      </c>
      <c r="C660" s="1">
        <f>ROUND(J660*JL*Frto/8,4)</f>
        <v>1</v>
      </c>
      <c r="D660" t="s">
        <v>194</v>
      </c>
      <c r="E660">
        <f>SUM($O663:$O663)</f>
        <v>700</v>
      </c>
      <c r="F660">
        <f>SUMIF($O660:$O660,"&lt;22501",$O663:$O663)</f>
        <v>0</v>
      </c>
      <c r="G660">
        <f>SUMIFS($O663:$O663,$O660:$O660,"&gt;30000",$O660:$O660,"&lt;50001")</f>
        <v>700</v>
      </c>
      <c r="H660">
        <f>SUMIFS($O663:$O663,$O660:$O660,"&gt;60000",$O660:$O660,"&lt;70001")</f>
        <v>0</v>
      </c>
      <c r="I660">
        <v>1</v>
      </c>
      <c r="J660">
        <v>1</v>
      </c>
      <c r="O660">
        <v>30121</v>
      </c>
    </row>
    <row r="661" spans="1:15" x14ac:dyDescent="0.2">
      <c r="B661" s="3" t="str">
        <f>A660&amp;"C"</f>
        <v>10132C</v>
      </c>
      <c r="O661">
        <v>1</v>
      </c>
    </row>
    <row r="662" spans="1:15" x14ac:dyDescent="0.2">
      <c r="O662">
        <f>IF(O664&gt;10000,HLOOKUP(O664,N660:$O663,4,FALSE),IF(OR(AND(22500&lt;O660,O660&lt;25001),AND(50000&lt;O660,O660&lt;53501),AND(70000&lt;O660,O660&lt;72501)),$F660,IF(OR(AND(25001&lt;O660,O660&lt;27501),AND(53500&lt;O660,O660&lt;57001),AND(72500&lt;O660,O660&lt;75001)),$G660,IF(OR(AND(27500&lt;O660,O660&lt;30001),AND(57000&lt;O660,O660&lt;60001),AND(75000&lt;O660,O660&lt;77500)),$H660,VLOOKUP(O660,BDins,6,FALSE)))))</f>
        <v>700</v>
      </c>
    </row>
    <row r="663" spans="1:15" x14ac:dyDescent="0.2">
      <c r="O663">
        <f>IF($K660&gt;0,ROUND(O661*$E660/100,DpCU),IF(O664&gt;10000,ROUND(HLOOKUP(O664,$O660:$O663,4,FALSE)/100*O661,DpCU),IF(OR(O660&lt;20001,O660&gt;95000,AND(60000&lt;O660,O660&lt;70001)),ROUND(ROUND(O661*JL/$C660,DcCU)*O662,DpCU),IF(OR(AND(20000&lt;O660,O660&lt;22501),AND(30000&lt;O660,O660&lt;50001),77500&lt;O660),ROUND(O662*O661,DpCU),IF(OR(AND(22500&lt;O660,O660&lt;25001),AND(50000&lt;O660,O660&lt;53501),AND(70000&lt;O660,O660&lt;72501)),ROUND($F660/100*O661,DpCU),IF(OR(AND(25000&lt;O660,O660&lt;27501),AND(53500&lt;O660,O660&lt;57001),AND(72500&lt;O660,O660&lt;75001)),ROUND($G660/100*O661,DpCU),ROUND($H660/100*O661,DpCU)))))))</f>
        <v>700</v>
      </c>
    </row>
    <row r="664" spans="1:15" x14ac:dyDescent="0.2">
      <c r="B664" s="3" t="str">
        <f>A660&amp;"r"</f>
        <v>10132r</v>
      </c>
    </row>
    <row r="665" spans="1:15" x14ac:dyDescent="0.2">
      <c r="A665">
        <v>10133</v>
      </c>
      <c r="B665" s="3" t="s">
        <v>705</v>
      </c>
      <c r="C665" s="1">
        <f>ROUND(J665*JL*Frto/8,4)</f>
        <v>2</v>
      </c>
      <c r="D665" t="s">
        <v>7</v>
      </c>
      <c r="E665">
        <f>SUM($O668:$O668)</f>
        <v>180</v>
      </c>
      <c r="F665">
        <f>SUMIF($O665:$O665,"&lt;22501",$O668:$O668)</f>
        <v>0</v>
      </c>
      <c r="G665">
        <f>SUMIFS($O668:$O668,$O665:$O665,"&gt;30000",$O665:$O665,"&lt;50001")</f>
        <v>180</v>
      </c>
      <c r="H665">
        <f>SUMIFS($O668:$O668,$O665:$O665,"&gt;60000",$O665:$O665,"&lt;70001")</f>
        <v>0</v>
      </c>
      <c r="I665">
        <v>1</v>
      </c>
      <c r="J665">
        <v>2</v>
      </c>
      <c r="O665">
        <v>30122</v>
      </c>
    </row>
    <row r="666" spans="1:15" x14ac:dyDescent="0.2">
      <c r="B666" s="3" t="str">
        <f>A665&amp;"C"</f>
        <v>10133C</v>
      </c>
      <c r="O666">
        <v>1</v>
      </c>
    </row>
    <row r="667" spans="1:15" x14ac:dyDescent="0.2">
      <c r="O667">
        <f>IF(O669&gt;10000,HLOOKUP(O669,N665:$O668,4,FALSE),IF(OR(AND(22500&lt;O665,O665&lt;25001),AND(50000&lt;O665,O665&lt;53501),AND(70000&lt;O665,O665&lt;72501)),$F665,IF(OR(AND(25001&lt;O665,O665&lt;27501),AND(53500&lt;O665,O665&lt;57001),AND(72500&lt;O665,O665&lt;75001)),$G665,IF(OR(AND(27500&lt;O665,O665&lt;30001),AND(57000&lt;O665,O665&lt;60001),AND(75000&lt;O665,O665&lt;77500)),$H665,VLOOKUP(O665,BDins,6,FALSE)))))</f>
        <v>180</v>
      </c>
    </row>
    <row r="668" spans="1:15" x14ac:dyDescent="0.2">
      <c r="O668">
        <f>IF($K665&gt;0,ROUND(O666*$E665/100,DpCU),IF(O669&gt;10000,ROUND(HLOOKUP(O669,$O665:$O668,4,FALSE)/100*O666,DpCU),IF(OR(O665&lt;20001,O665&gt;95000,AND(60000&lt;O665,O665&lt;70001)),ROUND(ROUND(O666*JL/$C665,DcCU)*O667,DpCU),IF(OR(AND(20000&lt;O665,O665&lt;22501),AND(30000&lt;O665,O665&lt;50001),77500&lt;O665),ROUND(O667*O666,DpCU),IF(OR(AND(22500&lt;O665,O665&lt;25001),AND(50000&lt;O665,O665&lt;53501),AND(70000&lt;O665,O665&lt;72501)),ROUND($F665/100*O666,DpCU),IF(OR(AND(25000&lt;O665,O665&lt;27501),AND(53500&lt;O665,O665&lt;57001),AND(72500&lt;O665,O665&lt;75001)),ROUND($G665/100*O666,DpCU),ROUND($H665/100*O666,DpCU)))))))</f>
        <v>180</v>
      </c>
    </row>
    <row r="669" spans="1:15" x14ac:dyDescent="0.2">
      <c r="B669" s="3" t="str">
        <f>A665&amp;"r"</f>
        <v>10133r</v>
      </c>
    </row>
    <row r="670" spans="1:15" x14ac:dyDescent="0.2">
      <c r="A670">
        <v>10134</v>
      </c>
      <c r="B670" s="3" t="s">
        <v>710</v>
      </c>
      <c r="C670" s="1">
        <f>ROUND(J670*JL*Frto/8,4)</f>
        <v>8</v>
      </c>
      <c r="D670" t="s">
        <v>7</v>
      </c>
      <c r="E670">
        <f>SUM($O673:$O673)</f>
        <v>480</v>
      </c>
      <c r="F670">
        <f>SUMIF($O670:$O670,"&lt;22501",$O673:$O673)</f>
        <v>0</v>
      </c>
      <c r="G670">
        <f>SUMIFS($O673:$O673,$O670:$O670,"&gt;30000",$O670:$O670,"&lt;50001")</f>
        <v>480</v>
      </c>
      <c r="H670">
        <f>SUMIFS($O673:$O673,$O670:$O670,"&gt;60000",$O670:$O670,"&lt;70001")</f>
        <v>0</v>
      </c>
      <c r="I670">
        <v>1</v>
      </c>
      <c r="J670">
        <v>8</v>
      </c>
      <c r="O670">
        <v>30123</v>
      </c>
    </row>
    <row r="671" spans="1:15" x14ac:dyDescent="0.2">
      <c r="B671" s="3" t="str">
        <f>A670&amp;"C"</f>
        <v>10134C</v>
      </c>
      <c r="O671">
        <v>1</v>
      </c>
    </row>
    <row r="672" spans="1:15" x14ac:dyDescent="0.2">
      <c r="O672">
        <f>IF(O674&gt;10000,HLOOKUP(O674,N670:$O673,4,FALSE),IF(OR(AND(22500&lt;O670,O670&lt;25001),AND(50000&lt;O670,O670&lt;53501),AND(70000&lt;O670,O670&lt;72501)),$F670,IF(OR(AND(25001&lt;O670,O670&lt;27501),AND(53500&lt;O670,O670&lt;57001),AND(72500&lt;O670,O670&lt;75001)),$G670,IF(OR(AND(27500&lt;O670,O670&lt;30001),AND(57000&lt;O670,O670&lt;60001),AND(75000&lt;O670,O670&lt;77500)),$H670,VLOOKUP(O670,BDins,6,FALSE)))))</f>
        <v>480</v>
      </c>
    </row>
    <row r="673" spans="1:24" x14ac:dyDescent="0.2">
      <c r="O673">
        <f>IF($K670&gt;0,ROUND(O671*$E670/100,DpCU),IF(O674&gt;10000,ROUND(HLOOKUP(O674,$O670:$O673,4,FALSE)/100*O671,DpCU),IF(OR(O670&lt;20001,O670&gt;95000,AND(60000&lt;O670,O670&lt;70001)),ROUND(ROUND(O671*JL/$C670,DcCU)*O672,DpCU),IF(OR(AND(20000&lt;O670,O670&lt;22501),AND(30000&lt;O670,O670&lt;50001),77500&lt;O670),ROUND(O672*O671,DpCU),IF(OR(AND(22500&lt;O670,O670&lt;25001),AND(50000&lt;O670,O670&lt;53501),AND(70000&lt;O670,O670&lt;72501)),ROUND($F670/100*O671,DpCU),IF(OR(AND(25000&lt;O670,O670&lt;27501),AND(53500&lt;O670,O670&lt;57001),AND(72500&lt;O670,O670&lt;75001)),ROUND($G670/100*O671,DpCU),ROUND($H670/100*O671,DpCU)))))))</f>
        <v>480</v>
      </c>
    </row>
    <row r="674" spans="1:24" x14ac:dyDescent="0.2">
      <c r="B674" s="3" t="str">
        <f>A670&amp;"r"</f>
        <v>10134r</v>
      </c>
    </row>
    <row r="675" spans="1:24" x14ac:dyDescent="0.2">
      <c r="A675">
        <v>10135</v>
      </c>
      <c r="B675" s="3" t="s">
        <v>715</v>
      </c>
      <c r="C675" s="1">
        <f>ROUND(J675*JL*Frto/8,4)</f>
        <v>6</v>
      </c>
      <c r="D675" t="s">
        <v>194</v>
      </c>
      <c r="E675">
        <f>SUM($O678:$O678)</f>
        <v>135</v>
      </c>
      <c r="F675">
        <f>SUMIF($O675:$O675,"&lt;22501",$O678:$O678)</f>
        <v>0</v>
      </c>
      <c r="G675">
        <f>SUMIFS($O678:$O678,$O675:$O675,"&gt;30000",$O675:$O675,"&lt;50001")</f>
        <v>135</v>
      </c>
      <c r="H675">
        <f>SUMIFS($O678:$O678,$O675:$O675,"&gt;60000",$O675:$O675,"&lt;70001")</f>
        <v>0</v>
      </c>
      <c r="I675">
        <v>1</v>
      </c>
      <c r="J675">
        <v>6</v>
      </c>
      <c r="O675">
        <v>30124</v>
      </c>
    </row>
    <row r="676" spans="1:24" x14ac:dyDescent="0.2">
      <c r="B676" s="3" t="str">
        <f>A675&amp;"C"</f>
        <v>10135C</v>
      </c>
      <c r="O676">
        <v>1</v>
      </c>
    </row>
    <row r="677" spans="1:24" x14ac:dyDescent="0.2">
      <c r="O677">
        <f>IF(O679&gt;10000,HLOOKUP(O679,N675:$O678,4,FALSE),IF(OR(AND(22500&lt;O675,O675&lt;25001),AND(50000&lt;O675,O675&lt;53501),AND(70000&lt;O675,O675&lt;72501)),$F675,IF(OR(AND(25001&lt;O675,O675&lt;27501),AND(53500&lt;O675,O675&lt;57001),AND(72500&lt;O675,O675&lt;75001)),$G675,IF(OR(AND(27500&lt;O675,O675&lt;30001),AND(57000&lt;O675,O675&lt;60001),AND(75000&lt;O675,O675&lt;77500)),$H675,VLOOKUP(O675,BDins,6,FALSE)))))</f>
        <v>135</v>
      </c>
    </row>
    <row r="678" spans="1:24" x14ac:dyDescent="0.2">
      <c r="O678">
        <f>IF($K675&gt;0,ROUND(O676*$E675/100,DpCU),IF(O679&gt;10000,ROUND(HLOOKUP(O679,$O675:$O678,4,FALSE)/100*O676,DpCU),IF(OR(O675&lt;20001,O675&gt;95000,AND(60000&lt;O675,O675&lt;70001)),ROUND(ROUND(O676*JL/$C675,DcCU)*O677,DpCU),IF(OR(AND(20000&lt;O675,O675&lt;22501),AND(30000&lt;O675,O675&lt;50001),77500&lt;O675),ROUND(O677*O676,DpCU),IF(OR(AND(22500&lt;O675,O675&lt;25001),AND(50000&lt;O675,O675&lt;53501),AND(70000&lt;O675,O675&lt;72501)),ROUND($F675/100*O676,DpCU),IF(OR(AND(25000&lt;O675,O675&lt;27501),AND(53500&lt;O675,O675&lt;57001),AND(72500&lt;O675,O675&lt;75001)),ROUND($G675/100*O676,DpCU),ROUND($H675/100*O676,DpCU)))))))</f>
        <v>135</v>
      </c>
    </row>
    <row r="679" spans="1:24" x14ac:dyDescent="0.2">
      <c r="B679" s="3" t="str">
        <f>A675&amp;"r"</f>
        <v>10135r</v>
      </c>
    </row>
    <row r="680" spans="1:24" x14ac:dyDescent="0.2">
      <c r="A680">
        <v>10136</v>
      </c>
      <c r="B680" s="3" t="s">
        <v>720</v>
      </c>
      <c r="C680" s="1">
        <f>ROUND(J680*JL*Frto/8,4)</f>
        <v>8</v>
      </c>
      <c r="D680" t="s">
        <v>194</v>
      </c>
      <c r="E680">
        <f>SUM($O683:$O683)</f>
        <v>40.5</v>
      </c>
      <c r="F680">
        <f>SUMIF($O680:$O680,"&lt;22501",$O683:$O683)</f>
        <v>0</v>
      </c>
      <c r="G680">
        <f>SUMIFS($O683:$O683,$O680:$O680,"&gt;30000",$O680:$O680,"&lt;50001")</f>
        <v>40.5</v>
      </c>
      <c r="H680">
        <f>SUMIFS($O683:$O683,$O680:$O680,"&gt;60000",$O680:$O680,"&lt;70001")</f>
        <v>0</v>
      </c>
      <c r="I680">
        <v>1</v>
      </c>
      <c r="J680">
        <v>8</v>
      </c>
      <c r="O680">
        <v>30125</v>
      </c>
    </row>
    <row r="681" spans="1:24" x14ac:dyDescent="0.2">
      <c r="B681" s="3" t="str">
        <f>A680&amp;"C"</f>
        <v>10136C</v>
      </c>
      <c r="O681">
        <v>1</v>
      </c>
    </row>
    <row r="682" spans="1:24" x14ac:dyDescent="0.2">
      <c r="O682">
        <f>IF(O684&gt;10000,HLOOKUP(O684,N680:$O683,4,FALSE),IF(OR(AND(22500&lt;O680,O680&lt;25001),AND(50000&lt;O680,O680&lt;53501),AND(70000&lt;O680,O680&lt;72501)),$F680,IF(OR(AND(25001&lt;O680,O680&lt;27501),AND(53500&lt;O680,O680&lt;57001),AND(72500&lt;O680,O680&lt;75001)),$G680,IF(OR(AND(27500&lt;O680,O680&lt;30001),AND(57000&lt;O680,O680&lt;60001),AND(75000&lt;O680,O680&lt;77500)),$H680,VLOOKUP(O680,BDins,6,FALSE)))))</f>
        <v>40.5</v>
      </c>
    </row>
    <row r="683" spans="1:24" x14ac:dyDescent="0.2">
      <c r="O683">
        <f>IF($K680&gt;0,ROUND(O681*$E680/100,DpCU),IF(O684&gt;10000,ROUND(HLOOKUP(O684,$O680:$O683,4,FALSE)/100*O681,DpCU),IF(OR(O680&lt;20001,O680&gt;95000,AND(60000&lt;O680,O680&lt;70001)),ROUND(ROUND(O681*JL/$C680,DcCU)*O682,DpCU),IF(OR(AND(20000&lt;O680,O680&lt;22501),AND(30000&lt;O680,O680&lt;50001),77500&lt;O680),ROUND(O682*O681,DpCU),IF(OR(AND(22500&lt;O680,O680&lt;25001),AND(50000&lt;O680,O680&lt;53501),AND(70000&lt;O680,O680&lt;72501)),ROUND($F680/100*O681,DpCU),IF(OR(AND(25000&lt;O680,O680&lt;27501),AND(53500&lt;O680,O680&lt;57001),AND(72500&lt;O680,O680&lt;75001)),ROUND($G680/100*O681,DpCU),ROUND($H680/100*O681,DpCU)))))))</f>
        <v>40.5</v>
      </c>
    </row>
    <row r="684" spans="1:24" x14ac:dyDescent="0.2">
      <c r="B684" s="3" t="str">
        <f>A680&amp;"r"</f>
        <v>10136r</v>
      </c>
    </row>
    <row r="685" spans="1:24" x14ac:dyDescent="0.2">
      <c r="A685">
        <v>10137</v>
      </c>
      <c r="B685" s="3" t="s">
        <v>725</v>
      </c>
      <c r="C685" s="1">
        <f>ROUND(J685*JL*Frto/8,4)</f>
        <v>1</v>
      </c>
      <c r="D685" t="s">
        <v>7</v>
      </c>
      <c r="E685">
        <f>SUM($O688:$X688)</f>
        <v>284.14999999999998</v>
      </c>
      <c r="F685">
        <f>SUMIF($O685:$X685,"&lt;22501",$O688:$X688)</f>
        <v>227.01</v>
      </c>
      <c r="G685">
        <f>SUMIFS($O688:$X688,$O685:$X685,"&gt;30000",$O685:$X685,"&lt;50001")</f>
        <v>5.7900000000000009</v>
      </c>
      <c r="H685">
        <f>SUMIFS($O688:$X688,$O685:$X685,"&gt;60000",$O685:$X685,"&lt;70001")</f>
        <v>40</v>
      </c>
      <c r="I685">
        <v>10</v>
      </c>
      <c r="J685">
        <v>1</v>
      </c>
      <c r="O685">
        <v>10001</v>
      </c>
      <c r="P685">
        <v>10002</v>
      </c>
      <c r="Q685">
        <v>10003</v>
      </c>
      <c r="R685">
        <v>30015</v>
      </c>
      <c r="S685">
        <v>30126</v>
      </c>
      <c r="T685">
        <v>30127</v>
      </c>
      <c r="U685">
        <v>30128</v>
      </c>
      <c r="V685">
        <v>30129</v>
      </c>
      <c r="W685">
        <v>60001</v>
      </c>
      <c r="X685">
        <v>70001</v>
      </c>
    </row>
    <row r="686" spans="1:24" x14ac:dyDescent="0.2">
      <c r="B686" s="3" t="str">
        <f>A685&amp;"C"</f>
        <v>10137C</v>
      </c>
      <c r="O686">
        <v>0.1</v>
      </c>
      <c r="P686">
        <v>1</v>
      </c>
      <c r="Q686">
        <v>0.33</v>
      </c>
      <c r="R686">
        <v>0.05</v>
      </c>
      <c r="S686">
        <v>0.2</v>
      </c>
      <c r="T686">
        <v>0.5</v>
      </c>
      <c r="U686">
        <v>5.0000000000000001E-3</v>
      </c>
      <c r="V686">
        <v>1.05</v>
      </c>
      <c r="W686">
        <v>0.5</v>
      </c>
      <c r="X686">
        <v>5</v>
      </c>
    </row>
    <row r="687" spans="1:24" x14ac:dyDescent="0.2">
      <c r="O687">
        <f>IF(O689&gt;10000,HLOOKUP(O689,N685:$O688,4,FALSE),IF(OR(AND(22500&lt;O685,O685&lt;25001),AND(50000&lt;O685,O685&lt;53501),AND(70000&lt;O685,O685&lt;72501)),$F685,IF(OR(AND(25001&lt;O685,O685&lt;27501),AND(53500&lt;O685,O685&lt;57001),AND(72500&lt;O685,O685&lt;75001)),$G685,IF(OR(AND(27500&lt;O685,O685&lt;30001),AND(57000&lt;O685,O685&lt;60001),AND(75000&lt;O685,O685&lt;77500)),$H685,VLOOKUP(O685,BDins,6,FALSE)))))</f>
        <v>24.97</v>
      </c>
      <c r="P687">
        <f>IF(P689&gt;10000,HLOOKUP(P689,O685:$O688,4,FALSE),IF(OR(AND(22500&lt;P685,P685&lt;25001),AND(50000&lt;P685,P685&lt;53501),AND(70000&lt;P685,P685&lt;72501)),$F685,IF(OR(AND(25001&lt;P685,P685&lt;27501),AND(53500&lt;P685,P685&lt;57001),AND(72500&lt;P685,P685&lt;75001)),$G685,IF(OR(AND(27500&lt;P685,P685&lt;30001),AND(57000&lt;P685,P685&lt;60001),AND(75000&lt;P685,P685&lt;77500)),$H685,VLOOKUP(P685,BDins,6,FALSE)))))</f>
        <v>20.81</v>
      </c>
      <c r="Q687">
        <f>IF(Q689&gt;10000,HLOOKUP(Q689,$O685:P688,4,FALSE),IF(OR(AND(22500&lt;Q685,Q685&lt;25001),AND(50000&lt;Q685,Q685&lt;53501),AND(70000&lt;Q685,Q685&lt;72501)),$F685,IF(OR(AND(25001&lt;Q685,Q685&lt;27501),AND(53500&lt;Q685,Q685&lt;57001),AND(72500&lt;Q685,Q685&lt;75001)),$G685,IF(OR(AND(27500&lt;Q685,Q685&lt;30001),AND(57000&lt;Q685,Q685&lt;60001),AND(75000&lt;Q685,Q685&lt;77500)),$H685,VLOOKUP(Q685,BDins,6,FALSE)))))</f>
        <v>15.36</v>
      </c>
      <c r="R687">
        <f>IF(R689&gt;10000,HLOOKUP(R689,$O685:Q688,4,FALSE),IF(OR(AND(22500&lt;R685,R685&lt;25001),AND(50000&lt;R685,R685&lt;53501),AND(70000&lt;R685,R685&lt;72501)),$F685,IF(OR(AND(25001&lt;R685,R685&lt;27501),AND(53500&lt;R685,R685&lt;57001),AND(72500&lt;R685,R685&lt;75001)),$G685,IF(OR(AND(27500&lt;R685,R685&lt;30001),AND(57000&lt;R685,R685&lt;60001),AND(75000&lt;R685,R685&lt;77500)),$H685,VLOOKUP(R685,BDins,6,FALSE)))))</f>
        <v>7</v>
      </c>
      <c r="S687">
        <f>IF(S689&gt;10000,HLOOKUP(S689,$O685:R688,4,FALSE),IF(OR(AND(22500&lt;S685,S685&lt;25001),AND(50000&lt;S685,S685&lt;53501),AND(70000&lt;S685,S685&lt;72501)),$F685,IF(OR(AND(25001&lt;S685,S685&lt;27501),AND(53500&lt;S685,S685&lt;57001),AND(72500&lt;S685,S685&lt;75001)),$G685,IF(OR(AND(27500&lt;S685,S685&lt;30001),AND(57000&lt;S685,S685&lt;60001),AND(75000&lt;S685,S685&lt;77500)),$H685,VLOOKUP(S685,BDins,6,FALSE)))))</f>
        <v>8</v>
      </c>
      <c r="T687">
        <f>IF(T689&gt;10000,HLOOKUP(T689,$O685:S688,4,FALSE),IF(OR(AND(22500&lt;T685,T685&lt;25001),AND(50000&lt;T685,T685&lt;53501),AND(70000&lt;T685,T685&lt;72501)),$F685,IF(OR(AND(25001&lt;T685,T685&lt;27501),AND(53500&lt;T685,T685&lt;57001),AND(72500&lt;T685,T685&lt;75001)),$G685,IF(OR(AND(27500&lt;T685,T685&lt;30001),AND(57000&lt;T685,T685&lt;60001),AND(75000&lt;T685,T685&lt;77500)),$H685,VLOOKUP(T685,BDins,6,FALSE)))))</f>
        <v>1.5</v>
      </c>
      <c r="U687">
        <f>IF(U689&gt;10000,HLOOKUP(U689,$O685:T688,4,FALSE),IF(OR(AND(22500&lt;U685,U685&lt;25001),AND(50000&lt;U685,U685&lt;53501),AND(70000&lt;U685,U685&lt;72501)),$F685,IF(OR(AND(25001&lt;U685,U685&lt;27501),AND(53500&lt;U685,U685&lt;57001),AND(72500&lt;U685,U685&lt;75001)),$G685,IF(OR(AND(27500&lt;U685,U685&lt;30001),AND(57000&lt;U685,U685&lt;60001),AND(75000&lt;U685,U685&lt;77500)),$H685,VLOOKUP(U685,BDins,6,FALSE)))))</f>
        <v>40</v>
      </c>
      <c r="V687">
        <f>IF(V689&gt;10000,HLOOKUP(V689,$O685:U688,4,FALSE),IF(OR(AND(22500&lt;V685,V685&lt;25001),AND(50000&lt;V685,V685&lt;53501),AND(70000&lt;V685,V685&lt;72501)),$F685,IF(OR(AND(25001&lt;V685,V685&lt;27501),AND(53500&lt;V685,V685&lt;57001),AND(72500&lt;V685,V685&lt;75001)),$G685,IF(OR(AND(27500&lt;V685,V685&lt;30001),AND(57000&lt;V685,V685&lt;60001),AND(75000&lt;V685,V685&lt;77500)),$H685,VLOOKUP(V685,BDins,6,FALSE)))))</f>
        <v>2.75</v>
      </c>
      <c r="W687">
        <f>IF(W689&gt;10000,HLOOKUP(W689,$O685:V688,4,FALSE),IF(OR(AND(22500&lt;W685,W685&lt;25001),AND(50000&lt;W685,W685&lt;53501),AND(70000&lt;W685,W685&lt;72501)),$F685,IF(OR(AND(25001&lt;W685,W685&lt;27501),AND(53500&lt;W685,W685&lt;57001),AND(72500&lt;W685,W685&lt;75001)),$G685,IF(OR(AND(27500&lt;W685,W685&lt;30001),AND(57000&lt;W685,W685&lt;60001),AND(75000&lt;W685,W685&lt;77500)),$H685,VLOOKUP(W685,BDins,6,FALSE)))))</f>
        <v>10</v>
      </c>
      <c r="X687">
        <f>IF(X689&gt;10000,HLOOKUP(X689,$O685:W688,4,FALSE),IF(OR(AND(22500&lt;X685,X685&lt;25001),AND(50000&lt;X685,X685&lt;53501),AND(70000&lt;X685,X685&lt;72501)),$F685,IF(OR(AND(25001&lt;X685,X685&lt;27501),AND(53500&lt;X685,X685&lt;57001),AND(72500&lt;X685,X685&lt;75001)),$G685,IF(OR(AND(27500&lt;X685,X685&lt;30001),AND(57000&lt;X685,X685&lt;60001),AND(75000&lt;X685,X685&lt;77500)),$H685,VLOOKUP(X685,BDins,6,FALSE)))))</f>
        <v>227.01</v>
      </c>
    </row>
    <row r="688" spans="1:24" x14ac:dyDescent="0.2">
      <c r="O688">
        <f t="shared" ref="O688:X688" si="102">IF($K685&gt;0,ROUND(O686*$E685/100,DpCU),IF(O689&gt;10000,ROUND(HLOOKUP(O689,$O685:$X688,4,FALSE)/100*O686,DpCU),IF(OR(O685&lt;20001,O685&gt;95000,AND(60000&lt;O685,O685&lt;70001)),ROUND(ROUND(O686*JL/$C685,DcCU)*O687,DpCU),IF(OR(AND(20000&lt;O685,O685&lt;22501),AND(30000&lt;O685,O685&lt;50001),77500&lt;O685),ROUND(O687*O686,DpCU),IF(OR(AND(22500&lt;O685,O685&lt;25001),AND(50000&lt;O685,O685&lt;53501),AND(70000&lt;O685,O685&lt;72501)),ROUND($F685/100*O686,DpCU),IF(OR(AND(25000&lt;O685,O685&lt;27501),AND(53500&lt;O685,O685&lt;57001),AND(72500&lt;O685,O685&lt;75001)),ROUND($G685/100*O686,DpCU),ROUND($H685/100*O686,DpCU)))))))</f>
        <v>19.98</v>
      </c>
      <c r="P688">
        <f t="shared" si="102"/>
        <v>166.48</v>
      </c>
      <c r="Q688">
        <f t="shared" si="102"/>
        <v>40.549999999999997</v>
      </c>
      <c r="R688">
        <f t="shared" si="102"/>
        <v>0.35</v>
      </c>
      <c r="S688">
        <f t="shared" si="102"/>
        <v>1.6</v>
      </c>
      <c r="T688">
        <f t="shared" si="102"/>
        <v>0.75</v>
      </c>
      <c r="U688">
        <f t="shared" si="102"/>
        <v>0.2</v>
      </c>
      <c r="V688">
        <f t="shared" si="102"/>
        <v>2.89</v>
      </c>
      <c r="W688">
        <f t="shared" si="102"/>
        <v>40</v>
      </c>
      <c r="X688">
        <f t="shared" si="102"/>
        <v>11.35</v>
      </c>
    </row>
    <row r="689" spans="1:24" x14ac:dyDescent="0.2">
      <c r="B689" s="3" t="str">
        <f>A685&amp;"r"</f>
        <v>10137r</v>
      </c>
    </row>
    <row r="690" spans="1:24" x14ac:dyDescent="0.2">
      <c r="A690">
        <v>10138</v>
      </c>
      <c r="B690" s="3" t="s">
        <v>731</v>
      </c>
      <c r="C690" s="1">
        <f>ROUND(J690*JL*Frto/8,4)</f>
        <v>15</v>
      </c>
      <c r="D690" t="s">
        <v>7</v>
      </c>
      <c r="E690">
        <f>SUM($O693:$X693)</f>
        <v>168.82</v>
      </c>
      <c r="F690">
        <f>SUMIF($O690:$X690,"&lt;22501",$O693:$X693)</f>
        <v>28.81</v>
      </c>
      <c r="G690">
        <f>SUMIFS($O693:$X693,$O690:$X690,"&gt;30000",$O690:$X690,"&lt;50001")</f>
        <v>133.23999999999998</v>
      </c>
      <c r="H690">
        <f>SUMIFS($O693:$X693,$O690:$X690,"&gt;60000",$O690:$X690,"&lt;70001")</f>
        <v>5.33</v>
      </c>
      <c r="I690">
        <v>10</v>
      </c>
      <c r="J690">
        <v>15</v>
      </c>
      <c r="O690">
        <v>10001</v>
      </c>
      <c r="P690">
        <v>10002</v>
      </c>
      <c r="Q690">
        <v>10003</v>
      </c>
      <c r="R690">
        <v>30016</v>
      </c>
      <c r="S690">
        <v>30020</v>
      </c>
      <c r="T690">
        <v>30130</v>
      </c>
      <c r="U690">
        <v>30131</v>
      </c>
      <c r="V690">
        <v>30132</v>
      </c>
      <c r="W690">
        <v>60001</v>
      </c>
      <c r="X690">
        <v>70001</v>
      </c>
    </row>
    <row r="691" spans="1:24" x14ac:dyDescent="0.2">
      <c r="B691" s="3" t="str">
        <f>A690&amp;"C"</f>
        <v>10138C</v>
      </c>
      <c r="O691">
        <v>0.1</v>
      </c>
      <c r="P691">
        <v>1</v>
      </c>
      <c r="Q691">
        <v>2</v>
      </c>
      <c r="R691">
        <v>0.5</v>
      </c>
      <c r="S691">
        <v>0.02</v>
      </c>
      <c r="T691">
        <v>0.02</v>
      </c>
      <c r="U691">
        <v>1</v>
      </c>
      <c r="V691">
        <v>0.625</v>
      </c>
      <c r="W691">
        <v>1</v>
      </c>
      <c r="X691">
        <v>5</v>
      </c>
    </row>
    <row r="692" spans="1:24" x14ac:dyDescent="0.2">
      <c r="O692">
        <f>IF(O694&gt;10000,HLOOKUP(O694,N690:$O693,4,FALSE),IF(OR(AND(22500&lt;O690,O690&lt;25001),AND(50000&lt;O690,O690&lt;53501),AND(70000&lt;O690,O690&lt;72501)),$F690,IF(OR(AND(25001&lt;O690,O690&lt;27501),AND(53500&lt;O690,O690&lt;57001),AND(72500&lt;O690,O690&lt;75001)),$G690,IF(OR(AND(27500&lt;O690,O690&lt;30001),AND(57000&lt;O690,O690&lt;60001),AND(75000&lt;O690,O690&lt;77500)),$H690,VLOOKUP(O690,BDins,6,FALSE)))))</f>
        <v>24.97</v>
      </c>
      <c r="P692">
        <f>IF(P694&gt;10000,HLOOKUP(P694,O690:$O693,4,FALSE),IF(OR(AND(22500&lt;P690,P690&lt;25001),AND(50000&lt;P690,P690&lt;53501),AND(70000&lt;P690,P690&lt;72501)),$F690,IF(OR(AND(25001&lt;P690,P690&lt;27501),AND(53500&lt;P690,P690&lt;57001),AND(72500&lt;P690,P690&lt;75001)),$G690,IF(OR(AND(27500&lt;P690,P690&lt;30001),AND(57000&lt;P690,P690&lt;60001),AND(75000&lt;P690,P690&lt;77500)),$H690,VLOOKUP(P690,BDins,6,FALSE)))))</f>
        <v>20.81</v>
      </c>
      <c r="Q692">
        <f>IF(Q694&gt;10000,HLOOKUP(Q694,$O690:P693,4,FALSE),IF(OR(AND(22500&lt;Q690,Q690&lt;25001),AND(50000&lt;Q690,Q690&lt;53501),AND(70000&lt;Q690,Q690&lt;72501)),$F690,IF(OR(AND(25001&lt;Q690,Q690&lt;27501),AND(53500&lt;Q690,Q690&lt;57001),AND(72500&lt;Q690,Q690&lt;75001)),$G690,IF(OR(AND(27500&lt;Q690,Q690&lt;30001),AND(57000&lt;Q690,Q690&lt;60001),AND(75000&lt;Q690,Q690&lt;77500)),$H690,VLOOKUP(Q690,BDins,6,FALSE)))))</f>
        <v>15.36</v>
      </c>
      <c r="R692">
        <f>IF(R694&gt;10000,HLOOKUP(R694,$O690:Q693,4,FALSE),IF(OR(AND(22500&lt;R690,R690&lt;25001),AND(50000&lt;R690,R690&lt;53501),AND(70000&lt;R690,R690&lt;72501)),$F690,IF(OR(AND(25001&lt;R690,R690&lt;27501),AND(53500&lt;R690,R690&lt;57001),AND(72500&lt;R690,R690&lt;75001)),$G690,IF(OR(AND(27500&lt;R690,R690&lt;30001),AND(57000&lt;R690,R690&lt;60001),AND(75000&lt;R690,R690&lt;77500)),$H690,VLOOKUP(R690,BDins,6,FALSE)))))</f>
        <v>8</v>
      </c>
      <c r="S692">
        <f>IF(S694&gt;10000,HLOOKUP(S694,$O690:R693,4,FALSE),IF(OR(AND(22500&lt;S690,S690&lt;25001),AND(50000&lt;S690,S690&lt;53501),AND(70000&lt;S690,S690&lt;72501)),$F690,IF(OR(AND(25001&lt;S690,S690&lt;27501),AND(53500&lt;S690,S690&lt;57001),AND(72500&lt;S690,S690&lt;75001)),$G690,IF(OR(AND(27500&lt;S690,S690&lt;30001),AND(57000&lt;S690,S690&lt;60001),AND(75000&lt;S690,S690&lt;77500)),$H690,VLOOKUP(S690,BDins,6,FALSE)))))</f>
        <v>40</v>
      </c>
      <c r="T692">
        <f>IF(T694&gt;10000,HLOOKUP(T694,$O690:S693,4,FALSE),IF(OR(AND(22500&lt;T690,T690&lt;25001),AND(50000&lt;T690,T690&lt;53501),AND(70000&lt;T690,T690&lt;72501)),$F690,IF(OR(AND(25001&lt;T690,T690&lt;27501),AND(53500&lt;T690,T690&lt;57001),AND(72500&lt;T690,T690&lt;75001)),$G690,IF(OR(AND(27500&lt;T690,T690&lt;30001),AND(57000&lt;T690,T690&lt;60001),AND(75000&lt;T690,T690&lt;77500)),$H690,VLOOKUP(T690,BDins,6,FALSE)))))</f>
        <v>45</v>
      </c>
      <c r="U692">
        <f>IF(U694&gt;10000,HLOOKUP(U694,$O690:T693,4,FALSE),IF(OR(AND(22500&lt;U690,U690&lt;25001),AND(50000&lt;U690,U690&lt;53501),AND(70000&lt;U690,U690&lt;72501)),$F690,IF(OR(AND(25001&lt;U690,U690&lt;27501),AND(53500&lt;U690,U690&lt;57001),AND(72500&lt;U690,U690&lt;75001)),$G690,IF(OR(AND(27500&lt;U690,U690&lt;30001),AND(57000&lt;U690,U690&lt;60001),AND(75000&lt;U690,U690&lt;77500)),$H690,VLOOKUP(U690,BDins,6,FALSE)))))</f>
        <v>125</v>
      </c>
      <c r="V692">
        <f>IF(V694&gt;10000,HLOOKUP(V694,$O690:U693,4,FALSE),IF(OR(AND(22500&lt;V690,V690&lt;25001),AND(50000&lt;V690,V690&lt;53501),AND(70000&lt;V690,V690&lt;72501)),$F690,IF(OR(AND(25001&lt;V690,V690&lt;27501),AND(53500&lt;V690,V690&lt;57001),AND(72500&lt;V690,V690&lt;75001)),$G690,IF(OR(AND(27500&lt;V690,V690&lt;30001),AND(57000&lt;V690,V690&lt;60001),AND(75000&lt;V690,V690&lt;77500)),$H690,VLOOKUP(V690,BDins,6,FALSE)))))</f>
        <v>4.0599999999999996</v>
      </c>
      <c r="W692">
        <f>IF(W694&gt;10000,HLOOKUP(W694,$O690:V693,4,FALSE),IF(OR(AND(22500&lt;W690,W690&lt;25001),AND(50000&lt;W690,W690&lt;53501),AND(70000&lt;W690,W690&lt;72501)),$F690,IF(OR(AND(25001&lt;W690,W690&lt;27501),AND(53500&lt;W690,W690&lt;57001),AND(72500&lt;W690,W690&lt;75001)),$G690,IF(OR(AND(27500&lt;W690,W690&lt;30001),AND(57000&lt;W690,W690&lt;60001),AND(75000&lt;W690,W690&lt;77500)),$H690,VLOOKUP(W690,BDins,6,FALSE)))))</f>
        <v>10</v>
      </c>
      <c r="X692">
        <f>IF(X694&gt;10000,HLOOKUP(X694,$O690:W693,4,FALSE),IF(OR(AND(22500&lt;X690,X690&lt;25001),AND(50000&lt;X690,X690&lt;53501),AND(70000&lt;X690,X690&lt;72501)),$F690,IF(OR(AND(25001&lt;X690,X690&lt;27501),AND(53500&lt;X690,X690&lt;57001),AND(72500&lt;X690,X690&lt;75001)),$G690,IF(OR(AND(27500&lt;X690,X690&lt;30001),AND(57000&lt;X690,X690&lt;60001),AND(75000&lt;X690,X690&lt;77500)),$H690,VLOOKUP(X690,BDins,6,FALSE)))))</f>
        <v>28.81</v>
      </c>
    </row>
    <row r="693" spans="1:24" x14ac:dyDescent="0.2">
      <c r="O693">
        <f t="shared" ref="O693:X693" si="103">IF($K690&gt;0,ROUND(O691*$E690/100,DpCU),IF(O694&gt;10000,ROUND(HLOOKUP(O694,$O690:$X693,4,FALSE)/100*O691,DpCU),IF(OR(O690&lt;20001,O690&gt;95000,AND(60000&lt;O690,O690&lt;70001)),ROUND(ROUND(O691*JL/$C690,DcCU)*O692,DpCU),IF(OR(AND(20000&lt;O690,O690&lt;22501),AND(30000&lt;O690,O690&lt;50001),77500&lt;O690),ROUND(O692*O691,DpCU),IF(OR(AND(22500&lt;O690,O690&lt;25001),AND(50000&lt;O690,O690&lt;53501),AND(70000&lt;O690,O690&lt;72501)),ROUND($F690/100*O691,DpCU),IF(OR(AND(25000&lt;O690,O690&lt;27501),AND(53500&lt;O690,O690&lt;57001),AND(72500&lt;O690,O690&lt;75001)),ROUND($G690/100*O691,DpCU),ROUND($H690/100*O691,DpCU)))))))</f>
        <v>1.33</v>
      </c>
      <c r="P693">
        <f t="shared" si="103"/>
        <v>11.1</v>
      </c>
      <c r="Q693">
        <f t="shared" si="103"/>
        <v>16.38</v>
      </c>
      <c r="R693">
        <f t="shared" si="103"/>
        <v>4</v>
      </c>
      <c r="S693">
        <f t="shared" si="103"/>
        <v>0.8</v>
      </c>
      <c r="T693">
        <f t="shared" si="103"/>
        <v>0.9</v>
      </c>
      <c r="U693">
        <f t="shared" si="103"/>
        <v>125</v>
      </c>
      <c r="V693">
        <f t="shared" si="103"/>
        <v>2.54</v>
      </c>
      <c r="W693">
        <f t="shared" si="103"/>
        <v>5.33</v>
      </c>
      <c r="X693">
        <f t="shared" si="103"/>
        <v>1.44</v>
      </c>
    </row>
    <row r="694" spans="1:24" x14ac:dyDescent="0.2">
      <c r="B694" s="3" t="str">
        <f>A690&amp;"r"</f>
        <v>10138r</v>
      </c>
    </row>
    <row r="695" spans="1:24" x14ac:dyDescent="0.2">
      <c r="A695">
        <v>10139</v>
      </c>
      <c r="B695" s="3" t="s">
        <v>738</v>
      </c>
      <c r="C695" s="1">
        <f>ROUND(J695*JL*Frto/8,4)</f>
        <v>1.6</v>
      </c>
      <c r="D695" t="s">
        <v>7</v>
      </c>
      <c r="E695">
        <f>SUM($O698:$O698)</f>
        <v>150</v>
      </c>
      <c r="F695">
        <f>SUMIF($O695:$O695,"&lt;22501",$O698:$O698)</f>
        <v>0</v>
      </c>
      <c r="G695">
        <f>SUMIFS($O698:$O698,$O695:$O695,"&gt;30000",$O695:$O695,"&lt;50001")</f>
        <v>150</v>
      </c>
      <c r="H695">
        <f>SUMIFS($O698:$O698,$O695:$O695,"&gt;60000",$O695:$O695,"&lt;70001")</f>
        <v>0</v>
      </c>
      <c r="I695">
        <v>1</v>
      </c>
      <c r="J695">
        <v>1.6</v>
      </c>
      <c r="O695">
        <v>30133</v>
      </c>
    </row>
    <row r="696" spans="1:24" x14ac:dyDescent="0.2">
      <c r="B696" s="3" t="str">
        <f>A695&amp;"C"</f>
        <v>10139C</v>
      </c>
      <c r="O696">
        <v>1</v>
      </c>
    </row>
    <row r="697" spans="1:24" x14ac:dyDescent="0.2">
      <c r="O697">
        <f>IF(O699&gt;10000,HLOOKUP(O699,N695:$O698,4,FALSE),IF(OR(AND(22500&lt;O695,O695&lt;25001),AND(50000&lt;O695,O695&lt;53501),AND(70000&lt;O695,O695&lt;72501)),$F695,IF(OR(AND(25001&lt;O695,O695&lt;27501),AND(53500&lt;O695,O695&lt;57001),AND(72500&lt;O695,O695&lt;75001)),$G695,IF(OR(AND(27500&lt;O695,O695&lt;30001),AND(57000&lt;O695,O695&lt;60001),AND(75000&lt;O695,O695&lt;77500)),$H695,VLOOKUP(O695,BDins,6,FALSE)))))</f>
        <v>150</v>
      </c>
    </row>
    <row r="698" spans="1:24" x14ac:dyDescent="0.2">
      <c r="O698">
        <f>IF($K695&gt;0,ROUND(O696*$E695/100,DpCU),IF(O699&gt;10000,ROUND(HLOOKUP(O699,$O695:$O698,4,FALSE)/100*O696,DpCU),IF(OR(O695&lt;20001,O695&gt;95000,AND(60000&lt;O695,O695&lt;70001)),ROUND(ROUND(O696*JL/$C695,DcCU)*O697,DpCU),IF(OR(AND(20000&lt;O695,O695&lt;22501),AND(30000&lt;O695,O695&lt;50001),77500&lt;O695),ROUND(O697*O696,DpCU),IF(OR(AND(22500&lt;O695,O695&lt;25001),AND(50000&lt;O695,O695&lt;53501),AND(70000&lt;O695,O695&lt;72501)),ROUND($F695/100*O696,DpCU),IF(OR(AND(25000&lt;O695,O695&lt;27501),AND(53500&lt;O695,O695&lt;57001),AND(72500&lt;O695,O695&lt;75001)),ROUND($G695/100*O696,DpCU),ROUND($H695/100*O696,DpCU)))))))</f>
        <v>150</v>
      </c>
    </row>
    <row r="699" spans="1:24" x14ac:dyDescent="0.2">
      <c r="B699" s="3" t="str">
        <f>A695&amp;"r"</f>
        <v>10139r</v>
      </c>
    </row>
    <row r="700" spans="1:24" x14ac:dyDescent="0.2">
      <c r="A700">
        <v>10140</v>
      </c>
      <c r="B700" s="3" t="s">
        <v>741</v>
      </c>
      <c r="C700" s="1">
        <f>ROUND(J700*JL*Frto/8,4)</f>
        <v>7</v>
      </c>
      <c r="D700" t="s">
        <v>210</v>
      </c>
      <c r="E700">
        <f>SUM($O703:$O703)</f>
        <v>35</v>
      </c>
      <c r="F700">
        <f>SUMIF($O700:$O700,"&lt;22501",$O703:$O703)</f>
        <v>0</v>
      </c>
      <c r="G700">
        <f>SUMIFS($O703:$O703,$O700:$O700,"&gt;30000",$O700:$O700,"&lt;50001")</f>
        <v>35</v>
      </c>
      <c r="H700">
        <f>SUMIFS($O703:$O703,$O700:$O700,"&gt;60000",$O700:$O700,"&lt;70001")</f>
        <v>0</v>
      </c>
      <c r="I700">
        <v>1</v>
      </c>
      <c r="J700">
        <v>7</v>
      </c>
      <c r="O700">
        <v>30134</v>
      </c>
    </row>
    <row r="701" spans="1:24" x14ac:dyDescent="0.2">
      <c r="B701" s="3" t="str">
        <f>A700&amp;"C"</f>
        <v>10140C</v>
      </c>
      <c r="O701">
        <v>7.0000000000000007E-2</v>
      </c>
    </row>
    <row r="702" spans="1:24" x14ac:dyDescent="0.2">
      <c r="O702">
        <f>IF(O704&gt;10000,HLOOKUP(O704,N700:$O703,4,FALSE),IF(OR(AND(22500&lt;O700,O700&lt;25001),AND(50000&lt;O700,O700&lt;53501),AND(70000&lt;O700,O700&lt;72501)),$F700,IF(OR(AND(25001&lt;O700,O700&lt;27501),AND(53500&lt;O700,O700&lt;57001),AND(72500&lt;O700,O700&lt;75001)),$G700,IF(OR(AND(27500&lt;O700,O700&lt;30001),AND(57000&lt;O700,O700&lt;60001),AND(75000&lt;O700,O700&lt;77500)),$H700,VLOOKUP(O700,BDins,6,FALSE)))))</f>
        <v>500</v>
      </c>
    </row>
    <row r="703" spans="1:24" x14ac:dyDescent="0.2">
      <c r="O703">
        <f>IF($K700&gt;0,ROUND(O701*$E700/100,DpCU),IF(O704&gt;10000,ROUND(HLOOKUP(O704,$O700:$O703,4,FALSE)/100*O701,DpCU),IF(OR(O700&lt;20001,O700&gt;95000,AND(60000&lt;O700,O700&lt;70001)),ROUND(ROUND(O701*JL/$C700,DcCU)*O702,DpCU),IF(OR(AND(20000&lt;O700,O700&lt;22501),AND(30000&lt;O700,O700&lt;50001),77500&lt;O700),ROUND(O702*O701,DpCU),IF(OR(AND(22500&lt;O700,O700&lt;25001),AND(50000&lt;O700,O700&lt;53501),AND(70000&lt;O700,O700&lt;72501)),ROUND($F700/100*O701,DpCU),IF(OR(AND(25000&lt;O700,O700&lt;27501),AND(53500&lt;O700,O700&lt;57001),AND(72500&lt;O700,O700&lt;75001)),ROUND($G700/100*O701,DpCU),ROUND($H700/100*O701,DpCU)))))))</f>
        <v>35</v>
      </c>
    </row>
    <row r="704" spans="1:24" x14ac:dyDescent="0.2">
      <c r="B704" s="3" t="str">
        <f>A700&amp;"r"</f>
        <v>10140r</v>
      </c>
    </row>
    <row r="705" spans="1:18" x14ac:dyDescent="0.2">
      <c r="A705">
        <v>10141</v>
      </c>
      <c r="B705" s="3" t="s">
        <v>744</v>
      </c>
      <c r="C705" s="1">
        <f>ROUND(J705*JL*Frto/8,4)</f>
        <v>1</v>
      </c>
      <c r="D705" t="s">
        <v>7</v>
      </c>
      <c r="E705">
        <f>SUM($O708:$O708)</f>
        <v>270</v>
      </c>
      <c r="F705">
        <f>SUMIF($O705:$O705,"&lt;22501",$O708:$O708)</f>
        <v>0</v>
      </c>
      <c r="G705">
        <f>SUMIFS($O708:$O708,$O705:$O705,"&gt;30000",$O705:$O705,"&lt;50001")</f>
        <v>270</v>
      </c>
      <c r="H705">
        <f>SUMIFS($O708:$O708,$O705:$O705,"&gt;60000",$O705:$O705,"&lt;70001")</f>
        <v>0</v>
      </c>
      <c r="I705">
        <v>1</v>
      </c>
      <c r="J705">
        <v>1</v>
      </c>
      <c r="O705">
        <v>30135</v>
      </c>
    </row>
    <row r="706" spans="1:18" x14ac:dyDescent="0.2">
      <c r="B706" s="3" t="str">
        <f>A705&amp;"C"</f>
        <v>10141C</v>
      </c>
      <c r="O706">
        <v>1</v>
      </c>
    </row>
    <row r="707" spans="1:18" x14ac:dyDescent="0.2">
      <c r="O707">
        <f>IF(O709&gt;10000,HLOOKUP(O709,N705:$O708,4,FALSE),IF(OR(AND(22500&lt;O705,O705&lt;25001),AND(50000&lt;O705,O705&lt;53501),AND(70000&lt;O705,O705&lt;72501)),$F705,IF(OR(AND(25001&lt;O705,O705&lt;27501),AND(53500&lt;O705,O705&lt;57001),AND(72500&lt;O705,O705&lt;75001)),$G705,IF(OR(AND(27500&lt;O705,O705&lt;30001),AND(57000&lt;O705,O705&lt;60001),AND(75000&lt;O705,O705&lt;77500)),$H705,VLOOKUP(O705,BDins,6,FALSE)))))</f>
        <v>270</v>
      </c>
    </row>
    <row r="708" spans="1:18" x14ac:dyDescent="0.2">
      <c r="O708">
        <f>IF($K705&gt;0,ROUND(O706*$E705/100,DpCU),IF(O709&gt;10000,ROUND(HLOOKUP(O709,$O705:$O708,4,FALSE)/100*O706,DpCU),IF(OR(O705&lt;20001,O705&gt;95000,AND(60000&lt;O705,O705&lt;70001)),ROUND(ROUND(O706*JL/$C705,DcCU)*O707,DpCU),IF(OR(AND(20000&lt;O705,O705&lt;22501),AND(30000&lt;O705,O705&lt;50001),77500&lt;O705),ROUND(O707*O706,DpCU),IF(OR(AND(22500&lt;O705,O705&lt;25001),AND(50000&lt;O705,O705&lt;53501),AND(70000&lt;O705,O705&lt;72501)),ROUND($F705/100*O706,DpCU),IF(OR(AND(25000&lt;O705,O705&lt;27501),AND(53500&lt;O705,O705&lt;57001),AND(72500&lt;O705,O705&lt;75001)),ROUND($G705/100*O706,DpCU),ROUND($H705/100*O706,DpCU)))))))</f>
        <v>270</v>
      </c>
    </row>
    <row r="709" spans="1:18" x14ac:dyDescent="0.2">
      <c r="B709" s="3" t="str">
        <f>A705&amp;"r"</f>
        <v>10141r</v>
      </c>
    </row>
    <row r="710" spans="1:18" x14ac:dyDescent="0.2">
      <c r="A710">
        <v>10142</v>
      </c>
      <c r="B710" s="3" t="s">
        <v>747</v>
      </c>
      <c r="C710" s="1">
        <f>ROUND(J710*JL*Frto/8,4)</f>
        <v>1</v>
      </c>
      <c r="D710" t="s">
        <v>7</v>
      </c>
      <c r="E710">
        <f>SUM($O713:$R713)</f>
        <v>521.08000000000004</v>
      </c>
      <c r="F710">
        <f>SUMIF($O710:$R710,"&lt;22501",$O713:$R713)</f>
        <v>167.73</v>
      </c>
      <c r="G710">
        <f>SUMIFS($O713:$R713,$O710:$R710,"&gt;30000",$O710:$R710,"&lt;50001")</f>
        <v>350</v>
      </c>
      <c r="H710">
        <f>SUMIFS($O713:$R713,$O710:$R710,"&gt;60000",$O710:$R710,"&lt;70001")</f>
        <v>0</v>
      </c>
      <c r="I710">
        <v>4</v>
      </c>
      <c r="J710">
        <v>1</v>
      </c>
      <c r="O710">
        <v>10001</v>
      </c>
      <c r="P710">
        <v>10002</v>
      </c>
      <c r="Q710">
        <v>30134</v>
      </c>
      <c r="R710">
        <v>70001</v>
      </c>
    </row>
    <row r="711" spans="1:18" x14ac:dyDescent="0.2">
      <c r="B711" s="3" t="str">
        <f>A710&amp;"C"</f>
        <v>10142C</v>
      </c>
      <c r="O711">
        <v>6.2500000000000003E-3</v>
      </c>
      <c r="P711">
        <v>1</v>
      </c>
      <c r="Q711">
        <v>0.7</v>
      </c>
      <c r="R711">
        <v>2</v>
      </c>
    </row>
    <row r="712" spans="1:18" x14ac:dyDescent="0.2">
      <c r="O712">
        <f>IF(O714&gt;10000,HLOOKUP(O714,N710:$O713,4,FALSE),IF(OR(AND(22500&lt;O710,O710&lt;25001),AND(50000&lt;O710,O710&lt;53501),AND(70000&lt;O710,O710&lt;72501)),$F710,IF(OR(AND(25001&lt;O710,O710&lt;27501),AND(53500&lt;O710,O710&lt;57001),AND(72500&lt;O710,O710&lt;75001)),$G710,IF(OR(AND(27500&lt;O710,O710&lt;30001),AND(57000&lt;O710,O710&lt;60001),AND(75000&lt;O710,O710&lt;77500)),$H710,VLOOKUP(O710,BDins,6,FALSE)))))</f>
        <v>24.97</v>
      </c>
      <c r="P712">
        <f>IF(P714&gt;10000,HLOOKUP(P714,O710:$O713,4,FALSE),IF(OR(AND(22500&lt;P710,P710&lt;25001),AND(50000&lt;P710,P710&lt;53501),AND(70000&lt;P710,P710&lt;72501)),$F710,IF(OR(AND(25001&lt;P710,P710&lt;27501),AND(53500&lt;P710,P710&lt;57001),AND(72500&lt;P710,P710&lt;75001)),$G710,IF(OR(AND(27500&lt;P710,P710&lt;30001),AND(57000&lt;P710,P710&lt;60001),AND(75000&lt;P710,P710&lt;77500)),$H710,VLOOKUP(P710,BDins,6,FALSE)))))</f>
        <v>20.81</v>
      </c>
      <c r="Q712">
        <f>IF(Q714&gt;10000,HLOOKUP(Q714,$O710:P713,4,FALSE),IF(OR(AND(22500&lt;Q710,Q710&lt;25001),AND(50000&lt;Q710,Q710&lt;53501),AND(70000&lt;Q710,Q710&lt;72501)),$F710,IF(OR(AND(25001&lt;Q710,Q710&lt;27501),AND(53500&lt;Q710,Q710&lt;57001),AND(72500&lt;Q710,Q710&lt;75001)),$G710,IF(OR(AND(27500&lt;Q710,Q710&lt;30001),AND(57000&lt;Q710,Q710&lt;60001),AND(75000&lt;Q710,Q710&lt;77500)),$H710,VLOOKUP(Q710,BDins,6,FALSE)))))</f>
        <v>500</v>
      </c>
      <c r="R712">
        <f>IF(R714&gt;10000,HLOOKUP(R714,$O710:Q713,4,FALSE),IF(OR(AND(22500&lt;R710,R710&lt;25001),AND(50000&lt;R710,R710&lt;53501),AND(70000&lt;R710,R710&lt;72501)),$F710,IF(OR(AND(25001&lt;R710,R710&lt;27501),AND(53500&lt;R710,R710&lt;57001),AND(72500&lt;R710,R710&lt;75001)),$G710,IF(OR(AND(27500&lt;R710,R710&lt;30001),AND(57000&lt;R710,R710&lt;60001),AND(75000&lt;R710,R710&lt;77500)),$H710,VLOOKUP(R710,BDins,6,FALSE)))))</f>
        <v>167.73</v>
      </c>
    </row>
    <row r="713" spans="1:18" x14ac:dyDescent="0.2">
      <c r="O713">
        <f>IF($K710&gt;0,ROUND(O711*$E710/100,DpCU),IF(O714&gt;10000,ROUND(HLOOKUP(O714,$O710:$R713,4,FALSE)/100*O711,DpCU),IF(OR(O710&lt;20001,O710&gt;95000,AND(60000&lt;O710,O710&lt;70001)),ROUND(ROUND(O711*JL/$C710,DcCU)*O712,DpCU),IF(OR(AND(20000&lt;O710,O710&lt;22501),AND(30000&lt;O710,O710&lt;50001),77500&lt;O710),ROUND(O712*O711,DpCU),IF(OR(AND(22500&lt;O710,O710&lt;25001),AND(50000&lt;O710,O710&lt;53501),AND(70000&lt;O710,O710&lt;72501)),ROUND($F710/100*O711,DpCU),IF(OR(AND(25000&lt;O710,O710&lt;27501),AND(53500&lt;O710,O710&lt;57001),AND(72500&lt;O710,O710&lt;75001)),ROUND($G710/100*O711,DpCU),ROUND($H710/100*O711,DpCU)))))))</f>
        <v>1.25</v>
      </c>
      <c r="P713">
        <f>IF($K710&gt;0,ROUND(P711*$E710/100,DpCU),IF(P714&gt;10000,ROUND(HLOOKUP(P714,$O710:$R713,4,FALSE)/100*P711,DpCU),IF(OR(P710&lt;20001,P710&gt;95000,AND(60000&lt;P710,P710&lt;70001)),ROUND(ROUND(P711*JL/$C710,DcCU)*P712,DpCU),IF(OR(AND(20000&lt;P710,P710&lt;22501),AND(30000&lt;P710,P710&lt;50001),77500&lt;P710),ROUND(P712*P711,DpCU),IF(OR(AND(22500&lt;P710,P710&lt;25001),AND(50000&lt;P710,P710&lt;53501),AND(70000&lt;P710,P710&lt;72501)),ROUND($F710/100*P711,DpCU),IF(OR(AND(25000&lt;P710,P710&lt;27501),AND(53500&lt;P710,P710&lt;57001),AND(72500&lt;P710,P710&lt;75001)),ROUND($G710/100*P711,DpCU),ROUND($H710/100*P711,DpCU)))))))</f>
        <v>166.48</v>
      </c>
      <c r="Q713">
        <f>IF($K710&gt;0,ROUND(Q711*$E710/100,DpCU),IF(Q714&gt;10000,ROUND(HLOOKUP(Q714,$O710:$R713,4,FALSE)/100*Q711,DpCU),IF(OR(Q710&lt;20001,Q710&gt;95000,AND(60000&lt;Q710,Q710&lt;70001)),ROUND(ROUND(Q711*JL/$C710,DcCU)*Q712,DpCU),IF(OR(AND(20000&lt;Q710,Q710&lt;22501),AND(30000&lt;Q710,Q710&lt;50001),77500&lt;Q710),ROUND(Q712*Q711,DpCU),IF(OR(AND(22500&lt;Q710,Q710&lt;25001),AND(50000&lt;Q710,Q710&lt;53501),AND(70000&lt;Q710,Q710&lt;72501)),ROUND($F710/100*Q711,DpCU),IF(OR(AND(25000&lt;Q710,Q710&lt;27501),AND(53500&lt;Q710,Q710&lt;57001),AND(72500&lt;Q710,Q710&lt;75001)),ROUND($G710/100*Q711,DpCU),ROUND($H710/100*Q711,DpCU)))))))</f>
        <v>350</v>
      </c>
      <c r="R713">
        <f>IF($K710&gt;0,ROUND(R711*$E710/100,DpCU),IF(R714&gt;10000,ROUND(HLOOKUP(R714,$O710:$R713,4,FALSE)/100*R711,DpCU),IF(OR(R710&lt;20001,R710&gt;95000,AND(60000&lt;R710,R710&lt;70001)),ROUND(ROUND(R711*JL/$C710,DcCU)*R712,DpCU),IF(OR(AND(20000&lt;R710,R710&lt;22501),AND(30000&lt;R710,R710&lt;50001),77500&lt;R710),ROUND(R712*R711,DpCU),IF(OR(AND(22500&lt;R710,R710&lt;25001),AND(50000&lt;R710,R710&lt;53501),AND(70000&lt;R710,R710&lt;72501)),ROUND($F710/100*R711,DpCU),IF(OR(AND(25000&lt;R710,R710&lt;27501),AND(53500&lt;R710,R710&lt;57001),AND(72500&lt;R710,R710&lt;75001)),ROUND($G710/100*R711,DpCU),ROUND($H710/100*R711,DpCU)))))))</f>
        <v>3.35</v>
      </c>
    </row>
    <row r="714" spans="1:18" x14ac:dyDescent="0.2">
      <c r="B714" s="3" t="str">
        <f>A710&amp;"r"</f>
        <v>10142r</v>
      </c>
    </row>
    <row r="715" spans="1:18" x14ac:dyDescent="0.2">
      <c r="A715">
        <v>10143</v>
      </c>
      <c r="B715" s="3" t="s">
        <v>753</v>
      </c>
      <c r="C715" s="1">
        <f>ROUND(J715*JL*Frto/8,4)</f>
        <v>50</v>
      </c>
      <c r="D715" t="s">
        <v>7</v>
      </c>
      <c r="E715">
        <f>SUM($O718:$R718)</f>
        <v>7.9200000000000008</v>
      </c>
      <c r="F715">
        <f>SUMIF($O715:$R715,"&lt;22501",$O718:$R718)</f>
        <v>3.73</v>
      </c>
      <c r="G715">
        <f>SUMIFS($O718:$R718,$O715:$R715,"&gt;30000",$O715:$R715,"&lt;50001")</f>
        <v>4</v>
      </c>
      <c r="H715">
        <f>SUMIFS($O718:$R718,$O715:$R715,"&gt;60000",$O715:$R715,"&lt;70001")</f>
        <v>0</v>
      </c>
      <c r="I715">
        <v>4</v>
      </c>
      <c r="J715">
        <v>50</v>
      </c>
      <c r="O715">
        <v>10001</v>
      </c>
      <c r="P715">
        <v>10002</v>
      </c>
      <c r="Q715">
        <v>30136</v>
      </c>
      <c r="R715">
        <v>70001</v>
      </c>
    </row>
    <row r="716" spans="1:18" x14ac:dyDescent="0.2">
      <c r="B716" s="3" t="str">
        <f>A715&amp;"C"</f>
        <v>10143C</v>
      </c>
      <c r="O716">
        <v>0.1</v>
      </c>
      <c r="P716">
        <v>1</v>
      </c>
      <c r="Q716">
        <v>0.5</v>
      </c>
      <c r="R716">
        <v>5</v>
      </c>
    </row>
    <row r="717" spans="1:18" x14ac:dyDescent="0.2">
      <c r="O717">
        <f>IF(O719&gt;10000,HLOOKUP(O719,N715:$O718,4,FALSE),IF(OR(AND(22500&lt;O715,O715&lt;25001),AND(50000&lt;O715,O715&lt;53501),AND(70000&lt;O715,O715&lt;72501)),$F715,IF(OR(AND(25001&lt;O715,O715&lt;27501),AND(53500&lt;O715,O715&lt;57001),AND(72500&lt;O715,O715&lt;75001)),$G715,IF(OR(AND(27500&lt;O715,O715&lt;30001),AND(57000&lt;O715,O715&lt;60001),AND(75000&lt;O715,O715&lt;77500)),$H715,VLOOKUP(O715,BDins,6,FALSE)))))</f>
        <v>24.97</v>
      </c>
      <c r="P717">
        <f>IF(P719&gt;10000,HLOOKUP(P719,O715:$O718,4,FALSE),IF(OR(AND(22500&lt;P715,P715&lt;25001),AND(50000&lt;P715,P715&lt;53501),AND(70000&lt;P715,P715&lt;72501)),$F715,IF(OR(AND(25001&lt;P715,P715&lt;27501),AND(53500&lt;P715,P715&lt;57001),AND(72500&lt;P715,P715&lt;75001)),$G715,IF(OR(AND(27500&lt;P715,P715&lt;30001),AND(57000&lt;P715,P715&lt;60001),AND(75000&lt;P715,P715&lt;77500)),$H715,VLOOKUP(P715,BDins,6,FALSE)))))</f>
        <v>20.81</v>
      </c>
      <c r="Q717">
        <f>IF(Q719&gt;10000,HLOOKUP(Q719,$O715:P718,4,FALSE),IF(OR(AND(22500&lt;Q715,Q715&lt;25001),AND(50000&lt;Q715,Q715&lt;53501),AND(70000&lt;Q715,Q715&lt;72501)),$F715,IF(OR(AND(25001&lt;Q715,Q715&lt;27501),AND(53500&lt;Q715,Q715&lt;57001),AND(72500&lt;Q715,Q715&lt;75001)),$G715,IF(OR(AND(27500&lt;Q715,Q715&lt;30001),AND(57000&lt;Q715,Q715&lt;60001),AND(75000&lt;Q715,Q715&lt;77500)),$H715,VLOOKUP(Q715,BDins,6,FALSE)))))</f>
        <v>8</v>
      </c>
      <c r="R717">
        <f>IF(R719&gt;10000,HLOOKUP(R719,$O715:Q718,4,FALSE),IF(OR(AND(22500&lt;R715,R715&lt;25001),AND(50000&lt;R715,R715&lt;53501),AND(70000&lt;R715,R715&lt;72501)),$F715,IF(OR(AND(25001&lt;R715,R715&lt;27501),AND(53500&lt;R715,R715&lt;57001),AND(72500&lt;R715,R715&lt;75001)),$G715,IF(OR(AND(27500&lt;R715,R715&lt;30001),AND(57000&lt;R715,R715&lt;60001),AND(75000&lt;R715,R715&lt;77500)),$H715,VLOOKUP(R715,BDins,6,FALSE)))))</f>
        <v>3.73</v>
      </c>
    </row>
    <row r="718" spans="1:18" x14ac:dyDescent="0.2">
      <c r="O718">
        <f>IF($K715&gt;0,ROUND(O716*$E715/100,DpCU),IF(O719&gt;10000,ROUND(HLOOKUP(O719,$O715:$R718,4,FALSE)/100*O716,DpCU),IF(OR(O715&lt;20001,O715&gt;95000,AND(60000&lt;O715,O715&lt;70001)),ROUND(ROUND(O716*JL/$C715,DcCU)*O717,DpCU),IF(OR(AND(20000&lt;O715,O715&lt;22501),AND(30000&lt;O715,O715&lt;50001),77500&lt;O715),ROUND(O717*O716,DpCU),IF(OR(AND(22500&lt;O715,O715&lt;25001),AND(50000&lt;O715,O715&lt;53501),AND(70000&lt;O715,O715&lt;72501)),ROUND($F715/100*O716,DpCU),IF(OR(AND(25000&lt;O715,O715&lt;27501),AND(53500&lt;O715,O715&lt;57001),AND(72500&lt;O715,O715&lt;75001)),ROUND($G715/100*O716,DpCU),ROUND($H715/100*O716,DpCU)))))))</f>
        <v>0.4</v>
      </c>
      <c r="P718">
        <f>IF($K715&gt;0,ROUND(P716*$E715/100,DpCU),IF(P719&gt;10000,ROUND(HLOOKUP(P719,$O715:$R718,4,FALSE)/100*P716,DpCU),IF(OR(P715&lt;20001,P715&gt;95000,AND(60000&lt;P715,P715&lt;70001)),ROUND(ROUND(P716*JL/$C715,DcCU)*P717,DpCU),IF(OR(AND(20000&lt;P715,P715&lt;22501),AND(30000&lt;P715,P715&lt;50001),77500&lt;P715),ROUND(P717*P716,DpCU),IF(OR(AND(22500&lt;P715,P715&lt;25001),AND(50000&lt;P715,P715&lt;53501),AND(70000&lt;P715,P715&lt;72501)),ROUND($F715/100*P716,DpCU),IF(OR(AND(25000&lt;P715,P715&lt;27501),AND(53500&lt;P715,P715&lt;57001),AND(72500&lt;P715,P715&lt;75001)),ROUND($G715/100*P716,DpCU),ROUND($H715/100*P716,DpCU)))))))</f>
        <v>3.33</v>
      </c>
      <c r="Q718">
        <f>IF($K715&gt;0,ROUND(Q716*$E715/100,DpCU),IF(Q719&gt;10000,ROUND(HLOOKUP(Q719,$O715:$R718,4,FALSE)/100*Q716,DpCU),IF(OR(Q715&lt;20001,Q715&gt;95000,AND(60000&lt;Q715,Q715&lt;70001)),ROUND(ROUND(Q716*JL/$C715,DcCU)*Q717,DpCU),IF(OR(AND(20000&lt;Q715,Q715&lt;22501),AND(30000&lt;Q715,Q715&lt;50001),77500&lt;Q715),ROUND(Q717*Q716,DpCU),IF(OR(AND(22500&lt;Q715,Q715&lt;25001),AND(50000&lt;Q715,Q715&lt;53501),AND(70000&lt;Q715,Q715&lt;72501)),ROUND($F715/100*Q716,DpCU),IF(OR(AND(25000&lt;Q715,Q715&lt;27501),AND(53500&lt;Q715,Q715&lt;57001),AND(72500&lt;Q715,Q715&lt;75001)),ROUND($G715/100*Q716,DpCU),ROUND($H715/100*Q716,DpCU)))))))</f>
        <v>4</v>
      </c>
      <c r="R718">
        <f>IF($K715&gt;0,ROUND(R716*$E715/100,DpCU),IF(R719&gt;10000,ROUND(HLOOKUP(R719,$O715:$R718,4,FALSE)/100*R716,DpCU),IF(OR(R715&lt;20001,R715&gt;95000,AND(60000&lt;R715,R715&lt;70001)),ROUND(ROUND(R716*JL/$C715,DcCU)*R717,DpCU),IF(OR(AND(20000&lt;R715,R715&lt;22501),AND(30000&lt;R715,R715&lt;50001),77500&lt;R715),ROUND(R717*R716,DpCU),IF(OR(AND(22500&lt;R715,R715&lt;25001),AND(50000&lt;R715,R715&lt;53501),AND(70000&lt;R715,R715&lt;72501)),ROUND($F715/100*R716,DpCU),IF(OR(AND(25000&lt;R715,R715&lt;27501),AND(53500&lt;R715,R715&lt;57001),AND(72500&lt;R715,R715&lt;75001)),ROUND($G715/100*R716,DpCU),ROUND($H715/100*R716,DpCU)))))))</f>
        <v>0.19</v>
      </c>
    </row>
    <row r="719" spans="1:18" x14ac:dyDescent="0.2">
      <c r="B719" s="3" t="str">
        <f>A715&amp;"r"</f>
        <v>10143r</v>
      </c>
    </row>
    <row r="720" spans="1:18" x14ac:dyDescent="0.2">
      <c r="A720">
        <v>10144</v>
      </c>
      <c r="B720" s="3" t="s">
        <v>756</v>
      </c>
      <c r="C720" s="1">
        <f>ROUND(J720*JL*Frto/8,4)</f>
        <v>50</v>
      </c>
      <c r="D720" t="s">
        <v>7</v>
      </c>
      <c r="E720">
        <f>SUM($O723:$R723)</f>
        <v>7.2700000000000005</v>
      </c>
      <c r="F720">
        <f>SUMIF($O720:$R720,"&lt;22501",$O723:$R723)</f>
        <v>3.73</v>
      </c>
      <c r="G720">
        <f>SUMIFS($O723:$R723,$O720:$R720,"&gt;30000",$O720:$R720,"&lt;50001")</f>
        <v>3.35</v>
      </c>
      <c r="H720">
        <f>SUMIFS($O723:$R723,$O720:$R720,"&gt;60000",$O720:$R720,"&lt;70001")</f>
        <v>0</v>
      </c>
      <c r="I720">
        <v>4</v>
      </c>
      <c r="J720">
        <v>50</v>
      </c>
      <c r="O720">
        <v>10001</v>
      </c>
      <c r="P720">
        <v>10002</v>
      </c>
      <c r="Q720">
        <v>30137</v>
      </c>
      <c r="R720">
        <v>70001</v>
      </c>
    </row>
    <row r="721" spans="1:18" x14ac:dyDescent="0.2">
      <c r="B721" s="3" t="str">
        <f>A720&amp;"C"</f>
        <v>10144C</v>
      </c>
      <c r="O721">
        <v>0.1</v>
      </c>
      <c r="P721">
        <v>1</v>
      </c>
      <c r="Q721">
        <v>0.5</v>
      </c>
      <c r="R721">
        <v>5</v>
      </c>
    </row>
    <row r="722" spans="1:18" x14ac:dyDescent="0.2">
      <c r="O722">
        <f>IF(O724&gt;10000,HLOOKUP(O724,N720:$O723,4,FALSE),IF(OR(AND(22500&lt;O720,O720&lt;25001),AND(50000&lt;O720,O720&lt;53501),AND(70000&lt;O720,O720&lt;72501)),$F720,IF(OR(AND(25001&lt;O720,O720&lt;27501),AND(53500&lt;O720,O720&lt;57001),AND(72500&lt;O720,O720&lt;75001)),$G720,IF(OR(AND(27500&lt;O720,O720&lt;30001),AND(57000&lt;O720,O720&lt;60001),AND(75000&lt;O720,O720&lt;77500)),$H720,VLOOKUP(O720,BDins,6,FALSE)))))</f>
        <v>24.97</v>
      </c>
      <c r="P722">
        <f>IF(P724&gt;10000,HLOOKUP(P724,O720:$O723,4,FALSE),IF(OR(AND(22500&lt;P720,P720&lt;25001),AND(50000&lt;P720,P720&lt;53501),AND(70000&lt;P720,P720&lt;72501)),$F720,IF(OR(AND(25001&lt;P720,P720&lt;27501),AND(53500&lt;P720,P720&lt;57001),AND(72500&lt;P720,P720&lt;75001)),$G720,IF(OR(AND(27500&lt;P720,P720&lt;30001),AND(57000&lt;P720,P720&lt;60001),AND(75000&lt;P720,P720&lt;77500)),$H720,VLOOKUP(P720,BDins,6,FALSE)))))</f>
        <v>20.81</v>
      </c>
      <c r="Q722">
        <f>IF(Q724&gt;10000,HLOOKUP(Q724,$O720:P723,4,FALSE),IF(OR(AND(22500&lt;Q720,Q720&lt;25001),AND(50000&lt;Q720,Q720&lt;53501),AND(70000&lt;Q720,Q720&lt;72501)),$F720,IF(OR(AND(25001&lt;Q720,Q720&lt;27501),AND(53500&lt;Q720,Q720&lt;57001),AND(72500&lt;Q720,Q720&lt;75001)),$G720,IF(OR(AND(27500&lt;Q720,Q720&lt;30001),AND(57000&lt;Q720,Q720&lt;60001),AND(75000&lt;Q720,Q720&lt;77500)),$H720,VLOOKUP(Q720,BDins,6,FALSE)))))</f>
        <v>6.7</v>
      </c>
      <c r="R722">
        <f>IF(R724&gt;10000,HLOOKUP(R724,$O720:Q723,4,FALSE),IF(OR(AND(22500&lt;R720,R720&lt;25001),AND(50000&lt;R720,R720&lt;53501),AND(70000&lt;R720,R720&lt;72501)),$F720,IF(OR(AND(25001&lt;R720,R720&lt;27501),AND(53500&lt;R720,R720&lt;57001),AND(72500&lt;R720,R720&lt;75001)),$G720,IF(OR(AND(27500&lt;R720,R720&lt;30001),AND(57000&lt;R720,R720&lt;60001),AND(75000&lt;R720,R720&lt;77500)),$H720,VLOOKUP(R720,BDins,6,FALSE)))))</f>
        <v>3.73</v>
      </c>
    </row>
    <row r="723" spans="1:18" x14ac:dyDescent="0.2">
      <c r="O723">
        <f>IF($K720&gt;0,ROUND(O721*$E720/100,DpCU),IF(O724&gt;10000,ROUND(HLOOKUP(O724,$O720:$R723,4,FALSE)/100*O721,DpCU),IF(OR(O720&lt;20001,O720&gt;95000,AND(60000&lt;O720,O720&lt;70001)),ROUND(ROUND(O721*JL/$C720,DcCU)*O722,DpCU),IF(OR(AND(20000&lt;O720,O720&lt;22501),AND(30000&lt;O720,O720&lt;50001),77500&lt;O720),ROUND(O722*O721,DpCU),IF(OR(AND(22500&lt;O720,O720&lt;25001),AND(50000&lt;O720,O720&lt;53501),AND(70000&lt;O720,O720&lt;72501)),ROUND($F720/100*O721,DpCU),IF(OR(AND(25000&lt;O720,O720&lt;27501),AND(53500&lt;O720,O720&lt;57001),AND(72500&lt;O720,O720&lt;75001)),ROUND($G720/100*O721,DpCU),ROUND($H720/100*O721,DpCU)))))))</f>
        <v>0.4</v>
      </c>
      <c r="P723">
        <f>IF($K720&gt;0,ROUND(P721*$E720/100,DpCU),IF(P724&gt;10000,ROUND(HLOOKUP(P724,$O720:$R723,4,FALSE)/100*P721,DpCU),IF(OR(P720&lt;20001,P720&gt;95000,AND(60000&lt;P720,P720&lt;70001)),ROUND(ROUND(P721*JL/$C720,DcCU)*P722,DpCU),IF(OR(AND(20000&lt;P720,P720&lt;22501),AND(30000&lt;P720,P720&lt;50001),77500&lt;P720),ROUND(P722*P721,DpCU),IF(OR(AND(22500&lt;P720,P720&lt;25001),AND(50000&lt;P720,P720&lt;53501),AND(70000&lt;P720,P720&lt;72501)),ROUND($F720/100*P721,DpCU),IF(OR(AND(25000&lt;P720,P720&lt;27501),AND(53500&lt;P720,P720&lt;57001),AND(72500&lt;P720,P720&lt;75001)),ROUND($G720/100*P721,DpCU),ROUND($H720/100*P721,DpCU)))))))</f>
        <v>3.33</v>
      </c>
      <c r="Q723">
        <f>IF($K720&gt;0,ROUND(Q721*$E720/100,DpCU),IF(Q724&gt;10000,ROUND(HLOOKUP(Q724,$O720:$R723,4,FALSE)/100*Q721,DpCU),IF(OR(Q720&lt;20001,Q720&gt;95000,AND(60000&lt;Q720,Q720&lt;70001)),ROUND(ROUND(Q721*JL/$C720,DcCU)*Q722,DpCU),IF(OR(AND(20000&lt;Q720,Q720&lt;22501),AND(30000&lt;Q720,Q720&lt;50001),77500&lt;Q720),ROUND(Q722*Q721,DpCU),IF(OR(AND(22500&lt;Q720,Q720&lt;25001),AND(50000&lt;Q720,Q720&lt;53501),AND(70000&lt;Q720,Q720&lt;72501)),ROUND($F720/100*Q721,DpCU),IF(OR(AND(25000&lt;Q720,Q720&lt;27501),AND(53500&lt;Q720,Q720&lt;57001),AND(72500&lt;Q720,Q720&lt;75001)),ROUND($G720/100*Q721,DpCU),ROUND($H720/100*Q721,DpCU)))))))</f>
        <v>3.35</v>
      </c>
      <c r="R723">
        <f>IF($K720&gt;0,ROUND(R721*$E720/100,DpCU),IF(R724&gt;10000,ROUND(HLOOKUP(R724,$O720:$R723,4,FALSE)/100*R721,DpCU),IF(OR(R720&lt;20001,R720&gt;95000,AND(60000&lt;R720,R720&lt;70001)),ROUND(ROUND(R721*JL/$C720,DcCU)*R722,DpCU),IF(OR(AND(20000&lt;R720,R720&lt;22501),AND(30000&lt;R720,R720&lt;50001),77500&lt;R720),ROUND(R722*R721,DpCU),IF(OR(AND(22500&lt;R720,R720&lt;25001),AND(50000&lt;R720,R720&lt;53501),AND(70000&lt;R720,R720&lt;72501)),ROUND($F720/100*R721,DpCU),IF(OR(AND(25000&lt;R720,R720&lt;27501),AND(53500&lt;R720,R720&lt;57001),AND(72500&lt;R720,R720&lt;75001)),ROUND($G720/100*R721,DpCU),ROUND($H720/100*R721,DpCU)))))))</f>
        <v>0.19</v>
      </c>
    </row>
    <row r="724" spans="1:18" x14ac:dyDescent="0.2">
      <c r="B724" s="3" t="str">
        <f>A720&amp;"r"</f>
        <v>10144r</v>
      </c>
    </row>
    <row r="725" spans="1:18" x14ac:dyDescent="0.2">
      <c r="A725">
        <v>10145</v>
      </c>
      <c r="B725" s="3" t="s">
        <v>761</v>
      </c>
      <c r="C725" s="1">
        <f>ROUND(J725*JL*Frto/8,4)</f>
        <v>4</v>
      </c>
      <c r="D725" t="s">
        <v>7</v>
      </c>
      <c r="E725">
        <f>SUM($O728:$O728)</f>
        <v>150</v>
      </c>
      <c r="F725">
        <f>SUMIF($O725:$O725,"&lt;22501",$O728:$O728)</f>
        <v>0</v>
      </c>
      <c r="G725">
        <f>SUMIFS($O728:$O728,$O725:$O725,"&gt;30000",$O725:$O725,"&lt;50001")</f>
        <v>150</v>
      </c>
      <c r="H725">
        <f>SUMIFS($O728:$O728,$O725:$O725,"&gt;60000",$O725:$O725,"&lt;70001")</f>
        <v>0</v>
      </c>
      <c r="I725">
        <v>1</v>
      </c>
      <c r="J725">
        <v>4</v>
      </c>
      <c r="O725">
        <v>30138</v>
      </c>
    </row>
    <row r="726" spans="1:18" x14ac:dyDescent="0.2">
      <c r="B726" s="3" t="str">
        <f>A725&amp;"C"</f>
        <v>10145C</v>
      </c>
      <c r="O726">
        <v>1</v>
      </c>
    </row>
    <row r="727" spans="1:18" x14ac:dyDescent="0.2">
      <c r="O727">
        <f>IF(O729&gt;10000,HLOOKUP(O729,N725:$O728,4,FALSE),IF(OR(AND(22500&lt;O725,O725&lt;25001),AND(50000&lt;O725,O725&lt;53501),AND(70000&lt;O725,O725&lt;72501)),$F725,IF(OR(AND(25001&lt;O725,O725&lt;27501),AND(53500&lt;O725,O725&lt;57001),AND(72500&lt;O725,O725&lt;75001)),$G725,IF(OR(AND(27500&lt;O725,O725&lt;30001),AND(57000&lt;O725,O725&lt;60001),AND(75000&lt;O725,O725&lt;77500)),$H725,VLOOKUP(O725,BDins,6,FALSE)))))</f>
        <v>150</v>
      </c>
    </row>
    <row r="728" spans="1:18" x14ac:dyDescent="0.2">
      <c r="O728">
        <f>IF($K725&gt;0,ROUND(O726*$E725/100,DpCU),IF(O729&gt;10000,ROUND(HLOOKUP(O729,$O725:$O728,4,FALSE)/100*O726,DpCU),IF(OR(O725&lt;20001,O725&gt;95000,AND(60000&lt;O725,O725&lt;70001)),ROUND(ROUND(O726*JL/$C725,DcCU)*O727,DpCU),IF(OR(AND(20000&lt;O725,O725&lt;22501),AND(30000&lt;O725,O725&lt;50001),77500&lt;O725),ROUND(O727*O726,DpCU),IF(OR(AND(22500&lt;O725,O725&lt;25001),AND(50000&lt;O725,O725&lt;53501),AND(70000&lt;O725,O725&lt;72501)),ROUND($F725/100*O726,DpCU),IF(OR(AND(25000&lt;O725,O725&lt;27501),AND(53500&lt;O725,O725&lt;57001),AND(72500&lt;O725,O725&lt;75001)),ROUND($G725/100*O726,DpCU),ROUND($H725/100*O726,DpCU)))))))</f>
        <v>150</v>
      </c>
    </row>
    <row r="729" spans="1:18" x14ac:dyDescent="0.2">
      <c r="B729" s="3" t="str">
        <f>A725&amp;"r"</f>
        <v>10145r</v>
      </c>
    </row>
    <row r="730" spans="1:18" x14ac:dyDescent="0.2">
      <c r="A730">
        <v>10146</v>
      </c>
      <c r="B730" s="3" t="s">
        <v>764</v>
      </c>
      <c r="C730" s="1">
        <f>ROUND(J730*JL*Frto/8,4)</f>
        <v>4</v>
      </c>
      <c r="D730" t="s">
        <v>7</v>
      </c>
      <c r="E730">
        <f>SUM($O733:$O733)</f>
        <v>18.5</v>
      </c>
      <c r="F730">
        <f>SUMIF($O730:$O730,"&lt;22501",$O733:$O733)</f>
        <v>0</v>
      </c>
      <c r="G730">
        <f>SUMIFS($O733:$O733,$O730:$O730,"&gt;30000",$O730:$O730,"&lt;50001")</f>
        <v>18.5</v>
      </c>
      <c r="H730">
        <f>SUMIFS($O733:$O733,$O730:$O730,"&gt;60000",$O730:$O730,"&lt;70001")</f>
        <v>0</v>
      </c>
      <c r="I730">
        <v>1</v>
      </c>
      <c r="J730">
        <v>4</v>
      </c>
      <c r="O730">
        <v>30139</v>
      </c>
    </row>
    <row r="731" spans="1:18" x14ac:dyDescent="0.2">
      <c r="B731" s="3" t="str">
        <f>A730&amp;"C"</f>
        <v>10146C</v>
      </c>
      <c r="O731">
        <v>1</v>
      </c>
    </row>
    <row r="732" spans="1:18" x14ac:dyDescent="0.2">
      <c r="O732">
        <f>IF(O734&gt;10000,HLOOKUP(O734,N730:$O733,4,FALSE),IF(OR(AND(22500&lt;O730,O730&lt;25001),AND(50000&lt;O730,O730&lt;53501),AND(70000&lt;O730,O730&lt;72501)),$F730,IF(OR(AND(25001&lt;O730,O730&lt;27501),AND(53500&lt;O730,O730&lt;57001),AND(72500&lt;O730,O730&lt;75001)),$G730,IF(OR(AND(27500&lt;O730,O730&lt;30001),AND(57000&lt;O730,O730&lt;60001),AND(75000&lt;O730,O730&lt;77500)),$H730,VLOOKUP(O730,BDins,6,FALSE)))))</f>
        <v>18.5</v>
      </c>
    </row>
    <row r="733" spans="1:18" x14ac:dyDescent="0.2">
      <c r="O733">
        <f>IF($K730&gt;0,ROUND(O731*$E730/100,DpCU),IF(O734&gt;10000,ROUND(HLOOKUP(O734,$O730:$O733,4,FALSE)/100*O731,DpCU),IF(OR(O730&lt;20001,O730&gt;95000,AND(60000&lt;O730,O730&lt;70001)),ROUND(ROUND(O731*JL/$C730,DcCU)*O732,DpCU),IF(OR(AND(20000&lt;O730,O730&lt;22501),AND(30000&lt;O730,O730&lt;50001),77500&lt;O730),ROUND(O732*O731,DpCU),IF(OR(AND(22500&lt;O730,O730&lt;25001),AND(50000&lt;O730,O730&lt;53501),AND(70000&lt;O730,O730&lt;72501)),ROUND($F730/100*O731,DpCU),IF(OR(AND(25000&lt;O730,O730&lt;27501),AND(53500&lt;O730,O730&lt;57001),AND(72500&lt;O730,O730&lt;75001)),ROUND($G730/100*O731,DpCU),ROUND($H730/100*O731,DpCU)))))))</f>
        <v>18.5</v>
      </c>
    </row>
    <row r="734" spans="1:18" x14ac:dyDescent="0.2">
      <c r="B734" s="3" t="str">
        <f>A730&amp;"r"</f>
        <v>10146r</v>
      </c>
    </row>
    <row r="735" spans="1:18" x14ac:dyDescent="0.2">
      <c r="A735">
        <v>10147</v>
      </c>
      <c r="B735" s="3" t="s">
        <v>767</v>
      </c>
      <c r="C735" s="1">
        <f>ROUND(J735*JL*Frto/8,4)</f>
        <v>1</v>
      </c>
      <c r="D735" t="s">
        <v>7</v>
      </c>
      <c r="E735">
        <f>SUM($O738:$O738)</f>
        <v>18.5</v>
      </c>
      <c r="F735">
        <f>SUMIF($O735:$O735,"&lt;22501",$O738:$O738)</f>
        <v>0</v>
      </c>
      <c r="G735">
        <f>SUMIFS($O738:$O738,$O735:$O735,"&gt;30000",$O735:$O735,"&lt;50001")</f>
        <v>18.5</v>
      </c>
      <c r="H735">
        <f>SUMIFS($O738:$O738,$O735:$O735,"&gt;60000",$O735:$O735,"&lt;70001")</f>
        <v>0</v>
      </c>
      <c r="I735">
        <v>1</v>
      </c>
      <c r="J735">
        <v>1</v>
      </c>
      <c r="O735">
        <v>30140</v>
      </c>
    </row>
    <row r="736" spans="1:18" x14ac:dyDescent="0.2">
      <c r="B736" s="3" t="str">
        <f>A735&amp;"C"</f>
        <v>10147C</v>
      </c>
      <c r="O736">
        <v>1</v>
      </c>
    </row>
    <row r="737" spans="1:18" x14ac:dyDescent="0.2">
      <c r="O737">
        <f>IF(O739&gt;10000,HLOOKUP(O739,N735:$O738,4,FALSE),IF(OR(AND(22500&lt;O735,O735&lt;25001),AND(50000&lt;O735,O735&lt;53501),AND(70000&lt;O735,O735&lt;72501)),$F735,IF(OR(AND(25001&lt;O735,O735&lt;27501),AND(53500&lt;O735,O735&lt;57001),AND(72500&lt;O735,O735&lt;75001)),$G735,IF(OR(AND(27500&lt;O735,O735&lt;30001),AND(57000&lt;O735,O735&lt;60001),AND(75000&lt;O735,O735&lt;77500)),$H735,VLOOKUP(O735,BDins,6,FALSE)))))</f>
        <v>18.5</v>
      </c>
    </row>
    <row r="738" spans="1:18" x14ac:dyDescent="0.2">
      <c r="O738">
        <f>IF($K735&gt;0,ROUND(O736*$E735/100,DpCU),IF(O739&gt;10000,ROUND(HLOOKUP(O739,$O735:$O738,4,FALSE)/100*O736,DpCU),IF(OR(O735&lt;20001,O735&gt;95000,AND(60000&lt;O735,O735&lt;70001)),ROUND(ROUND(O736*JL/$C735,DcCU)*O737,DpCU),IF(OR(AND(20000&lt;O735,O735&lt;22501),AND(30000&lt;O735,O735&lt;50001),77500&lt;O735),ROUND(O737*O736,DpCU),IF(OR(AND(22500&lt;O735,O735&lt;25001),AND(50000&lt;O735,O735&lt;53501),AND(70000&lt;O735,O735&lt;72501)),ROUND($F735/100*O736,DpCU),IF(OR(AND(25000&lt;O735,O735&lt;27501),AND(53500&lt;O735,O735&lt;57001),AND(72500&lt;O735,O735&lt;75001)),ROUND($G735/100*O736,DpCU),ROUND($H735/100*O736,DpCU)))))))</f>
        <v>18.5</v>
      </c>
    </row>
    <row r="739" spans="1:18" x14ac:dyDescent="0.2">
      <c r="B739" s="3" t="str">
        <f>A735&amp;"r"</f>
        <v>10147r</v>
      </c>
    </row>
    <row r="740" spans="1:18" x14ac:dyDescent="0.2">
      <c r="A740">
        <v>10148</v>
      </c>
      <c r="B740" s="3" t="s">
        <v>770</v>
      </c>
      <c r="C740" s="1">
        <f>ROUND(J740*JL*Frto/8,4)</f>
        <v>4</v>
      </c>
      <c r="D740" t="s">
        <v>7</v>
      </c>
      <c r="E740">
        <f>SUM($O743:$O743)</f>
        <v>45.8</v>
      </c>
      <c r="F740">
        <f>SUMIF($O740:$O740,"&lt;22501",$O743:$O743)</f>
        <v>0</v>
      </c>
      <c r="G740">
        <f>SUMIFS($O743:$O743,$O740:$O740,"&gt;30000",$O740:$O740,"&lt;50001")</f>
        <v>45.8</v>
      </c>
      <c r="H740">
        <f>SUMIFS($O743:$O743,$O740:$O740,"&gt;60000",$O740:$O740,"&lt;70001")</f>
        <v>0</v>
      </c>
      <c r="I740">
        <v>1</v>
      </c>
      <c r="J740">
        <v>4</v>
      </c>
      <c r="O740">
        <v>30003</v>
      </c>
    </row>
    <row r="741" spans="1:18" x14ac:dyDescent="0.2">
      <c r="B741" s="3" t="str">
        <f>A740&amp;"C"</f>
        <v>10148C</v>
      </c>
      <c r="O741">
        <v>1</v>
      </c>
    </row>
    <row r="742" spans="1:18" x14ac:dyDescent="0.2">
      <c r="O742">
        <f>IF(O744&gt;10000,HLOOKUP(O744,N740:$O743,4,FALSE),IF(OR(AND(22500&lt;O740,O740&lt;25001),AND(50000&lt;O740,O740&lt;53501),AND(70000&lt;O740,O740&lt;72501)),$F740,IF(OR(AND(25001&lt;O740,O740&lt;27501),AND(53500&lt;O740,O740&lt;57001),AND(72500&lt;O740,O740&lt;75001)),$G740,IF(OR(AND(27500&lt;O740,O740&lt;30001),AND(57000&lt;O740,O740&lt;60001),AND(75000&lt;O740,O740&lt;77500)),$H740,VLOOKUP(O740,BDins,6,FALSE)))))</f>
        <v>45.8</v>
      </c>
    </row>
    <row r="743" spans="1:18" x14ac:dyDescent="0.2">
      <c r="O743">
        <f>IF($K740&gt;0,ROUND(O741*$E740/100,DpCU),IF(O744&gt;10000,ROUND(HLOOKUP(O744,$O740:$O743,4,FALSE)/100*O741,DpCU),IF(OR(O740&lt;20001,O740&gt;95000,AND(60000&lt;O740,O740&lt;70001)),ROUND(ROUND(O741*JL/$C740,DcCU)*O742,DpCU),IF(OR(AND(20000&lt;O740,O740&lt;22501),AND(30000&lt;O740,O740&lt;50001),77500&lt;O740),ROUND(O742*O741,DpCU),IF(OR(AND(22500&lt;O740,O740&lt;25001),AND(50000&lt;O740,O740&lt;53501),AND(70000&lt;O740,O740&lt;72501)),ROUND($F740/100*O741,DpCU),IF(OR(AND(25000&lt;O740,O740&lt;27501),AND(53500&lt;O740,O740&lt;57001),AND(72500&lt;O740,O740&lt;75001)),ROUND($G740/100*O741,DpCU),ROUND($H740/100*O741,DpCU)))))))</f>
        <v>45.8</v>
      </c>
    </row>
    <row r="744" spans="1:18" x14ac:dyDescent="0.2">
      <c r="B744" s="3" t="str">
        <f>A740&amp;"r"</f>
        <v>10148r</v>
      </c>
    </row>
    <row r="745" spans="1:18" x14ac:dyDescent="0.2">
      <c r="A745">
        <v>10149</v>
      </c>
      <c r="B745" s="3" t="s">
        <v>772</v>
      </c>
      <c r="C745" s="1">
        <f>ROUND(J745*JL*Frto/8,4)</f>
        <v>2</v>
      </c>
      <c r="D745" t="s">
        <v>7</v>
      </c>
      <c r="E745">
        <f>SUM($O748:$R748)</f>
        <v>306.03000000000003</v>
      </c>
      <c r="F745">
        <f>SUMIF($O745:$R745,"&lt;22501",$O748:$R748)</f>
        <v>93.22999999999999</v>
      </c>
      <c r="G745">
        <f>SUMIFS($O748:$R748,$O745:$R745,"&gt;30000",$O745:$R745,"&lt;50001")</f>
        <v>210</v>
      </c>
      <c r="H745">
        <f>SUMIFS($O748:$R748,$O745:$R745,"&gt;60000",$O745:$R745,"&lt;70001")</f>
        <v>0</v>
      </c>
      <c r="I745">
        <v>4</v>
      </c>
      <c r="J745">
        <v>2</v>
      </c>
      <c r="O745">
        <v>10001</v>
      </c>
      <c r="P745">
        <v>10002</v>
      </c>
      <c r="Q745">
        <v>30141</v>
      </c>
      <c r="R745">
        <v>70001</v>
      </c>
    </row>
    <row r="746" spans="1:18" x14ac:dyDescent="0.2">
      <c r="B746" s="3" t="str">
        <f>A745&amp;"C"</f>
        <v>10149C</v>
      </c>
      <c r="O746">
        <v>0.1</v>
      </c>
      <c r="P746">
        <v>1</v>
      </c>
      <c r="Q746">
        <v>1</v>
      </c>
      <c r="R746">
        <v>3</v>
      </c>
    </row>
    <row r="747" spans="1:18" x14ac:dyDescent="0.2">
      <c r="O747">
        <f>IF(O749&gt;10000,HLOOKUP(O749,N745:$O748,4,FALSE),IF(OR(AND(22500&lt;O745,O745&lt;25001),AND(50000&lt;O745,O745&lt;53501),AND(70000&lt;O745,O745&lt;72501)),$F745,IF(OR(AND(25001&lt;O745,O745&lt;27501),AND(53500&lt;O745,O745&lt;57001),AND(72500&lt;O745,O745&lt;75001)),$G745,IF(OR(AND(27500&lt;O745,O745&lt;30001),AND(57000&lt;O745,O745&lt;60001),AND(75000&lt;O745,O745&lt;77500)),$H745,VLOOKUP(O745,BDins,6,FALSE)))))</f>
        <v>24.97</v>
      </c>
      <c r="P747">
        <f>IF(P749&gt;10000,HLOOKUP(P749,O745:$O748,4,FALSE),IF(OR(AND(22500&lt;P745,P745&lt;25001),AND(50000&lt;P745,P745&lt;53501),AND(70000&lt;P745,P745&lt;72501)),$F745,IF(OR(AND(25001&lt;P745,P745&lt;27501),AND(53500&lt;P745,P745&lt;57001),AND(72500&lt;P745,P745&lt;75001)),$G745,IF(OR(AND(27500&lt;P745,P745&lt;30001),AND(57000&lt;P745,P745&lt;60001),AND(75000&lt;P745,P745&lt;77500)),$H745,VLOOKUP(P745,BDins,6,FALSE)))))</f>
        <v>20.81</v>
      </c>
      <c r="Q747">
        <f>IF(Q749&gt;10000,HLOOKUP(Q749,$O745:P748,4,FALSE),IF(OR(AND(22500&lt;Q745,Q745&lt;25001),AND(50000&lt;Q745,Q745&lt;53501),AND(70000&lt;Q745,Q745&lt;72501)),$F745,IF(OR(AND(25001&lt;Q745,Q745&lt;27501),AND(53500&lt;Q745,Q745&lt;57001),AND(72500&lt;Q745,Q745&lt;75001)),$G745,IF(OR(AND(27500&lt;Q745,Q745&lt;30001),AND(57000&lt;Q745,Q745&lt;60001),AND(75000&lt;Q745,Q745&lt;77500)),$H745,VLOOKUP(Q745,BDins,6,FALSE)))))</f>
        <v>210</v>
      </c>
      <c r="R747">
        <f>IF(R749&gt;10000,HLOOKUP(R749,$O745:Q748,4,FALSE),IF(OR(AND(22500&lt;R745,R745&lt;25001),AND(50000&lt;R745,R745&lt;53501),AND(70000&lt;R745,R745&lt;72501)),$F745,IF(OR(AND(25001&lt;R745,R745&lt;27501),AND(53500&lt;R745,R745&lt;57001),AND(72500&lt;R745,R745&lt;75001)),$G745,IF(OR(AND(27500&lt;R745,R745&lt;30001),AND(57000&lt;R745,R745&lt;60001),AND(75000&lt;R745,R745&lt;77500)),$H745,VLOOKUP(R745,BDins,6,FALSE)))))</f>
        <v>93.22999999999999</v>
      </c>
    </row>
    <row r="748" spans="1:18" x14ac:dyDescent="0.2">
      <c r="O748">
        <f>IF($K745&gt;0,ROUND(O746*$E745/100,DpCU),IF(O749&gt;10000,ROUND(HLOOKUP(O749,$O745:$R748,4,FALSE)/100*O746,DpCU),IF(OR(O745&lt;20001,O745&gt;95000,AND(60000&lt;O745,O745&lt;70001)),ROUND(ROUND(O746*JL/$C745,DcCU)*O747,DpCU),IF(OR(AND(20000&lt;O745,O745&lt;22501),AND(30000&lt;O745,O745&lt;50001),77500&lt;O745),ROUND(O747*O746,DpCU),IF(OR(AND(22500&lt;O745,O745&lt;25001),AND(50000&lt;O745,O745&lt;53501),AND(70000&lt;O745,O745&lt;72501)),ROUND($F745/100*O746,DpCU),IF(OR(AND(25000&lt;O745,O745&lt;27501),AND(53500&lt;O745,O745&lt;57001),AND(72500&lt;O745,O745&lt;75001)),ROUND($G745/100*O746,DpCU),ROUND($H745/100*O746,DpCU)))))))</f>
        <v>9.99</v>
      </c>
      <c r="P748">
        <f>IF($K745&gt;0,ROUND(P746*$E745/100,DpCU),IF(P749&gt;10000,ROUND(HLOOKUP(P749,$O745:$R748,4,FALSE)/100*P746,DpCU),IF(OR(P745&lt;20001,P745&gt;95000,AND(60000&lt;P745,P745&lt;70001)),ROUND(ROUND(P746*JL/$C745,DcCU)*P747,DpCU),IF(OR(AND(20000&lt;P745,P745&lt;22501),AND(30000&lt;P745,P745&lt;50001),77500&lt;P745),ROUND(P747*P746,DpCU),IF(OR(AND(22500&lt;P745,P745&lt;25001),AND(50000&lt;P745,P745&lt;53501),AND(70000&lt;P745,P745&lt;72501)),ROUND($F745/100*P746,DpCU),IF(OR(AND(25000&lt;P745,P745&lt;27501),AND(53500&lt;P745,P745&lt;57001),AND(72500&lt;P745,P745&lt;75001)),ROUND($G745/100*P746,DpCU),ROUND($H745/100*P746,DpCU)))))))</f>
        <v>83.24</v>
      </c>
      <c r="Q748">
        <f>IF($K745&gt;0,ROUND(Q746*$E745/100,DpCU),IF(Q749&gt;10000,ROUND(HLOOKUP(Q749,$O745:$R748,4,FALSE)/100*Q746,DpCU),IF(OR(Q745&lt;20001,Q745&gt;95000,AND(60000&lt;Q745,Q745&lt;70001)),ROUND(ROUND(Q746*JL/$C745,DcCU)*Q747,DpCU),IF(OR(AND(20000&lt;Q745,Q745&lt;22501),AND(30000&lt;Q745,Q745&lt;50001),77500&lt;Q745),ROUND(Q747*Q746,DpCU),IF(OR(AND(22500&lt;Q745,Q745&lt;25001),AND(50000&lt;Q745,Q745&lt;53501),AND(70000&lt;Q745,Q745&lt;72501)),ROUND($F745/100*Q746,DpCU),IF(OR(AND(25000&lt;Q745,Q745&lt;27501),AND(53500&lt;Q745,Q745&lt;57001),AND(72500&lt;Q745,Q745&lt;75001)),ROUND($G745/100*Q746,DpCU),ROUND($H745/100*Q746,DpCU)))))))</f>
        <v>210</v>
      </c>
      <c r="R748">
        <f>IF($K745&gt;0,ROUND(R746*$E745/100,DpCU),IF(R749&gt;10000,ROUND(HLOOKUP(R749,$O745:$R748,4,FALSE)/100*R746,DpCU),IF(OR(R745&lt;20001,R745&gt;95000,AND(60000&lt;R745,R745&lt;70001)),ROUND(ROUND(R746*JL/$C745,DcCU)*R747,DpCU),IF(OR(AND(20000&lt;R745,R745&lt;22501),AND(30000&lt;R745,R745&lt;50001),77500&lt;R745),ROUND(R747*R746,DpCU),IF(OR(AND(22500&lt;R745,R745&lt;25001),AND(50000&lt;R745,R745&lt;53501),AND(70000&lt;R745,R745&lt;72501)),ROUND($F745/100*R746,DpCU),IF(OR(AND(25000&lt;R745,R745&lt;27501),AND(53500&lt;R745,R745&lt;57001),AND(72500&lt;R745,R745&lt;75001)),ROUND($G745/100*R746,DpCU),ROUND($H745/100*R746,DpCU)))))))</f>
        <v>2.8</v>
      </c>
    </row>
    <row r="749" spans="1:18" x14ac:dyDescent="0.2">
      <c r="B749" s="3" t="str">
        <f>A745&amp;"r"</f>
        <v>10149r</v>
      </c>
    </row>
    <row r="750" spans="1:18" x14ac:dyDescent="0.2">
      <c r="A750">
        <v>10150</v>
      </c>
      <c r="B750" s="3" t="s">
        <v>777</v>
      </c>
      <c r="C750" s="1">
        <f>ROUND(J750*JL*Frto/8,4)</f>
        <v>10</v>
      </c>
      <c r="D750" t="s">
        <v>210</v>
      </c>
      <c r="E750">
        <f>SUM($O753:$O753)</f>
        <v>150</v>
      </c>
      <c r="F750">
        <f>SUMIF($O750:$O750,"&lt;22501",$O753:$O753)</f>
        <v>0</v>
      </c>
      <c r="G750">
        <f>SUMIFS($O753:$O753,$O750:$O750,"&gt;30000",$O750:$O750,"&lt;50001")</f>
        <v>150</v>
      </c>
      <c r="H750">
        <f>SUMIFS($O753:$O753,$O750:$O750,"&gt;60000",$O750:$O750,"&lt;70001")</f>
        <v>0</v>
      </c>
      <c r="I750">
        <v>1</v>
      </c>
      <c r="J750">
        <v>10</v>
      </c>
      <c r="O750">
        <v>30142</v>
      </c>
    </row>
    <row r="751" spans="1:18" x14ac:dyDescent="0.2">
      <c r="B751" s="3" t="str">
        <f>A750&amp;"C"</f>
        <v>10150C</v>
      </c>
      <c r="O751">
        <v>1</v>
      </c>
    </row>
    <row r="752" spans="1:18" x14ac:dyDescent="0.2">
      <c r="O752">
        <f>IF(O754&gt;10000,HLOOKUP(O754,N750:$O753,4,FALSE),IF(OR(AND(22500&lt;O750,O750&lt;25001),AND(50000&lt;O750,O750&lt;53501),AND(70000&lt;O750,O750&lt;72501)),$F750,IF(OR(AND(25001&lt;O750,O750&lt;27501),AND(53500&lt;O750,O750&lt;57001),AND(72500&lt;O750,O750&lt;75001)),$G750,IF(OR(AND(27500&lt;O750,O750&lt;30001),AND(57000&lt;O750,O750&lt;60001),AND(75000&lt;O750,O750&lt;77500)),$H750,VLOOKUP(O750,BDins,6,FALSE)))))</f>
        <v>150</v>
      </c>
    </row>
    <row r="753" spans="1:19" x14ac:dyDescent="0.2">
      <c r="O753">
        <f>IF($K750&gt;0,ROUND(O751*$E750/100,DpCU),IF(O754&gt;10000,ROUND(HLOOKUP(O754,$O750:$O753,4,FALSE)/100*O751,DpCU),IF(OR(O750&lt;20001,O750&gt;95000,AND(60000&lt;O750,O750&lt;70001)),ROUND(ROUND(O751*JL/$C750,DcCU)*O752,DpCU),IF(OR(AND(20000&lt;O750,O750&lt;22501),AND(30000&lt;O750,O750&lt;50001),77500&lt;O750),ROUND(O752*O751,DpCU),IF(OR(AND(22500&lt;O750,O750&lt;25001),AND(50000&lt;O750,O750&lt;53501),AND(70000&lt;O750,O750&lt;72501)),ROUND($F750/100*O751,DpCU),IF(OR(AND(25000&lt;O750,O750&lt;27501),AND(53500&lt;O750,O750&lt;57001),AND(72500&lt;O750,O750&lt;75001)),ROUND($G750/100*O751,DpCU),ROUND($H750/100*O751,DpCU)))))))</f>
        <v>150</v>
      </c>
    </row>
    <row r="754" spans="1:19" x14ac:dyDescent="0.2">
      <c r="B754" s="3" t="str">
        <f>A750&amp;"r"</f>
        <v>10150r</v>
      </c>
    </row>
    <row r="755" spans="1:19" x14ac:dyDescent="0.2">
      <c r="A755">
        <v>10151</v>
      </c>
      <c r="B755" s="3" t="s">
        <v>780</v>
      </c>
      <c r="C755" s="1">
        <f>ROUND(J755*JL*Frto/8,4)</f>
        <v>8</v>
      </c>
      <c r="D755" t="s">
        <v>210</v>
      </c>
      <c r="E755">
        <f>SUM($O758:$O758)</f>
        <v>250</v>
      </c>
      <c r="F755">
        <f>SUMIF($O755:$O755,"&lt;22501",$O758:$O758)</f>
        <v>0</v>
      </c>
      <c r="G755">
        <f>SUMIFS($O758:$O758,$O755:$O755,"&gt;30000",$O755:$O755,"&lt;50001")</f>
        <v>250</v>
      </c>
      <c r="H755">
        <f>SUMIFS($O758:$O758,$O755:$O755,"&gt;60000",$O755:$O755,"&lt;70001")</f>
        <v>0</v>
      </c>
      <c r="I755">
        <v>1</v>
      </c>
      <c r="J755">
        <v>8</v>
      </c>
      <c r="O755">
        <v>30143</v>
      </c>
    </row>
    <row r="756" spans="1:19" x14ac:dyDescent="0.2">
      <c r="B756" s="3" t="str">
        <f>A755&amp;"C"</f>
        <v>10151C</v>
      </c>
      <c r="O756">
        <v>1</v>
      </c>
    </row>
    <row r="757" spans="1:19" x14ac:dyDescent="0.2">
      <c r="O757">
        <f>IF(O759&gt;10000,HLOOKUP(O759,N755:$O758,4,FALSE),IF(OR(AND(22500&lt;O755,O755&lt;25001),AND(50000&lt;O755,O755&lt;53501),AND(70000&lt;O755,O755&lt;72501)),$F755,IF(OR(AND(25001&lt;O755,O755&lt;27501),AND(53500&lt;O755,O755&lt;57001),AND(72500&lt;O755,O755&lt;75001)),$G755,IF(OR(AND(27500&lt;O755,O755&lt;30001),AND(57000&lt;O755,O755&lt;60001),AND(75000&lt;O755,O755&lt;77500)),$H755,VLOOKUP(O755,BDins,6,FALSE)))))</f>
        <v>250</v>
      </c>
    </row>
    <row r="758" spans="1:19" x14ac:dyDescent="0.2">
      <c r="O758">
        <f>IF($K755&gt;0,ROUND(O756*$E755/100,DpCU),IF(O759&gt;10000,ROUND(HLOOKUP(O759,$O755:$O758,4,FALSE)/100*O756,DpCU),IF(OR(O755&lt;20001,O755&gt;95000,AND(60000&lt;O755,O755&lt;70001)),ROUND(ROUND(O756*JL/$C755,DcCU)*O757,DpCU),IF(OR(AND(20000&lt;O755,O755&lt;22501),AND(30000&lt;O755,O755&lt;50001),77500&lt;O755),ROUND(O757*O756,DpCU),IF(OR(AND(22500&lt;O755,O755&lt;25001),AND(50000&lt;O755,O755&lt;53501),AND(70000&lt;O755,O755&lt;72501)),ROUND($F755/100*O756,DpCU),IF(OR(AND(25000&lt;O755,O755&lt;27501),AND(53500&lt;O755,O755&lt;57001),AND(72500&lt;O755,O755&lt;75001)),ROUND($G755/100*O756,DpCU),ROUND($H755/100*O756,DpCU)))))))</f>
        <v>250</v>
      </c>
    </row>
    <row r="759" spans="1:19" x14ac:dyDescent="0.2">
      <c r="B759" s="3" t="str">
        <f>A755&amp;"r"</f>
        <v>10151r</v>
      </c>
    </row>
    <row r="760" spans="1:19" x14ac:dyDescent="0.2">
      <c r="A760">
        <v>10152</v>
      </c>
      <c r="B760" s="3" t="s">
        <v>783</v>
      </c>
      <c r="C760" s="1">
        <f>ROUND(J760*JL*Frto/8,4)</f>
        <v>8</v>
      </c>
      <c r="D760" t="s">
        <v>210</v>
      </c>
      <c r="E760">
        <f>SUM($O763:$O763)</f>
        <v>355</v>
      </c>
      <c r="F760">
        <f>SUMIF($O760:$O760,"&lt;22501",$O763:$O763)</f>
        <v>0</v>
      </c>
      <c r="G760">
        <f>SUMIFS($O763:$O763,$O760:$O760,"&gt;30000",$O760:$O760,"&lt;50001")</f>
        <v>355</v>
      </c>
      <c r="H760">
        <f>SUMIFS($O763:$O763,$O760:$O760,"&gt;60000",$O760:$O760,"&lt;70001")</f>
        <v>0</v>
      </c>
      <c r="I760">
        <v>1</v>
      </c>
      <c r="J760">
        <v>8</v>
      </c>
      <c r="O760">
        <v>30144</v>
      </c>
    </row>
    <row r="761" spans="1:19" x14ac:dyDescent="0.2">
      <c r="B761" s="3" t="str">
        <f>A760&amp;"C"</f>
        <v>10152C</v>
      </c>
      <c r="O761">
        <v>1</v>
      </c>
    </row>
    <row r="762" spans="1:19" x14ac:dyDescent="0.2">
      <c r="O762">
        <f>IF(O764&gt;10000,HLOOKUP(O764,N760:$O763,4,FALSE),IF(OR(AND(22500&lt;O760,O760&lt;25001),AND(50000&lt;O760,O760&lt;53501),AND(70000&lt;O760,O760&lt;72501)),$F760,IF(OR(AND(25001&lt;O760,O760&lt;27501),AND(53500&lt;O760,O760&lt;57001),AND(72500&lt;O760,O760&lt;75001)),$G760,IF(OR(AND(27500&lt;O760,O760&lt;30001),AND(57000&lt;O760,O760&lt;60001),AND(75000&lt;O760,O760&lt;77500)),$H760,VLOOKUP(O760,BDins,6,FALSE)))))</f>
        <v>355</v>
      </c>
    </row>
    <row r="763" spans="1:19" x14ac:dyDescent="0.2">
      <c r="O763">
        <f>IF($K760&gt;0,ROUND(O761*$E760/100,DpCU),IF(O764&gt;10000,ROUND(HLOOKUP(O764,$O760:$O763,4,FALSE)/100*O761,DpCU),IF(OR(O760&lt;20001,O760&gt;95000,AND(60000&lt;O760,O760&lt;70001)),ROUND(ROUND(O761*JL/$C760,DcCU)*O762,DpCU),IF(OR(AND(20000&lt;O760,O760&lt;22501),AND(30000&lt;O760,O760&lt;50001),77500&lt;O760),ROUND(O762*O761,DpCU),IF(OR(AND(22500&lt;O760,O760&lt;25001),AND(50000&lt;O760,O760&lt;53501),AND(70000&lt;O760,O760&lt;72501)),ROUND($F760/100*O761,DpCU),IF(OR(AND(25000&lt;O760,O760&lt;27501),AND(53500&lt;O760,O760&lt;57001),AND(72500&lt;O760,O760&lt;75001)),ROUND($G760/100*O761,DpCU),ROUND($H760/100*O761,DpCU)))))))</f>
        <v>355</v>
      </c>
    </row>
    <row r="764" spans="1:19" x14ac:dyDescent="0.2">
      <c r="B764" s="3" t="str">
        <f>A760&amp;"r"</f>
        <v>10152r</v>
      </c>
    </row>
    <row r="765" spans="1:19" x14ac:dyDescent="0.2">
      <c r="A765">
        <v>10153</v>
      </c>
      <c r="B765" s="3" t="s">
        <v>786</v>
      </c>
      <c r="C765" s="1">
        <f>ROUND(J765*JL*Frto/8,4)</f>
        <v>5</v>
      </c>
      <c r="D765" t="s">
        <v>210</v>
      </c>
      <c r="E765">
        <f>SUM($O768:$S768)</f>
        <v>300.53000000000003</v>
      </c>
      <c r="F765">
        <f>SUMIF($O765:$S765,"&lt;22501",$O768:$S768)</f>
        <v>43.44</v>
      </c>
      <c r="G765">
        <f>SUMIFS($O768:$S768,$O765:$S765,"&gt;30000",$O765:$S765,"&lt;50001")</f>
        <v>255.79</v>
      </c>
      <c r="H765">
        <f>SUMIFS($O768:$S768,$O765:$S765,"&gt;60000",$O765:$S765,"&lt;70001")</f>
        <v>0</v>
      </c>
      <c r="I765">
        <v>5</v>
      </c>
      <c r="J765">
        <v>5</v>
      </c>
      <c r="O765">
        <v>10001</v>
      </c>
      <c r="P765">
        <v>10002</v>
      </c>
      <c r="Q765">
        <v>10003</v>
      </c>
      <c r="R765">
        <v>30145</v>
      </c>
      <c r="S765">
        <v>70001</v>
      </c>
    </row>
    <row r="766" spans="1:19" x14ac:dyDescent="0.2">
      <c r="B766" s="3" t="str">
        <f>A765&amp;"C"</f>
        <v>10153C</v>
      </c>
      <c r="O766">
        <v>0.1</v>
      </c>
      <c r="P766">
        <v>1</v>
      </c>
      <c r="Q766">
        <v>0.25</v>
      </c>
      <c r="R766">
        <v>1</v>
      </c>
      <c r="S766">
        <v>3</v>
      </c>
    </row>
    <row r="767" spans="1:19" x14ac:dyDescent="0.2">
      <c r="O767">
        <f>IF(O769&gt;10000,HLOOKUP(O769,N765:$O768,4,FALSE),IF(OR(AND(22500&lt;O765,O765&lt;25001),AND(50000&lt;O765,O765&lt;53501),AND(70000&lt;O765,O765&lt;72501)),$F765,IF(OR(AND(25001&lt;O765,O765&lt;27501),AND(53500&lt;O765,O765&lt;57001),AND(72500&lt;O765,O765&lt;75001)),$G765,IF(OR(AND(27500&lt;O765,O765&lt;30001),AND(57000&lt;O765,O765&lt;60001),AND(75000&lt;O765,O765&lt;77500)),$H765,VLOOKUP(O765,BDins,6,FALSE)))))</f>
        <v>24.97</v>
      </c>
      <c r="P767">
        <f>IF(P769&gt;10000,HLOOKUP(P769,O765:$O768,4,FALSE),IF(OR(AND(22500&lt;P765,P765&lt;25001),AND(50000&lt;P765,P765&lt;53501),AND(70000&lt;P765,P765&lt;72501)),$F765,IF(OR(AND(25001&lt;P765,P765&lt;27501),AND(53500&lt;P765,P765&lt;57001),AND(72500&lt;P765,P765&lt;75001)),$G765,IF(OR(AND(27500&lt;P765,P765&lt;30001),AND(57000&lt;P765,P765&lt;60001),AND(75000&lt;P765,P765&lt;77500)),$H765,VLOOKUP(P765,BDins,6,FALSE)))))</f>
        <v>20.81</v>
      </c>
      <c r="Q767">
        <f>IF(Q769&gt;10000,HLOOKUP(Q769,$O765:P768,4,FALSE),IF(OR(AND(22500&lt;Q765,Q765&lt;25001),AND(50000&lt;Q765,Q765&lt;53501),AND(70000&lt;Q765,Q765&lt;72501)),$F765,IF(OR(AND(25001&lt;Q765,Q765&lt;27501),AND(53500&lt;Q765,Q765&lt;57001),AND(72500&lt;Q765,Q765&lt;75001)),$G765,IF(OR(AND(27500&lt;Q765,Q765&lt;30001),AND(57000&lt;Q765,Q765&lt;60001),AND(75000&lt;Q765,Q765&lt;77500)),$H765,VLOOKUP(Q765,BDins,6,FALSE)))))</f>
        <v>15.36</v>
      </c>
      <c r="R767">
        <f>IF(R769&gt;10000,HLOOKUP(R769,$O765:Q768,4,FALSE),IF(OR(AND(22500&lt;R765,R765&lt;25001),AND(50000&lt;R765,R765&lt;53501),AND(70000&lt;R765,R765&lt;72501)),$F765,IF(OR(AND(25001&lt;R765,R765&lt;27501),AND(53500&lt;R765,R765&lt;57001),AND(72500&lt;R765,R765&lt;75001)),$G765,IF(OR(AND(27500&lt;R765,R765&lt;30001),AND(57000&lt;R765,R765&lt;60001),AND(75000&lt;R765,R765&lt;77500)),$H765,VLOOKUP(R765,BDins,6,FALSE)))))</f>
        <v>255.79</v>
      </c>
      <c r="S767">
        <f>IF(S769&gt;10000,HLOOKUP(S769,$O765:R768,4,FALSE),IF(OR(AND(22500&lt;S765,S765&lt;25001),AND(50000&lt;S765,S765&lt;53501),AND(70000&lt;S765,S765&lt;72501)),$F765,IF(OR(AND(25001&lt;S765,S765&lt;27501),AND(53500&lt;S765,S765&lt;57001),AND(72500&lt;S765,S765&lt;75001)),$G765,IF(OR(AND(27500&lt;S765,S765&lt;30001),AND(57000&lt;S765,S765&lt;60001),AND(75000&lt;S765,S765&lt;77500)),$H765,VLOOKUP(S765,BDins,6,FALSE)))))</f>
        <v>43.44</v>
      </c>
    </row>
    <row r="768" spans="1:19" x14ac:dyDescent="0.2">
      <c r="O768">
        <f>IF($K765&gt;0,ROUND(O766*$E765/100,DpCU),IF(O769&gt;10000,ROUND(HLOOKUP(O769,$O765:$S768,4,FALSE)/100*O766,DpCU),IF(OR(O765&lt;20001,O765&gt;95000,AND(60000&lt;O765,O765&lt;70001)),ROUND(ROUND(O766*JL/$C765,DcCU)*O767,DpCU),IF(OR(AND(20000&lt;O765,O765&lt;22501),AND(30000&lt;O765,O765&lt;50001),77500&lt;O765),ROUND(O767*O766,DpCU),IF(OR(AND(22500&lt;O765,O765&lt;25001),AND(50000&lt;O765,O765&lt;53501),AND(70000&lt;O765,O765&lt;72501)),ROUND($F765/100*O766,DpCU),IF(OR(AND(25000&lt;O765,O765&lt;27501),AND(53500&lt;O765,O765&lt;57001),AND(72500&lt;O765,O765&lt;75001)),ROUND($G765/100*O766,DpCU),ROUND($H765/100*O766,DpCU)))))))</f>
        <v>4</v>
      </c>
      <c r="P768">
        <f>IF($K765&gt;0,ROUND(P766*$E765/100,DpCU),IF(P769&gt;10000,ROUND(HLOOKUP(P769,$O765:$S768,4,FALSE)/100*P766,DpCU),IF(OR(P765&lt;20001,P765&gt;95000,AND(60000&lt;P765,P765&lt;70001)),ROUND(ROUND(P766*JL/$C765,DcCU)*P767,DpCU),IF(OR(AND(20000&lt;P765,P765&lt;22501),AND(30000&lt;P765,P765&lt;50001),77500&lt;P765),ROUND(P767*P766,DpCU),IF(OR(AND(22500&lt;P765,P765&lt;25001),AND(50000&lt;P765,P765&lt;53501),AND(70000&lt;P765,P765&lt;72501)),ROUND($F765/100*P766,DpCU),IF(OR(AND(25000&lt;P765,P765&lt;27501),AND(53500&lt;P765,P765&lt;57001),AND(72500&lt;P765,P765&lt;75001)),ROUND($G765/100*P766,DpCU),ROUND($H765/100*P766,DpCU)))))))</f>
        <v>33.299999999999997</v>
      </c>
      <c r="Q768">
        <f>IF($K765&gt;0,ROUND(Q766*$E765/100,DpCU),IF(Q769&gt;10000,ROUND(HLOOKUP(Q769,$O765:$S768,4,FALSE)/100*Q766,DpCU),IF(OR(Q765&lt;20001,Q765&gt;95000,AND(60000&lt;Q765,Q765&lt;70001)),ROUND(ROUND(Q766*JL/$C765,DcCU)*Q767,DpCU),IF(OR(AND(20000&lt;Q765,Q765&lt;22501),AND(30000&lt;Q765,Q765&lt;50001),77500&lt;Q765),ROUND(Q767*Q766,DpCU),IF(OR(AND(22500&lt;Q765,Q765&lt;25001),AND(50000&lt;Q765,Q765&lt;53501),AND(70000&lt;Q765,Q765&lt;72501)),ROUND($F765/100*Q766,DpCU),IF(OR(AND(25000&lt;Q765,Q765&lt;27501),AND(53500&lt;Q765,Q765&lt;57001),AND(72500&lt;Q765,Q765&lt;75001)),ROUND($G765/100*Q766,DpCU),ROUND($H765/100*Q766,DpCU)))))))</f>
        <v>6.14</v>
      </c>
      <c r="R768">
        <f>IF($K765&gt;0,ROUND(R766*$E765/100,DpCU),IF(R769&gt;10000,ROUND(HLOOKUP(R769,$O765:$S768,4,FALSE)/100*R766,DpCU),IF(OR(R765&lt;20001,R765&gt;95000,AND(60000&lt;R765,R765&lt;70001)),ROUND(ROUND(R766*JL/$C765,DcCU)*R767,DpCU),IF(OR(AND(20000&lt;R765,R765&lt;22501),AND(30000&lt;R765,R765&lt;50001),77500&lt;R765),ROUND(R767*R766,DpCU),IF(OR(AND(22500&lt;R765,R765&lt;25001),AND(50000&lt;R765,R765&lt;53501),AND(70000&lt;R765,R765&lt;72501)),ROUND($F765/100*R766,DpCU),IF(OR(AND(25000&lt;R765,R765&lt;27501),AND(53500&lt;R765,R765&lt;57001),AND(72500&lt;R765,R765&lt;75001)),ROUND($G765/100*R766,DpCU),ROUND($H765/100*R766,DpCU)))))))</f>
        <v>255.79</v>
      </c>
      <c r="S768">
        <f>IF($K765&gt;0,ROUND(S766*$E765/100,DpCU),IF(S769&gt;10000,ROUND(HLOOKUP(S769,$O765:$S768,4,FALSE)/100*S766,DpCU),IF(OR(S765&lt;20001,S765&gt;95000,AND(60000&lt;S765,S765&lt;70001)),ROUND(ROUND(S766*JL/$C765,DcCU)*S767,DpCU),IF(OR(AND(20000&lt;S765,S765&lt;22501),AND(30000&lt;S765,S765&lt;50001),77500&lt;S765),ROUND(S767*S766,DpCU),IF(OR(AND(22500&lt;S765,S765&lt;25001),AND(50000&lt;S765,S765&lt;53501),AND(70000&lt;S765,S765&lt;72501)),ROUND($F765/100*S766,DpCU),IF(OR(AND(25000&lt;S765,S765&lt;27501),AND(53500&lt;S765,S765&lt;57001),AND(72500&lt;S765,S765&lt;75001)),ROUND($G765/100*S766,DpCU),ROUND($H765/100*S766,DpCU)))))))</f>
        <v>1.3</v>
      </c>
    </row>
    <row r="769" spans="1:24" x14ac:dyDescent="0.2">
      <c r="B769" s="3" t="str">
        <f>A765&amp;"r"</f>
        <v>10153r</v>
      </c>
    </row>
    <row r="770" spans="1:24" x14ac:dyDescent="0.2">
      <c r="A770">
        <v>10154</v>
      </c>
      <c r="B770" s="3" t="s">
        <v>793</v>
      </c>
      <c r="C770" s="1">
        <f>ROUND(J770*JL*Frto/8,4)</f>
        <v>25</v>
      </c>
      <c r="D770" t="s">
        <v>210</v>
      </c>
      <c r="E770">
        <f>SUM($O773:$W773)</f>
        <v>12.82</v>
      </c>
      <c r="F770">
        <f>SUMIF($O770:$W770,"&lt;22501",$O773:$W773)</f>
        <v>8.69</v>
      </c>
      <c r="G770">
        <f>SUMIFS($O773:$W773,$O770:$W770,"&gt;30000",$O770:$W770,"&lt;50001")</f>
        <v>3.7</v>
      </c>
      <c r="H770">
        <f>SUMIFS($O773:$W773,$O770:$W770,"&gt;60000",$O770:$W770,"&lt;70001")</f>
        <v>0</v>
      </c>
      <c r="I770">
        <v>9</v>
      </c>
      <c r="J770">
        <v>25</v>
      </c>
      <c r="O770">
        <v>10001</v>
      </c>
      <c r="P770">
        <v>10002</v>
      </c>
      <c r="Q770">
        <v>10003</v>
      </c>
      <c r="R770">
        <v>30146</v>
      </c>
      <c r="S770">
        <v>30147</v>
      </c>
      <c r="T770">
        <v>30148</v>
      </c>
      <c r="U770">
        <v>30149</v>
      </c>
      <c r="V770">
        <v>30150</v>
      </c>
      <c r="W770">
        <v>70001</v>
      </c>
    </row>
    <row r="771" spans="1:24" x14ac:dyDescent="0.2">
      <c r="B771" s="3" t="str">
        <f>A770&amp;"C"</f>
        <v>10154C</v>
      </c>
      <c r="O771">
        <v>0.1</v>
      </c>
      <c r="P771">
        <v>1</v>
      </c>
      <c r="Q771">
        <v>0.25</v>
      </c>
      <c r="R771">
        <v>0.3</v>
      </c>
      <c r="S771">
        <v>2.5000000000000001E-2</v>
      </c>
      <c r="T771">
        <v>1.8</v>
      </c>
      <c r="U771">
        <v>0.15</v>
      </c>
      <c r="V771">
        <v>4.4999999999999998E-2</v>
      </c>
      <c r="W771">
        <v>5</v>
      </c>
    </row>
    <row r="772" spans="1:24" x14ac:dyDescent="0.2">
      <c r="O772">
        <f>IF(O774&gt;10000,HLOOKUP(O774,N770:$O773,4,FALSE),IF(OR(AND(22500&lt;O770,O770&lt;25001),AND(50000&lt;O770,O770&lt;53501),AND(70000&lt;O770,O770&lt;72501)),$F770,IF(OR(AND(25001&lt;O770,O770&lt;27501),AND(53500&lt;O770,O770&lt;57001),AND(72500&lt;O770,O770&lt;75001)),$G770,IF(OR(AND(27500&lt;O770,O770&lt;30001),AND(57000&lt;O770,O770&lt;60001),AND(75000&lt;O770,O770&lt;77500)),$H770,VLOOKUP(O770,BDins,6,FALSE)))))</f>
        <v>24.97</v>
      </c>
      <c r="P772">
        <f>IF(P774&gt;10000,HLOOKUP(P774,O770:$O773,4,FALSE),IF(OR(AND(22500&lt;P770,P770&lt;25001),AND(50000&lt;P770,P770&lt;53501),AND(70000&lt;P770,P770&lt;72501)),$F770,IF(OR(AND(25001&lt;P770,P770&lt;27501),AND(53500&lt;P770,P770&lt;57001),AND(72500&lt;P770,P770&lt;75001)),$G770,IF(OR(AND(27500&lt;P770,P770&lt;30001),AND(57000&lt;P770,P770&lt;60001),AND(75000&lt;P770,P770&lt;77500)),$H770,VLOOKUP(P770,BDins,6,FALSE)))))</f>
        <v>20.81</v>
      </c>
      <c r="Q772">
        <f>IF(Q774&gt;10000,HLOOKUP(Q774,$O770:P773,4,FALSE),IF(OR(AND(22500&lt;Q770,Q770&lt;25001),AND(50000&lt;Q770,Q770&lt;53501),AND(70000&lt;Q770,Q770&lt;72501)),$F770,IF(OR(AND(25001&lt;Q770,Q770&lt;27501),AND(53500&lt;Q770,Q770&lt;57001),AND(72500&lt;Q770,Q770&lt;75001)),$G770,IF(OR(AND(27500&lt;Q770,Q770&lt;30001),AND(57000&lt;Q770,Q770&lt;60001),AND(75000&lt;Q770,Q770&lt;77500)),$H770,VLOOKUP(Q770,BDins,6,FALSE)))))</f>
        <v>15.36</v>
      </c>
      <c r="R772">
        <f>IF(R774&gt;10000,HLOOKUP(R774,$O770:Q773,4,FALSE),IF(OR(AND(22500&lt;R770,R770&lt;25001),AND(50000&lt;R770,R770&lt;53501),AND(70000&lt;R770,R770&lt;72501)),$F770,IF(OR(AND(25001&lt;R770,R770&lt;27501),AND(53500&lt;R770,R770&lt;57001),AND(72500&lt;R770,R770&lt;75001)),$G770,IF(OR(AND(27500&lt;R770,R770&lt;30001),AND(57000&lt;R770,R770&lt;60001),AND(75000&lt;R770,R770&lt;77500)),$H770,VLOOKUP(R770,BDins,6,FALSE)))))</f>
        <v>1.38</v>
      </c>
      <c r="S772">
        <f>IF(S774&gt;10000,HLOOKUP(S774,$O770:R773,4,FALSE),IF(OR(AND(22500&lt;S770,S770&lt;25001),AND(50000&lt;S770,S770&lt;53501),AND(70000&lt;S770,S770&lt;72501)),$F770,IF(OR(AND(25001&lt;S770,S770&lt;27501),AND(53500&lt;S770,S770&lt;57001),AND(72500&lt;S770,S770&lt;75001)),$G770,IF(OR(AND(27500&lt;S770,S770&lt;30001),AND(57000&lt;S770,S770&lt;60001),AND(75000&lt;S770,S770&lt;77500)),$H770,VLOOKUP(S770,BDins,6,FALSE)))))</f>
        <v>11.9</v>
      </c>
      <c r="T772">
        <f>IF(T774&gt;10000,HLOOKUP(T774,$O770:S773,4,FALSE),IF(OR(AND(22500&lt;T770,T770&lt;25001),AND(50000&lt;T770,T770&lt;53501),AND(70000&lt;T770,T770&lt;72501)),$F770,IF(OR(AND(25001&lt;T770,T770&lt;27501),AND(53500&lt;T770,T770&lt;57001),AND(72500&lt;T770,T770&lt;75001)),$G770,IF(OR(AND(27500&lt;T770,T770&lt;30001),AND(57000&lt;T770,T770&lt;60001),AND(75000&lt;T770,T770&lt;77500)),$H770,VLOOKUP(T770,BDins,6,FALSE)))))</f>
        <v>0.75</v>
      </c>
      <c r="U772">
        <f>IF(U774&gt;10000,HLOOKUP(U774,$O770:T773,4,FALSE),IF(OR(AND(22500&lt;U770,U770&lt;25001),AND(50000&lt;U770,U770&lt;53501),AND(70000&lt;U770,U770&lt;72501)),$F770,IF(OR(AND(25001&lt;U770,U770&lt;27501),AND(53500&lt;U770,U770&lt;57001),AND(72500&lt;U770,U770&lt;75001)),$G770,IF(OR(AND(27500&lt;U770,U770&lt;30001),AND(57000&lt;U770,U770&lt;60001),AND(75000&lt;U770,U770&lt;77500)),$H770,VLOOKUP(U770,BDins,6,FALSE)))))</f>
        <v>1.45</v>
      </c>
      <c r="V772">
        <f>IF(V774&gt;10000,HLOOKUP(V774,$O770:U773,4,FALSE),IF(OR(AND(22500&lt;V770,V770&lt;25001),AND(50000&lt;V770,V770&lt;53501),AND(70000&lt;V770,V770&lt;72501)),$F770,IF(OR(AND(25001&lt;V770,V770&lt;27501),AND(53500&lt;V770,V770&lt;57001),AND(72500&lt;V770,V770&lt;75001)),$G770,IF(OR(AND(27500&lt;V770,V770&lt;30001),AND(57000&lt;V770,V770&lt;60001),AND(75000&lt;V770,V770&lt;77500)),$H770,VLOOKUP(V770,BDins,6,FALSE)))))</f>
        <v>31.5</v>
      </c>
      <c r="W772">
        <f>IF(W774&gt;10000,HLOOKUP(W774,$O770:V773,4,FALSE),IF(OR(AND(22500&lt;W770,W770&lt;25001),AND(50000&lt;W770,W770&lt;53501),AND(70000&lt;W770,W770&lt;72501)),$F770,IF(OR(AND(25001&lt;W770,W770&lt;27501),AND(53500&lt;W770,W770&lt;57001),AND(72500&lt;W770,W770&lt;75001)),$G770,IF(OR(AND(27500&lt;W770,W770&lt;30001),AND(57000&lt;W770,W770&lt;60001),AND(75000&lt;W770,W770&lt;77500)),$H770,VLOOKUP(W770,BDins,6,FALSE)))))</f>
        <v>8.69</v>
      </c>
    </row>
    <row r="773" spans="1:24" x14ac:dyDescent="0.2">
      <c r="O773">
        <f t="shared" ref="O773:W773" si="104">IF($K770&gt;0,ROUND(O771*$E770/100,DpCU),IF(O774&gt;10000,ROUND(HLOOKUP(O774,$O770:$W773,4,FALSE)/100*O771,DpCU),IF(OR(O770&lt;20001,O770&gt;95000,AND(60000&lt;O770,O770&lt;70001)),ROUND(ROUND(O771*JL/$C770,DcCU)*O772,DpCU),IF(OR(AND(20000&lt;O770,O770&lt;22501),AND(30000&lt;O770,O770&lt;50001),77500&lt;O770),ROUND(O772*O771,DpCU),IF(OR(AND(22500&lt;O770,O770&lt;25001),AND(50000&lt;O770,O770&lt;53501),AND(70000&lt;O770,O770&lt;72501)),ROUND($F770/100*O771,DpCU),IF(OR(AND(25000&lt;O770,O770&lt;27501),AND(53500&lt;O770,O770&lt;57001),AND(72500&lt;O770,O770&lt;75001)),ROUND($G770/100*O771,DpCU),ROUND($H770/100*O771,DpCU)))))))</f>
        <v>0.8</v>
      </c>
      <c r="P773">
        <f t="shared" si="104"/>
        <v>6.66</v>
      </c>
      <c r="Q773">
        <f t="shared" si="104"/>
        <v>1.23</v>
      </c>
      <c r="R773">
        <f t="shared" si="104"/>
        <v>0.41</v>
      </c>
      <c r="S773">
        <f t="shared" si="104"/>
        <v>0.3</v>
      </c>
      <c r="T773">
        <f t="shared" si="104"/>
        <v>1.35</v>
      </c>
      <c r="U773">
        <f t="shared" si="104"/>
        <v>0.22</v>
      </c>
      <c r="V773">
        <f t="shared" si="104"/>
        <v>1.42</v>
      </c>
      <c r="W773">
        <f t="shared" si="104"/>
        <v>0.43</v>
      </c>
    </row>
    <row r="774" spans="1:24" x14ac:dyDescent="0.2">
      <c r="B774" s="3" t="str">
        <f>A770&amp;"r"</f>
        <v>10154r</v>
      </c>
    </row>
    <row r="775" spans="1:24" x14ac:dyDescent="0.2">
      <c r="A775">
        <v>10155</v>
      </c>
      <c r="B775" s="3" t="s">
        <v>801</v>
      </c>
      <c r="C775" s="1">
        <f>ROUND(J775*JL*Frto/8,4)</f>
        <v>22</v>
      </c>
      <c r="D775" t="s">
        <v>210</v>
      </c>
      <c r="E775">
        <f>SUM($O778:$X778)</f>
        <v>14.760000000000002</v>
      </c>
      <c r="F775">
        <f>SUMIF($O775:$X775,"&lt;22501",$O778:$X778)</f>
        <v>9.8800000000000008</v>
      </c>
      <c r="G775">
        <f>SUMIFS($O778:$X778,$O775:$X775,"&gt;30000",$O775:$X775,"&lt;50001")</f>
        <v>3.7</v>
      </c>
      <c r="H775">
        <f>SUMIFS($O778:$X778,$O775:$X775,"&gt;60000",$O775:$X775,"&lt;70001")</f>
        <v>0</v>
      </c>
      <c r="I775">
        <v>10</v>
      </c>
      <c r="J775">
        <v>22</v>
      </c>
      <c r="O775">
        <v>10001</v>
      </c>
      <c r="P775">
        <v>10002</v>
      </c>
      <c r="Q775">
        <v>10003</v>
      </c>
      <c r="R775">
        <v>30146</v>
      </c>
      <c r="S775">
        <v>30147</v>
      </c>
      <c r="T775">
        <v>30148</v>
      </c>
      <c r="U775">
        <v>30149</v>
      </c>
      <c r="V775">
        <v>30150</v>
      </c>
      <c r="W775">
        <v>70001</v>
      </c>
      <c r="X775">
        <v>77508</v>
      </c>
    </row>
    <row r="776" spans="1:24" x14ac:dyDescent="0.2">
      <c r="B776" s="3" t="str">
        <f>A775&amp;"C"</f>
        <v>10155C</v>
      </c>
      <c r="O776">
        <v>0.1</v>
      </c>
      <c r="P776">
        <v>1</v>
      </c>
      <c r="Q776">
        <v>0.25</v>
      </c>
      <c r="R776">
        <v>0.3</v>
      </c>
      <c r="S776">
        <v>2.5000000000000001E-2</v>
      </c>
      <c r="T776">
        <v>1.8</v>
      </c>
      <c r="U776">
        <v>0.15</v>
      </c>
      <c r="V776">
        <v>4.4999999999999998E-2</v>
      </c>
      <c r="W776">
        <v>5</v>
      </c>
      <c r="X776">
        <v>0.13750000000000001</v>
      </c>
    </row>
    <row r="777" spans="1:24" x14ac:dyDescent="0.2">
      <c r="O777">
        <f>IF(O779&gt;10000,HLOOKUP(O779,N775:$O778,4,FALSE),IF(OR(AND(22500&lt;O775,O775&lt;25001),AND(50000&lt;O775,O775&lt;53501),AND(70000&lt;O775,O775&lt;72501)),$F775,IF(OR(AND(25001&lt;O775,O775&lt;27501),AND(53500&lt;O775,O775&lt;57001),AND(72500&lt;O775,O775&lt;75001)),$G775,IF(OR(AND(27500&lt;O775,O775&lt;30001),AND(57000&lt;O775,O775&lt;60001),AND(75000&lt;O775,O775&lt;77500)),$H775,VLOOKUP(O775,BDins,6,FALSE)))))</f>
        <v>24.97</v>
      </c>
      <c r="P777">
        <f>IF(P779&gt;10000,HLOOKUP(P779,O775:$O778,4,FALSE),IF(OR(AND(22500&lt;P775,P775&lt;25001),AND(50000&lt;P775,P775&lt;53501),AND(70000&lt;P775,P775&lt;72501)),$F775,IF(OR(AND(25001&lt;P775,P775&lt;27501),AND(53500&lt;P775,P775&lt;57001),AND(72500&lt;P775,P775&lt;75001)),$G775,IF(OR(AND(27500&lt;P775,P775&lt;30001),AND(57000&lt;P775,P775&lt;60001),AND(75000&lt;P775,P775&lt;77500)),$H775,VLOOKUP(P775,BDins,6,FALSE)))))</f>
        <v>20.81</v>
      </c>
      <c r="Q777">
        <f>IF(Q779&gt;10000,HLOOKUP(Q779,$O775:P778,4,FALSE),IF(OR(AND(22500&lt;Q775,Q775&lt;25001),AND(50000&lt;Q775,Q775&lt;53501),AND(70000&lt;Q775,Q775&lt;72501)),$F775,IF(OR(AND(25001&lt;Q775,Q775&lt;27501),AND(53500&lt;Q775,Q775&lt;57001),AND(72500&lt;Q775,Q775&lt;75001)),$G775,IF(OR(AND(27500&lt;Q775,Q775&lt;30001),AND(57000&lt;Q775,Q775&lt;60001),AND(75000&lt;Q775,Q775&lt;77500)),$H775,VLOOKUP(Q775,BDins,6,FALSE)))))</f>
        <v>15.36</v>
      </c>
      <c r="R777">
        <f>IF(R779&gt;10000,HLOOKUP(R779,$O775:Q778,4,FALSE),IF(OR(AND(22500&lt;R775,R775&lt;25001),AND(50000&lt;R775,R775&lt;53501),AND(70000&lt;R775,R775&lt;72501)),$F775,IF(OR(AND(25001&lt;R775,R775&lt;27501),AND(53500&lt;R775,R775&lt;57001),AND(72500&lt;R775,R775&lt;75001)),$G775,IF(OR(AND(27500&lt;R775,R775&lt;30001),AND(57000&lt;R775,R775&lt;60001),AND(75000&lt;R775,R775&lt;77500)),$H775,VLOOKUP(R775,BDins,6,FALSE)))))</f>
        <v>1.38</v>
      </c>
      <c r="S777">
        <f>IF(S779&gt;10000,HLOOKUP(S779,$O775:R778,4,FALSE),IF(OR(AND(22500&lt;S775,S775&lt;25001),AND(50000&lt;S775,S775&lt;53501),AND(70000&lt;S775,S775&lt;72501)),$F775,IF(OR(AND(25001&lt;S775,S775&lt;27501),AND(53500&lt;S775,S775&lt;57001),AND(72500&lt;S775,S775&lt;75001)),$G775,IF(OR(AND(27500&lt;S775,S775&lt;30001),AND(57000&lt;S775,S775&lt;60001),AND(75000&lt;S775,S775&lt;77500)),$H775,VLOOKUP(S775,BDins,6,FALSE)))))</f>
        <v>11.9</v>
      </c>
      <c r="T777">
        <f>IF(T779&gt;10000,HLOOKUP(T779,$O775:S778,4,FALSE),IF(OR(AND(22500&lt;T775,T775&lt;25001),AND(50000&lt;T775,T775&lt;53501),AND(70000&lt;T775,T775&lt;72501)),$F775,IF(OR(AND(25001&lt;T775,T775&lt;27501),AND(53500&lt;T775,T775&lt;57001),AND(72500&lt;T775,T775&lt;75001)),$G775,IF(OR(AND(27500&lt;T775,T775&lt;30001),AND(57000&lt;T775,T775&lt;60001),AND(75000&lt;T775,T775&lt;77500)),$H775,VLOOKUP(T775,BDins,6,FALSE)))))</f>
        <v>0.75</v>
      </c>
      <c r="U777">
        <f>IF(U779&gt;10000,HLOOKUP(U779,$O775:T778,4,FALSE),IF(OR(AND(22500&lt;U775,U775&lt;25001),AND(50000&lt;U775,U775&lt;53501),AND(70000&lt;U775,U775&lt;72501)),$F775,IF(OR(AND(25001&lt;U775,U775&lt;27501),AND(53500&lt;U775,U775&lt;57001),AND(72500&lt;U775,U775&lt;75001)),$G775,IF(OR(AND(27500&lt;U775,U775&lt;30001),AND(57000&lt;U775,U775&lt;60001),AND(75000&lt;U775,U775&lt;77500)),$H775,VLOOKUP(U775,BDins,6,FALSE)))))</f>
        <v>1.45</v>
      </c>
      <c r="V777">
        <f>IF(V779&gt;10000,HLOOKUP(V779,$O775:U778,4,FALSE),IF(OR(AND(22500&lt;V775,V775&lt;25001),AND(50000&lt;V775,V775&lt;53501),AND(70000&lt;V775,V775&lt;72501)),$F775,IF(OR(AND(25001&lt;V775,V775&lt;27501),AND(53500&lt;V775,V775&lt;57001),AND(72500&lt;V775,V775&lt;75001)),$G775,IF(OR(AND(27500&lt;V775,V775&lt;30001),AND(57000&lt;V775,V775&lt;60001),AND(75000&lt;V775,V775&lt;77500)),$H775,VLOOKUP(V775,BDins,6,FALSE)))))</f>
        <v>31.5</v>
      </c>
      <c r="W777">
        <f>IF(W779&gt;10000,HLOOKUP(W779,$O775:V778,4,FALSE),IF(OR(AND(22500&lt;W775,W775&lt;25001),AND(50000&lt;W775,W775&lt;53501),AND(70000&lt;W775,W775&lt;72501)),$F775,IF(OR(AND(25001&lt;W775,W775&lt;27501),AND(53500&lt;W775,W775&lt;57001),AND(72500&lt;W775,W775&lt;75001)),$G775,IF(OR(AND(27500&lt;W775,W775&lt;30001),AND(57000&lt;W775,W775&lt;60001),AND(75000&lt;W775,W775&lt;77500)),$H775,VLOOKUP(W775,BDins,6,FALSE)))))</f>
        <v>9.8800000000000008</v>
      </c>
      <c r="X777">
        <f>IF(X779&gt;10000,HLOOKUP(X779,$O775:W778,4,FALSE),IF(OR(AND(22500&lt;X775,X775&lt;25001),AND(50000&lt;X775,X775&lt;53501),AND(70000&lt;X775,X775&lt;72501)),$F775,IF(OR(AND(25001&lt;X775,X775&lt;27501),AND(53500&lt;X775,X775&lt;57001),AND(72500&lt;X775,X775&lt;75001)),$G775,IF(OR(AND(27500&lt;X775,X775&lt;30001),AND(57000&lt;X775,X775&lt;60001),AND(75000&lt;X775,X775&lt;77500)),$H775,VLOOKUP(X775,BDins,6,FALSE)))))</f>
        <v>5</v>
      </c>
    </row>
    <row r="778" spans="1:24" x14ac:dyDescent="0.2">
      <c r="O778">
        <f t="shared" ref="O778:X778" si="105">IF($K775&gt;0,ROUND(O776*$E775/100,DpCU),IF(O779&gt;10000,ROUND(HLOOKUP(O779,$O775:$X778,4,FALSE)/100*O776,DpCU),IF(OR(O775&lt;20001,O775&gt;95000,AND(60000&lt;O775,O775&lt;70001)),ROUND(ROUND(O776*JL/$C775,DcCU)*O777,DpCU),IF(OR(AND(20000&lt;O775,O775&lt;22501),AND(30000&lt;O775,O775&lt;50001),77500&lt;O775),ROUND(O777*O776,DpCU),IF(OR(AND(22500&lt;O775,O775&lt;25001),AND(50000&lt;O775,O775&lt;53501),AND(70000&lt;O775,O775&lt;72501)),ROUND($F775/100*O776,DpCU),IF(OR(AND(25000&lt;O775,O775&lt;27501),AND(53500&lt;O775,O775&lt;57001),AND(72500&lt;O775,O775&lt;75001)),ROUND($G775/100*O776,DpCU),ROUND($H775/100*O776,DpCU)))))))</f>
        <v>0.91</v>
      </c>
      <c r="P778">
        <f t="shared" si="105"/>
        <v>7.57</v>
      </c>
      <c r="Q778">
        <f t="shared" si="105"/>
        <v>1.4</v>
      </c>
      <c r="R778">
        <f t="shared" si="105"/>
        <v>0.41</v>
      </c>
      <c r="S778">
        <f t="shared" si="105"/>
        <v>0.3</v>
      </c>
      <c r="T778">
        <f t="shared" si="105"/>
        <v>1.35</v>
      </c>
      <c r="U778">
        <f t="shared" si="105"/>
        <v>0.22</v>
      </c>
      <c r="V778">
        <f t="shared" si="105"/>
        <v>1.42</v>
      </c>
      <c r="W778">
        <f t="shared" si="105"/>
        <v>0.49</v>
      </c>
      <c r="X778">
        <f t="shared" si="105"/>
        <v>0.69</v>
      </c>
    </row>
    <row r="779" spans="1:24" x14ac:dyDescent="0.2">
      <c r="B779" s="3" t="str">
        <f>A775&amp;"r"</f>
        <v>10155r</v>
      </c>
    </row>
    <row r="780" spans="1:24" x14ac:dyDescent="0.2">
      <c r="A780">
        <v>10156</v>
      </c>
      <c r="B780" s="3" t="s">
        <v>803</v>
      </c>
      <c r="C780" s="1">
        <f>ROUND(J780*JL*Frto/8,4)</f>
        <v>25</v>
      </c>
      <c r="D780" t="s">
        <v>210</v>
      </c>
      <c r="E780">
        <f>SUM($O783:$W783)</f>
        <v>12.43</v>
      </c>
      <c r="F780">
        <f>SUMIF($O780:$W780,"&lt;22501",$O783:$W783)</f>
        <v>8.69</v>
      </c>
      <c r="G780">
        <f>SUMIFS($O783:$W783,$O780:$W780,"&gt;30000",$O780:$W780,"&lt;50001")</f>
        <v>3.3100000000000005</v>
      </c>
      <c r="H780">
        <f>SUMIFS($O783:$W783,$O780:$W780,"&gt;60000",$O780:$W780,"&lt;70001")</f>
        <v>0</v>
      </c>
      <c r="I780">
        <v>9</v>
      </c>
      <c r="J780">
        <v>25</v>
      </c>
      <c r="O780">
        <v>10001</v>
      </c>
      <c r="P780">
        <v>10002</v>
      </c>
      <c r="Q780">
        <v>10003</v>
      </c>
      <c r="R780">
        <v>30146</v>
      </c>
      <c r="S780">
        <v>30147</v>
      </c>
      <c r="T780">
        <v>30148</v>
      </c>
      <c r="U780">
        <v>30149</v>
      </c>
      <c r="V780">
        <v>30151</v>
      </c>
      <c r="W780">
        <v>70001</v>
      </c>
    </row>
    <row r="781" spans="1:24" x14ac:dyDescent="0.2">
      <c r="B781" s="3" t="str">
        <f>A780&amp;"C"</f>
        <v>10156C</v>
      </c>
      <c r="O781">
        <v>0.1</v>
      </c>
      <c r="P781">
        <v>1</v>
      </c>
      <c r="Q781">
        <v>0.25</v>
      </c>
      <c r="R781">
        <v>0.3</v>
      </c>
      <c r="S781">
        <v>2.5000000000000001E-2</v>
      </c>
      <c r="T781">
        <v>1.8</v>
      </c>
      <c r="U781">
        <v>0.15</v>
      </c>
      <c r="V781">
        <v>0.05</v>
      </c>
      <c r="W781">
        <v>5</v>
      </c>
    </row>
    <row r="782" spans="1:24" x14ac:dyDescent="0.2">
      <c r="O782">
        <f>IF(O784&gt;10000,HLOOKUP(O784,N780:$O783,4,FALSE),IF(OR(AND(22500&lt;O780,O780&lt;25001),AND(50000&lt;O780,O780&lt;53501),AND(70000&lt;O780,O780&lt;72501)),$F780,IF(OR(AND(25001&lt;O780,O780&lt;27501),AND(53500&lt;O780,O780&lt;57001),AND(72500&lt;O780,O780&lt;75001)),$G780,IF(OR(AND(27500&lt;O780,O780&lt;30001),AND(57000&lt;O780,O780&lt;60001),AND(75000&lt;O780,O780&lt;77500)),$H780,VLOOKUP(O780,BDins,6,FALSE)))))</f>
        <v>24.97</v>
      </c>
      <c r="P782">
        <f>IF(P784&gt;10000,HLOOKUP(P784,O780:$O783,4,FALSE),IF(OR(AND(22500&lt;P780,P780&lt;25001),AND(50000&lt;P780,P780&lt;53501),AND(70000&lt;P780,P780&lt;72501)),$F780,IF(OR(AND(25001&lt;P780,P780&lt;27501),AND(53500&lt;P780,P780&lt;57001),AND(72500&lt;P780,P780&lt;75001)),$G780,IF(OR(AND(27500&lt;P780,P780&lt;30001),AND(57000&lt;P780,P780&lt;60001),AND(75000&lt;P780,P780&lt;77500)),$H780,VLOOKUP(P780,BDins,6,FALSE)))))</f>
        <v>20.81</v>
      </c>
      <c r="Q782">
        <f>IF(Q784&gt;10000,HLOOKUP(Q784,$O780:P783,4,FALSE),IF(OR(AND(22500&lt;Q780,Q780&lt;25001),AND(50000&lt;Q780,Q780&lt;53501),AND(70000&lt;Q780,Q780&lt;72501)),$F780,IF(OR(AND(25001&lt;Q780,Q780&lt;27501),AND(53500&lt;Q780,Q780&lt;57001),AND(72500&lt;Q780,Q780&lt;75001)),$G780,IF(OR(AND(27500&lt;Q780,Q780&lt;30001),AND(57000&lt;Q780,Q780&lt;60001),AND(75000&lt;Q780,Q780&lt;77500)),$H780,VLOOKUP(Q780,BDins,6,FALSE)))))</f>
        <v>15.36</v>
      </c>
      <c r="R782">
        <f>IF(R784&gt;10000,HLOOKUP(R784,$O780:Q783,4,FALSE),IF(OR(AND(22500&lt;R780,R780&lt;25001),AND(50000&lt;R780,R780&lt;53501),AND(70000&lt;R780,R780&lt;72501)),$F780,IF(OR(AND(25001&lt;R780,R780&lt;27501),AND(53500&lt;R780,R780&lt;57001),AND(72500&lt;R780,R780&lt;75001)),$G780,IF(OR(AND(27500&lt;R780,R780&lt;30001),AND(57000&lt;R780,R780&lt;60001),AND(75000&lt;R780,R780&lt;77500)),$H780,VLOOKUP(R780,BDins,6,FALSE)))))</f>
        <v>1.38</v>
      </c>
      <c r="S782">
        <f>IF(S784&gt;10000,HLOOKUP(S784,$O780:R783,4,FALSE),IF(OR(AND(22500&lt;S780,S780&lt;25001),AND(50000&lt;S780,S780&lt;53501),AND(70000&lt;S780,S780&lt;72501)),$F780,IF(OR(AND(25001&lt;S780,S780&lt;27501),AND(53500&lt;S780,S780&lt;57001),AND(72500&lt;S780,S780&lt;75001)),$G780,IF(OR(AND(27500&lt;S780,S780&lt;30001),AND(57000&lt;S780,S780&lt;60001),AND(75000&lt;S780,S780&lt;77500)),$H780,VLOOKUP(S780,BDins,6,FALSE)))))</f>
        <v>11.9</v>
      </c>
      <c r="T782">
        <f>IF(T784&gt;10000,HLOOKUP(T784,$O780:S783,4,FALSE),IF(OR(AND(22500&lt;T780,T780&lt;25001),AND(50000&lt;T780,T780&lt;53501),AND(70000&lt;T780,T780&lt;72501)),$F780,IF(OR(AND(25001&lt;T780,T780&lt;27501),AND(53500&lt;T780,T780&lt;57001),AND(72500&lt;T780,T780&lt;75001)),$G780,IF(OR(AND(27500&lt;T780,T780&lt;30001),AND(57000&lt;T780,T780&lt;60001),AND(75000&lt;T780,T780&lt;77500)),$H780,VLOOKUP(T780,BDins,6,FALSE)))))</f>
        <v>0.75</v>
      </c>
      <c r="U782">
        <f>IF(U784&gt;10000,HLOOKUP(U784,$O780:T783,4,FALSE),IF(OR(AND(22500&lt;U780,U780&lt;25001),AND(50000&lt;U780,U780&lt;53501),AND(70000&lt;U780,U780&lt;72501)),$F780,IF(OR(AND(25001&lt;U780,U780&lt;27501),AND(53500&lt;U780,U780&lt;57001),AND(72500&lt;U780,U780&lt;75001)),$G780,IF(OR(AND(27500&lt;U780,U780&lt;30001),AND(57000&lt;U780,U780&lt;60001),AND(75000&lt;U780,U780&lt;77500)),$H780,VLOOKUP(U780,BDins,6,FALSE)))))</f>
        <v>1.45</v>
      </c>
      <c r="V782">
        <f>IF(V784&gt;10000,HLOOKUP(V784,$O780:U783,4,FALSE),IF(OR(AND(22500&lt;V780,V780&lt;25001),AND(50000&lt;V780,V780&lt;53501),AND(70000&lt;V780,V780&lt;72501)),$F780,IF(OR(AND(25001&lt;V780,V780&lt;27501),AND(53500&lt;V780,V780&lt;57001),AND(72500&lt;V780,V780&lt;75001)),$G780,IF(OR(AND(27500&lt;V780,V780&lt;30001),AND(57000&lt;V780,V780&lt;60001),AND(75000&lt;V780,V780&lt;77500)),$H780,VLOOKUP(V780,BDins,6,FALSE)))))</f>
        <v>20.5</v>
      </c>
      <c r="W782">
        <f>IF(W784&gt;10000,HLOOKUP(W784,$O780:V783,4,FALSE),IF(OR(AND(22500&lt;W780,W780&lt;25001),AND(50000&lt;W780,W780&lt;53501),AND(70000&lt;W780,W780&lt;72501)),$F780,IF(OR(AND(25001&lt;W780,W780&lt;27501),AND(53500&lt;W780,W780&lt;57001),AND(72500&lt;W780,W780&lt;75001)),$G780,IF(OR(AND(27500&lt;W780,W780&lt;30001),AND(57000&lt;W780,W780&lt;60001),AND(75000&lt;W780,W780&lt;77500)),$H780,VLOOKUP(W780,BDins,6,FALSE)))))</f>
        <v>8.69</v>
      </c>
    </row>
    <row r="783" spans="1:24" x14ac:dyDescent="0.2">
      <c r="O783">
        <f t="shared" ref="O783:W783" si="106">IF($K780&gt;0,ROUND(O781*$E780/100,DpCU),IF(O784&gt;10000,ROUND(HLOOKUP(O784,$O780:$W783,4,FALSE)/100*O781,DpCU),IF(OR(O780&lt;20001,O780&gt;95000,AND(60000&lt;O780,O780&lt;70001)),ROUND(ROUND(O781*JL/$C780,DcCU)*O782,DpCU),IF(OR(AND(20000&lt;O780,O780&lt;22501),AND(30000&lt;O780,O780&lt;50001),77500&lt;O780),ROUND(O782*O781,DpCU),IF(OR(AND(22500&lt;O780,O780&lt;25001),AND(50000&lt;O780,O780&lt;53501),AND(70000&lt;O780,O780&lt;72501)),ROUND($F780/100*O781,DpCU),IF(OR(AND(25000&lt;O780,O780&lt;27501),AND(53500&lt;O780,O780&lt;57001),AND(72500&lt;O780,O780&lt;75001)),ROUND($G780/100*O781,DpCU),ROUND($H780/100*O781,DpCU)))))))</f>
        <v>0.8</v>
      </c>
      <c r="P783">
        <f t="shared" si="106"/>
        <v>6.66</v>
      </c>
      <c r="Q783">
        <f t="shared" si="106"/>
        <v>1.23</v>
      </c>
      <c r="R783">
        <f t="shared" si="106"/>
        <v>0.41</v>
      </c>
      <c r="S783">
        <f t="shared" si="106"/>
        <v>0.3</v>
      </c>
      <c r="T783">
        <f t="shared" si="106"/>
        <v>1.35</v>
      </c>
      <c r="U783">
        <f t="shared" si="106"/>
        <v>0.22</v>
      </c>
      <c r="V783">
        <f t="shared" si="106"/>
        <v>1.03</v>
      </c>
      <c r="W783">
        <f t="shared" si="106"/>
        <v>0.43</v>
      </c>
    </row>
    <row r="784" spans="1:24" x14ac:dyDescent="0.2">
      <c r="B784" s="3" t="str">
        <f>A780&amp;"r"</f>
        <v>10156r</v>
      </c>
    </row>
    <row r="785" spans="1:23" x14ac:dyDescent="0.2">
      <c r="A785">
        <v>10157</v>
      </c>
      <c r="B785" s="3" t="s">
        <v>808</v>
      </c>
      <c r="C785" s="1">
        <f>ROUND(J785*JL*Frto/8,4)</f>
        <v>7.5</v>
      </c>
      <c r="D785" t="s">
        <v>210</v>
      </c>
      <c r="E785">
        <f>SUM($O788:$W788)</f>
        <v>44.09</v>
      </c>
      <c r="F785">
        <f>SUMIF($O785:$W785,"&lt;22501",$O788:$W788)</f>
        <v>33.049999999999997</v>
      </c>
      <c r="G785">
        <f>SUMIFS($O788:$W788,$O785:$W785,"&gt;30000",$O785:$W785,"&lt;50001")</f>
        <v>9.08</v>
      </c>
      <c r="H785">
        <f>SUMIFS($O788:$W788,$O785:$W785,"&gt;60000",$O785:$W785,"&lt;70001")</f>
        <v>0</v>
      </c>
      <c r="I785">
        <v>9</v>
      </c>
      <c r="J785">
        <v>7.5</v>
      </c>
      <c r="O785">
        <v>10001</v>
      </c>
      <c r="P785">
        <v>10002</v>
      </c>
      <c r="Q785">
        <v>10003</v>
      </c>
      <c r="R785">
        <v>30018</v>
      </c>
      <c r="S785">
        <v>30127</v>
      </c>
      <c r="T785">
        <v>30152</v>
      </c>
      <c r="U785">
        <v>30153</v>
      </c>
      <c r="V785">
        <v>70001</v>
      </c>
      <c r="W785">
        <v>77511</v>
      </c>
    </row>
    <row r="786" spans="1:23" x14ac:dyDescent="0.2">
      <c r="B786" s="3" t="str">
        <f>A785&amp;"C"</f>
        <v>10157C</v>
      </c>
      <c r="O786">
        <v>0.1</v>
      </c>
      <c r="P786">
        <v>1</v>
      </c>
      <c r="Q786">
        <v>0.5</v>
      </c>
      <c r="R786">
        <v>0.2</v>
      </c>
      <c r="S786">
        <v>0.25</v>
      </c>
      <c r="T786">
        <v>7.4999999999999997E-2</v>
      </c>
      <c r="U786">
        <v>7.4999999999999997E-2</v>
      </c>
      <c r="V786">
        <v>5</v>
      </c>
      <c r="W786">
        <v>3.121875E-2</v>
      </c>
    </row>
    <row r="787" spans="1:23" x14ac:dyDescent="0.2">
      <c r="O787">
        <f>IF(O789&gt;10000,HLOOKUP(O789,N785:$O788,4,FALSE),IF(OR(AND(22500&lt;O785,O785&lt;25001),AND(50000&lt;O785,O785&lt;53501),AND(70000&lt;O785,O785&lt;72501)),$F785,IF(OR(AND(25001&lt;O785,O785&lt;27501),AND(53500&lt;O785,O785&lt;57001),AND(72500&lt;O785,O785&lt;75001)),$G785,IF(OR(AND(27500&lt;O785,O785&lt;30001),AND(57000&lt;O785,O785&lt;60001),AND(75000&lt;O785,O785&lt;77500)),$H785,VLOOKUP(O785,BDins,6,FALSE)))))</f>
        <v>24.97</v>
      </c>
      <c r="P787">
        <f>IF(P789&gt;10000,HLOOKUP(P789,O785:$O788,4,FALSE),IF(OR(AND(22500&lt;P785,P785&lt;25001),AND(50000&lt;P785,P785&lt;53501),AND(70000&lt;P785,P785&lt;72501)),$F785,IF(OR(AND(25001&lt;P785,P785&lt;27501),AND(53500&lt;P785,P785&lt;57001),AND(72500&lt;P785,P785&lt;75001)),$G785,IF(OR(AND(27500&lt;P785,P785&lt;30001),AND(57000&lt;P785,P785&lt;60001),AND(75000&lt;P785,P785&lt;77500)),$H785,VLOOKUP(P785,BDins,6,FALSE)))))</f>
        <v>20.81</v>
      </c>
      <c r="Q787">
        <f>IF(Q789&gt;10000,HLOOKUP(Q789,$O785:P788,4,FALSE),IF(OR(AND(22500&lt;Q785,Q785&lt;25001),AND(50000&lt;Q785,Q785&lt;53501),AND(70000&lt;Q785,Q785&lt;72501)),$F785,IF(OR(AND(25001&lt;Q785,Q785&lt;27501),AND(53500&lt;Q785,Q785&lt;57001),AND(72500&lt;Q785,Q785&lt;75001)),$G785,IF(OR(AND(27500&lt;Q785,Q785&lt;30001),AND(57000&lt;Q785,Q785&lt;60001),AND(75000&lt;Q785,Q785&lt;77500)),$H785,VLOOKUP(Q785,BDins,6,FALSE)))))</f>
        <v>15.36</v>
      </c>
      <c r="R787">
        <f>IF(R789&gt;10000,HLOOKUP(R789,$O785:Q788,4,FALSE),IF(OR(AND(22500&lt;R785,R785&lt;25001),AND(50000&lt;R785,R785&lt;53501),AND(70000&lt;R785,R785&lt;72501)),$F785,IF(OR(AND(25001&lt;R785,R785&lt;27501),AND(53500&lt;R785,R785&lt;57001),AND(72500&lt;R785,R785&lt;75001)),$G785,IF(OR(AND(27500&lt;R785,R785&lt;30001),AND(57000&lt;R785,R785&lt;60001),AND(75000&lt;R785,R785&lt;77500)),$H785,VLOOKUP(R785,BDins,6,FALSE)))))</f>
        <v>13.5</v>
      </c>
      <c r="S787">
        <f>IF(S789&gt;10000,HLOOKUP(S789,$O785:R788,4,FALSE),IF(OR(AND(22500&lt;S785,S785&lt;25001),AND(50000&lt;S785,S785&lt;53501),AND(70000&lt;S785,S785&lt;72501)),$F785,IF(OR(AND(25001&lt;S785,S785&lt;27501),AND(53500&lt;S785,S785&lt;57001),AND(72500&lt;S785,S785&lt;75001)),$G785,IF(OR(AND(27500&lt;S785,S785&lt;30001),AND(57000&lt;S785,S785&lt;60001),AND(75000&lt;S785,S785&lt;77500)),$H785,VLOOKUP(S785,BDins,6,FALSE)))))</f>
        <v>1.5</v>
      </c>
      <c r="T787">
        <f>IF(T789&gt;10000,HLOOKUP(T789,$O785:S788,4,FALSE),IF(OR(AND(22500&lt;T785,T785&lt;25001),AND(50000&lt;T785,T785&lt;53501),AND(70000&lt;T785,T785&lt;72501)),$F785,IF(OR(AND(25001&lt;T785,T785&lt;27501),AND(53500&lt;T785,T785&lt;57001),AND(72500&lt;T785,T785&lt;75001)),$G785,IF(OR(AND(27500&lt;T785,T785&lt;30001),AND(57000&lt;T785,T785&lt;60001),AND(75000&lt;T785,T785&lt;77500)),$H785,VLOOKUP(T785,BDins,6,FALSE)))))</f>
        <v>40</v>
      </c>
      <c r="U787">
        <f>IF(U789&gt;10000,HLOOKUP(U789,$O785:T788,4,FALSE),IF(OR(AND(22500&lt;U785,U785&lt;25001),AND(50000&lt;U785,U785&lt;53501),AND(70000&lt;U785,U785&lt;72501)),$F785,IF(OR(AND(25001&lt;U785,U785&lt;27501),AND(53500&lt;U785,U785&lt;57001),AND(72500&lt;U785,U785&lt;75001)),$G785,IF(OR(AND(27500&lt;U785,U785&lt;30001),AND(57000&lt;U785,U785&lt;60001),AND(75000&lt;U785,U785&lt;77500)),$H785,VLOOKUP(U785,BDins,6,FALSE)))))</f>
        <v>40</v>
      </c>
      <c r="V787">
        <f>IF(V789&gt;10000,HLOOKUP(V789,$O785:U788,4,FALSE),IF(OR(AND(22500&lt;V785,V785&lt;25001),AND(50000&lt;V785,V785&lt;53501),AND(70000&lt;V785,V785&lt;72501)),$F785,IF(OR(AND(25001&lt;V785,V785&lt;27501),AND(53500&lt;V785,V785&lt;57001),AND(72500&lt;V785,V785&lt;75001)),$G785,IF(OR(AND(27500&lt;V785,V785&lt;30001),AND(57000&lt;V785,V785&lt;60001),AND(75000&lt;V785,V785&lt;77500)),$H785,VLOOKUP(V785,BDins,6,FALSE)))))</f>
        <v>33.049999999999997</v>
      </c>
      <c r="W787">
        <f>IF(W789&gt;10000,HLOOKUP(W789,$O785:V788,4,FALSE),IF(OR(AND(22500&lt;W785,W785&lt;25001),AND(50000&lt;W785,W785&lt;53501),AND(70000&lt;W785,W785&lt;72501)),$F785,IF(OR(AND(25001&lt;W785,W785&lt;27501),AND(53500&lt;W785,W785&lt;57001),AND(72500&lt;W785,W785&lt;75001)),$G785,IF(OR(AND(27500&lt;W785,W785&lt;30001),AND(57000&lt;W785,W785&lt;60001),AND(75000&lt;W785,W785&lt;77500)),$H785,VLOOKUP(W785,BDins,6,FALSE)))))</f>
        <v>10</v>
      </c>
    </row>
    <row r="788" spans="1:23" x14ac:dyDescent="0.2">
      <c r="O788">
        <f t="shared" ref="O788:W788" si="107">IF($K785&gt;0,ROUND(O786*$E785/100,DpCU),IF(O789&gt;10000,ROUND(HLOOKUP(O789,$O785:$W788,4,FALSE)/100*O786,DpCU),IF(OR(O785&lt;20001,O785&gt;95000,AND(60000&lt;O785,O785&lt;70001)),ROUND(ROUND(O786*JL/$C785,DcCU)*O787,DpCU),IF(OR(AND(20000&lt;O785,O785&lt;22501),AND(30000&lt;O785,O785&lt;50001),77500&lt;O785),ROUND(O787*O786,DpCU),IF(OR(AND(22500&lt;O785,O785&lt;25001),AND(50000&lt;O785,O785&lt;53501),AND(70000&lt;O785,O785&lt;72501)),ROUND($F785/100*O786,DpCU),IF(OR(AND(25000&lt;O785,O785&lt;27501),AND(53500&lt;O785,O785&lt;57001),AND(72500&lt;O785,O785&lt;75001)),ROUND($G785/100*O786,DpCU),ROUND($H785/100*O786,DpCU)))))))</f>
        <v>2.66</v>
      </c>
      <c r="P788">
        <f t="shared" si="107"/>
        <v>22.2</v>
      </c>
      <c r="Q788">
        <f t="shared" si="107"/>
        <v>8.19</v>
      </c>
      <c r="R788">
        <f t="shared" si="107"/>
        <v>2.7</v>
      </c>
      <c r="S788">
        <f t="shared" si="107"/>
        <v>0.38</v>
      </c>
      <c r="T788">
        <f t="shared" si="107"/>
        <v>3</v>
      </c>
      <c r="U788">
        <f t="shared" si="107"/>
        <v>3</v>
      </c>
      <c r="V788">
        <f t="shared" si="107"/>
        <v>1.65</v>
      </c>
      <c r="W788">
        <f t="shared" si="107"/>
        <v>0.31</v>
      </c>
    </row>
    <row r="789" spans="1:23" x14ac:dyDescent="0.2">
      <c r="B789" s="3" t="str">
        <f>A785&amp;"r"</f>
        <v>10157r</v>
      </c>
    </row>
    <row r="790" spans="1:23" x14ac:dyDescent="0.2">
      <c r="A790">
        <v>10158</v>
      </c>
      <c r="B790" s="3" t="s">
        <v>815</v>
      </c>
      <c r="C790" s="1">
        <f>ROUND(J790*JL*Frto/8,4)</f>
        <v>9</v>
      </c>
      <c r="D790" t="s">
        <v>210</v>
      </c>
      <c r="E790">
        <f>SUM($O793:$V793)</f>
        <v>33.72</v>
      </c>
      <c r="F790">
        <f>SUMIF($O790:$V790,"&lt;22501",$O793:$V793)</f>
        <v>27.549999999999997</v>
      </c>
      <c r="G790">
        <f>SUMIFS($O793:$V793,$O790:$V790,"&gt;30000",$O790:$V790,"&lt;50001")</f>
        <v>4.79</v>
      </c>
      <c r="H790">
        <f>SUMIFS($O793:$V793,$O790:$V790,"&gt;60000",$O790:$V790,"&lt;70001")</f>
        <v>0</v>
      </c>
      <c r="I790">
        <v>8</v>
      </c>
      <c r="J790">
        <v>9</v>
      </c>
      <c r="O790">
        <v>10001</v>
      </c>
      <c r="P790">
        <v>10002</v>
      </c>
      <c r="Q790">
        <v>10003</v>
      </c>
      <c r="R790">
        <v>30018</v>
      </c>
      <c r="S790">
        <v>30127</v>
      </c>
      <c r="T790">
        <v>30154</v>
      </c>
      <c r="U790">
        <v>30155</v>
      </c>
      <c r="V790">
        <v>70001</v>
      </c>
    </row>
    <row r="791" spans="1:23" x14ac:dyDescent="0.2">
      <c r="B791" s="3" t="str">
        <f>A790&amp;"C"</f>
        <v>10158C</v>
      </c>
      <c r="O791">
        <v>0.1</v>
      </c>
      <c r="P791">
        <v>1</v>
      </c>
      <c r="Q791">
        <v>0.5</v>
      </c>
      <c r="R791">
        <v>0.05</v>
      </c>
      <c r="S791">
        <v>0.2</v>
      </c>
      <c r="T791">
        <v>0.05</v>
      </c>
      <c r="U791">
        <v>0.05</v>
      </c>
      <c r="V791">
        <v>5</v>
      </c>
    </row>
    <row r="792" spans="1:23" x14ac:dyDescent="0.2">
      <c r="O792">
        <f>IF(O794&gt;10000,HLOOKUP(O794,N790:$O793,4,FALSE),IF(OR(AND(22500&lt;O790,O790&lt;25001),AND(50000&lt;O790,O790&lt;53501),AND(70000&lt;O790,O790&lt;72501)),$F790,IF(OR(AND(25001&lt;O790,O790&lt;27501),AND(53500&lt;O790,O790&lt;57001),AND(72500&lt;O790,O790&lt;75001)),$G790,IF(OR(AND(27500&lt;O790,O790&lt;30001),AND(57000&lt;O790,O790&lt;60001),AND(75000&lt;O790,O790&lt;77500)),$H790,VLOOKUP(O790,BDins,6,FALSE)))))</f>
        <v>24.97</v>
      </c>
      <c r="P792">
        <f>IF(P794&gt;10000,HLOOKUP(P794,O790:$O793,4,FALSE),IF(OR(AND(22500&lt;P790,P790&lt;25001),AND(50000&lt;P790,P790&lt;53501),AND(70000&lt;P790,P790&lt;72501)),$F790,IF(OR(AND(25001&lt;P790,P790&lt;27501),AND(53500&lt;P790,P790&lt;57001),AND(72500&lt;P790,P790&lt;75001)),$G790,IF(OR(AND(27500&lt;P790,P790&lt;30001),AND(57000&lt;P790,P790&lt;60001),AND(75000&lt;P790,P790&lt;77500)),$H790,VLOOKUP(P790,BDins,6,FALSE)))))</f>
        <v>20.81</v>
      </c>
      <c r="Q792">
        <f>IF(Q794&gt;10000,HLOOKUP(Q794,$O790:P793,4,FALSE),IF(OR(AND(22500&lt;Q790,Q790&lt;25001),AND(50000&lt;Q790,Q790&lt;53501),AND(70000&lt;Q790,Q790&lt;72501)),$F790,IF(OR(AND(25001&lt;Q790,Q790&lt;27501),AND(53500&lt;Q790,Q790&lt;57001),AND(72500&lt;Q790,Q790&lt;75001)),$G790,IF(OR(AND(27500&lt;Q790,Q790&lt;30001),AND(57000&lt;Q790,Q790&lt;60001),AND(75000&lt;Q790,Q790&lt;77500)),$H790,VLOOKUP(Q790,BDins,6,FALSE)))))</f>
        <v>15.36</v>
      </c>
      <c r="R792">
        <f>IF(R794&gt;10000,HLOOKUP(R794,$O790:Q793,4,FALSE),IF(OR(AND(22500&lt;R790,R790&lt;25001),AND(50000&lt;R790,R790&lt;53501),AND(70000&lt;R790,R790&lt;72501)),$F790,IF(OR(AND(25001&lt;R790,R790&lt;27501),AND(53500&lt;R790,R790&lt;57001),AND(72500&lt;R790,R790&lt;75001)),$G790,IF(OR(AND(27500&lt;R790,R790&lt;30001),AND(57000&lt;R790,R790&lt;60001),AND(75000&lt;R790,R790&lt;77500)),$H790,VLOOKUP(R790,BDins,6,FALSE)))))</f>
        <v>13.5</v>
      </c>
      <c r="S792">
        <f>IF(S794&gt;10000,HLOOKUP(S794,$O790:R793,4,FALSE),IF(OR(AND(22500&lt;S790,S790&lt;25001),AND(50000&lt;S790,S790&lt;53501),AND(70000&lt;S790,S790&lt;72501)),$F790,IF(OR(AND(25001&lt;S790,S790&lt;27501),AND(53500&lt;S790,S790&lt;57001),AND(72500&lt;S790,S790&lt;75001)),$G790,IF(OR(AND(27500&lt;S790,S790&lt;30001),AND(57000&lt;S790,S790&lt;60001),AND(75000&lt;S790,S790&lt;77500)),$H790,VLOOKUP(S790,BDins,6,FALSE)))))</f>
        <v>1.5</v>
      </c>
      <c r="T792">
        <f>IF(T794&gt;10000,HLOOKUP(T794,$O790:S793,4,FALSE),IF(OR(AND(22500&lt;T790,T790&lt;25001),AND(50000&lt;T790,T790&lt;53501),AND(70000&lt;T790,T790&lt;72501)),$F790,IF(OR(AND(25001&lt;T790,T790&lt;27501),AND(53500&lt;T790,T790&lt;57001),AND(72500&lt;T790,T790&lt;75001)),$G790,IF(OR(AND(27500&lt;T790,T790&lt;30001),AND(57000&lt;T790,T790&lt;60001),AND(75000&lt;T790,T790&lt;77500)),$H790,VLOOKUP(T790,BDins,6,FALSE)))))</f>
        <v>35</v>
      </c>
      <c r="U792">
        <f>IF(U794&gt;10000,HLOOKUP(U794,$O790:T793,4,FALSE),IF(OR(AND(22500&lt;U790,U790&lt;25001),AND(50000&lt;U790,U790&lt;53501),AND(70000&lt;U790,U790&lt;72501)),$F790,IF(OR(AND(25001&lt;U790,U790&lt;27501),AND(53500&lt;U790,U790&lt;57001),AND(72500&lt;U790,U790&lt;75001)),$G790,IF(OR(AND(27500&lt;U790,U790&lt;30001),AND(57000&lt;U790,U790&lt;60001),AND(75000&lt;U790,U790&lt;77500)),$H790,VLOOKUP(U790,BDins,6,FALSE)))))</f>
        <v>41.25</v>
      </c>
      <c r="V792">
        <f>IF(V794&gt;10000,HLOOKUP(V794,$O790:U793,4,FALSE),IF(OR(AND(22500&lt;V790,V790&lt;25001),AND(50000&lt;V790,V790&lt;53501),AND(70000&lt;V790,V790&lt;72501)),$F790,IF(OR(AND(25001&lt;V790,V790&lt;27501),AND(53500&lt;V790,V790&lt;57001),AND(72500&lt;V790,V790&lt;75001)),$G790,IF(OR(AND(27500&lt;V790,V790&lt;30001),AND(57000&lt;V790,V790&lt;60001),AND(75000&lt;V790,V790&lt;77500)),$H790,VLOOKUP(V790,BDins,6,FALSE)))))</f>
        <v>27.549999999999997</v>
      </c>
    </row>
    <row r="793" spans="1:23" x14ac:dyDescent="0.2">
      <c r="O793">
        <f t="shared" ref="O793:V793" si="108">IF($K790&gt;0,ROUND(O791*$E790/100,DpCU),IF(O794&gt;10000,ROUND(HLOOKUP(O794,$O790:$V793,4,FALSE)/100*O791,DpCU),IF(OR(O790&lt;20001,O790&gt;95000,AND(60000&lt;O790,O790&lt;70001)),ROUND(ROUND(O791*JL/$C790,DcCU)*O792,DpCU),IF(OR(AND(20000&lt;O790,O790&lt;22501),AND(30000&lt;O790,O790&lt;50001),77500&lt;O790),ROUND(O792*O791,DpCU),IF(OR(AND(22500&lt;O790,O790&lt;25001),AND(50000&lt;O790,O790&lt;53501),AND(70000&lt;O790,O790&lt;72501)),ROUND($F790/100*O791,DpCU),IF(OR(AND(25000&lt;O790,O790&lt;27501),AND(53500&lt;O790,O790&lt;57001),AND(72500&lt;O790,O790&lt;75001)),ROUND($G790/100*O791,DpCU),ROUND($H790/100*O791,DpCU)))))))</f>
        <v>2.2200000000000002</v>
      </c>
      <c r="P793">
        <f t="shared" si="108"/>
        <v>18.5</v>
      </c>
      <c r="Q793">
        <f t="shared" si="108"/>
        <v>6.83</v>
      </c>
      <c r="R793">
        <f t="shared" si="108"/>
        <v>0.68</v>
      </c>
      <c r="S793">
        <f t="shared" si="108"/>
        <v>0.3</v>
      </c>
      <c r="T793">
        <f t="shared" si="108"/>
        <v>1.75</v>
      </c>
      <c r="U793">
        <f t="shared" si="108"/>
        <v>2.06</v>
      </c>
      <c r="V793">
        <f t="shared" si="108"/>
        <v>1.38</v>
      </c>
    </row>
    <row r="794" spans="1:23" x14ac:dyDescent="0.2">
      <c r="B794" s="3" t="str">
        <f>A790&amp;"r"</f>
        <v>10158r</v>
      </c>
    </row>
    <row r="795" spans="1:23" x14ac:dyDescent="0.2">
      <c r="A795">
        <v>10159</v>
      </c>
      <c r="B795" s="3" t="s">
        <v>819</v>
      </c>
      <c r="C795" s="1">
        <f>ROUND(J795*JL*Frto/8,4)</f>
        <v>9</v>
      </c>
      <c r="D795" t="s">
        <v>210</v>
      </c>
      <c r="E795">
        <f>SUM($O798:$V798)</f>
        <v>33.72</v>
      </c>
      <c r="F795">
        <f>SUMIF($O795:$V795,"&lt;22501",$O798:$V798)</f>
        <v>27.549999999999997</v>
      </c>
      <c r="G795">
        <f>SUMIFS($O798:$V798,$O795:$V795,"&gt;30000",$O795:$V795,"&lt;50001")</f>
        <v>4.79</v>
      </c>
      <c r="H795">
        <f>SUMIFS($O798:$V798,$O795:$V795,"&gt;60000",$O795:$V795,"&lt;70001")</f>
        <v>0</v>
      </c>
      <c r="I795">
        <v>8</v>
      </c>
      <c r="J795">
        <v>9</v>
      </c>
      <c r="O795">
        <v>10001</v>
      </c>
      <c r="P795">
        <v>10002</v>
      </c>
      <c r="Q795">
        <v>10003</v>
      </c>
      <c r="R795">
        <v>30018</v>
      </c>
      <c r="S795">
        <v>30127</v>
      </c>
      <c r="T795">
        <v>30154</v>
      </c>
      <c r="U795">
        <v>30155</v>
      </c>
      <c r="V795">
        <v>70001</v>
      </c>
    </row>
    <row r="796" spans="1:23" x14ac:dyDescent="0.2">
      <c r="B796" s="3" t="str">
        <f>A795&amp;"C"</f>
        <v>10159C</v>
      </c>
      <c r="O796">
        <v>0.1</v>
      </c>
      <c r="P796">
        <v>1</v>
      </c>
      <c r="Q796">
        <v>0.5</v>
      </c>
      <c r="R796">
        <v>0.05</v>
      </c>
      <c r="S796">
        <v>0.2</v>
      </c>
      <c r="T796">
        <v>0.05</v>
      </c>
      <c r="U796">
        <v>0.05</v>
      </c>
      <c r="V796">
        <v>5</v>
      </c>
    </row>
    <row r="797" spans="1:23" x14ac:dyDescent="0.2">
      <c r="O797">
        <f>IF(O799&gt;10000,HLOOKUP(O799,N795:$O798,4,FALSE),IF(OR(AND(22500&lt;O795,O795&lt;25001),AND(50000&lt;O795,O795&lt;53501),AND(70000&lt;O795,O795&lt;72501)),$F795,IF(OR(AND(25001&lt;O795,O795&lt;27501),AND(53500&lt;O795,O795&lt;57001),AND(72500&lt;O795,O795&lt;75001)),$G795,IF(OR(AND(27500&lt;O795,O795&lt;30001),AND(57000&lt;O795,O795&lt;60001),AND(75000&lt;O795,O795&lt;77500)),$H795,VLOOKUP(O795,BDins,6,FALSE)))))</f>
        <v>24.97</v>
      </c>
      <c r="P797">
        <f>IF(P799&gt;10000,HLOOKUP(P799,O795:$O798,4,FALSE),IF(OR(AND(22500&lt;P795,P795&lt;25001),AND(50000&lt;P795,P795&lt;53501),AND(70000&lt;P795,P795&lt;72501)),$F795,IF(OR(AND(25001&lt;P795,P795&lt;27501),AND(53500&lt;P795,P795&lt;57001),AND(72500&lt;P795,P795&lt;75001)),$G795,IF(OR(AND(27500&lt;P795,P795&lt;30001),AND(57000&lt;P795,P795&lt;60001),AND(75000&lt;P795,P795&lt;77500)),$H795,VLOOKUP(P795,BDins,6,FALSE)))))</f>
        <v>20.81</v>
      </c>
      <c r="Q797">
        <f>IF(Q799&gt;10000,HLOOKUP(Q799,$O795:P798,4,FALSE),IF(OR(AND(22500&lt;Q795,Q795&lt;25001),AND(50000&lt;Q795,Q795&lt;53501),AND(70000&lt;Q795,Q795&lt;72501)),$F795,IF(OR(AND(25001&lt;Q795,Q795&lt;27501),AND(53500&lt;Q795,Q795&lt;57001),AND(72500&lt;Q795,Q795&lt;75001)),$G795,IF(OR(AND(27500&lt;Q795,Q795&lt;30001),AND(57000&lt;Q795,Q795&lt;60001),AND(75000&lt;Q795,Q795&lt;77500)),$H795,VLOOKUP(Q795,BDins,6,FALSE)))))</f>
        <v>15.36</v>
      </c>
      <c r="R797">
        <f>IF(R799&gt;10000,HLOOKUP(R799,$O795:Q798,4,FALSE),IF(OR(AND(22500&lt;R795,R795&lt;25001),AND(50000&lt;R795,R795&lt;53501),AND(70000&lt;R795,R795&lt;72501)),$F795,IF(OR(AND(25001&lt;R795,R795&lt;27501),AND(53500&lt;R795,R795&lt;57001),AND(72500&lt;R795,R795&lt;75001)),$G795,IF(OR(AND(27500&lt;R795,R795&lt;30001),AND(57000&lt;R795,R795&lt;60001),AND(75000&lt;R795,R795&lt;77500)),$H795,VLOOKUP(R795,BDins,6,FALSE)))))</f>
        <v>13.5</v>
      </c>
      <c r="S797">
        <f>IF(S799&gt;10000,HLOOKUP(S799,$O795:R798,4,FALSE),IF(OR(AND(22500&lt;S795,S795&lt;25001),AND(50000&lt;S795,S795&lt;53501),AND(70000&lt;S795,S795&lt;72501)),$F795,IF(OR(AND(25001&lt;S795,S795&lt;27501),AND(53500&lt;S795,S795&lt;57001),AND(72500&lt;S795,S795&lt;75001)),$G795,IF(OR(AND(27500&lt;S795,S795&lt;30001),AND(57000&lt;S795,S795&lt;60001),AND(75000&lt;S795,S795&lt;77500)),$H795,VLOOKUP(S795,BDins,6,FALSE)))))</f>
        <v>1.5</v>
      </c>
      <c r="T797">
        <f>IF(T799&gt;10000,HLOOKUP(T799,$O795:S798,4,FALSE),IF(OR(AND(22500&lt;T795,T795&lt;25001),AND(50000&lt;T795,T795&lt;53501),AND(70000&lt;T795,T795&lt;72501)),$F795,IF(OR(AND(25001&lt;T795,T795&lt;27501),AND(53500&lt;T795,T795&lt;57001),AND(72500&lt;T795,T795&lt;75001)),$G795,IF(OR(AND(27500&lt;T795,T795&lt;30001),AND(57000&lt;T795,T795&lt;60001),AND(75000&lt;T795,T795&lt;77500)),$H795,VLOOKUP(T795,BDins,6,FALSE)))))</f>
        <v>35</v>
      </c>
      <c r="U797">
        <f>IF(U799&gt;10000,HLOOKUP(U799,$O795:T798,4,FALSE),IF(OR(AND(22500&lt;U795,U795&lt;25001),AND(50000&lt;U795,U795&lt;53501),AND(70000&lt;U795,U795&lt;72501)),$F795,IF(OR(AND(25001&lt;U795,U795&lt;27501),AND(53500&lt;U795,U795&lt;57001),AND(72500&lt;U795,U795&lt;75001)),$G795,IF(OR(AND(27500&lt;U795,U795&lt;30001),AND(57000&lt;U795,U795&lt;60001),AND(75000&lt;U795,U795&lt;77500)),$H795,VLOOKUP(U795,BDins,6,FALSE)))))</f>
        <v>41.25</v>
      </c>
      <c r="V797">
        <f>IF(V799&gt;10000,HLOOKUP(V799,$O795:U798,4,FALSE),IF(OR(AND(22500&lt;V795,V795&lt;25001),AND(50000&lt;V795,V795&lt;53501),AND(70000&lt;V795,V795&lt;72501)),$F795,IF(OR(AND(25001&lt;V795,V795&lt;27501),AND(53500&lt;V795,V795&lt;57001),AND(72500&lt;V795,V795&lt;75001)),$G795,IF(OR(AND(27500&lt;V795,V795&lt;30001),AND(57000&lt;V795,V795&lt;60001),AND(75000&lt;V795,V795&lt;77500)),$H795,VLOOKUP(V795,BDins,6,FALSE)))))</f>
        <v>27.549999999999997</v>
      </c>
    </row>
    <row r="798" spans="1:23" x14ac:dyDescent="0.2">
      <c r="O798">
        <f t="shared" ref="O798:V798" si="109">IF($K795&gt;0,ROUND(O796*$E795/100,DpCU),IF(O799&gt;10000,ROUND(HLOOKUP(O799,$O795:$V798,4,FALSE)/100*O796,DpCU),IF(OR(O795&lt;20001,O795&gt;95000,AND(60000&lt;O795,O795&lt;70001)),ROUND(ROUND(O796*JL/$C795,DcCU)*O797,DpCU),IF(OR(AND(20000&lt;O795,O795&lt;22501),AND(30000&lt;O795,O795&lt;50001),77500&lt;O795),ROUND(O797*O796,DpCU),IF(OR(AND(22500&lt;O795,O795&lt;25001),AND(50000&lt;O795,O795&lt;53501),AND(70000&lt;O795,O795&lt;72501)),ROUND($F795/100*O796,DpCU),IF(OR(AND(25000&lt;O795,O795&lt;27501),AND(53500&lt;O795,O795&lt;57001),AND(72500&lt;O795,O795&lt;75001)),ROUND($G795/100*O796,DpCU),ROUND($H795/100*O796,DpCU)))))))</f>
        <v>2.2200000000000002</v>
      </c>
      <c r="P798">
        <f t="shared" si="109"/>
        <v>18.5</v>
      </c>
      <c r="Q798">
        <f t="shared" si="109"/>
        <v>6.83</v>
      </c>
      <c r="R798">
        <f t="shared" si="109"/>
        <v>0.68</v>
      </c>
      <c r="S798">
        <f t="shared" si="109"/>
        <v>0.3</v>
      </c>
      <c r="T798">
        <f t="shared" si="109"/>
        <v>1.75</v>
      </c>
      <c r="U798">
        <f t="shared" si="109"/>
        <v>2.06</v>
      </c>
      <c r="V798">
        <f t="shared" si="109"/>
        <v>1.38</v>
      </c>
    </row>
    <row r="799" spans="1:23" x14ac:dyDescent="0.2">
      <c r="B799" s="3" t="str">
        <f>A795&amp;"r"</f>
        <v>10159r</v>
      </c>
    </row>
    <row r="800" spans="1:23" x14ac:dyDescent="0.2">
      <c r="A800">
        <v>10160</v>
      </c>
      <c r="B800" s="3" t="s">
        <v>821</v>
      </c>
      <c r="C800" s="1">
        <f>ROUND(J800*JL*Frto/8,4)</f>
        <v>12</v>
      </c>
      <c r="D800" t="s">
        <v>194</v>
      </c>
      <c r="E800">
        <f>SUM($O803:$W803)</f>
        <v>31.27</v>
      </c>
      <c r="F800">
        <f>SUMIF($O800:$W800,"&lt;22501",$O803:$W803)</f>
        <v>26.93</v>
      </c>
      <c r="G800">
        <f>SUMIFS($O803:$W803,$O800:$W800,"&gt;30000",$O800:$W800,"&lt;50001")</f>
        <v>2.99</v>
      </c>
      <c r="H800">
        <f>SUMIFS($O803:$W803,$O800:$W800,"&gt;60000",$O800:$W800,"&lt;70001")</f>
        <v>0</v>
      </c>
      <c r="I800">
        <v>9</v>
      </c>
      <c r="J800">
        <v>12</v>
      </c>
      <c r="O800">
        <v>10001</v>
      </c>
      <c r="P800">
        <v>10002</v>
      </c>
      <c r="Q800">
        <v>10008</v>
      </c>
      <c r="R800">
        <v>30018</v>
      </c>
      <c r="S800">
        <v>30020</v>
      </c>
      <c r="T800">
        <v>30154</v>
      </c>
      <c r="U800">
        <v>30156</v>
      </c>
      <c r="V800">
        <v>30157</v>
      </c>
      <c r="W800">
        <v>70001</v>
      </c>
    </row>
    <row r="801" spans="1:23" x14ac:dyDescent="0.2">
      <c r="B801" s="3" t="str">
        <f>A800&amp;"C"</f>
        <v>10160C</v>
      </c>
      <c r="O801">
        <v>0.1</v>
      </c>
      <c r="P801">
        <v>1</v>
      </c>
      <c r="Q801">
        <v>1</v>
      </c>
      <c r="R801">
        <v>8.0000000000000002E-3</v>
      </c>
      <c r="S801">
        <v>0.03</v>
      </c>
      <c r="T801">
        <v>0.03</v>
      </c>
      <c r="U801">
        <v>0.06</v>
      </c>
      <c r="V801">
        <v>0.1</v>
      </c>
      <c r="W801">
        <v>5</v>
      </c>
    </row>
    <row r="802" spans="1:23" x14ac:dyDescent="0.2">
      <c r="O802">
        <f>IF(O804&gt;10000,HLOOKUP(O804,N800:$O803,4,FALSE),IF(OR(AND(22500&lt;O800,O800&lt;25001),AND(50000&lt;O800,O800&lt;53501),AND(70000&lt;O800,O800&lt;72501)),$F800,IF(OR(AND(25001&lt;O800,O800&lt;27501),AND(53500&lt;O800,O800&lt;57001),AND(72500&lt;O800,O800&lt;75001)),$G800,IF(OR(AND(27500&lt;O800,O800&lt;30001),AND(57000&lt;O800,O800&lt;60001),AND(75000&lt;O800,O800&lt;77500)),$H800,VLOOKUP(O800,BDins,6,FALSE)))))</f>
        <v>24.97</v>
      </c>
      <c r="P802">
        <f>IF(P804&gt;10000,HLOOKUP(P804,O800:$O803,4,FALSE),IF(OR(AND(22500&lt;P800,P800&lt;25001),AND(50000&lt;P800,P800&lt;53501),AND(70000&lt;P800,P800&lt;72501)),$F800,IF(OR(AND(25001&lt;P800,P800&lt;27501),AND(53500&lt;P800,P800&lt;57001),AND(72500&lt;P800,P800&lt;75001)),$G800,IF(OR(AND(27500&lt;P800,P800&lt;30001),AND(57000&lt;P800,P800&lt;60001),AND(75000&lt;P800,P800&lt;77500)),$H800,VLOOKUP(P800,BDins,6,FALSE)))))</f>
        <v>20.81</v>
      </c>
      <c r="Q802">
        <f>IF(Q804&gt;10000,HLOOKUP(Q804,$O800:P803,4,FALSE),IF(OR(AND(22500&lt;Q800,Q800&lt;25001),AND(50000&lt;Q800,Q800&lt;53501),AND(70000&lt;Q800,Q800&lt;72501)),$F800,IF(OR(AND(25001&lt;Q800,Q800&lt;27501),AND(53500&lt;Q800,Q800&lt;57001),AND(72500&lt;Q800,Q800&lt;75001)),$G800,IF(OR(AND(27500&lt;Q800,Q800&lt;30001),AND(57000&lt;Q800,Q800&lt;60001),AND(75000&lt;Q800,Q800&lt;77500)),$H800,VLOOKUP(Q800,BDins,6,FALSE)))))</f>
        <v>17.09</v>
      </c>
      <c r="R802">
        <f>IF(R804&gt;10000,HLOOKUP(R804,$O800:Q803,4,FALSE),IF(OR(AND(22500&lt;R800,R800&lt;25001),AND(50000&lt;R800,R800&lt;53501),AND(70000&lt;R800,R800&lt;72501)),$F800,IF(OR(AND(25001&lt;R800,R800&lt;27501),AND(53500&lt;R800,R800&lt;57001),AND(72500&lt;R800,R800&lt;75001)),$G800,IF(OR(AND(27500&lt;R800,R800&lt;30001),AND(57000&lt;R800,R800&lt;60001),AND(75000&lt;R800,R800&lt;77500)),$H800,VLOOKUP(R800,BDins,6,FALSE)))))</f>
        <v>13.5</v>
      </c>
      <c r="S802">
        <f>IF(S804&gt;10000,HLOOKUP(S804,$O800:R803,4,FALSE),IF(OR(AND(22500&lt;S800,S800&lt;25001),AND(50000&lt;S800,S800&lt;53501),AND(70000&lt;S800,S800&lt;72501)),$F800,IF(OR(AND(25001&lt;S800,S800&lt;27501),AND(53500&lt;S800,S800&lt;57001),AND(72500&lt;S800,S800&lt;75001)),$G800,IF(OR(AND(27500&lt;S800,S800&lt;30001),AND(57000&lt;S800,S800&lt;60001),AND(75000&lt;S800,S800&lt;77500)),$H800,VLOOKUP(S800,BDins,6,FALSE)))))</f>
        <v>40</v>
      </c>
      <c r="T802">
        <f>IF(T804&gt;10000,HLOOKUP(T804,$O800:S803,4,FALSE),IF(OR(AND(22500&lt;T800,T800&lt;25001),AND(50000&lt;T800,T800&lt;53501),AND(70000&lt;T800,T800&lt;72501)),$F800,IF(OR(AND(25001&lt;T800,T800&lt;27501),AND(53500&lt;T800,T800&lt;57001),AND(72500&lt;T800,T800&lt;75001)),$G800,IF(OR(AND(27500&lt;T800,T800&lt;30001),AND(57000&lt;T800,T800&lt;60001),AND(75000&lt;T800,T800&lt;77500)),$H800,VLOOKUP(T800,BDins,6,FALSE)))))</f>
        <v>35</v>
      </c>
      <c r="U802">
        <f>IF(U804&gt;10000,HLOOKUP(U804,$O800:T803,4,FALSE),IF(OR(AND(22500&lt;U800,U800&lt;25001),AND(50000&lt;U800,U800&lt;53501),AND(70000&lt;U800,U800&lt;72501)),$F800,IF(OR(AND(25001&lt;U800,U800&lt;27501),AND(53500&lt;U800,U800&lt;57001),AND(72500&lt;U800,U800&lt;75001)),$G800,IF(OR(AND(27500&lt;U800,U800&lt;30001),AND(57000&lt;U800,U800&lt;60001),AND(75000&lt;U800,U800&lt;77500)),$H800,VLOOKUP(U800,BDins,6,FALSE)))))</f>
        <v>8</v>
      </c>
      <c r="V802">
        <f>IF(V804&gt;10000,HLOOKUP(V804,$O800:U803,4,FALSE),IF(OR(AND(22500&lt;V800,V800&lt;25001),AND(50000&lt;V800,V800&lt;53501),AND(70000&lt;V800,V800&lt;72501)),$F800,IF(OR(AND(25001&lt;V800,V800&lt;27501),AND(53500&lt;V800,V800&lt;57001),AND(72500&lt;V800,V800&lt;75001)),$G800,IF(OR(AND(27500&lt;V800,V800&lt;30001),AND(57000&lt;V800,V800&lt;60001),AND(75000&lt;V800,V800&lt;77500)),$H800,VLOOKUP(V800,BDins,6,FALSE)))))</f>
        <v>1.5</v>
      </c>
      <c r="W802">
        <f>IF(W804&gt;10000,HLOOKUP(W804,$O800:V803,4,FALSE),IF(OR(AND(22500&lt;W800,W800&lt;25001),AND(50000&lt;W800,W800&lt;53501),AND(70000&lt;W800,W800&lt;72501)),$F800,IF(OR(AND(25001&lt;W800,W800&lt;27501),AND(53500&lt;W800,W800&lt;57001),AND(72500&lt;W800,W800&lt;75001)),$G800,IF(OR(AND(27500&lt;W800,W800&lt;30001),AND(57000&lt;W800,W800&lt;60001),AND(75000&lt;W800,W800&lt;77500)),$H800,VLOOKUP(W800,BDins,6,FALSE)))))</f>
        <v>26.93</v>
      </c>
    </row>
    <row r="803" spans="1:23" x14ac:dyDescent="0.2">
      <c r="O803">
        <f t="shared" ref="O803:W803" si="110">IF($K800&gt;0,ROUND(O801*$E800/100,DpCU),IF(O804&gt;10000,ROUND(HLOOKUP(O804,$O800:$W803,4,FALSE)/100*O801,DpCU),IF(OR(O800&lt;20001,O800&gt;95000,AND(60000&lt;O800,O800&lt;70001)),ROUND(ROUND(O801*JL/$C800,DcCU)*O802,DpCU),IF(OR(AND(20000&lt;O800,O800&lt;22501),AND(30000&lt;O800,O800&lt;50001),77500&lt;O800),ROUND(O802*O801,DpCU),IF(OR(AND(22500&lt;O800,O800&lt;25001),AND(50000&lt;O800,O800&lt;53501),AND(70000&lt;O800,O800&lt;72501)),ROUND($F800/100*O801,DpCU),IF(OR(AND(25000&lt;O800,O800&lt;27501),AND(53500&lt;O800,O800&lt;57001),AND(72500&lt;O800,O800&lt;75001)),ROUND($G800/100*O801,DpCU),ROUND($H800/100*O801,DpCU)))))))</f>
        <v>1.67</v>
      </c>
      <c r="P803">
        <f t="shared" si="110"/>
        <v>13.87</v>
      </c>
      <c r="Q803">
        <f t="shared" si="110"/>
        <v>11.39</v>
      </c>
      <c r="R803">
        <f t="shared" si="110"/>
        <v>0.11</v>
      </c>
      <c r="S803">
        <f t="shared" si="110"/>
        <v>1.2</v>
      </c>
      <c r="T803">
        <f t="shared" si="110"/>
        <v>1.05</v>
      </c>
      <c r="U803">
        <f t="shared" si="110"/>
        <v>0.48</v>
      </c>
      <c r="V803">
        <f t="shared" si="110"/>
        <v>0.15</v>
      </c>
      <c r="W803">
        <f t="shared" si="110"/>
        <v>1.35</v>
      </c>
    </row>
    <row r="804" spans="1:23" x14ac:dyDescent="0.2">
      <c r="B804" s="3" t="str">
        <f>A800&amp;"r"</f>
        <v>10160r</v>
      </c>
    </row>
    <row r="805" spans="1:23" x14ac:dyDescent="0.2">
      <c r="A805">
        <v>10161</v>
      </c>
      <c r="B805" s="3" t="s">
        <v>825</v>
      </c>
      <c r="C805" s="1">
        <f>ROUND(J805*JL*Frto/8,4)</f>
        <v>11.5</v>
      </c>
      <c r="D805" t="s">
        <v>194</v>
      </c>
      <c r="E805">
        <f>SUM($O808:$V808)</f>
        <v>27.43</v>
      </c>
      <c r="F805">
        <f>SUMIF($O805:$V805,"&lt;22501",$O808:$V808)</f>
        <v>21.56</v>
      </c>
      <c r="G805">
        <f>SUMIFS($O808:$V808,$O805:$V805,"&gt;30000",$O805:$V805,"&lt;50001")</f>
        <v>4.79</v>
      </c>
      <c r="H805">
        <f>SUMIFS($O808:$V808,$O805:$V805,"&gt;60000",$O805:$V805,"&lt;70001")</f>
        <v>0</v>
      </c>
      <c r="I805">
        <v>8</v>
      </c>
      <c r="J805">
        <v>11.5</v>
      </c>
      <c r="O805">
        <v>10001</v>
      </c>
      <c r="P805">
        <v>10002</v>
      </c>
      <c r="Q805">
        <v>10003</v>
      </c>
      <c r="R805">
        <v>30018</v>
      </c>
      <c r="S805">
        <v>30127</v>
      </c>
      <c r="T805">
        <v>30154</v>
      </c>
      <c r="U805">
        <v>30155</v>
      </c>
      <c r="V805">
        <v>70001</v>
      </c>
    </row>
    <row r="806" spans="1:23" x14ac:dyDescent="0.2">
      <c r="B806" s="3" t="str">
        <f>A805&amp;"C"</f>
        <v>10161C</v>
      </c>
      <c r="O806">
        <v>0.1</v>
      </c>
      <c r="P806">
        <v>1</v>
      </c>
      <c r="Q806">
        <v>0.5</v>
      </c>
      <c r="R806">
        <v>0.05</v>
      </c>
      <c r="S806">
        <v>0.2</v>
      </c>
      <c r="T806">
        <v>0.05</v>
      </c>
      <c r="U806">
        <v>0.05</v>
      </c>
      <c r="V806">
        <v>5</v>
      </c>
    </row>
    <row r="807" spans="1:23" x14ac:dyDescent="0.2">
      <c r="O807">
        <f>IF(O809&gt;10000,HLOOKUP(O809,N805:$O808,4,FALSE),IF(OR(AND(22500&lt;O805,O805&lt;25001),AND(50000&lt;O805,O805&lt;53501),AND(70000&lt;O805,O805&lt;72501)),$F805,IF(OR(AND(25001&lt;O805,O805&lt;27501),AND(53500&lt;O805,O805&lt;57001),AND(72500&lt;O805,O805&lt;75001)),$G805,IF(OR(AND(27500&lt;O805,O805&lt;30001),AND(57000&lt;O805,O805&lt;60001),AND(75000&lt;O805,O805&lt;77500)),$H805,VLOOKUP(O805,BDins,6,FALSE)))))</f>
        <v>24.97</v>
      </c>
      <c r="P807">
        <f>IF(P809&gt;10000,HLOOKUP(P809,O805:$O808,4,FALSE),IF(OR(AND(22500&lt;P805,P805&lt;25001),AND(50000&lt;P805,P805&lt;53501),AND(70000&lt;P805,P805&lt;72501)),$F805,IF(OR(AND(25001&lt;P805,P805&lt;27501),AND(53500&lt;P805,P805&lt;57001),AND(72500&lt;P805,P805&lt;75001)),$G805,IF(OR(AND(27500&lt;P805,P805&lt;30001),AND(57000&lt;P805,P805&lt;60001),AND(75000&lt;P805,P805&lt;77500)),$H805,VLOOKUP(P805,BDins,6,FALSE)))))</f>
        <v>20.81</v>
      </c>
      <c r="Q807">
        <f>IF(Q809&gt;10000,HLOOKUP(Q809,$O805:P808,4,FALSE),IF(OR(AND(22500&lt;Q805,Q805&lt;25001),AND(50000&lt;Q805,Q805&lt;53501),AND(70000&lt;Q805,Q805&lt;72501)),$F805,IF(OR(AND(25001&lt;Q805,Q805&lt;27501),AND(53500&lt;Q805,Q805&lt;57001),AND(72500&lt;Q805,Q805&lt;75001)),$G805,IF(OR(AND(27500&lt;Q805,Q805&lt;30001),AND(57000&lt;Q805,Q805&lt;60001),AND(75000&lt;Q805,Q805&lt;77500)),$H805,VLOOKUP(Q805,BDins,6,FALSE)))))</f>
        <v>15.36</v>
      </c>
      <c r="R807">
        <f>IF(R809&gt;10000,HLOOKUP(R809,$O805:Q808,4,FALSE),IF(OR(AND(22500&lt;R805,R805&lt;25001),AND(50000&lt;R805,R805&lt;53501),AND(70000&lt;R805,R805&lt;72501)),$F805,IF(OR(AND(25001&lt;R805,R805&lt;27501),AND(53500&lt;R805,R805&lt;57001),AND(72500&lt;R805,R805&lt;75001)),$G805,IF(OR(AND(27500&lt;R805,R805&lt;30001),AND(57000&lt;R805,R805&lt;60001),AND(75000&lt;R805,R805&lt;77500)),$H805,VLOOKUP(R805,BDins,6,FALSE)))))</f>
        <v>13.5</v>
      </c>
      <c r="S807">
        <f>IF(S809&gt;10000,HLOOKUP(S809,$O805:R808,4,FALSE),IF(OR(AND(22500&lt;S805,S805&lt;25001),AND(50000&lt;S805,S805&lt;53501),AND(70000&lt;S805,S805&lt;72501)),$F805,IF(OR(AND(25001&lt;S805,S805&lt;27501),AND(53500&lt;S805,S805&lt;57001),AND(72500&lt;S805,S805&lt;75001)),$G805,IF(OR(AND(27500&lt;S805,S805&lt;30001),AND(57000&lt;S805,S805&lt;60001),AND(75000&lt;S805,S805&lt;77500)),$H805,VLOOKUP(S805,BDins,6,FALSE)))))</f>
        <v>1.5</v>
      </c>
      <c r="T807">
        <f>IF(T809&gt;10000,HLOOKUP(T809,$O805:S808,4,FALSE),IF(OR(AND(22500&lt;T805,T805&lt;25001),AND(50000&lt;T805,T805&lt;53501),AND(70000&lt;T805,T805&lt;72501)),$F805,IF(OR(AND(25001&lt;T805,T805&lt;27501),AND(53500&lt;T805,T805&lt;57001),AND(72500&lt;T805,T805&lt;75001)),$G805,IF(OR(AND(27500&lt;T805,T805&lt;30001),AND(57000&lt;T805,T805&lt;60001),AND(75000&lt;T805,T805&lt;77500)),$H805,VLOOKUP(T805,BDins,6,FALSE)))))</f>
        <v>35</v>
      </c>
      <c r="U807">
        <f>IF(U809&gt;10000,HLOOKUP(U809,$O805:T808,4,FALSE),IF(OR(AND(22500&lt;U805,U805&lt;25001),AND(50000&lt;U805,U805&lt;53501),AND(70000&lt;U805,U805&lt;72501)),$F805,IF(OR(AND(25001&lt;U805,U805&lt;27501),AND(53500&lt;U805,U805&lt;57001),AND(72500&lt;U805,U805&lt;75001)),$G805,IF(OR(AND(27500&lt;U805,U805&lt;30001),AND(57000&lt;U805,U805&lt;60001),AND(75000&lt;U805,U805&lt;77500)),$H805,VLOOKUP(U805,BDins,6,FALSE)))))</f>
        <v>41.25</v>
      </c>
      <c r="V807">
        <f>IF(V809&gt;10000,HLOOKUP(V809,$O805:U808,4,FALSE),IF(OR(AND(22500&lt;V805,V805&lt;25001),AND(50000&lt;V805,V805&lt;53501),AND(70000&lt;V805,V805&lt;72501)),$F805,IF(OR(AND(25001&lt;V805,V805&lt;27501),AND(53500&lt;V805,V805&lt;57001),AND(72500&lt;V805,V805&lt;75001)),$G805,IF(OR(AND(27500&lt;V805,V805&lt;30001),AND(57000&lt;V805,V805&lt;60001),AND(75000&lt;V805,V805&lt;77500)),$H805,VLOOKUP(V805,BDins,6,FALSE)))))</f>
        <v>21.56</v>
      </c>
    </row>
    <row r="808" spans="1:23" x14ac:dyDescent="0.2">
      <c r="O808">
        <f t="shared" ref="O808:V808" si="111">IF($K805&gt;0,ROUND(O806*$E805/100,DpCU),IF(O809&gt;10000,ROUND(HLOOKUP(O809,$O805:$V808,4,FALSE)/100*O806,DpCU),IF(OR(O805&lt;20001,O805&gt;95000,AND(60000&lt;O805,O805&lt;70001)),ROUND(ROUND(O806*JL/$C805,DcCU)*O807,DpCU),IF(OR(AND(20000&lt;O805,O805&lt;22501),AND(30000&lt;O805,O805&lt;50001),77500&lt;O805),ROUND(O807*O806,DpCU),IF(OR(AND(22500&lt;O805,O805&lt;25001),AND(50000&lt;O805,O805&lt;53501),AND(70000&lt;O805,O805&lt;72501)),ROUND($F805/100*O806,DpCU),IF(OR(AND(25000&lt;O805,O805&lt;27501),AND(53500&lt;O805,O805&lt;57001),AND(72500&lt;O805,O805&lt;75001)),ROUND($G805/100*O806,DpCU),ROUND($H805/100*O806,DpCU)))))))</f>
        <v>1.74</v>
      </c>
      <c r="P808">
        <f t="shared" si="111"/>
        <v>14.48</v>
      </c>
      <c r="Q808">
        <f t="shared" si="111"/>
        <v>5.34</v>
      </c>
      <c r="R808">
        <f t="shared" si="111"/>
        <v>0.68</v>
      </c>
      <c r="S808">
        <f t="shared" si="111"/>
        <v>0.3</v>
      </c>
      <c r="T808">
        <f t="shared" si="111"/>
        <v>1.75</v>
      </c>
      <c r="U808">
        <f t="shared" si="111"/>
        <v>2.06</v>
      </c>
      <c r="V808">
        <f t="shared" si="111"/>
        <v>1.08</v>
      </c>
    </row>
    <row r="809" spans="1:23" x14ac:dyDescent="0.2">
      <c r="B809" s="3" t="str">
        <f>A805&amp;"r"</f>
        <v>10161r</v>
      </c>
    </row>
    <row r="810" spans="1:23" x14ac:dyDescent="0.2">
      <c r="A810">
        <v>10162</v>
      </c>
      <c r="B810" s="3" t="s">
        <v>827</v>
      </c>
      <c r="C810" s="1">
        <f>ROUND(J810*JL*Frto/8,4)</f>
        <v>11.5</v>
      </c>
      <c r="D810" t="s">
        <v>7</v>
      </c>
      <c r="E810">
        <f>SUM($O813:$V813)</f>
        <v>27.43</v>
      </c>
      <c r="F810">
        <f>SUMIF($O810:$V810,"&lt;22501",$O813:$V813)</f>
        <v>21.56</v>
      </c>
      <c r="G810">
        <f>SUMIFS($O813:$V813,$O810:$V810,"&gt;30000",$O810:$V810,"&lt;50001")</f>
        <v>4.79</v>
      </c>
      <c r="H810">
        <f>SUMIFS($O813:$V813,$O810:$V810,"&gt;60000",$O810:$V810,"&lt;70001")</f>
        <v>0</v>
      </c>
      <c r="I810">
        <v>8</v>
      </c>
      <c r="J810">
        <v>11.5</v>
      </c>
      <c r="O810">
        <v>10001</v>
      </c>
      <c r="P810">
        <v>10002</v>
      </c>
      <c r="Q810">
        <v>10003</v>
      </c>
      <c r="R810">
        <v>30018</v>
      </c>
      <c r="S810">
        <v>30127</v>
      </c>
      <c r="T810">
        <v>30154</v>
      </c>
      <c r="U810">
        <v>30155</v>
      </c>
      <c r="V810">
        <v>70001</v>
      </c>
    </row>
    <row r="811" spans="1:23" x14ac:dyDescent="0.2">
      <c r="B811" s="3" t="str">
        <f>A810&amp;"C"</f>
        <v>10162C</v>
      </c>
      <c r="O811">
        <v>0.1</v>
      </c>
      <c r="P811">
        <v>1</v>
      </c>
      <c r="Q811">
        <v>0.5</v>
      </c>
      <c r="R811">
        <v>0.05</v>
      </c>
      <c r="S811">
        <v>0.2</v>
      </c>
      <c r="T811">
        <v>0.05</v>
      </c>
      <c r="U811">
        <v>0.05</v>
      </c>
      <c r="V811">
        <v>5</v>
      </c>
    </row>
    <row r="812" spans="1:23" x14ac:dyDescent="0.2">
      <c r="O812">
        <f>IF(O814&gt;10000,HLOOKUP(O814,N810:$O813,4,FALSE),IF(OR(AND(22500&lt;O810,O810&lt;25001),AND(50000&lt;O810,O810&lt;53501),AND(70000&lt;O810,O810&lt;72501)),$F810,IF(OR(AND(25001&lt;O810,O810&lt;27501),AND(53500&lt;O810,O810&lt;57001),AND(72500&lt;O810,O810&lt;75001)),$G810,IF(OR(AND(27500&lt;O810,O810&lt;30001),AND(57000&lt;O810,O810&lt;60001),AND(75000&lt;O810,O810&lt;77500)),$H810,VLOOKUP(O810,BDins,6,FALSE)))))</f>
        <v>24.97</v>
      </c>
      <c r="P812">
        <f>IF(P814&gt;10000,HLOOKUP(P814,O810:$O813,4,FALSE),IF(OR(AND(22500&lt;P810,P810&lt;25001),AND(50000&lt;P810,P810&lt;53501),AND(70000&lt;P810,P810&lt;72501)),$F810,IF(OR(AND(25001&lt;P810,P810&lt;27501),AND(53500&lt;P810,P810&lt;57001),AND(72500&lt;P810,P810&lt;75001)),$G810,IF(OR(AND(27500&lt;P810,P810&lt;30001),AND(57000&lt;P810,P810&lt;60001),AND(75000&lt;P810,P810&lt;77500)),$H810,VLOOKUP(P810,BDins,6,FALSE)))))</f>
        <v>20.81</v>
      </c>
      <c r="Q812">
        <f>IF(Q814&gt;10000,HLOOKUP(Q814,$O810:P813,4,FALSE),IF(OR(AND(22500&lt;Q810,Q810&lt;25001),AND(50000&lt;Q810,Q810&lt;53501),AND(70000&lt;Q810,Q810&lt;72501)),$F810,IF(OR(AND(25001&lt;Q810,Q810&lt;27501),AND(53500&lt;Q810,Q810&lt;57001),AND(72500&lt;Q810,Q810&lt;75001)),$G810,IF(OR(AND(27500&lt;Q810,Q810&lt;30001),AND(57000&lt;Q810,Q810&lt;60001),AND(75000&lt;Q810,Q810&lt;77500)),$H810,VLOOKUP(Q810,BDins,6,FALSE)))))</f>
        <v>15.36</v>
      </c>
      <c r="R812">
        <f>IF(R814&gt;10000,HLOOKUP(R814,$O810:Q813,4,FALSE),IF(OR(AND(22500&lt;R810,R810&lt;25001),AND(50000&lt;R810,R810&lt;53501),AND(70000&lt;R810,R810&lt;72501)),$F810,IF(OR(AND(25001&lt;R810,R810&lt;27501),AND(53500&lt;R810,R810&lt;57001),AND(72500&lt;R810,R810&lt;75001)),$G810,IF(OR(AND(27500&lt;R810,R810&lt;30001),AND(57000&lt;R810,R810&lt;60001),AND(75000&lt;R810,R810&lt;77500)),$H810,VLOOKUP(R810,BDins,6,FALSE)))))</f>
        <v>13.5</v>
      </c>
      <c r="S812">
        <f>IF(S814&gt;10000,HLOOKUP(S814,$O810:R813,4,FALSE),IF(OR(AND(22500&lt;S810,S810&lt;25001),AND(50000&lt;S810,S810&lt;53501),AND(70000&lt;S810,S810&lt;72501)),$F810,IF(OR(AND(25001&lt;S810,S810&lt;27501),AND(53500&lt;S810,S810&lt;57001),AND(72500&lt;S810,S810&lt;75001)),$G810,IF(OR(AND(27500&lt;S810,S810&lt;30001),AND(57000&lt;S810,S810&lt;60001),AND(75000&lt;S810,S810&lt;77500)),$H810,VLOOKUP(S810,BDins,6,FALSE)))))</f>
        <v>1.5</v>
      </c>
      <c r="T812">
        <f>IF(T814&gt;10000,HLOOKUP(T814,$O810:S813,4,FALSE),IF(OR(AND(22500&lt;T810,T810&lt;25001),AND(50000&lt;T810,T810&lt;53501),AND(70000&lt;T810,T810&lt;72501)),$F810,IF(OR(AND(25001&lt;T810,T810&lt;27501),AND(53500&lt;T810,T810&lt;57001),AND(72500&lt;T810,T810&lt;75001)),$G810,IF(OR(AND(27500&lt;T810,T810&lt;30001),AND(57000&lt;T810,T810&lt;60001),AND(75000&lt;T810,T810&lt;77500)),$H810,VLOOKUP(T810,BDins,6,FALSE)))))</f>
        <v>35</v>
      </c>
      <c r="U812">
        <f>IF(U814&gt;10000,HLOOKUP(U814,$O810:T813,4,FALSE),IF(OR(AND(22500&lt;U810,U810&lt;25001),AND(50000&lt;U810,U810&lt;53501),AND(70000&lt;U810,U810&lt;72501)),$F810,IF(OR(AND(25001&lt;U810,U810&lt;27501),AND(53500&lt;U810,U810&lt;57001),AND(72500&lt;U810,U810&lt;75001)),$G810,IF(OR(AND(27500&lt;U810,U810&lt;30001),AND(57000&lt;U810,U810&lt;60001),AND(75000&lt;U810,U810&lt;77500)),$H810,VLOOKUP(U810,BDins,6,FALSE)))))</f>
        <v>41.25</v>
      </c>
      <c r="V812">
        <f>IF(V814&gt;10000,HLOOKUP(V814,$O810:U813,4,FALSE),IF(OR(AND(22500&lt;V810,V810&lt;25001),AND(50000&lt;V810,V810&lt;53501),AND(70000&lt;V810,V810&lt;72501)),$F810,IF(OR(AND(25001&lt;V810,V810&lt;27501),AND(53500&lt;V810,V810&lt;57001),AND(72500&lt;V810,V810&lt;75001)),$G810,IF(OR(AND(27500&lt;V810,V810&lt;30001),AND(57000&lt;V810,V810&lt;60001),AND(75000&lt;V810,V810&lt;77500)),$H810,VLOOKUP(V810,BDins,6,FALSE)))))</f>
        <v>21.56</v>
      </c>
    </row>
    <row r="813" spans="1:23" x14ac:dyDescent="0.2">
      <c r="O813">
        <f t="shared" ref="O813:V813" si="112">IF($K810&gt;0,ROUND(O811*$E810/100,DpCU),IF(O814&gt;10000,ROUND(HLOOKUP(O814,$O810:$V813,4,FALSE)/100*O811,DpCU),IF(OR(O810&lt;20001,O810&gt;95000,AND(60000&lt;O810,O810&lt;70001)),ROUND(ROUND(O811*JL/$C810,DcCU)*O812,DpCU),IF(OR(AND(20000&lt;O810,O810&lt;22501),AND(30000&lt;O810,O810&lt;50001),77500&lt;O810),ROUND(O812*O811,DpCU),IF(OR(AND(22500&lt;O810,O810&lt;25001),AND(50000&lt;O810,O810&lt;53501),AND(70000&lt;O810,O810&lt;72501)),ROUND($F810/100*O811,DpCU),IF(OR(AND(25000&lt;O810,O810&lt;27501),AND(53500&lt;O810,O810&lt;57001),AND(72500&lt;O810,O810&lt;75001)),ROUND($G810/100*O811,DpCU),ROUND($H810/100*O811,DpCU)))))))</f>
        <v>1.74</v>
      </c>
      <c r="P813">
        <f t="shared" si="112"/>
        <v>14.48</v>
      </c>
      <c r="Q813">
        <f t="shared" si="112"/>
        <v>5.34</v>
      </c>
      <c r="R813">
        <f t="shared" si="112"/>
        <v>0.68</v>
      </c>
      <c r="S813">
        <f t="shared" si="112"/>
        <v>0.3</v>
      </c>
      <c r="T813">
        <f t="shared" si="112"/>
        <v>1.75</v>
      </c>
      <c r="U813">
        <f t="shared" si="112"/>
        <v>2.06</v>
      </c>
      <c r="V813">
        <f t="shared" si="112"/>
        <v>1.08</v>
      </c>
    </row>
    <row r="814" spans="1:23" x14ac:dyDescent="0.2">
      <c r="B814" s="3" t="str">
        <f>A810&amp;"r"</f>
        <v>10162r</v>
      </c>
    </row>
    <row r="815" spans="1:23" x14ac:dyDescent="0.2">
      <c r="A815">
        <v>10163</v>
      </c>
      <c r="B815" s="3" t="s">
        <v>831</v>
      </c>
      <c r="C815" s="1">
        <f>ROUND(J815*JL*Frto/8,4)</f>
        <v>10.4</v>
      </c>
      <c r="D815" t="s">
        <v>168</v>
      </c>
      <c r="E815">
        <f>SUM($O818:$Q818)</f>
        <v>1242.6300000000001</v>
      </c>
      <c r="F815">
        <f>SUMIF($O815:$Q815,"&lt;22501",$O818:$Q818)</f>
        <v>1183.46</v>
      </c>
      <c r="G815">
        <f>SUMIFS($O818:$Q818,$O815:$Q815,"&gt;30000",$O815:$Q815,"&lt;50001")</f>
        <v>0</v>
      </c>
      <c r="H815">
        <f>SUMIFS($O818:$Q818,$O815:$Q815,"&gt;60000",$O815:$Q815,"&lt;70001")</f>
        <v>0</v>
      </c>
      <c r="I815">
        <v>3</v>
      </c>
      <c r="J815">
        <v>10.4</v>
      </c>
      <c r="O815">
        <v>10001</v>
      </c>
      <c r="P815">
        <v>10003</v>
      </c>
      <c r="Q815">
        <v>70001</v>
      </c>
    </row>
    <row r="816" spans="1:23" x14ac:dyDescent="0.2">
      <c r="B816" s="3" t="str">
        <f>A815&amp;"C"</f>
        <v>10163C</v>
      </c>
      <c r="O816">
        <v>0.1</v>
      </c>
      <c r="P816">
        <v>100</v>
      </c>
      <c r="Q816">
        <v>5</v>
      </c>
    </row>
    <row r="817" spans="1:27" x14ac:dyDescent="0.2">
      <c r="O817">
        <f>IF(O819&gt;10000,HLOOKUP(O819,N815:$O818,4,FALSE),IF(OR(AND(22500&lt;O815,O815&lt;25001),AND(50000&lt;O815,O815&lt;53501),AND(70000&lt;O815,O815&lt;72501)),$F815,IF(OR(AND(25001&lt;O815,O815&lt;27501),AND(53500&lt;O815,O815&lt;57001),AND(72500&lt;O815,O815&lt;75001)),$G815,IF(OR(AND(27500&lt;O815,O815&lt;30001),AND(57000&lt;O815,O815&lt;60001),AND(75000&lt;O815,O815&lt;77500)),$H815,VLOOKUP(O815,BDins,6,FALSE)))))</f>
        <v>24.97</v>
      </c>
      <c r="P817">
        <f>IF(P819&gt;10000,HLOOKUP(P819,O815:$O818,4,FALSE),IF(OR(AND(22500&lt;P815,P815&lt;25001),AND(50000&lt;P815,P815&lt;53501),AND(70000&lt;P815,P815&lt;72501)),$F815,IF(OR(AND(25001&lt;P815,P815&lt;27501),AND(53500&lt;P815,P815&lt;57001),AND(72500&lt;P815,P815&lt;75001)),$G815,IF(OR(AND(27500&lt;P815,P815&lt;30001),AND(57000&lt;P815,P815&lt;60001),AND(75000&lt;P815,P815&lt;77500)),$H815,VLOOKUP(P815,BDins,6,FALSE)))))</f>
        <v>15.36</v>
      </c>
      <c r="Q817">
        <f>IF(Q819&gt;10000,HLOOKUP(Q819,$O815:P818,4,FALSE),IF(OR(AND(22500&lt;Q815,Q815&lt;25001),AND(50000&lt;Q815,Q815&lt;53501),AND(70000&lt;Q815,Q815&lt;72501)),$F815,IF(OR(AND(25001&lt;Q815,Q815&lt;27501),AND(53500&lt;Q815,Q815&lt;57001),AND(72500&lt;Q815,Q815&lt;75001)),$G815,IF(OR(AND(27500&lt;Q815,Q815&lt;30001),AND(57000&lt;Q815,Q815&lt;60001),AND(75000&lt;Q815,Q815&lt;77500)),$H815,VLOOKUP(Q815,BDins,6,FALSE)))))</f>
        <v>1183.46</v>
      </c>
    </row>
    <row r="818" spans="1:27" x14ac:dyDescent="0.2">
      <c r="O818">
        <f>IF($K815&gt;0,ROUND(O816*$E815/100,DpCU),IF(O819&gt;10000,ROUND(HLOOKUP(O819,$O815:$Q818,4,FALSE)/100*O816,DpCU),IF(OR(O815&lt;20001,O815&gt;95000,AND(60000&lt;O815,O815&lt;70001)),ROUND(ROUND(O816*JL/$C815,DcCU)*O817,DpCU),IF(OR(AND(20000&lt;O815,O815&lt;22501),AND(30000&lt;O815,O815&lt;50001),77500&lt;O815),ROUND(O817*O816,DpCU),IF(OR(AND(22500&lt;O815,O815&lt;25001),AND(50000&lt;O815,O815&lt;53501),AND(70000&lt;O815,O815&lt;72501)),ROUND($F815/100*O816,DpCU),IF(OR(AND(25000&lt;O815,O815&lt;27501),AND(53500&lt;O815,O815&lt;57001),AND(72500&lt;O815,O815&lt;75001)),ROUND($G815/100*O816,DpCU),ROUND($H815/100*O816,DpCU)))))))</f>
        <v>1.92</v>
      </c>
      <c r="P818">
        <f>IF($K815&gt;0,ROUND(P816*$E815/100,DpCU),IF(P819&gt;10000,ROUND(HLOOKUP(P819,$O815:$Q818,4,FALSE)/100*P816,DpCU),IF(OR(P815&lt;20001,P815&gt;95000,AND(60000&lt;P815,P815&lt;70001)),ROUND(ROUND(P816*JL/$C815,DcCU)*P817,DpCU),IF(OR(AND(20000&lt;P815,P815&lt;22501),AND(30000&lt;P815,P815&lt;50001),77500&lt;P815),ROUND(P817*P816,DpCU),IF(OR(AND(22500&lt;P815,P815&lt;25001),AND(50000&lt;P815,P815&lt;53501),AND(70000&lt;P815,P815&lt;72501)),ROUND($F815/100*P816,DpCU),IF(OR(AND(25000&lt;P815,P815&lt;27501),AND(53500&lt;P815,P815&lt;57001),AND(72500&lt;P815,P815&lt;75001)),ROUND($G815/100*P816,DpCU),ROUND($H815/100*P816,DpCU)))))))</f>
        <v>1181.54</v>
      </c>
      <c r="Q818">
        <f>IF($K815&gt;0,ROUND(Q816*$E815/100,DpCU),IF(Q819&gt;10000,ROUND(HLOOKUP(Q819,$O815:$Q818,4,FALSE)/100*Q816,DpCU),IF(OR(Q815&lt;20001,Q815&gt;95000,AND(60000&lt;Q815,Q815&lt;70001)),ROUND(ROUND(Q816*JL/$C815,DcCU)*Q817,DpCU),IF(OR(AND(20000&lt;Q815,Q815&lt;22501),AND(30000&lt;Q815,Q815&lt;50001),77500&lt;Q815),ROUND(Q817*Q816,DpCU),IF(OR(AND(22500&lt;Q815,Q815&lt;25001),AND(50000&lt;Q815,Q815&lt;53501),AND(70000&lt;Q815,Q815&lt;72501)),ROUND($F815/100*Q816,DpCU),IF(OR(AND(25000&lt;Q815,Q815&lt;27501),AND(53500&lt;Q815,Q815&lt;57001),AND(72500&lt;Q815,Q815&lt;75001)),ROUND($G815/100*Q816,DpCU),ROUND($H815/100*Q816,DpCU)))))))</f>
        <v>59.17</v>
      </c>
    </row>
    <row r="819" spans="1:27" x14ac:dyDescent="0.2">
      <c r="B819" s="3" t="str">
        <f>A815&amp;"r"</f>
        <v>10163r</v>
      </c>
    </row>
    <row r="820" spans="1:27" x14ac:dyDescent="0.2">
      <c r="A820">
        <v>10164</v>
      </c>
      <c r="B820" s="3" t="s">
        <v>833</v>
      </c>
      <c r="C820" s="1">
        <f>ROUND(J820*JL*Frto/8,4)</f>
        <v>100</v>
      </c>
      <c r="D820" t="s">
        <v>194</v>
      </c>
      <c r="E820">
        <f>SUM($O823:$U823)</f>
        <v>6.3599999999999994</v>
      </c>
      <c r="F820">
        <f>SUMIF($O820:$U820,"&lt;22501",$O823:$U823)</f>
        <v>5.26</v>
      </c>
      <c r="G820">
        <f>SUMIFS($O823:$U823,$O820:$U820,"&gt;30000",$O820:$U820,"&lt;50001")</f>
        <v>0.84</v>
      </c>
      <c r="H820">
        <f>SUMIFS($O823:$U823,$O820:$U820,"&gt;60000",$O820:$U820,"&lt;70001")</f>
        <v>0</v>
      </c>
      <c r="I820">
        <v>7</v>
      </c>
      <c r="J820">
        <v>100</v>
      </c>
      <c r="O820">
        <v>10001</v>
      </c>
      <c r="P820">
        <v>10003</v>
      </c>
      <c r="Q820">
        <v>10008</v>
      </c>
      <c r="R820">
        <v>30093</v>
      </c>
      <c r="S820">
        <v>30158</v>
      </c>
      <c r="T820">
        <v>30159</v>
      </c>
      <c r="U820">
        <v>70001</v>
      </c>
    </row>
    <row r="821" spans="1:27" x14ac:dyDescent="0.2">
      <c r="B821" s="3" t="str">
        <f>A820&amp;"C"</f>
        <v>10164C</v>
      </c>
      <c r="O821">
        <v>0.1</v>
      </c>
      <c r="P821">
        <v>3</v>
      </c>
      <c r="Q821">
        <v>1</v>
      </c>
      <c r="R821">
        <v>1.9E-3</v>
      </c>
      <c r="S821">
        <v>3.3000000000000002E-2</v>
      </c>
      <c r="T821">
        <v>3.3000000000000002E-2</v>
      </c>
      <c r="U821">
        <v>5</v>
      </c>
    </row>
    <row r="822" spans="1:27" x14ac:dyDescent="0.2">
      <c r="O822">
        <f>IF(O824&gt;10000,HLOOKUP(O824,N820:$O823,4,FALSE),IF(OR(AND(22500&lt;O820,O820&lt;25001),AND(50000&lt;O820,O820&lt;53501),AND(70000&lt;O820,O820&lt;72501)),$F820,IF(OR(AND(25001&lt;O820,O820&lt;27501),AND(53500&lt;O820,O820&lt;57001),AND(72500&lt;O820,O820&lt;75001)),$G820,IF(OR(AND(27500&lt;O820,O820&lt;30001),AND(57000&lt;O820,O820&lt;60001),AND(75000&lt;O820,O820&lt;77500)),$H820,VLOOKUP(O820,BDins,6,FALSE)))))</f>
        <v>24.97</v>
      </c>
      <c r="P822">
        <f>IF(P824&gt;10000,HLOOKUP(P824,O820:$O823,4,FALSE),IF(OR(AND(22500&lt;P820,P820&lt;25001),AND(50000&lt;P820,P820&lt;53501),AND(70000&lt;P820,P820&lt;72501)),$F820,IF(OR(AND(25001&lt;P820,P820&lt;27501),AND(53500&lt;P820,P820&lt;57001),AND(72500&lt;P820,P820&lt;75001)),$G820,IF(OR(AND(27500&lt;P820,P820&lt;30001),AND(57000&lt;P820,P820&lt;60001),AND(75000&lt;P820,P820&lt;77500)),$H820,VLOOKUP(P820,BDins,6,FALSE)))))</f>
        <v>15.36</v>
      </c>
      <c r="Q822">
        <f>IF(Q824&gt;10000,HLOOKUP(Q824,$O820:P823,4,FALSE),IF(OR(AND(22500&lt;Q820,Q820&lt;25001),AND(50000&lt;Q820,Q820&lt;53501),AND(70000&lt;Q820,Q820&lt;72501)),$F820,IF(OR(AND(25001&lt;Q820,Q820&lt;27501),AND(53500&lt;Q820,Q820&lt;57001),AND(72500&lt;Q820,Q820&lt;75001)),$G820,IF(OR(AND(27500&lt;Q820,Q820&lt;30001),AND(57000&lt;Q820,Q820&lt;60001),AND(75000&lt;Q820,Q820&lt;77500)),$H820,VLOOKUP(Q820,BDins,6,FALSE)))))</f>
        <v>17.09</v>
      </c>
      <c r="R822">
        <f>IF(R824&gt;10000,HLOOKUP(R824,$O820:Q823,4,FALSE),IF(OR(AND(22500&lt;R820,R820&lt;25001),AND(50000&lt;R820,R820&lt;53501),AND(70000&lt;R820,R820&lt;72501)),$F820,IF(OR(AND(25001&lt;R820,R820&lt;27501),AND(53500&lt;R820,R820&lt;57001),AND(72500&lt;R820,R820&lt;75001)),$G820,IF(OR(AND(27500&lt;R820,R820&lt;30001),AND(57000&lt;R820,R820&lt;60001),AND(75000&lt;R820,R820&lt;77500)),$H820,VLOOKUP(R820,BDins,6,FALSE)))))</f>
        <v>45</v>
      </c>
      <c r="S822">
        <f>IF(S824&gt;10000,HLOOKUP(S824,$O820:R823,4,FALSE),IF(OR(AND(22500&lt;S820,S820&lt;25001),AND(50000&lt;S820,S820&lt;53501),AND(70000&lt;S820,S820&lt;72501)),$F820,IF(OR(AND(25001&lt;S820,S820&lt;27501),AND(53500&lt;S820,S820&lt;57001),AND(72500&lt;S820,S820&lt;75001)),$G820,IF(OR(AND(27500&lt;S820,S820&lt;30001),AND(57000&lt;S820,S820&lt;60001),AND(75000&lt;S820,S820&lt;77500)),$H820,VLOOKUP(S820,BDins,6,FALSE)))))</f>
        <v>7.5</v>
      </c>
      <c r="T822">
        <f>IF(T824&gt;10000,HLOOKUP(T824,$O820:S823,4,FALSE),IF(OR(AND(22500&lt;T820,T820&lt;25001),AND(50000&lt;T820,T820&lt;53501),AND(70000&lt;T820,T820&lt;72501)),$F820,IF(OR(AND(25001&lt;T820,T820&lt;27501),AND(53500&lt;T820,T820&lt;57001),AND(72500&lt;T820,T820&lt;75001)),$G820,IF(OR(AND(27500&lt;T820,T820&lt;30001),AND(57000&lt;T820,T820&lt;60001),AND(75000&lt;T820,T820&lt;77500)),$H820,VLOOKUP(T820,BDins,6,FALSE)))))</f>
        <v>15</v>
      </c>
      <c r="U822">
        <f>IF(U824&gt;10000,HLOOKUP(U824,$O820:T823,4,FALSE),IF(OR(AND(22500&lt;U820,U820&lt;25001),AND(50000&lt;U820,U820&lt;53501),AND(70000&lt;U820,U820&lt;72501)),$F820,IF(OR(AND(25001&lt;U820,U820&lt;27501),AND(53500&lt;U820,U820&lt;57001),AND(72500&lt;U820,U820&lt;75001)),$G820,IF(OR(AND(27500&lt;U820,U820&lt;30001),AND(57000&lt;U820,U820&lt;60001),AND(75000&lt;U820,U820&lt;77500)),$H820,VLOOKUP(U820,BDins,6,FALSE)))))</f>
        <v>5.26</v>
      </c>
    </row>
    <row r="823" spans="1:27" x14ac:dyDescent="0.2">
      <c r="O823">
        <f t="shared" ref="O823:U823" si="113">IF($K820&gt;0,ROUND(O821*$E820/100,DpCU),IF(O824&gt;10000,ROUND(HLOOKUP(O824,$O820:$U823,4,FALSE)/100*O821,DpCU),IF(OR(O820&lt;20001,O820&gt;95000,AND(60000&lt;O820,O820&lt;70001)),ROUND(ROUND(O821*JL/$C820,DcCU)*O822,DpCU),IF(OR(AND(20000&lt;O820,O820&lt;22501),AND(30000&lt;O820,O820&lt;50001),77500&lt;O820),ROUND(O822*O821,DpCU),IF(OR(AND(22500&lt;O820,O820&lt;25001),AND(50000&lt;O820,O820&lt;53501),AND(70000&lt;O820,O820&lt;72501)),ROUND($F820/100*O821,DpCU),IF(OR(AND(25000&lt;O820,O820&lt;27501),AND(53500&lt;O820,O820&lt;57001),AND(72500&lt;O820,O820&lt;75001)),ROUND($G820/100*O821,DpCU),ROUND($H820/100*O821,DpCU)))))))</f>
        <v>0.2</v>
      </c>
      <c r="P823">
        <f t="shared" si="113"/>
        <v>3.69</v>
      </c>
      <c r="Q823">
        <f t="shared" si="113"/>
        <v>1.37</v>
      </c>
      <c r="R823">
        <f t="shared" si="113"/>
        <v>0.09</v>
      </c>
      <c r="S823">
        <f t="shared" si="113"/>
        <v>0.25</v>
      </c>
      <c r="T823">
        <f t="shared" si="113"/>
        <v>0.5</v>
      </c>
      <c r="U823">
        <f t="shared" si="113"/>
        <v>0.26</v>
      </c>
    </row>
    <row r="824" spans="1:27" x14ac:dyDescent="0.2">
      <c r="B824" s="3" t="str">
        <f>A820&amp;"r"</f>
        <v>10164r</v>
      </c>
    </row>
    <row r="825" spans="1:27" x14ac:dyDescent="0.2">
      <c r="A825">
        <v>10165</v>
      </c>
      <c r="B825" s="3" t="s">
        <v>839</v>
      </c>
      <c r="C825" s="1">
        <f>ROUND(J825*JL*Frto/8,4)</f>
        <v>9</v>
      </c>
      <c r="D825" t="s">
        <v>7</v>
      </c>
      <c r="E825">
        <f>SUM($O828:$AA828)</f>
        <v>60.660000000000011</v>
      </c>
      <c r="F825">
        <f>SUMIF($O825:$AA825,"&lt;22501",$O828:$AA828)</f>
        <v>34.369999999999997</v>
      </c>
      <c r="G825">
        <f>SUMIFS($O828:$AA828,$O825:$AA825,"&gt;30000",$O825:$AA825,"&lt;50001")</f>
        <v>24.569999999999997</v>
      </c>
      <c r="H825">
        <f>SUMIFS($O828:$AA828,$O825:$AA825,"&gt;60000",$O825:$AA825,"&lt;70001")</f>
        <v>0</v>
      </c>
      <c r="I825">
        <v>13</v>
      </c>
      <c r="J825">
        <v>9</v>
      </c>
      <c r="O825">
        <v>10001</v>
      </c>
      <c r="P825">
        <v>10002</v>
      </c>
      <c r="Q825">
        <v>10003</v>
      </c>
      <c r="R825">
        <v>30023</v>
      </c>
      <c r="S825">
        <v>30056</v>
      </c>
      <c r="T825">
        <v>30058</v>
      </c>
      <c r="U825">
        <v>30063</v>
      </c>
      <c r="V825">
        <v>30064</v>
      </c>
      <c r="W825">
        <v>30072</v>
      </c>
      <c r="X825">
        <v>30073</v>
      </c>
      <c r="Y825">
        <v>30080</v>
      </c>
      <c r="Z825">
        <v>30093</v>
      </c>
      <c r="AA825">
        <v>70001</v>
      </c>
    </row>
    <row r="826" spans="1:27" x14ac:dyDescent="0.2">
      <c r="B826" s="3" t="str">
        <f>A825&amp;"C"</f>
        <v>10165C</v>
      </c>
      <c r="O826">
        <v>0.1</v>
      </c>
      <c r="P826">
        <v>1</v>
      </c>
      <c r="Q826">
        <v>1</v>
      </c>
      <c r="R826">
        <v>1.4E-2</v>
      </c>
      <c r="S826">
        <v>3.4000000000000002E-2</v>
      </c>
      <c r="T826">
        <v>0.57999999999999996</v>
      </c>
      <c r="U826">
        <v>0.1</v>
      </c>
      <c r="V826">
        <v>1.5</v>
      </c>
      <c r="W826">
        <v>0.15</v>
      </c>
      <c r="X826">
        <v>0.5</v>
      </c>
      <c r="Y826">
        <v>5.8999999999999997E-2</v>
      </c>
      <c r="Z826">
        <v>6.0000000000000001E-3</v>
      </c>
      <c r="AA826">
        <v>5</v>
      </c>
    </row>
    <row r="827" spans="1:27" x14ac:dyDescent="0.2">
      <c r="O827">
        <f>IF(O829&gt;10000,HLOOKUP(O829,N825:$O828,4,FALSE),IF(OR(AND(22500&lt;O825,O825&lt;25001),AND(50000&lt;O825,O825&lt;53501),AND(70000&lt;O825,O825&lt;72501)),$F825,IF(OR(AND(25001&lt;O825,O825&lt;27501),AND(53500&lt;O825,O825&lt;57001),AND(72500&lt;O825,O825&lt;75001)),$G825,IF(OR(AND(27500&lt;O825,O825&lt;30001),AND(57000&lt;O825,O825&lt;60001),AND(75000&lt;O825,O825&lt;77500)),$H825,VLOOKUP(O825,BDins,6,FALSE)))))</f>
        <v>24.97</v>
      </c>
      <c r="P827">
        <f>IF(P829&gt;10000,HLOOKUP(P829,O825:$O828,4,FALSE),IF(OR(AND(22500&lt;P825,P825&lt;25001),AND(50000&lt;P825,P825&lt;53501),AND(70000&lt;P825,P825&lt;72501)),$F825,IF(OR(AND(25001&lt;P825,P825&lt;27501),AND(53500&lt;P825,P825&lt;57001),AND(72500&lt;P825,P825&lt;75001)),$G825,IF(OR(AND(27500&lt;P825,P825&lt;30001),AND(57000&lt;P825,P825&lt;60001),AND(75000&lt;P825,P825&lt;77500)),$H825,VLOOKUP(P825,BDins,6,FALSE)))))</f>
        <v>20.81</v>
      </c>
      <c r="Q827">
        <f>IF(Q829&gt;10000,HLOOKUP(Q829,$O825:P828,4,FALSE),IF(OR(AND(22500&lt;Q825,Q825&lt;25001),AND(50000&lt;Q825,Q825&lt;53501),AND(70000&lt;Q825,Q825&lt;72501)),$F825,IF(OR(AND(25001&lt;Q825,Q825&lt;27501),AND(53500&lt;Q825,Q825&lt;57001),AND(72500&lt;Q825,Q825&lt;75001)),$G825,IF(OR(AND(27500&lt;Q825,Q825&lt;30001),AND(57000&lt;Q825,Q825&lt;60001),AND(75000&lt;Q825,Q825&lt;77500)),$H825,VLOOKUP(Q825,BDins,6,FALSE)))))</f>
        <v>15.36</v>
      </c>
      <c r="R827">
        <f>IF(R829&gt;10000,HLOOKUP(R829,$O825:Q828,4,FALSE),IF(OR(AND(22500&lt;R825,R825&lt;25001),AND(50000&lt;R825,R825&lt;53501),AND(70000&lt;R825,R825&lt;72501)),$F825,IF(OR(AND(25001&lt;R825,R825&lt;27501),AND(53500&lt;R825,R825&lt;57001),AND(72500&lt;R825,R825&lt;75001)),$G825,IF(OR(AND(27500&lt;R825,R825&lt;30001),AND(57000&lt;R825,R825&lt;60001),AND(75000&lt;R825,R825&lt;77500)),$H825,VLOOKUP(R825,BDins,6,FALSE)))))</f>
        <v>150</v>
      </c>
      <c r="S827">
        <f>IF(S829&gt;10000,HLOOKUP(S829,$O825:R828,4,FALSE),IF(OR(AND(22500&lt;S825,S825&lt;25001),AND(50000&lt;S825,S825&lt;53501),AND(70000&lt;S825,S825&lt;72501)),$F825,IF(OR(AND(25001&lt;S825,S825&lt;27501),AND(53500&lt;S825,S825&lt;57001),AND(72500&lt;S825,S825&lt;75001)),$G825,IF(OR(AND(27500&lt;S825,S825&lt;30001),AND(57000&lt;S825,S825&lt;60001),AND(75000&lt;S825,S825&lt;77500)),$H825,VLOOKUP(S825,BDins,6,FALSE)))))</f>
        <v>45</v>
      </c>
      <c r="T827">
        <f>IF(T829&gt;10000,HLOOKUP(T829,$O825:S828,4,FALSE),IF(OR(AND(22500&lt;T825,T825&lt;25001),AND(50000&lt;T825,T825&lt;53501),AND(70000&lt;T825,T825&lt;72501)),$F825,IF(OR(AND(25001&lt;T825,T825&lt;27501),AND(53500&lt;T825,T825&lt;57001),AND(72500&lt;T825,T825&lt;75001)),$G825,IF(OR(AND(27500&lt;T825,T825&lt;30001),AND(57000&lt;T825,T825&lt;60001),AND(75000&lt;T825,T825&lt;77500)),$H825,VLOOKUP(T825,BDins,6,FALSE)))))</f>
        <v>18.5</v>
      </c>
      <c r="U827">
        <f>IF(U829&gt;10000,HLOOKUP(U829,$O825:T828,4,FALSE),IF(OR(AND(22500&lt;U825,U825&lt;25001),AND(50000&lt;U825,U825&lt;53501),AND(70000&lt;U825,U825&lt;72501)),$F825,IF(OR(AND(25001&lt;U825,U825&lt;27501),AND(53500&lt;U825,U825&lt;57001),AND(72500&lt;U825,U825&lt;75001)),$G825,IF(OR(AND(27500&lt;U825,U825&lt;30001),AND(57000&lt;U825,U825&lt;60001),AND(75000&lt;U825,U825&lt;77500)),$H825,VLOOKUP(U825,BDins,6,FALSE)))))</f>
        <v>3.5</v>
      </c>
      <c r="V827">
        <f>IF(V829&gt;10000,HLOOKUP(V829,$O825:U828,4,FALSE),IF(OR(AND(22500&lt;V825,V825&lt;25001),AND(50000&lt;V825,V825&lt;53501),AND(70000&lt;V825,V825&lt;72501)),$F825,IF(OR(AND(25001&lt;V825,V825&lt;27501),AND(53500&lt;V825,V825&lt;57001),AND(72500&lt;V825,V825&lt;75001)),$G825,IF(OR(AND(27500&lt;V825,V825&lt;30001),AND(57000&lt;V825,V825&lt;60001),AND(75000&lt;V825,V825&lt;77500)),$H825,VLOOKUP(V825,BDins,6,FALSE)))))</f>
        <v>2.38</v>
      </c>
      <c r="W827">
        <f>IF(W829&gt;10000,HLOOKUP(W829,$O825:V828,4,FALSE),IF(OR(AND(22500&lt;W825,W825&lt;25001),AND(50000&lt;W825,W825&lt;53501),AND(70000&lt;W825,W825&lt;72501)),$F825,IF(OR(AND(25001&lt;W825,W825&lt;27501),AND(53500&lt;W825,W825&lt;57001),AND(72500&lt;W825,W825&lt;75001)),$G825,IF(OR(AND(27500&lt;W825,W825&lt;30001),AND(57000&lt;W825,W825&lt;60001),AND(75000&lt;W825,W825&lt;77500)),$H825,VLOOKUP(W825,BDins,6,FALSE)))))</f>
        <v>3.5</v>
      </c>
      <c r="X827">
        <f>IF(X829&gt;10000,HLOOKUP(X829,$O825:W828,4,FALSE),IF(OR(AND(22500&lt;X825,X825&lt;25001),AND(50000&lt;X825,X825&lt;53501),AND(70000&lt;X825,X825&lt;72501)),$F825,IF(OR(AND(25001&lt;X825,X825&lt;27501),AND(53500&lt;X825,X825&lt;57001),AND(72500&lt;X825,X825&lt;75001)),$G825,IF(OR(AND(27500&lt;X825,X825&lt;30001),AND(57000&lt;X825,X825&lt;60001),AND(75000&lt;X825,X825&lt;77500)),$H825,VLOOKUP(X825,BDins,6,FALSE)))))</f>
        <v>3.9</v>
      </c>
      <c r="Y827">
        <f>IF(Y829&gt;10000,HLOOKUP(Y829,$O825:X828,4,FALSE),IF(OR(AND(22500&lt;Y825,Y825&lt;25001),AND(50000&lt;Y825,Y825&lt;53501),AND(70000&lt;Y825,Y825&lt;72501)),$F825,IF(OR(AND(25001&lt;Y825,Y825&lt;27501),AND(53500&lt;Y825,Y825&lt;57001),AND(72500&lt;Y825,Y825&lt;75001)),$G825,IF(OR(AND(27500&lt;Y825,Y825&lt;30001),AND(57000&lt;Y825,Y825&lt;60001),AND(75000&lt;Y825,Y825&lt;77500)),$H825,VLOOKUP(Y825,BDins,6,FALSE)))))</f>
        <v>60</v>
      </c>
      <c r="Z827">
        <f>IF(Z829&gt;10000,HLOOKUP(Z829,$O825:Y828,4,FALSE),IF(OR(AND(22500&lt;Z825,Z825&lt;25001),AND(50000&lt;Z825,Z825&lt;53501),AND(70000&lt;Z825,Z825&lt;72501)),$F825,IF(OR(AND(25001&lt;Z825,Z825&lt;27501),AND(53500&lt;Z825,Z825&lt;57001),AND(72500&lt;Z825,Z825&lt;75001)),$G825,IF(OR(AND(27500&lt;Z825,Z825&lt;30001),AND(57000&lt;Z825,Z825&lt;60001),AND(75000&lt;Z825,Z825&lt;77500)),$H825,VLOOKUP(Z825,BDins,6,FALSE)))))</f>
        <v>45</v>
      </c>
      <c r="AA827">
        <f>IF(AA829&gt;10000,HLOOKUP(AA829,$O825:Z828,4,FALSE),IF(OR(AND(22500&lt;AA825,AA825&lt;25001),AND(50000&lt;AA825,AA825&lt;53501),AND(70000&lt;AA825,AA825&lt;72501)),$F825,IF(OR(AND(25001&lt;AA825,AA825&lt;27501),AND(53500&lt;AA825,AA825&lt;57001),AND(72500&lt;AA825,AA825&lt;75001)),$G825,IF(OR(AND(27500&lt;AA825,AA825&lt;30001),AND(57000&lt;AA825,AA825&lt;60001),AND(75000&lt;AA825,AA825&lt;77500)),$H825,VLOOKUP(AA825,BDins,6,FALSE)))))</f>
        <v>34.369999999999997</v>
      </c>
    </row>
    <row r="828" spans="1:27" x14ac:dyDescent="0.2">
      <c r="O828">
        <f t="shared" ref="O828:AA828" si="114">IF($K825&gt;0,ROUND(O826*$E825/100,DpCU),IF(O829&gt;10000,ROUND(HLOOKUP(O829,$O825:$AA828,4,FALSE)/100*O826,DpCU),IF(OR(O825&lt;20001,O825&gt;95000,AND(60000&lt;O825,O825&lt;70001)),ROUND(ROUND(O826*JL/$C825,DcCU)*O827,DpCU),IF(OR(AND(20000&lt;O825,O825&lt;22501),AND(30000&lt;O825,O825&lt;50001),77500&lt;O825),ROUND(O827*O826,DpCU),IF(OR(AND(22500&lt;O825,O825&lt;25001),AND(50000&lt;O825,O825&lt;53501),AND(70000&lt;O825,O825&lt;72501)),ROUND($F825/100*O826,DpCU),IF(OR(AND(25000&lt;O825,O825&lt;27501),AND(53500&lt;O825,O825&lt;57001),AND(72500&lt;O825,O825&lt;75001)),ROUND($G825/100*O826,DpCU),ROUND($H825/100*O826,DpCU)))))))</f>
        <v>2.2200000000000002</v>
      </c>
      <c r="P828">
        <f t="shared" si="114"/>
        <v>18.5</v>
      </c>
      <c r="Q828">
        <f t="shared" si="114"/>
        <v>13.65</v>
      </c>
      <c r="R828">
        <f t="shared" si="114"/>
        <v>2.1</v>
      </c>
      <c r="S828">
        <f t="shared" si="114"/>
        <v>1.53</v>
      </c>
      <c r="T828">
        <f t="shared" si="114"/>
        <v>10.73</v>
      </c>
      <c r="U828">
        <f t="shared" si="114"/>
        <v>0.35</v>
      </c>
      <c r="V828">
        <f t="shared" si="114"/>
        <v>3.57</v>
      </c>
      <c r="W828">
        <f t="shared" si="114"/>
        <v>0.53</v>
      </c>
      <c r="X828">
        <f t="shared" si="114"/>
        <v>1.95</v>
      </c>
      <c r="Y828">
        <f t="shared" si="114"/>
        <v>3.54</v>
      </c>
      <c r="Z828">
        <f t="shared" si="114"/>
        <v>0.27</v>
      </c>
      <c r="AA828">
        <f t="shared" si="114"/>
        <v>1.72</v>
      </c>
    </row>
    <row r="829" spans="1:27" x14ac:dyDescent="0.2">
      <c r="B829" s="3" t="str">
        <f>A825&amp;"r"</f>
        <v>10165r</v>
      </c>
    </row>
    <row r="830" spans="1:27" x14ac:dyDescent="0.2">
      <c r="A830">
        <v>10166</v>
      </c>
      <c r="B830" s="3" t="s">
        <v>841</v>
      </c>
      <c r="C830" s="1">
        <f>ROUND(J830*JL*Frto/8,4)</f>
        <v>1.5</v>
      </c>
      <c r="D830" t="s">
        <v>7</v>
      </c>
      <c r="E830">
        <f>SUM($O833:$R833)</f>
        <v>540.53</v>
      </c>
      <c r="F830">
        <f>SUMIF($O830:$R830,"&lt;22501",$O833:$R833)</f>
        <v>124.31</v>
      </c>
      <c r="G830">
        <f>SUMIFS($O833:$R833,$O830:$R830,"&gt;30000",$O830:$R830,"&lt;50001")</f>
        <v>410</v>
      </c>
      <c r="H830">
        <f>SUMIFS($O833:$R833,$O830:$R830,"&gt;60000",$O830:$R830,"&lt;70001")</f>
        <v>0</v>
      </c>
      <c r="I830">
        <v>4</v>
      </c>
      <c r="J830">
        <v>1.5</v>
      </c>
      <c r="O830">
        <v>10001</v>
      </c>
      <c r="P830">
        <v>10002</v>
      </c>
      <c r="Q830">
        <v>30160</v>
      </c>
      <c r="R830">
        <v>70001</v>
      </c>
    </row>
    <row r="831" spans="1:27" x14ac:dyDescent="0.2">
      <c r="B831" s="3" t="str">
        <f>A830&amp;"C"</f>
        <v>10166C</v>
      </c>
      <c r="O831">
        <v>0.1</v>
      </c>
      <c r="P831">
        <v>1</v>
      </c>
      <c r="Q831">
        <v>1</v>
      </c>
      <c r="R831">
        <v>5</v>
      </c>
    </row>
    <row r="832" spans="1:27" x14ac:dyDescent="0.2">
      <c r="O832">
        <f>IF(O834&gt;10000,HLOOKUP(O834,N830:$O833,4,FALSE),IF(OR(AND(22500&lt;O830,O830&lt;25001),AND(50000&lt;O830,O830&lt;53501),AND(70000&lt;O830,O830&lt;72501)),$F830,IF(OR(AND(25001&lt;O830,O830&lt;27501),AND(53500&lt;O830,O830&lt;57001),AND(72500&lt;O830,O830&lt;75001)),$G830,IF(OR(AND(27500&lt;O830,O830&lt;30001),AND(57000&lt;O830,O830&lt;60001),AND(75000&lt;O830,O830&lt;77500)),$H830,VLOOKUP(O830,BDins,6,FALSE)))))</f>
        <v>24.97</v>
      </c>
      <c r="P832">
        <f>IF(P834&gt;10000,HLOOKUP(P834,O830:$O833,4,FALSE),IF(OR(AND(22500&lt;P830,P830&lt;25001),AND(50000&lt;P830,P830&lt;53501),AND(70000&lt;P830,P830&lt;72501)),$F830,IF(OR(AND(25001&lt;P830,P830&lt;27501),AND(53500&lt;P830,P830&lt;57001),AND(72500&lt;P830,P830&lt;75001)),$G830,IF(OR(AND(27500&lt;P830,P830&lt;30001),AND(57000&lt;P830,P830&lt;60001),AND(75000&lt;P830,P830&lt;77500)),$H830,VLOOKUP(P830,BDins,6,FALSE)))))</f>
        <v>20.81</v>
      </c>
      <c r="Q832">
        <f>IF(Q834&gt;10000,HLOOKUP(Q834,$O830:P833,4,FALSE),IF(OR(AND(22500&lt;Q830,Q830&lt;25001),AND(50000&lt;Q830,Q830&lt;53501),AND(70000&lt;Q830,Q830&lt;72501)),$F830,IF(OR(AND(25001&lt;Q830,Q830&lt;27501),AND(53500&lt;Q830,Q830&lt;57001),AND(72500&lt;Q830,Q830&lt;75001)),$G830,IF(OR(AND(27500&lt;Q830,Q830&lt;30001),AND(57000&lt;Q830,Q830&lt;60001),AND(75000&lt;Q830,Q830&lt;77500)),$H830,VLOOKUP(Q830,BDins,6,FALSE)))))</f>
        <v>410</v>
      </c>
      <c r="R832">
        <f>IF(R834&gt;10000,HLOOKUP(R834,$O830:Q833,4,FALSE),IF(OR(AND(22500&lt;R830,R830&lt;25001),AND(50000&lt;R830,R830&lt;53501),AND(70000&lt;R830,R830&lt;72501)),$F830,IF(OR(AND(25001&lt;R830,R830&lt;27501),AND(53500&lt;R830,R830&lt;57001),AND(72500&lt;R830,R830&lt;75001)),$G830,IF(OR(AND(27500&lt;R830,R830&lt;30001),AND(57000&lt;R830,R830&lt;60001),AND(75000&lt;R830,R830&lt;77500)),$H830,VLOOKUP(R830,BDins,6,FALSE)))))</f>
        <v>124.31</v>
      </c>
    </row>
    <row r="833" spans="1:24" x14ac:dyDescent="0.2">
      <c r="O833">
        <f>IF($K830&gt;0,ROUND(O831*$E830/100,DpCU),IF(O834&gt;10000,ROUND(HLOOKUP(O834,$O830:$R833,4,FALSE)/100*O831,DpCU),IF(OR(O830&lt;20001,O830&gt;95000,AND(60000&lt;O830,O830&lt;70001)),ROUND(ROUND(O831*JL/$C830,DcCU)*O832,DpCU),IF(OR(AND(20000&lt;O830,O830&lt;22501),AND(30000&lt;O830,O830&lt;50001),77500&lt;O830),ROUND(O832*O831,DpCU),IF(OR(AND(22500&lt;O830,O830&lt;25001),AND(50000&lt;O830,O830&lt;53501),AND(70000&lt;O830,O830&lt;72501)),ROUND($F830/100*O831,DpCU),IF(OR(AND(25000&lt;O830,O830&lt;27501),AND(53500&lt;O830,O830&lt;57001),AND(72500&lt;O830,O830&lt;75001)),ROUND($G830/100*O831,DpCU),ROUND($H830/100*O831,DpCU)))))))</f>
        <v>13.32</v>
      </c>
      <c r="P833">
        <f>IF($K830&gt;0,ROUND(P831*$E830/100,DpCU),IF(P834&gt;10000,ROUND(HLOOKUP(P834,$O830:$R833,4,FALSE)/100*P831,DpCU),IF(OR(P830&lt;20001,P830&gt;95000,AND(60000&lt;P830,P830&lt;70001)),ROUND(ROUND(P831*JL/$C830,DcCU)*P832,DpCU),IF(OR(AND(20000&lt;P830,P830&lt;22501),AND(30000&lt;P830,P830&lt;50001),77500&lt;P830),ROUND(P832*P831,DpCU),IF(OR(AND(22500&lt;P830,P830&lt;25001),AND(50000&lt;P830,P830&lt;53501),AND(70000&lt;P830,P830&lt;72501)),ROUND($F830/100*P831,DpCU),IF(OR(AND(25000&lt;P830,P830&lt;27501),AND(53500&lt;P830,P830&lt;57001),AND(72500&lt;P830,P830&lt;75001)),ROUND($G830/100*P831,DpCU),ROUND($H830/100*P831,DpCU)))))))</f>
        <v>110.99</v>
      </c>
      <c r="Q833">
        <f>IF($K830&gt;0,ROUND(Q831*$E830/100,DpCU),IF(Q834&gt;10000,ROUND(HLOOKUP(Q834,$O830:$R833,4,FALSE)/100*Q831,DpCU),IF(OR(Q830&lt;20001,Q830&gt;95000,AND(60000&lt;Q830,Q830&lt;70001)),ROUND(ROUND(Q831*JL/$C830,DcCU)*Q832,DpCU),IF(OR(AND(20000&lt;Q830,Q830&lt;22501),AND(30000&lt;Q830,Q830&lt;50001),77500&lt;Q830),ROUND(Q832*Q831,DpCU),IF(OR(AND(22500&lt;Q830,Q830&lt;25001),AND(50000&lt;Q830,Q830&lt;53501),AND(70000&lt;Q830,Q830&lt;72501)),ROUND($F830/100*Q831,DpCU),IF(OR(AND(25000&lt;Q830,Q830&lt;27501),AND(53500&lt;Q830,Q830&lt;57001),AND(72500&lt;Q830,Q830&lt;75001)),ROUND($G830/100*Q831,DpCU),ROUND($H830/100*Q831,DpCU)))))))</f>
        <v>410</v>
      </c>
      <c r="R833">
        <f>IF($K830&gt;0,ROUND(R831*$E830/100,DpCU),IF(R834&gt;10000,ROUND(HLOOKUP(R834,$O830:$R833,4,FALSE)/100*R831,DpCU),IF(OR(R830&lt;20001,R830&gt;95000,AND(60000&lt;R830,R830&lt;70001)),ROUND(ROUND(R831*JL/$C830,DcCU)*R832,DpCU),IF(OR(AND(20000&lt;R830,R830&lt;22501),AND(30000&lt;R830,R830&lt;50001),77500&lt;R830),ROUND(R832*R831,DpCU),IF(OR(AND(22500&lt;R830,R830&lt;25001),AND(50000&lt;R830,R830&lt;53501),AND(70000&lt;R830,R830&lt;72501)),ROUND($F830/100*R831,DpCU),IF(OR(AND(25000&lt;R830,R830&lt;27501),AND(53500&lt;R830,R830&lt;57001),AND(72500&lt;R830,R830&lt;75001)),ROUND($G830/100*R831,DpCU),ROUND($H830/100*R831,DpCU)))))))</f>
        <v>6.22</v>
      </c>
    </row>
    <row r="834" spans="1:24" x14ac:dyDescent="0.2">
      <c r="B834" s="3" t="str">
        <f>A830&amp;"r"</f>
        <v>10166r</v>
      </c>
    </row>
    <row r="835" spans="1:24" x14ac:dyDescent="0.2">
      <c r="A835">
        <v>10167</v>
      </c>
      <c r="B835" s="3" t="s">
        <v>844</v>
      </c>
      <c r="C835" s="1">
        <f>ROUND(J835*JL*Frto/8,4)</f>
        <v>2</v>
      </c>
      <c r="D835" t="s">
        <v>194</v>
      </c>
      <c r="E835">
        <f>SUM($O838:$R838)</f>
        <v>389.19</v>
      </c>
      <c r="F835">
        <f>SUMIF($O835:$R835,"&lt;22501",$O838:$R838)</f>
        <v>93.22999999999999</v>
      </c>
      <c r="G835">
        <f>SUMIFS($O838:$R838,$O835:$R835,"&gt;30000",$O835:$R835,"&lt;50001")</f>
        <v>291.3</v>
      </c>
      <c r="H835">
        <f>SUMIFS($O838:$R838,$O835:$R835,"&gt;60000",$O835:$R835,"&lt;70001")</f>
        <v>0</v>
      </c>
      <c r="I835">
        <v>4</v>
      </c>
      <c r="J835">
        <v>2</v>
      </c>
      <c r="O835">
        <v>10001</v>
      </c>
      <c r="P835">
        <v>10002</v>
      </c>
      <c r="Q835">
        <v>30161</v>
      </c>
      <c r="R835">
        <v>70001</v>
      </c>
    </row>
    <row r="836" spans="1:24" x14ac:dyDescent="0.2">
      <c r="B836" s="3" t="str">
        <f>A835&amp;"C"</f>
        <v>10167C</v>
      </c>
      <c r="O836">
        <v>0.1</v>
      </c>
      <c r="P836">
        <v>1</v>
      </c>
      <c r="Q836">
        <v>1</v>
      </c>
      <c r="R836">
        <v>5</v>
      </c>
    </row>
    <row r="837" spans="1:24" x14ac:dyDescent="0.2">
      <c r="O837">
        <f>IF(O839&gt;10000,HLOOKUP(O839,N835:$O838,4,FALSE),IF(OR(AND(22500&lt;O835,O835&lt;25001),AND(50000&lt;O835,O835&lt;53501),AND(70000&lt;O835,O835&lt;72501)),$F835,IF(OR(AND(25001&lt;O835,O835&lt;27501),AND(53500&lt;O835,O835&lt;57001),AND(72500&lt;O835,O835&lt;75001)),$G835,IF(OR(AND(27500&lt;O835,O835&lt;30001),AND(57000&lt;O835,O835&lt;60001),AND(75000&lt;O835,O835&lt;77500)),$H835,VLOOKUP(O835,BDins,6,FALSE)))))</f>
        <v>24.97</v>
      </c>
      <c r="P837">
        <f>IF(P839&gt;10000,HLOOKUP(P839,O835:$O838,4,FALSE),IF(OR(AND(22500&lt;P835,P835&lt;25001),AND(50000&lt;P835,P835&lt;53501),AND(70000&lt;P835,P835&lt;72501)),$F835,IF(OR(AND(25001&lt;P835,P835&lt;27501),AND(53500&lt;P835,P835&lt;57001),AND(72500&lt;P835,P835&lt;75001)),$G835,IF(OR(AND(27500&lt;P835,P835&lt;30001),AND(57000&lt;P835,P835&lt;60001),AND(75000&lt;P835,P835&lt;77500)),$H835,VLOOKUP(P835,BDins,6,FALSE)))))</f>
        <v>20.81</v>
      </c>
      <c r="Q837">
        <f>IF(Q839&gt;10000,HLOOKUP(Q839,$O835:P838,4,FALSE),IF(OR(AND(22500&lt;Q835,Q835&lt;25001),AND(50000&lt;Q835,Q835&lt;53501),AND(70000&lt;Q835,Q835&lt;72501)),$F835,IF(OR(AND(25001&lt;Q835,Q835&lt;27501),AND(53500&lt;Q835,Q835&lt;57001),AND(72500&lt;Q835,Q835&lt;75001)),$G835,IF(OR(AND(27500&lt;Q835,Q835&lt;30001),AND(57000&lt;Q835,Q835&lt;60001),AND(75000&lt;Q835,Q835&lt;77500)),$H835,VLOOKUP(Q835,BDins,6,FALSE)))))</f>
        <v>291.3</v>
      </c>
      <c r="R837">
        <f>IF(R839&gt;10000,HLOOKUP(R839,$O835:Q838,4,FALSE),IF(OR(AND(22500&lt;R835,R835&lt;25001),AND(50000&lt;R835,R835&lt;53501),AND(70000&lt;R835,R835&lt;72501)),$F835,IF(OR(AND(25001&lt;R835,R835&lt;27501),AND(53500&lt;R835,R835&lt;57001),AND(72500&lt;R835,R835&lt;75001)),$G835,IF(OR(AND(27500&lt;R835,R835&lt;30001),AND(57000&lt;R835,R835&lt;60001),AND(75000&lt;R835,R835&lt;77500)),$H835,VLOOKUP(R835,BDins,6,FALSE)))))</f>
        <v>93.22999999999999</v>
      </c>
    </row>
    <row r="838" spans="1:24" x14ac:dyDescent="0.2">
      <c r="O838">
        <f>IF($K835&gt;0,ROUND(O836*$E835/100,DpCU),IF(O839&gt;10000,ROUND(HLOOKUP(O839,$O835:$R838,4,FALSE)/100*O836,DpCU),IF(OR(O835&lt;20001,O835&gt;95000,AND(60000&lt;O835,O835&lt;70001)),ROUND(ROUND(O836*JL/$C835,DcCU)*O837,DpCU),IF(OR(AND(20000&lt;O835,O835&lt;22501),AND(30000&lt;O835,O835&lt;50001),77500&lt;O835),ROUND(O837*O836,DpCU),IF(OR(AND(22500&lt;O835,O835&lt;25001),AND(50000&lt;O835,O835&lt;53501),AND(70000&lt;O835,O835&lt;72501)),ROUND($F835/100*O836,DpCU),IF(OR(AND(25000&lt;O835,O835&lt;27501),AND(53500&lt;O835,O835&lt;57001),AND(72500&lt;O835,O835&lt;75001)),ROUND($G835/100*O836,DpCU),ROUND($H835/100*O836,DpCU)))))))</f>
        <v>9.99</v>
      </c>
      <c r="P838">
        <f>IF($K835&gt;0,ROUND(P836*$E835/100,DpCU),IF(P839&gt;10000,ROUND(HLOOKUP(P839,$O835:$R838,4,FALSE)/100*P836,DpCU),IF(OR(P835&lt;20001,P835&gt;95000,AND(60000&lt;P835,P835&lt;70001)),ROUND(ROUND(P836*JL/$C835,DcCU)*P837,DpCU),IF(OR(AND(20000&lt;P835,P835&lt;22501),AND(30000&lt;P835,P835&lt;50001),77500&lt;P835),ROUND(P837*P836,DpCU),IF(OR(AND(22500&lt;P835,P835&lt;25001),AND(50000&lt;P835,P835&lt;53501),AND(70000&lt;P835,P835&lt;72501)),ROUND($F835/100*P836,DpCU),IF(OR(AND(25000&lt;P835,P835&lt;27501),AND(53500&lt;P835,P835&lt;57001),AND(72500&lt;P835,P835&lt;75001)),ROUND($G835/100*P836,DpCU),ROUND($H835/100*P836,DpCU)))))))</f>
        <v>83.24</v>
      </c>
      <c r="Q838">
        <f>IF($K835&gt;0,ROUND(Q836*$E835/100,DpCU),IF(Q839&gt;10000,ROUND(HLOOKUP(Q839,$O835:$R838,4,FALSE)/100*Q836,DpCU),IF(OR(Q835&lt;20001,Q835&gt;95000,AND(60000&lt;Q835,Q835&lt;70001)),ROUND(ROUND(Q836*JL/$C835,DcCU)*Q837,DpCU),IF(OR(AND(20000&lt;Q835,Q835&lt;22501),AND(30000&lt;Q835,Q835&lt;50001),77500&lt;Q835),ROUND(Q837*Q836,DpCU),IF(OR(AND(22500&lt;Q835,Q835&lt;25001),AND(50000&lt;Q835,Q835&lt;53501),AND(70000&lt;Q835,Q835&lt;72501)),ROUND($F835/100*Q836,DpCU),IF(OR(AND(25000&lt;Q835,Q835&lt;27501),AND(53500&lt;Q835,Q835&lt;57001),AND(72500&lt;Q835,Q835&lt;75001)),ROUND($G835/100*Q836,DpCU),ROUND($H835/100*Q836,DpCU)))))))</f>
        <v>291.3</v>
      </c>
      <c r="R838">
        <f>IF($K835&gt;0,ROUND(R836*$E835/100,DpCU),IF(R839&gt;10000,ROUND(HLOOKUP(R839,$O835:$R838,4,FALSE)/100*R836,DpCU),IF(OR(R835&lt;20001,R835&gt;95000,AND(60000&lt;R835,R835&lt;70001)),ROUND(ROUND(R836*JL/$C835,DcCU)*R837,DpCU),IF(OR(AND(20000&lt;R835,R835&lt;22501),AND(30000&lt;R835,R835&lt;50001),77500&lt;R835),ROUND(R837*R836,DpCU),IF(OR(AND(22500&lt;R835,R835&lt;25001),AND(50000&lt;R835,R835&lt;53501),AND(70000&lt;R835,R835&lt;72501)),ROUND($F835/100*R836,DpCU),IF(OR(AND(25000&lt;R835,R835&lt;27501),AND(53500&lt;R835,R835&lt;57001),AND(72500&lt;R835,R835&lt;75001)),ROUND($G835/100*R836,DpCU),ROUND($H835/100*R836,DpCU)))))))</f>
        <v>4.66</v>
      </c>
    </row>
    <row r="839" spans="1:24" x14ac:dyDescent="0.2">
      <c r="B839" s="3" t="str">
        <f>A835&amp;"r"</f>
        <v>10167r</v>
      </c>
    </row>
    <row r="840" spans="1:24" x14ac:dyDescent="0.2">
      <c r="A840">
        <v>10168</v>
      </c>
      <c r="B840" s="3" t="s">
        <v>853</v>
      </c>
      <c r="C840" s="1">
        <f>ROUND(J840*JL*Frto/8,4)</f>
        <v>4</v>
      </c>
      <c r="D840" t="s">
        <v>7</v>
      </c>
      <c r="E840">
        <f>SUM($O843:$X843)</f>
        <v>392.3</v>
      </c>
      <c r="F840">
        <f>SUMIF($O840:$X840,"&lt;22501",$O843:$X843)</f>
        <v>82.33</v>
      </c>
      <c r="G840">
        <f>SUMIFS($O843:$X843,$O840:$X840,"&gt;30000",$O840:$X840,"&lt;50001")</f>
        <v>305.85000000000002</v>
      </c>
      <c r="H840">
        <f>SUMIFS($O843:$X843,$O840:$X840,"&gt;60000",$O840:$X840,"&lt;70001")</f>
        <v>0</v>
      </c>
      <c r="I840">
        <v>10</v>
      </c>
      <c r="J840">
        <v>4</v>
      </c>
      <c r="O840">
        <v>10001</v>
      </c>
      <c r="P840">
        <v>10002</v>
      </c>
      <c r="Q840">
        <v>10003</v>
      </c>
      <c r="R840">
        <v>30162</v>
      </c>
      <c r="S840">
        <v>30163</v>
      </c>
      <c r="T840">
        <v>30164</v>
      </c>
      <c r="U840">
        <v>30165</v>
      </c>
      <c r="V840">
        <v>30166</v>
      </c>
      <c r="W840">
        <v>30167</v>
      </c>
      <c r="X840">
        <v>70001</v>
      </c>
    </row>
    <row r="841" spans="1:24" x14ac:dyDescent="0.2">
      <c r="B841" s="3" t="str">
        <f>A840&amp;"C"</f>
        <v>10168C</v>
      </c>
      <c r="O841">
        <v>0.2</v>
      </c>
      <c r="P841">
        <v>1</v>
      </c>
      <c r="Q841">
        <v>1</v>
      </c>
      <c r="R841">
        <v>2</v>
      </c>
      <c r="S841">
        <v>1</v>
      </c>
      <c r="T841">
        <v>1</v>
      </c>
      <c r="U841">
        <v>1</v>
      </c>
      <c r="V841">
        <v>2.1</v>
      </c>
      <c r="W841">
        <v>1</v>
      </c>
      <c r="X841">
        <v>5</v>
      </c>
    </row>
    <row r="842" spans="1:24" x14ac:dyDescent="0.2">
      <c r="O842">
        <f>IF(O844&gt;10000,HLOOKUP(O844,N840:$O843,4,FALSE),IF(OR(AND(22500&lt;O840,O840&lt;25001),AND(50000&lt;O840,O840&lt;53501),AND(70000&lt;O840,O840&lt;72501)),$F840,IF(OR(AND(25001&lt;O840,O840&lt;27501),AND(53500&lt;O840,O840&lt;57001),AND(72500&lt;O840,O840&lt;75001)),$G840,IF(OR(AND(27500&lt;O840,O840&lt;30001),AND(57000&lt;O840,O840&lt;60001),AND(75000&lt;O840,O840&lt;77500)),$H840,VLOOKUP(O840,BDins,6,FALSE)))))</f>
        <v>24.97</v>
      </c>
      <c r="P842">
        <f>IF(P844&gt;10000,HLOOKUP(P844,O840:$O843,4,FALSE),IF(OR(AND(22500&lt;P840,P840&lt;25001),AND(50000&lt;P840,P840&lt;53501),AND(70000&lt;P840,P840&lt;72501)),$F840,IF(OR(AND(25001&lt;P840,P840&lt;27501),AND(53500&lt;P840,P840&lt;57001),AND(72500&lt;P840,P840&lt;75001)),$G840,IF(OR(AND(27500&lt;P840,P840&lt;30001),AND(57000&lt;P840,P840&lt;60001),AND(75000&lt;P840,P840&lt;77500)),$H840,VLOOKUP(P840,BDins,6,FALSE)))))</f>
        <v>20.81</v>
      </c>
      <c r="Q842">
        <f>IF(Q844&gt;10000,HLOOKUP(Q844,$O840:P843,4,FALSE),IF(OR(AND(22500&lt;Q840,Q840&lt;25001),AND(50000&lt;Q840,Q840&lt;53501),AND(70000&lt;Q840,Q840&lt;72501)),$F840,IF(OR(AND(25001&lt;Q840,Q840&lt;27501),AND(53500&lt;Q840,Q840&lt;57001),AND(72500&lt;Q840,Q840&lt;75001)),$G840,IF(OR(AND(27500&lt;Q840,Q840&lt;30001),AND(57000&lt;Q840,Q840&lt;60001),AND(75000&lt;Q840,Q840&lt;77500)),$H840,VLOOKUP(Q840,BDins,6,FALSE)))))</f>
        <v>15.36</v>
      </c>
      <c r="R842">
        <f>IF(R844&gt;10000,HLOOKUP(R844,$O840:Q843,4,FALSE),IF(OR(AND(22500&lt;R840,R840&lt;25001),AND(50000&lt;R840,R840&lt;53501),AND(70000&lt;R840,R840&lt;72501)),$F840,IF(OR(AND(25001&lt;R840,R840&lt;27501),AND(53500&lt;R840,R840&lt;57001),AND(72500&lt;R840,R840&lt;75001)),$G840,IF(OR(AND(27500&lt;R840,R840&lt;30001),AND(57000&lt;R840,R840&lt;60001),AND(75000&lt;R840,R840&lt;77500)),$H840,VLOOKUP(R840,BDins,6,FALSE)))))</f>
        <v>3.6</v>
      </c>
      <c r="S842">
        <f>IF(S844&gt;10000,HLOOKUP(S844,$O840:R843,4,FALSE),IF(OR(AND(22500&lt;S840,S840&lt;25001),AND(50000&lt;S840,S840&lt;53501),AND(70000&lt;S840,S840&lt;72501)),$F840,IF(OR(AND(25001&lt;S840,S840&lt;27501),AND(53500&lt;S840,S840&lt;57001),AND(72500&lt;S840,S840&lt;75001)),$G840,IF(OR(AND(27500&lt;S840,S840&lt;30001),AND(57000&lt;S840,S840&lt;60001),AND(75000&lt;S840,S840&lt;77500)),$H840,VLOOKUP(S840,BDins,6,FALSE)))))</f>
        <v>250</v>
      </c>
      <c r="T842">
        <f>IF(T844&gt;10000,HLOOKUP(T844,$O840:S843,4,FALSE),IF(OR(AND(22500&lt;T840,T840&lt;25001),AND(50000&lt;T840,T840&lt;53501),AND(70000&lt;T840,T840&lt;72501)),$F840,IF(OR(AND(25001&lt;T840,T840&lt;27501),AND(53500&lt;T840,T840&lt;57001),AND(72500&lt;T840,T840&lt;75001)),$G840,IF(OR(AND(27500&lt;T840,T840&lt;30001),AND(57000&lt;T840,T840&lt;60001),AND(75000&lt;T840,T840&lt;77500)),$H840,VLOOKUP(T840,BDins,6,FALSE)))))</f>
        <v>9.23</v>
      </c>
      <c r="U842">
        <f>IF(U844&gt;10000,HLOOKUP(U844,$O840:T843,4,FALSE),IF(OR(AND(22500&lt;U840,U840&lt;25001),AND(50000&lt;U840,U840&lt;53501),AND(70000&lt;U840,U840&lt;72501)),$F840,IF(OR(AND(25001&lt;U840,U840&lt;27501),AND(53500&lt;U840,U840&lt;57001),AND(72500&lt;U840,U840&lt;75001)),$G840,IF(OR(AND(27500&lt;U840,U840&lt;30001),AND(57000&lt;U840,U840&lt;60001),AND(75000&lt;U840,U840&lt;77500)),$H840,VLOOKUP(U840,BDins,6,FALSE)))))</f>
        <v>30.5</v>
      </c>
      <c r="V842">
        <f>IF(V844&gt;10000,HLOOKUP(V844,$O840:U843,4,FALSE),IF(OR(AND(22500&lt;V840,V840&lt;25001),AND(50000&lt;V840,V840&lt;53501),AND(70000&lt;V840,V840&lt;72501)),$F840,IF(OR(AND(25001&lt;V840,V840&lt;27501),AND(53500&lt;V840,V840&lt;57001),AND(72500&lt;V840,V840&lt;75001)),$G840,IF(OR(AND(27500&lt;V840,V840&lt;30001),AND(57000&lt;V840,V840&lt;60001),AND(75000&lt;V840,V840&lt;77500)),$H840,VLOOKUP(V840,BDins,6,FALSE)))))</f>
        <v>0.2</v>
      </c>
      <c r="W842">
        <f>IF(W844&gt;10000,HLOOKUP(W844,$O840:V843,4,FALSE),IF(OR(AND(22500&lt;W840,W840&lt;25001),AND(50000&lt;W840,W840&lt;53501),AND(70000&lt;W840,W840&lt;72501)),$F840,IF(OR(AND(25001&lt;W840,W840&lt;27501),AND(53500&lt;W840,W840&lt;57001),AND(72500&lt;W840,W840&lt;75001)),$G840,IF(OR(AND(27500&lt;W840,W840&lt;30001),AND(57000&lt;W840,W840&lt;60001),AND(75000&lt;W840,W840&lt;77500)),$H840,VLOOKUP(W840,BDins,6,FALSE)))))</f>
        <v>8.5</v>
      </c>
      <c r="X842">
        <f>IF(X844&gt;10000,HLOOKUP(X844,$O840:W843,4,FALSE),IF(OR(AND(22500&lt;X840,X840&lt;25001),AND(50000&lt;X840,X840&lt;53501),AND(70000&lt;X840,X840&lt;72501)),$F840,IF(OR(AND(25001&lt;X840,X840&lt;27501),AND(53500&lt;X840,X840&lt;57001),AND(72500&lt;X840,X840&lt;75001)),$G840,IF(OR(AND(27500&lt;X840,X840&lt;30001),AND(57000&lt;X840,X840&lt;60001),AND(75000&lt;X840,X840&lt;77500)),$H840,VLOOKUP(X840,BDins,6,FALSE)))))</f>
        <v>82.33</v>
      </c>
    </row>
    <row r="843" spans="1:24" x14ac:dyDescent="0.2">
      <c r="O843">
        <f t="shared" ref="O843:X843" si="115">IF($K840&gt;0,ROUND(O841*$E840/100,DpCU),IF(O844&gt;10000,ROUND(HLOOKUP(O844,$O840:$X843,4,FALSE)/100*O841,DpCU),IF(OR(O840&lt;20001,O840&gt;95000,AND(60000&lt;O840,O840&lt;70001)),ROUND(ROUND(O841*JL/$C840,DcCU)*O842,DpCU),IF(OR(AND(20000&lt;O840,O840&lt;22501),AND(30000&lt;O840,O840&lt;50001),77500&lt;O840),ROUND(O842*O841,DpCU),IF(OR(AND(22500&lt;O840,O840&lt;25001),AND(50000&lt;O840,O840&lt;53501),AND(70000&lt;O840,O840&lt;72501)),ROUND($F840/100*O841,DpCU),IF(OR(AND(25000&lt;O840,O840&lt;27501),AND(53500&lt;O840,O840&lt;57001),AND(72500&lt;O840,O840&lt;75001)),ROUND($G840/100*O841,DpCU),ROUND($H840/100*O841,DpCU)))))))</f>
        <v>9.99</v>
      </c>
      <c r="P843">
        <f t="shared" si="115"/>
        <v>41.62</v>
      </c>
      <c r="Q843">
        <f t="shared" si="115"/>
        <v>30.72</v>
      </c>
      <c r="R843">
        <f t="shared" si="115"/>
        <v>7.2</v>
      </c>
      <c r="S843">
        <f t="shared" si="115"/>
        <v>250</v>
      </c>
      <c r="T843">
        <f t="shared" si="115"/>
        <v>9.23</v>
      </c>
      <c r="U843">
        <f t="shared" si="115"/>
        <v>30.5</v>
      </c>
      <c r="V843">
        <f t="shared" si="115"/>
        <v>0.42</v>
      </c>
      <c r="W843">
        <f t="shared" si="115"/>
        <v>8.5</v>
      </c>
      <c r="X843">
        <f t="shared" si="115"/>
        <v>4.12</v>
      </c>
    </row>
    <row r="844" spans="1:24" x14ac:dyDescent="0.2">
      <c r="B844" s="3" t="str">
        <f>A840&amp;"r"</f>
        <v>10168r</v>
      </c>
    </row>
    <row r="845" spans="1:24" x14ac:dyDescent="0.2">
      <c r="A845">
        <v>10169</v>
      </c>
      <c r="B845" s="3" t="s">
        <v>861</v>
      </c>
      <c r="C845" s="1">
        <f>ROUND(J845*JL*Frto/8,4)</f>
        <v>4</v>
      </c>
      <c r="D845" t="s">
        <v>174</v>
      </c>
      <c r="E845">
        <f>SUM($O848:$X848)</f>
        <v>271.60000000000002</v>
      </c>
      <c r="F845">
        <f>SUMIF($O845:$X845,"&lt;22501",$O848:$X848)</f>
        <v>82.33</v>
      </c>
      <c r="G845">
        <f>SUMIFS($O848:$X848,$O845:$X845,"&gt;30000",$O845:$X845,"&lt;50001")</f>
        <v>185.15</v>
      </c>
      <c r="H845">
        <f>SUMIFS($O848:$X848,$O845:$X845,"&gt;60000",$O845:$X845,"&lt;70001")</f>
        <v>0</v>
      </c>
      <c r="I845">
        <v>10</v>
      </c>
      <c r="J845">
        <v>4</v>
      </c>
      <c r="O845">
        <v>10001</v>
      </c>
      <c r="P845">
        <v>10002</v>
      </c>
      <c r="Q845">
        <v>10003</v>
      </c>
      <c r="R845">
        <v>30162</v>
      </c>
      <c r="S845">
        <v>30164</v>
      </c>
      <c r="T845">
        <v>30166</v>
      </c>
      <c r="U845">
        <v>30167</v>
      </c>
      <c r="V845">
        <v>30168</v>
      </c>
      <c r="W845">
        <v>30169</v>
      </c>
      <c r="X845">
        <v>70001</v>
      </c>
    </row>
    <row r="846" spans="1:24" x14ac:dyDescent="0.2">
      <c r="B846" s="3" t="str">
        <f>A845&amp;"C"</f>
        <v>10169C</v>
      </c>
      <c r="O846">
        <v>0.2</v>
      </c>
      <c r="P846">
        <v>1</v>
      </c>
      <c r="Q846">
        <v>1</v>
      </c>
      <c r="R846">
        <v>2</v>
      </c>
      <c r="S846">
        <v>1</v>
      </c>
      <c r="T846">
        <v>2.1</v>
      </c>
      <c r="U846">
        <v>1</v>
      </c>
      <c r="V846">
        <v>1</v>
      </c>
      <c r="W846">
        <v>1</v>
      </c>
      <c r="X846">
        <v>5</v>
      </c>
    </row>
    <row r="847" spans="1:24" x14ac:dyDescent="0.2">
      <c r="O847">
        <f>IF(O849&gt;10000,HLOOKUP(O849,N845:$O848,4,FALSE),IF(OR(AND(22500&lt;O845,O845&lt;25001),AND(50000&lt;O845,O845&lt;53501),AND(70000&lt;O845,O845&lt;72501)),$F845,IF(OR(AND(25001&lt;O845,O845&lt;27501),AND(53500&lt;O845,O845&lt;57001),AND(72500&lt;O845,O845&lt;75001)),$G845,IF(OR(AND(27500&lt;O845,O845&lt;30001),AND(57000&lt;O845,O845&lt;60001),AND(75000&lt;O845,O845&lt;77500)),$H845,VLOOKUP(O845,BDins,6,FALSE)))))</f>
        <v>24.97</v>
      </c>
      <c r="P847">
        <f>IF(P849&gt;10000,HLOOKUP(P849,O845:$O848,4,FALSE),IF(OR(AND(22500&lt;P845,P845&lt;25001),AND(50000&lt;P845,P845&lt;53501),AND(70000&lt;P845,P845&lt;72501)),$F845,IF(OR(AND(25001&lt;P845,P845&lt;27501),AND(53500&lt;P845,P845&lt;57001),AND(72500&lt;P845,P845&lt;75001)),$G845,IF(OR(AND(27500&lt;P845,P845&lt;30001),AND(57000&lt;P845,P845&lt;60001),AND(75000&lt;P845,P845&lt;77500)),$H845,VLOOKUP(P845,BDins,6,FALSE)))))</f>
        <v>20.81</v>
      </c>
      <c r="Q847">
        <f>IF(Q849&gt;10000,HLOOKUP(Q849,$O845:P848,4,FALSE),IF(OR(AND(22500&lt;Q845,Q845&lt;25001),AND(50000&lt;Q845,Q845&lt;53501),AND(70000&lt;Q845,Q845&lt;72501)),$F845,IF(OR(AND(25001&lt;Q845,Q845&lt;27501),AND(53500&lt;Q845,Q845&lt;57001),AND(72500&lt;Q845,Q845&lt;75001)),$G845,IF(OR(AND(27500&lt;Q845,Q845&lt;30001),AND(57000&lt;Q845,Q845&lt;60001),AND(75000&lt;Q845,Q845&lt;77500)),$H845,VLOOKUP(Q845,BDins,6,FALSE)))))</f>
        <v>15.36</v>
      </c>
      <c r="R847">
        <f>IF(R849&gt;10000,HLOOKUP(R849,$O845:Q848,4,FALSE),IF(OR(AND(22500&lt;R845,R845&lt;25001),AND(50000&lt;R845,R845&lt;53501),AND(70000&lt;R845,R845&lt;72501)),$F845,IF(OR(AND(25001&lt;R845,R845&lt;27501),AND(53500&lt;R845,R845&lt;57001),AND(72500&lt;R845,R845&lt;75001)),$G845,IF(OR(AND(27500&lt;R845,R845&lt;30001),AND(57000&lt;R845,R845&lt;60001),AND(75000&lt;R845,R845&lt;77500)),$H845,VLOOKUP(R845,BDins,6,FALSE)))))</f>
        <v>3.6</v>
      </c>
      <c r="S847">
        <f>IF(S849&gt;10000,HLOOKUP(S849,$O845:R848,4,FALSE),IF(OR(AND(22500&lt;S845,S845&lt;25001),AND(50000&lt;S845,S845&lt;53501),AND(70000&lt;S845,S845&lt;72501)),$F845,IF(OR(AND(25001&lt;S845,S845&lt;27501),AND(53500&lt;S845,S845&lt;57001),AND(72500&lt;S845,S845&lt;75001)),$G845,IF(OR(AND(27500&lt;S845,S845&lt;30001),AND(57000&lt;S845,S845&lt;60001),AND(75000&lt;S845,S845&lt;77500)),$H845,VLOOKUP(S845,BDins,6,FALSE)))))</f>
        <v>9.23</v>
      </c>
      <c r="T847">
        <f>IF(T849&gt;10000,HLOOKUP(T849,$O845:S848,4,FALSE),IF(OR(AND(22500&lt;T845,T845&lt;25001),AND(50000&lt;T845,T845&lt;53501),AND(70000&lt;T845,T845&lt;72501)),$F845,IF(OR(AND(25001&lt;T845,T845&lt;27501),AND(53500&lt;T845,T845&lt;57001),AND(72500&lt;T845,T845&lt;75001)),$G845,IF(OR(AND(27500&lt;T845,T845&lt;30001),AND(57000&lt;T845,T845&lt;60001),AND(75000&lt;T845,T845&lt;77500)),$H845,VLOOKUP(T845,BDins,6,FALSE)))))</f>
        <v>0.2</v>
      </c>
      <c r="U847">
        <f>IF(U849&gt;10000,HLOOKUP(U849,$O845:T848,4,FALSE),IF(OR(AND(22500&lt;U845,U845&lt;25001),AND(50000&lt;U845,U845&lt;53501),AND(70000&lt;U845,U845&lt;72501)),$F845,IF(OR(AND(25001&lt;U845,U845&lt;27501),AND(53500&lt;U845,U845&lt;57001),AND(72500&lt;U845,U845&lt;75001)),$G845,IF(OR(AND(27500&lt;U845,U845&lt;30001),AND(57000&lt;U845,U845&lt;60001),AND(75000&lt;U845,U845&lt;77500)),$H845,VLOOKUP(U845,BDins,6,FALSE)))))</f>
        <v>8.5</v>
      </c>
      <c r="V847">
        <f>IF(V849&gt;10000,HLOOKUP(V849,$O845:U848,4,FALSE),IF(OR(AND(22500&lt;V845,V845&lt;25001),AND(50000&lt;V845,V845&lt;53501),AND(70000&lt;V845,V845&lt;72501)),$F845,IF(OR(AND(25001&lt;V845,V845&lt;27501),AND(53500&lt;V845,V845&lt;57001),AND(72500&lt;V845,V845&lt;75001)),$G845,IF(OR(AND(27500&lt;V845,V845&lt;30001),AND(57000&lt;V845,V845&lt;60001),AND(75000&lt;V845,V845&lt;77500)),$H845,VLOOKUP(V845,BDins,6,FALSE)))))</f>
        <v>142</v>
      </c>
      <c r="W847">
        <f>IF(W849&gt;10000,HLOOKUP(W849,$O845:V848,4,FALSE),IF(OR(AND(22500&lt;W845,W845&lt;25001),AND(50000&lt;W845,W845&lt;53501),AND(70000&lt;W845,W845&lt;72501)),$F845,IF(OR(AND(25001&lt;W845,W845&lt;27501),AND(53500&lt;W845,W845&lt;57001),AND(72500&lt;W845,W845&lt;75001)),$G845,IF(OR(AND(27500&lt;W845,W845&lt;30001),AND(57000&lt;W845,W845&lt;60001),AND(75000&lt;W845,W845&lt;77500)),$H845,VLOOKUP(W845,BDins,6,FALSE)))))</f>
        <v>17.8</v>
      </c>
      <c r="X847">
        <f>IF(X849&gt;10000,HLOOKUP(X849,$O845:W848,4,FALSE),IF(OR(AND(22500&lt;X845,X845&lt;25001),AND(50000&lt;X845,X845&lt;53501),AND(70000&lt;X845,X845&lt;72501)),$F845,IF(OR(AND(25001&lt;X845,X845&lt;27501),AND(53500&lt;X845,X845&lt;57001),AND(72500&lt;X845,X845&lt;75001)),$G845,IF(OR(AND(27500&lt;X845,X845&lt;30001),AND(57000&lt;X845,X845&lt;60001),AND(75000&lt;X845,X845&lt;77500)),$H845,VLOOKUP(X845,BDins,6,FALSE)))))</f>
        <v>82.33</v>
      </c>
    </row>
    <row r="848" spans="1:24" x14ac:dyDescent="0.2">
      <c r="O848">
        <f t="shared" ref="O848:X848" si="116">IF($K845&gt;0,ROUND(O846*$E845/100,DpCU),IF(O849&gt;10000,ROUND(HLOOKUP(O849,$O845:$X848,4,FALSE)/100*O846,DpCU),IF(OR(O845&lt;20001,O845&gt;95000,AND(60000&lt;O845,O845&lt;70001)),ROUND(ROUND(O846*JL/$C845,DcCU)*O847,DpCU),IF(OR(AND(20000&lt;O845,O845&lt;22501),AND(30000&lt;O845,O845&lt;50001),77500&lt;O845),ROUND(O847*O846,DpCU),IF(OR(AND(22500&lt;O845,O845&lt;25001),AND(50000&lt;O845,O845&lt;53501),AND(70000&lt;O845,O845&lt;72501)),ROUND($F845/100*O846,DpCU),IF(OR(AND(25000&lt;O845,O845&lt;27501),AND(53500&lt;O845,O845&lt;57001),AND(72500&lt;O845,O845&lt;75001)),ROUND($G845/100*O846,DpCU),ROUND($H845/100*O846,DpCU)))))))</f>
        <v>9.99</v>
      </c>
      <c r="P848">
        <f t="shared" si="116"/>
        <v>41.62</v>
      </c>
      <c r="Q848">
        <f t="shared" si="116"/>
        <v>30.72</v>
      </c>
      <c r="R848">
        <f t="shared" si="116"/>
        <v>7.2</v>
      </c>
      <c r="S848">
        <f t="shared" si="116"/>
        <v>9.23</v>
      </c>
      <c r="T848">
        <f t="shared" si="116"/>
        <v>0.42</v>
      </c>
      <c r="U848">
        <f t="shared" si="116"/>
        <v>8.5</v>
      </c>
      <c r="V848">
        <f t="shared" si="116"/>
        <v>142</v>
      </c>
      <c r="W848">
        <f t="shared" si="116"/>
        <v>17.8</v>
      </c>
      <c r="X848">
        <f t="shared" si="116"/>
        <v>4.12</v>
      </c>
    </row>
    <row r="849" spans="1:27" x14ac:dyDescent="0.2">
      <c r="B849" s="3" t="str">
        <f>A845&amp;"r"</f>
        <v>10169r</v>
      </c>
    </row>
    <row r="850" spans="1:27" x14ac:dyDescent="0.2">
      <c r="A850">
        <v>10170</v>
      </c>
      <c r="B850" s="3" t="s">
        <v>865</v>
      </c>
      <c r="C850" s="1">
        <f>ROUND(J850*JL*Frto/8,4)</f>
        <v>4</v>
      </c>
      <c r="D850" t="s">
        <v>7</v>
      </c>
      <c r="E850">
        <f>SUM($O853:$X853)</f>
        <v>347.15</v>
      </c>
      <c r="F850">
        <f>SUMIF($O850:$X850,"&lt;22501",$O853:$X853)</f>
        <v>82.33</v>
      </c>
      <c r="G850">
        <f>SUMIFS($O853:$X853,$O850:$X850,"&gt;30000",$O850:$X850,"&lt;50001")</f>
        <v>260.7</v>
      </c>
      <c r="H850">
        <f>SUMIFS($O853:$X853,$O850:$X850,"&gt;60000",$O850:$X850,"&lt;70001")</f>
        <v>0</v>
      </c>
      <c r="I850">
        <v>10</v>
      </c>
      <c r="J850">
        <v>4</v>
      </c>
      <c r="O850">
        <v>10001</v>
      </c>
      <c r="P850">
        <v>10002</v>
      </c>
      <c r="Q850">
        <v>10003</v>
      </c>
      <c r="R850">
        <v>30170</v>
      </c>
      <c r="S850">
        <v>30171</v>
      </c>
      <c r="T850">
        <v>30172</v>
      </c>
      <c r="U850">
        <v>30173</v>
      </c>
      <c r="V850">
        <v>30174</v>
      </c>
      <c r="W850">
        <v>30175</v>
      </c>
      <c r="X850">
        <v>70001</v>
      </c>
    </row>
    <row r="851" spans="1:27" x14ac:dyDescent="0.2">
      <c r="B851" s="3" t="str">
        <f>A850&amp;"C"</f>
        <v>10170C</v>
      </c>
      <c r="O851">
        <v>0.2</v>
      </c>
      <c r="P851">
        <v>1</v>
      </c>
      <c r="Q851">
        <v>1</v>
      </c>
      <c r="R851">
        <v>1</v>
      </c>
      <c r="S851">
        <v>1</v>
      </c>
      <c r="T851">
        <v>2</v>
      </c>
      <c r="U851">
        <v>1</v>
      </c>
      <c r="V851">
        <v>2</v>
      </c>
      <c r="W851">
        <v>1</v>
      </c>
      <c r="X851">
        <v>5</v>
      </c>
    </row>
    <row r="852" spans="1:27" x14ac:dyDescent="0.2">
      <c r="O852">
        <f>IF(O854&gt;10000,HLOOKUP(O854,N850:$O853,4,FALSE),IF(OR(AND(22500&lt;O850,O850&lt;25001),AND(50000&lt;O850,O850&lt;53501),AND(70000&lt;O850,O850&lt;72501)),$F850,IF(OR(AND(25001&lt;O850,O850&lt;27501),AND(53500&lt;O850,O850&lt;57001),AND(72500&lt;O850,O850&lt;75001)),$G850,IF(OR(AND(27500&lt;O850,O850&lt;30001),AND(57000&lt;O850,O850&lt;60001),AND(75000&lt;O850,O850&lt;77500)),$H850,VLOOKUP(O850,BDins,6,FALSE)))))</f>
        <v>24.97</v>
      </c>
      <c r="P852">
        <f>IF(P854&gt;10000,HLOOKUP(P854,O850:$O853,4,FALSE),IF(OR(AND(22500&lt;P850,P850&lt;25001),AND(50000&lt;P850,P850&lt;53501),AND(70000&lt;P850,P850&lt;72501)),$F850,IF(OR(AND(25001&lt;P850,P850&lt;27501),AND(53500&lt;P850,P850&lt;57001),AND(72500&lt;P850,P850&lt;75001)),$G850,IF(OR(AND(27500&lt;P850,P850&lt;30001),AND(57000&lt;P850,P850&lt;60001),AND(75000&lt;P850,P850&lt;77500)),$H850,VLOOKUP(P850,BDins,6,FALSE)))))</f>
        <v>20.81</v>
      </c>
      <c r="Q852">
        <f>IF(Q854&gt;10000,HLOOKUP(Q854,$O850:P853,4,FALSE),IF(OR(AND(22500&lt;Q850,Q850&lt;25001),AND(50000&lt;Q850,Q850&lt;53501),AND(70000&lt;Q850,Q850&lt;72501)),$F850,IF(OR(AND(25001&lt;Q850,Q850&lt;27501),AND(53500&lt;Q850,Q850&lt;57001),AND(72500&lt;Q850,Q850&lt;75001)),$G850,IF(OR(AND(27500&lt;Q850,Q850&lt;30001),AND(57000&lt;Q850,Q850&lt;60001),AND(75000&lt;Q850,Q850&lt;77500)),$H850,VLOOKUP(Q850,BDins,6,FALSE)))))</f>
        <v>15.36</v>
      </c>
      <c r="R852">
        <f>IF(R854&gt;10000,HLOOKUP(R854,$O850:Q853,4,FALSE),IF(OR(AND(22500&lt;R850,R850&lt;25001),AND(50000&lt;R850,R850&lt;53501),AND(70000&lt;R850,R850&lt;72501)),$F850,IF(OR(AND(25001&lt;R850,R850&lt;27501),AND(53500&lt;R850,R850&lt;57001),AND(72500&lt;R850,R850&lt;75001)),$G850,IF(OR(AND(27500&lt;R850,R850&lt;30001),AND(57000&lt;R850,R850&lt;60001),AND(75000&lt;R850,R850&lt;77500)),$H850,VLOOKUP(R850,BDins,6,FALSE)))))</f>
        <v>11</v>
      </c>
      <c r="S852">
        <f>IF(S854&gt;10000,HLOOKUP(S854,$O850:R853,4,FALSE),IF(OR(AND(22500&lt;S850,S850&lt;25001),AND(50000&lt;S850,S850&lt;53501),AND(70000&lt;S850,S850&lt;72501)),$F850,IF(OR(AND(25001&lt;S850,S850&lt;27501),AND(53500&lt;S850,S850&lt;57001),AND(72500&lt;S850,S850&lt;75001)),$G850,IF(OR(AND(27500&lt;S850,S850&lt;30001),AND(57000&lt;S850,S850&lt;60001),AND(75000&lt;S850,S850&lt;77500)),$H850,VLOOKUP(S850,BDins,6,FALSE)))))</f>
        <v>37.200000000000003</v>
      </c>
      <c r="T852">
        <f>IF(T854&gt;10000,HLOOKUP(T854,$O850:S853,4,FALSE),IF(OR(AND(22500&lt;T850,T850&lt;25001),AND(50000&lt;T850,T850&lt;53501),AND(70000&lt;T850,T850&lt;72501)),$F850,IF(OR(AND(25001&lt;T850,T850&lt;27501),AND(53500&lt;T850,T850&lt;57001),AND(72500&lt;T850,T850&lt;75001)),$G850,IF(OR(AND(27500&lt;T850,T850&lt;30001),AND(57000&lt;T850,T850&lt;60001),AND(75000&lt;T850,T850&lt;77500)),$H850,VLOOKUP(T850,BDins,6,FALSE)))))</f>
        <v>6.5</v>
      </c>
      <c r="U852">
        <f>IF(U854&gt;10000,HLOOKUP(U854,$O850:T853,4,FALSE),IF(OR(AND(22500&lt;U850,U850&lt;25001),AND(50000&lt;U850,U850&lt;53501),AND(70000&lt;U850,U850&lt;72501)),$F850,IF(OR(AND(25001&lt;U850,U850&lt;27501),AND(53500&lt;U850,U850&lt;57001),AND(72500&lt;U850,U850&lt;75001)),$G850,IF(OR(AND(27500&lt;U850,U850&lt;30001),AND(57000&lt;U850,U850&lt;60001),AND(75000&lt;U850,U850&lt;77500)),$H850,VLOOKUP(U850,BDins,6,FALSE)))))</f>
        <v>106</v>
      </c>
      <c r="V852">
        <f>IF(V854&gt;10000,HLOOKUP(V854,$O850:U853,4,FALSE),IF(OR(AND(22500&lt;V850,V850&lt;25001),AND(50000&lt;V850,V850&lt;53501),AND(70000&lt;V850,V850&lt;72501)),$F850,IF(OR(AND(25001&lt;V850,V850&lt;27501),AND(53500&lt;V850,V850&lt;57001),AND(72500&lt;V850,V850&lt;75001)),$G850,IF(OR(AND(27500&lt;V850,V850&lt;30001),AND(57000&lt;V850,V850&lt;60001),AND(75000&lt;V850,V850&lt;77500)),$H850,VLOOKUP(V850,BDins,6,FALSE)))))</f>
        <v>9.25</v>
      </c>
      <c r="W852">
        <f>IF(W854&gt;10000,HLOOKUP(W854,$O850:V853,4,FALSE),IF(OR(AND(22500&lt;W850,W850&lt;25001),AND(50000&lt;W850,W850&lt;53501),AND(70000&lt;W850,W850&lt;72501)),$F850,IF(OR(AND(25001&lt;W850,W850&lt;27501),AND(53500&lt;W850,W850&lt;57001),AND(72500&lt;W850,W850&lt;75001)),$G850,IF(OR(AND(27500&lt;W850,W850&lt;30001),AND(57000&lt;W850,W850&lt;60001),AND(75000&lt;W850,W850&lt;77500)),$H850,VLOOKUP(W850,BDins,6,FALSE)))))</f>
        <v>75</v>
      </c>
      <c r="X852">
        <f>IF(X854&gt;10000,HLOOKUP(X854,$O850:W853,4,FALSE),IF(OR(AND(22500&lt;X850,X850&lt;25001),AND(50000&lt;X850,X850&lt;53501),AND(70000&lt;X850,X850&lt;72501)),$F850,IF(OR(AND(25001&lt;X850,X850&lt;27501),AND(53500&lt;X850,X850&lt;57001),AND(72500&lt;X850,X850&lt;75001)),$G850,IF(OR(AND(27500&lt;X850,X850&lt;30001),AND(57000&lt;X850,X850&lt;60001),AND(75000&lt;X850,X850&lt;77500)),$H850,VLOOKUP(X850,BDins,6,FALSE)))))</f>
        <v>82.33</v>
      </c>
    </row>
    <row r="853" spans="1:27" x14ac:dyDescent="0.2">
      <c r="O853">
        <f t="shared" ref="O853:X853" si="117">IF($K850&gt;0,ROUND(O851*$E850/100,DpCU),IF(O854&gt;10000,ROUND(HLOOKUP(O854,$O850:$X853,4,FALSE)/100*O851,DpCU),IF(OR(O850&lt;20001,O850&gt;95000,AND(60000&lt;O850,O850&lt;70001)),ROUND(ROUND(O851*JL/$C850,DcCU)*O852,DpCU),IF(OR(AND(20000&lt;O850,O850&lt;22501),AND(30000&lt;O850,O850&lt;50001),77500&lt;O850),ROUND(O852*O851,DpCU),IF(OR(AND(22500&lt;O850,O850&lt;25001),AND(50000&lt;O850,O850&lt;53501),AND(70000&lt;O850,O850&lt;72501)),ROUND($F850/100*O851,DpCU),IF(OR(AND(25000&lt;O850,O850&lt;27501),AND(53500&lt;O850,O850&lt;57001),AND(72500&lt;O850,O850&lt;75001)),ROUND($G850/100*O851,DpCU),ROUND($H850/100*O851,DpCU)))))))</f>
        <v>9.99</v>
      </c>
      <c r="P853">
        <f t="shared" si="117"/>
        <v>41.62</v>
      </c>
      <c r="Q853">
        <f t="shared" si="117"/>
        <v>30.72</v>
      </c>
      <c r="R853">
        <f t="shared" si="117"/>
        <v>11</v>
      </c>
      <c r="S853">
        <f t="shared" si="117"/>
        <v>37.200000000000003</v>
      </c>
      <c r="T853">
        <f t="shared" si="117"/>
        <v>13</v>
      </c>
      <c r="U853">
        <f t="shared" si="117"/>
        <v>106</v>
      </c>
      <c r="V853">
        <f t="shared" si="117"/>
        <v>18.5</v>
      </c>
      <c r="W853">
        <f t="shared" si="117"/>
        <v>75</v>
      </c>
      <c r="X853">
        <f t="shared" si="117"/>
        <v>4.12</v>
      </c>
    </row>
    <row r="854" spans="1:27" x14ac:dyDescent="0.2">
      <c r="B854" s="3" t="str">
        <f>A850&amp;"r"</f>
        <v>10170r</v>
      </c>
    </row>
    <row r="855" spans="1:27" x14ac:dyDescent="0.2">
      <c r="A855">
        <v>10171</v>
      </c>
      <c r="B855" s="3" t="s">
        <v>873</v>
      </c>
      <c r="C855" s="1">
        <f>ROUND(J855*JL*Frto/8,4)</f>
        <v>4</v>
      </c>
      <c r="D855" t="s">
        <v>174</v>
      </c>
      <c r="E855">
        <f>SUM($O858:$AA858)</f>
        <v>332.04999999999995</v>
      </c>
      <c r="F855">
        <f>SUMIF($O855:$AA855,"&lt;22501",$O858:$AA858)</f>
        <v>82.33</v>
      </c>
      <c r="G855">
        <f>SUMIFS($O858:$AA858,$O855:$AA855,"&gt;30000",$O855:$AA855,"&lt;50001")</f>
        <v>245.6</v>
      </c>
      <c r="H855">
        <f>SUMIFS($O858:$AA858,$O855:$AA855,"&gt;60000",$O855:$AA855,"&lt;70001")</f>
        <v>0</v>
      </c>
      <c r="I855">
        <v>13</v>
      </c>
      <c r="J855">
        <v>4</v>
      </c>
      <c r="O855">
        <v>10001</v>
      </c>
      <c r="P855">
        <v>10002</v>
      </c>
      <c r="Q855">
        <v>10003</v>
      </c>
      <c r="R855">
        <v>30171</v>
      </c>
      <c r="S855">
        <v>30173</v>
      </c>
      <c r="T855">
        <v>30174</v>
      </c>
      <c r="U855">
        <v>30176</v>
      </c>
      <c r="V855">
        <v>30177</v>
      </c>
      <c r="W855">
        <v>30178</v>
      </c>
      <c r="X855">
        <v>30179</v>
      </c>
      <c r="Y855">
        <v>30180</v>
      </c>
      <c r="Z855">
        <v>30181</v>
      </c>
      <c r="AA855">
        <v>70001</v>
      </c>
    </row>
    <row r="856" spans="1:27" x14ac:dyDescent="0.2">
      <c r="B856" s="3" t="str">
        <f>A855&amp;"C"</f>
        <v>10171C</v>
      </c>
      <c r="O856">
        <v>0.2</v>
      </c>
      <c r="P856">
        <v>1</v>
      </c>
      <c r="Q856">
        <v>1</v>
      </c>
      <c r="R856">
        <v>1</v>
      </c>
      <c r="S856">
        <v>1</v>
      </c>
      <c r="T856">
        <v>2</v>
      </c>
      <c r="U856">
        <v>1</v>
      </c>
      <c r="V856">
        <v>1</v>
      </c>
      <c r="W856">
        <v>1</v>
      </c>
      <c r="X856">
        <v>2</v>
      </c>
      <c r="Y856">
        <v>1</v>
      </c>
      <c r="Z856">
        <v>0.05</v>
      </c>
      <c r="AA856">
        <v>5</v>
      </c>
    </row>
    <row r="857" spans="1:27" x14ac:dyDescent="0.2">
      <c r="O857">
        <f>IF(O859&gt;10000,HLOOKUP(O859,N855:$O858,4,FALSE),IF(OR(AND(22500&lt;O855,O855&lt;25001),AND(50000&lt;O855,O855&lt;53501),AND(70000&lt;O855,O855&lt;72501)),$F855,IF(OR(AND(25001&lt;O855,O855&lt;27501),AND(53500&lt;O855,O855&lt;57001),AND(72500&lt;O855,O855&lt;75001)),$G855,IF(OR(AND(27500&lt;O855,O855&lt;30001),AND(57000&lt;O855,O855&lt;60001),AND(75000&lt;O855,O855&lt;77500)),$H855,VLOOKUP(O855,BDins,6,FALSE)))))</f>
        <v>24.97</v>
      </c>
      <c r="P857">
        <f>IF(P859&gt;10000,HLOOKUP(P859,O855:$O858,4,FALSE),IF(OR(AND(22500&lt;P855,P855&lt;25001),AND(50000&lt;P855,P855&lt;53501),AND(70000&lt;P855,P855&lt;72501)),$F855,IF(OR(AND(25001&lt;P855,P855&lt;27501),AND(53500&lt;P855,P855&lt;57001),AND(72500&lt;P855,P855&lt;75001)),$G855,IF(OR(AND(27500&lt;P855,P855&lt;30001),AND(57000&lt;P855,P855&lt;60001),AND(75000&lt;P855,P855&lt;77500)),$H855,VLOOKUP(P855,BDins,6,FALSE)))))</f>
        <v>20.81</v>
      </c>
      <c r="Q857">
        <f>IF(Q859&gt;10000,HLOOKUP(Q859,$O855:P858,4,FALSE),IF(OR(AND(22500&lt;Q855,Q855&lt;25001),AND(50000&lt;Q855,Q855&lt;53501),AND(70000&lt;Q855,Q855&lt;72501)),$F855,IF(OR(AND(25001&lt;Q855,Q855&lt;27501),AND(53500&lt;Q855,Q855&lt;57001),AND(72500&lt;Q855,Q855&lt;75001)),$G855,IF(OR(AND(27500&lt;Q855,Q855&lt;30001),AND(57000&lt;Q855,Q855&lt;60001),AND(75000&lt;Q855,Q855&lt;77500)),$H855,VLOOKUP(Q855,BDins,6,FALSE)))))</f>
        <v>15.36</v>
      </c>
      <c r="R857">
        <f>IF(R859&gt;10000,HLOOKUP(R859,$O855:Q858,4,FALSE),IF(OR(AND(22500&lt;R855,R855&lt;25001),AND(50000&lt;R855,R855&lt;53501),AND(70000&lt;R855,R855&lt;72501)),$F855,IF(OR(AND(25001&lt;R855,R855&lt;27501),AND(53500&lt;R855,R855&lt;57001),AND(72500&lt;R855,R855&lt;75001)),$G855,IF(OR(AND(27500&lt;R855,R855&lt;30001),AND(57000&lt;R855,R855&lt;60001),AND(75000&lt;R855,R855&lt;77500)),$H855,VLOOKUP(R855,BDins,6,FALSE)))))</f>
        <v>37.200000000000003</v>
      </c>
      <c r="S857">
        <f>IF(S859&gt;10000,HLOOKUP(S859,$O855:R858,4,FALSE),IF(OR(AND(22500&lt;S855,S855&lt;25001),AND(50000&lt;S855,S855&lt;53501),AND(70000&lt;S855,S855&lt;72501)),$F855,IF(OR(AND(25001&lt;S855,S855&lt;27501),AND(53500&lt;S855,S855&lt;57001),AND(72500&lt;S855,S855&lt;75001)),$G855,IF(OR(AND(27500&lt;S855,S855&lt;30001),AND(57000&lt;S855,S855&lt;60001),AND(75000&lt;S855,S855&lt;77500)),$H855,VLOOKUP(S855,BDins,6,FALSE)))))</f>
        <v>106</v>
      </c>
      <c r="T857">
        <f>IF(T859&gt;10000,HLOOKUP(T859,$O855:S858,4,FALSE),IF(OR(AND(22500&lt;T855,T855&lt;25001),AND(50000&lt;T855,T855&lt;53501),AND(70000&lt;T855,T855&lt;72501)),$F855,IF(OR(AND(25001&lt;T855,T855&lt;27501),AND(53500&lt;T855,T855&lt;57001),AND(72500&lt;T855,T855&lt;75001)),$G855,IF(OR(AND(27500&lt;T855,T855&lt;30001),AND(57000&lt;T855,T855&lt;60001),AND(75000&lt;T855,T855&lt;77500)),$H855,VLOOKUP(T855,BDins,6,FALSE)))))</f>
        <v>9.25</v>
      </c>
      <c r="U857">
        <f>IF(U859&gt;10000,HLOOKUP(U859,$O855:T858,4,FALSE),IF(OR(AND(22500&lt;U855,U855&lt;25001),AND(50000&lt;U855,U855&lt;53501),AND(70000&lt;U855,U855&lt;72501)),$F855,IF(OR(AND(25001&lt;U855,U855&lt;27501),AND(53500&lt;U855,U855&lt;57001),AND(72500&lt;U855,U855&lt;75001)),$G855,IF(OR(AND(27500&lt;U855,U855&lt;30001),AND(57000&lt;U855,U855&lt;60001),AND(75000&lt;U855,U855&lt;77500)),$H855,VLOOKUP(U855,BDins,6,FALSE)))))</f>
        <v>28.5</v>
      </c>
      <c r="V857">
        <f>IF(V859&gt;10000,HLOOKUP(V859,$O855:U858,4,FALSE),IF(OR(AND(22500&lt;V855,V855&lt;25001),AND(50000&lt;V855,V855&lt;53501),AND(70000&lt;V855,V855&lt;72501)),$F855,IF(OR(AND(25001&lt;V855,V855&lt;27501),AND(53500&lt;V855,V855&lt;57001),AND(72500&lt;V855,V855&lt;75001)),$G855,IF(OR(AND(27500&lt;V855,V855&lt;30001),AND(57000&lt;V855,V855&lt;60001),AND(75000&lt;V855,V855&lt;77500)),$H855,VLOOKUP(V855,BDins,6,FALSE)))))</f>
        <v>33.5</v>
      </c>
      <c r="W857">
        <f>IF(W859&gt;10000,HLOOKUP(W859,$O855:V858,4,FALSE),IF(OR(AND(22500&lt;W855,W855&lt;25001),AND(50000&lt;W855,W855&lt;53501),AND(70000&lt;W855,W855&lt;72501)),$F855,IF(OR(AND(25001&lt;W855,W855&lt;27501),AND(53500&lt;W855,W855&lt;57001),AND(72500&lt;W855,W855&lt;75001)),$G855,IF(OR(AND(27500&lt;W855,W855&lt;30001),AND(57000&lt;W855,W855&lt;60001),AND(75000&lt;W855,W855&lt;77500)),$H855,VLOOKUP(W855,BDins,6,FALSE)))))</f>
        <v>11</v>
      </c>
      <c r="X857">
        <f>IF(X859&gt;10000,HLOOKUP(X859,$O855:W858,4,FALSE),IF(OR(AND(22500&lt;X855,X855&lt;25001),AND(50000&lt;X855,X855&lt;53501),AND(70000&lt;X855,X855&lt;72501)),$F855,IF(OR(AND(25001&lt;X855,X855&lt;27501),AND(53500&lt;X855,X855&lt;57001),AND(72500&lt;X855,X855&lt;75001)),$G855,IF(OR(AND(27500&lt;X855,X855&lt;30001),AND(57000&lt;X855,X855&lt;60001),AND(75000&lt;X855,X855&lt;77500)),$H855,VLOOKUP(X855,BDins,6,FALSE)))))</f>
        <v>3.5</v>
      </c>
      <c r="Y857">
        <f>IF(Y859&gt;10000,HLOOKUP(Y859,$O855:X858,4,FALSE),IF(OR(AND(22500&lt;Y855,Y855&lt;25001),AND(50000&lt;Y855,Y855&lt;53501),AND(70000&lt;Y855,Y855&lt;72501)),$F855,IF(OR(AND(25001&lt;Y855,Y855&lt;27501),AND(53500&lt;Y855,Y855&lt;57001),AND(72500&lt;Y855,Y855&lt;75001)),$G855,IF(OR(AND(27500&lt;Y855,Y855&lt;30001),AND(57000&lt;Y855,Y855&lt;60001),AND(75000&lt;Y855,Y855&lt;77500)),$H855,VLOOKUP(Y855,BDins,6,FALSE)))))</f>
        <v>3.25</v>
      </c>
      <c r="Z857">
        <f>IF(Z859&gt;10000,HLOOKUP(Z859,$O855:Y858,4,FALSE),IF(OR(AND(22500&lt;Z855,Z855&lt;25001),AND(50000&lt;Z855,Z855&lt;53501),AND(70000&lt;Z855,Z855&lt;72501)),$F855,IF(OR(AND(25001&lt;Z855,Z855&lt;27501),AND(53500&lt;Z855,Z855&lt;57001),AND(72500&lt;Z855,Z855&lt;75001)),$G855,IF(OR(AND(27500&lt;Z855,Z855&lt;30001),AND(57000&lt;Z855,Z855&lt;60001),AND(75000&lt;Z855,Z855&lt;77500)),$H855,VLOOKUP(Z855,BDins,6,FALSE)))))</f>
        <v>13</v>
      </c>
      <c r="AA857">
        <f>IF(AA859&gt;10000,HLOOKUP(AA859,$O855:Z858,4,FALSE),IF(OR(AND(22500&lt;AA855,AA855&lt;25001),AND(50000&lt;AA855,AA855&lt;53501),AND(70000&lt;AA855,AA855&lt;72501)),$F855,IF(OR(AND(25001&lt;AA855,AA855&lt;27501),AND(53500&lt;AA855,AA855&lt;57001),AND(72500&lt;AA855,AA855&lt;75001)),$G855,IF(OR(AND(27500&lt;AA855,AA855&lt;30001),AND(57000&lt;AA855,AA855&lt;60001),AND(75000&lt;AA855,AA855&lt;77500)),$H855,VLOOKUP(AA855,BDins,6,FALSE)))))</f>
        <v>82.33</v>
      </c>
    </row>
    <row r="858" spans="1:27" x14ac:dyDescent="0.2">
      <c r="O858">
        <f t="shared" ref="O858:AA858" si="118">IF($K855&gt;0,ROUND(O856*$E855/100,DpCU),IF(O859&gt;10000,ROUND(HLOOKUP(O859,$O855:$AA858,4,FALSE)/100*O856,DpCU),IF(OR(O855&lt;20001,O855&gt;95000,AND(60000&lt;O855,O855&lt;70001)),ROUND(ROUND(O856*JL/$C855,DcCU)*O857,DpCU),IF(OR(AND(20000&lt;O855,O855&lt;22501),AND(30000&lt;O855,O855&lt;50001),77500&lt;O855),ROUND(O857*O856,DpCU),IF(OR(AND(22500&lt;O855,O855&lt;25001),AND(50000&lt;O855,O855&lt;53501),AND(70000&lt;O855,O855&lt;72501)),ROUND($F855/100*O856,DpCU),IF(OR(AND(25000&lt;O855,O855&lt;27501),AND(53500&lt;O855,O855&lt;57001),AND(72500&lt;O855,O855&lt;75001)),ROUND($G855/100*O856,DpCU),ROUND($H855/100*O856,DpCU)))))))</f>
        <v>9.99</v>
      </c>
      <c r="P858">
        <f t="shared" si="118"/>
        <v>41.62</v>
      </c>
      <c r="Q858">
        <f t="shared" si="118"/>
        <v>30.72</v>
      </c>
      <c r="R858">
        <f t="shared" si="118"/>
        <v>37.200000000000003</v>
      </c>
      <c r="S858">
        <f t="shared" si="118"/>
        <v>106</v>
      </c>
      <c r="T858">
        <f t="shared" si="118"/>
        <v>18.5</v>
      </c>
      <c r="U858">
        <f t="shared" si="118"/>
        <v>28.5</v>
      </c>
      <c r="V858">
        <f t="shared" si="118"/>
        <v>33.5</v>
      </c>
      <c r="W858">
        <f t="shared" si="118"/>
        <v>11</v>
      </c>
      <c r="X858">
        <f t="shared" si="118"/>
        <v>7</v>
      </c>
      <c r="Y858">
        <f t="shared" si="118"/>
        <v>3.25</v>
      </c>
      <c r="Z858">
        <f t="shared" si="118"/>
        <v>0.65</v>
      </c>
      <c r="AA858">
        <f t="shared" si="118"/>
        <v>4.12</v>
      </c>
    </row>
    <row r="859" spans="1:27" x14ac:dyDescent="0.2">
      <c r="B859" s="3" t="str">
        <f>A855&amp;"r"</f>
        <v>10171r</v>
      </c>
    </row>
    <row r="860" spans="1:27" x14ac:dyDescent="0.2">
      <c r="A860">
        <v>10172</v>
      </c>
      <c r="B860" s="3" t="s">
        <v>882</v>
      </c>
      <c r="C860" s="1">
        <f>ROUND(J860*JL*Frto/8,4)</f>
        <v>4</v>
      </c>
      <c r="D860" t="s">
        <v>174</v>
      </c>
      <c r="E860">
        <f>SUM($O863:$AA863)</f>
        <v>388.35</v>
      </c>
      <c r="F860">
        <f>SUMIF($O860:$AA860,"&lt;22501",$O863:$AA863)</f>
        <v>82.33</v>
      </c>
      <c r="G860">
        <f>SUMIFS($O863:$AA863,$O860:$AA860,"&gt;30000",$O860:$AA860,"&lt;50001")</f>
        <v>301.89999999999998</v>
      </c>
      <c r="H860">
        <f>SUMIFS($O863:$AA863,$O860:$AA860,"&gt;60000",$O860:$AA860,"&lt;70001")</f>
        <v>0</v>
      </c>
      <c r="I860">
        <v>13</v>
      </c>
      <c r="J860">
        <v>4</v>
      </c>
      <c r="O860">
        <v>10001</v>
      </c>
      <c r="P860">
        <v>10002</v>
      </c>
      <c r="Q860">
        <v>10003</v>
      </c>
      <c r="R860">
        <v>30116</v>
      </c>
      <c r="S860">
        <v>30179</v>
      </c>
      <c r="T860">
        <v>30180</v>
      </c>
      <c r="U860">
        <v>30181</v>
      </c>
      <c r="V860">
        <v>30182</v>
      </c>
      <c r="W860">
        <v>30183</v>
      </c>
      <c r="X860">
        <v>30184</v>
      </c>
      <c r="Y860">
        <v>30185</v>
      </c>
      <c r="Z860">
        <v>30186</v>
      </c>
      <c r="AA860">
        <v>70001</v>
      </c>
    </row>
    <row r="861" spans="1:27" x14ac:dyDescent="0.2">
      <c r="B861" s="3" t="str">
        <f>A860&amp;"C"</f>
        <v>10172C</v>
      </c>
      <c r="O861">
        <v>0.2</v>
      </c>
      <c r="P861">
        <v>1</v>
      </c>
      <c r="Q861">
        <v>1</v>
      </c>
      <c r="R861">
        <v>4</v>
      </c>
      <c r="S861">
        <v>2</v>
      </c>
      <c r="T861">
        <v>1</v>
      </c>
      <c r="U861">
        <v>0.05</v>
      </c>
      <c r="V861">
        <v>4</v>
      </c>
      <c r="W861">
        <v>1</v>
      </c>
      <c r="X861">
        <v>1</v>
      </c>
      <c r="Y861">
        <v>1</v>
      </c>
      <c r="Z861">
        <v>1</v>
      </c>
      <c r="AA861">
        <v>5</v>
      </c>
    </row>
    <row r="862" spans="1:27" x14ac:dyDescent="0.2">
      <c r="O862">
        <f>IF(O864&gt;10000,HLOOKUP(O864,N860:$O863,4,FALSE),IF(OR(AND(22500&lt;O860,O860&lt;25001),AND(50000&lt;O860,O860&lt;53501),AND(70000&lt;O860,O860&lt;72501)),$F860,IF(OR(AND(25001&lt;O860,O860&lt;27501),AND(53500&lt;O860,O860&lt;57001),AND(72500&lt;O860,O860&lt;75001)),$G860,IF(OR(AND(27500&lt;O860,O860&lt;30001),AND(57000&lt;O860,O860&lt;60001),AND(75000&lt;O860,O860&lt;77500)),$H860,VLOOKUP(O860,BDins,6,FALSE)))))</f>
        <v>24.97</v>
      </c>
      <c r="P862">
        <f>IF(P864&gt;10000,HLOOKUP(P864,O860:$O863,4,FALSE),IF(OR(AND(22500&lt;P860,P860&lt;25001),AND(50000&lt;P860,P860&lt;53501),AND(70000&lt;P860,P860&lt;72501)),$F860,IF(OR(AND(25001&lt;P860,P860&lt;27501),AND(53500&lt;P860,P860&lt;57001),AND(72500&lt;P860,P860&lt;75001)),$G860,IF(OR(AND(27500&lt;P860,P860&lt;30001),AND(57000&lt;P860,P860&lt;60001),AND(75000&lt;P860,P860&lt;77500)),$H860,VLOOKUP(P860,BDins,6,FALSE)))))</f>
        <v>20.81</v>
      </c>
      <c r="Q862">
        <f>IF(Q864&gt;10000,HLOOKUP(Q864,$O860:P863,4,FALSE),IF(OR(AND(22500&lt;Q860,Q860&lt;25001),AND(50000&lt;Q860,Q860&lt;53501),AND(70000&lt;Q860,Q860&lt;72501)),$F860,IF(OR(AND(25001&lt;Q860,Q860&lt;27501),AND(53500&lt;Q860,Q860&lt;57001),AND(72500&lt;Q860,Q860&lt;75001)),$G860,IF(OR(AND(27500&lt;Q860,Q860&lt;30001),AND(57000&lt;Q860,Q860&lt;60001),AND(75000&lt;Q860,Q860&lt;77500)),$H860,VLOOKUP(Q860,BDins,6,FALSE)))))</f>
        <v>15.36</v>
      </c>
      <c r="R862">
        <f>IF(R864&gt;10000,HLOOKUP(R864,$O860:Q863,4,FALSE),IF(OR(AND(22500&lt;R860,R860&lt;25001),AND(50000&lt;R860,R860&lt;53501),AND(70000&lt;R860,R860&lt;72501)),$F860,IF(OR(AND(25001&lt;R860,R860&lt;27501),AND(53500&lt;R860,R860&lt;57001),AND(72500&lt;R860,R860&lt;75001)),$G860,IF(OR(AND(27500&lt;R860,R860&lt;30001),AND(57000&lt;R860,R860&lt;60001),AND(75000&lt;R860,R860&lt;77500)),$H860,VLOOKUP(R860,BDins,6,FALSE)))))</f>
        <v>0.4</v>
      </c>
      <c r="S862">
        <f>IF(S864&gt;10000,HLOOKUP(S864,$O860:R863,4,FALSE),IF(OR(AND(22500&lt;S860,S860&lt;25001),AND(50000&lt;S860,S860&lt;53501),AND(70000&lt;S860,S860&lt;72501)),$F860,IF(OR(AND(25001&lt;S860,S860&lt;27501),AND(53500&lt;S860,S860&lt;57001),AND(72500&lt;S860,S860&lt;75001)),$G860,IF(OR(AND(27500&lt;S860,S860&lt;30001),AND(57000&lt;S860,S860&lt;60001),AND(75000&lt;S860,S860&lt;77500)),$H860,VLOOKUP(S860,BDins,6,FALSE)))))</f>
        <v>3.5</v>
      </c>
      <c r="T862">
        <f>IF(T864&gt;10000,HLOOKUP(T864,$O860:S863,4,FALSE),IF(OR(AND(22500&lt;T860,T860&lt;25001),AND(50000&lt;T860,T860&lt;53501),AND(70000&lt;T860,T860&lt;72501)),$F860,IF(OR(AND(25001&lt;T860,T860&lt;27501),AND(53500&lt;T860,T860&lt;57001),AND(72500&lt;T860,T860&lt;75001)),$G860,IF(OR(AND(27500&lt;T860,T860&lt;30001),AND(57000&lt;T860,T860&lt;60001),AND(75000&lt;T860,T860&lt;77500)),$H860,VLOOKUP(T860,BDins,6,FALSE)))))</f>
        <v>3.25</v>
      </c>
      <c r="U862">
        <f>IF(U864&gt;10000,HLOOKUP(U864,$O860:T863,4,FALSE),IF(OR(AND(22500&lt;U860,U860&lt;25001),AND(50000&lt;U860,U860&lt;53501),AND(70000&lt;U860,U860&lt;72501)),$F860,IF(OR(AND(25001&lt;U860,U860&lt;27501),AND(53500&lt;U860,U860&lt;57001),AND(72500&lt;U860,U860&lt;75001)),$G860,IF(OR(AND(27500&lt;U860,U860&lt;30001),AND(57000&lt;U860,U860&lt;60001),AND(75000&lt;U860,U860&lt;77500)),$H860,VLOOKUP(U860,BDins,6,FALSE)))))</f>
        <v>13</v>
      </c>
      <c r="V862">
        <f>IF(V864&gt;10000,HLOOKUP(V864,$O860:U863,4,FALSE),IF(OR(AND(22500&lt;V860,V860&lt;25001),AND(50000&lt;V860,V860&lt;53501),AND(70000&lt;V860,V860&lt;72501)),$F860,IF(OR(AND(25001&lt;V860,V860&lt;27501),AND(53500&lt;V860,V860&lt;57001),AND(72500&lt;V860,V860&lt;75001)),$G860,IF(OR(AND(27500&lt;V860,V860&lt;30001),AND(57000&lt;V860,V860&lt;60001),AND(75000&lt;V860,V860&lt;77500)),$H860,VLOOKUP(V860,BDins,6,FALSE)))))</f>
        <v>0.5</v>
      </c>
      <c r="W862">
        <f>IF(W864&gt;10000,HLOOKUP(W864,$O860:V863,4,FALSE),IF(OR(AND(22500&lt;W860,W860&lt;25001),AND(50000&lt;W860,W860&lt;53501),AND(70000&lt;W860,W860&lt;72501)),$F860,IF(OR(AND(25001&lt;W860,W860&lt;27501),AND(53500&lt;W860,W860&lt;57001),AND(72500&lt;W860,W860&lt;75001)),$G860,IF(OR(AND(27500&lt;W860,W860&lt;30001),AND(57000&lt;W860,W860&lt;60001),AND(75000&lt;W860,W860&lt;77500)),$H860,VLOOKUP(W860,BDins,6,FALSE)))))</f>
        <v>11.5</v>
      </c>
      <c r="X862">
        <f>IF(X864&gt;10000,HLOOKUP(X864,$O860:W863,4,FALSE),IF(OR(AND(22500&lt;X860,X860&lt;25001),AND(50000&lt;X860,X860&lt;53501),AND(70000&lt;X860,X860&lt;72501)),$F860,IF(OR(AND(25001&lt;X860,X860&lt;27501),AND(53500&lt;X860,X860&lt;57001),AND(72500&lt;X860,X860&lt;75001)),$G860,IF(OR(AND(27500&lt;X860,X860&lt;30001),AND(57000&lt;X860,X860&lt;60001),AND(75000&lt;X860,X860&lt;77500)),$H860,VLOOKUP(X860,BDins,6,FALSE)))))</f>
        <v>125</v>
      </c>
      <c r="Y862">
        <f>IF(Y864&gt;10000,HLOOKUP(Y864,$O860:X863,4,FALSE),IF(OR(AND(22500&lt;Y860,Y860&lt;25001),AND(50000&lt;Y860,Y860&lt;53501),AND(70000&lt;Y860,Y860&lt;72501)),$F860,IF(OR(AND(25001&lt;Y860,Y860&lt;27501),AND(53500&lt;Y860,Y860&lt;57001),AND(72500&lt;Y860,Y860&lt;75001)),$G860,IF(OR(AND(27500&lt;Y860,Y860&lt;30001),AND(57000&lt;Y860,Y860&lt;60001),AND(75000&lt;Y860,Y860&lt;77500)),$H860,VLOOKUP(Y860,BDins,6,FALSE)))))</f>
        <v>135.9</v>
      </c>
      <c r="Z862">
        <f>IF(Z864&gt;10000,HLOOKUP(Z864,$O860:Y863,4,FALSE),IF(OR(AND(22500&lt;Z860,Z860&lt;25001),AND(50000&lt;Z860,Z860&lt;53501),AND(70000&lt;Z860,Z860&lt;72501)),$F860,IF(OR(AND(25001&lt;Z860,Z860&lt;27501),AND(53500&lt;Z860,Z860&lt;57001),AND(72500&lt;Z860,Z860&lt;75001)),$G860,IF(OR(AND(27500&lt;Z860,Z860&lt;30001),AND(57000&lt;Z860,Z860&lt;60001),AND(75000&lt;Z860,Z860&lt;77500)),$H860,VLOOKUP(Z860,BDins,6,FALSE)))))</f>
        <v>15</v>
      </c>
      <c r="AA862">
        <f>IF(AA864&gt;10000,HLOOKUP(AA864,$O860:Z863,4,FALSE),IF(OR(AND(22500&lt;AA860,AA860&lt;25001),AND(50000&lt;AA860,AA860&lt;53501),AND(70000&lt;AA860,AA860&lt;72501)),$F860,IF(OR(AND(25001&lt;AA860,AA860&lt;27501),AND(53500&lt;AA860,AA860&lt;57001),AND(72500&lt;AA860,AA860&lt;75001)),$G860,IF(OR(AND(27500&lt;AA860,AA860&lt;30001),AND(57000&lt;AA860,AA860&lt;60001),AND(75000&lt;AA860,AA860&lt;77500)),$H860,VLOOKUP(AA860,BDins,6,FALSE)))))</f>
        <v>82.33</v>
      </c>
    </row>
    <row r="863" spans="1:27" x14ac:dyDescent="0.2">
      <c r="O863">
        <f t="shared" ref="O863:AA863" si="119">IF($K860&gt;0,ROUND(O861*$E860/100,DpCU),IF(O864&gt;10000,ROUND(HLOOKUP(O864,$O860:$AA863,4,FALSE)/100*O861,DpCU),IF(OR(O860&lt;20001,O860&gt;95000,AND(60000&lt;O860,O860&lt;70001)),ROUND(ROUND(O861*JL/$C860,DcCU)*O862,DpCU),IF(OR(AND(20000&lt;O860,O860&lt;22501),AND(30000&lt;O860,O860&lt;50001),77500&lt;O860),ROUND(O862*O861,DpCU),IF(OR(AND(22500&lt;O860,O860&lt;25001),AND(50000&lt;O860,O860&lt;53501),AND(70000&lt;O860,O860&lt;72501)),ROUND($F860/100*O861,DpCU),IF(OR(AND(25000&lt;O860,O860&lt;27501),AND(53500&lt;O860,O860&lt;57001),AND(72500&lt;O860,O860&lt;75001)),ROUND($G860/100*O861,DpCU),ROUND($H860/100*O861,DpCU)))))))</f>
        <v>9.99</v>
      </c>
      <c r="P863">
        <f t="shared" si="119"/>
        <v>41.62</v>
      </c>
      <c r="Q863">
        <f t="shared" si="119"/>
        <v>30.72</v>
      </c>
      <c r="R863">
        <f t="shared" si="119"/>
        <v>1.6</v>
      </c>
      <c r="S863">
        <f t="shared" si="119"/>
        <v>7</v>
      </c>
      <c r="T863">
        <f t="shared" si="119"/>
        <v>3.25</v>
      </c>
      <c r="U863">
        <f t="shared" si="119"/>
        <v>0.65</v>
      </c>
      <c r="V863">
        <f t="shared" si="119"/>
        <v>2</v>
      </c>
      <c r="W863">
        <f t="shared" si="119"/>
        <v>11.5</v>
      </c>
      <c r="X863">
        <f t="shared" si="119"/>
        <v>125</v>
      </c>
      <c r="Y863">
        <f t="shared" si="119"/>
        <v>135.9</v>
      </c>
      <c r="Z863">
        <f t="shared" si="119"/>
        <v>15</v>
      </c>
      <c r="AA863">
        <f t="shared" si="119"/>
        <v>4.12</v>
      </c>
    </row>
    <row r="864" spans="1:27" x14ac:dyDescent="0.2">
      <c r="B864" s="3" t="str">
        <f>A860&amp;"r"</f>
        <v>10172r</v>
      </c>
    </row>
    <row r="865" spans="1:26" x14ac:dyDescent="0.2">
      <c r="A865">
        <v>10173</v>
      </c>
      <c r="B865" s="3" t="s">
        <v>889</v>
      </c>
      <c r="C865" s="1">
        <f>ROUND(J865*JL*Frto/8,4)</f>
        <v>3</v>
      </c>
      <c r="D865" t="s">
        <v>174</v>
      </c>
      <c r="E865">
        <f>SUM($O868:$Z868)</f>
        <v>516.51</v>
      </c>
      <c r="F865">
        <f>SUMIF($O865:$Z865,"&lt;22501",$O868:$Z868)</f>
        <v>109.77000000000001</v>
      </c>
      <c r="G865">
        <f>SUMIFS($O868:$Z868,$O865:$Z865,"&gt;30000",$O865:$Z865,"&lt;50001")</f>
        <v>401.25</v>
      </c>
      <c r="H865">
        <f>SUMIFS($O868:$Z868,$O865:$Z865,"&gt;60000",$O865:$Z865,"&lt;70001")</f>
        <v>0</v>
      </c>
      <c r="I865">
        <v>12</v>
      </c>
      <c r="J865">
        <v>3</v>
      </c>
      <c r="O865">
        <v>10001</v>
      </c>
      <c r="P865">
        <v>10002</v>
      </c>
      <c r="Q865">
        <v>10003</v>
      </c>
      <c r="R865">
        <v>30174</v>
      </c>
      <c r="S865">
        <v>30180</v>
      </c>
      <c r="T865">
        <v>30181</v>
      </c>
      <c r="U865">
        <v>30187</v>
      </c>
      <c r="V865">
        <v>30188</v>
      </c>
      <c r="W865">
        <v>30189</v>
      </c>
      <c r="X865">
        <v>30190</v>
      </c>
      <c r="Y865">
        <v>30191</v>
      </c>
      <c r="Z865">
        <v>70001</v>
      </c>
    </row>
    <row r="866" spans="1:26" x14ac:dyDescent="0.2">
      <c r="B866" s="3" t="str">
        <f>A865&amp;"C"</f>
        <v>10173C</v>
      </c>
      <c r="O866">
        <v>0.2</v>
      </c>
      <c r="P866">
        <v>1</v>
      </c>
      <c r="Q866">
        <v>1</v>
      </c>
      <c r="R866">
        <v>2</v>
      </c>
      <c r="S866">
        <v>1</v>
      </c>
      <c r="T866">
        <v>0.1</v>
      </c>
      <c r="U866">
        <v>1</v>
      </c>
      <c r="V866">
        <v>1</v>
      </c>
      <c r="W866">
        <v>1</v>
      </c>
      <c r="X866">
        <v>0.1</v>
      </c>
      <c r="Y866">
        <v>0.1</v>
      </c>
      <c r="Z866">
        <v>5</v>
      </c>
    </row>
    <row r="867" spans="1:26" x14ac:dyDescent="0.2">
      <c r="O867">
        <f>IF(O869&gt;10000,HLOOKUP(O869,N865:$O868,4,FALSE),IF(OR(AND(22500&lt;O865,O865&lt;25001),AND(50000&lt;O865,O865&lt;53501),AND(70000&lt;O865,O865&lt;72501)),$F865,IF(OR(AND(25001&lt;O865,O865&lt;27501),AND(53500&lt;O865,O865&lt;57001),AND(72500&lt;O865,O865&lt;75001)),$G865,IF(OR(AND(27500&lt;O865,O865&lt;30001),AND(57000&lt;O865,O865&lt;60001),AND(75000&lt;O865,O865&lt;77500)),$H865,VLOOKUP(O865,BDins,6,FALSE)))))</f>
        <v>24.97</v>
      </c>
      <c r="P867">
        <f>IF(P869&gt;10000,HLOOKUP(P869,O865:$O868,4,FALSE),IF(OR(AND(22500&lt;P865,P865&lt;25001),AND(50000&lt;P865,P865&lt;53501),AND(70000&lt;P865,P865&lt;72501)),$F865,IF(OR(AND(25001&lt;P865,P865&lt;27501),AND(53500&lt;P865,P865&lt;57001),AND(72500&lt;P865,P865&lt;75001)),$G865,IF(OR(AND(27500&lt;P865,P865&lt;30001),AND(57000&lt;P865,P865&lt;60001),AND(75000&lt;P865,P865&lt;77500)),$H865,VLOOKUP(P865,BDins,6,FALSE)))))</f>
        <v>20.81</v>
      </c>
      <c r="Q867">
        <f>IF(Q869&gt;10000,HLOOKUP(Q869,$O865:P868,4,FALSE),IF(OR(AND(22500&lt;Q865,Q865&lt;25001),AND(50000&lt;Q865,Q865&lt;53501),AND(70000&lt;Q865,Q865&lt;72501)),$F865,IF(OR(AND(25001&lt;Q865,Q865&lt;27501),AND(53500&lt;Q865,Q865&lt;57001),AND(72500&lt;Q865,Q865&lt;75001)),$G865,IF(OR(AND(27500&lt;Q865,Q865&lt;30001),AND(57000&lt;Q865,Q865&lt;60001),AND(75000&lt;Q865,Q865&lt;77500)),$H865,VLOOKUP(Q865,BDins,6,FALSE)))))</f>
        <v>15.36</v>
      </c>
      <c r="R867">
        <f>IF(R869&gt;10000,HLOOKUP(R869,$O865:Q868,4,FALSE),IF(OR(AND(22500&lt;R865,R865&lt;25001),AND(50000&lt;R865,R865&lt;53501),AND(70000&lt;R865,R865&lt;72501)),$F865,IF(OR(AND(25001&lt;R865,R865&lt;27501),AND(53500&lt;R865,R865&lt;57001),AND(72500&lt;R865,R865&lt;75001)),$G865,IF(OR(AND(27500&lt;R865,R865&lt;30001),AND(57000&lt;R865,R865&lt;60001),AND(75000&lt;R865,R865&lt;77500)),$H865,VLOOKUP(R865,BDins,6,FALSE)))))</f>
        <v>9.25</v>
      </c>
      <c r="S867">
        <f>IF(S869&gt;10000,HLOOKUP(S869,$O865:R868,4,FALSE),IF(OR(AND(22500&lt;S865,S865&lt;25001),AND(50000&lt;S865,S865&lt;53501),AND(70000&lt;S865,S865&lt;72501)),$F865,IF(OR(AND(25001&lt;S865,S865&lt;27501),AND(53500&lt;S865,S865&lt;57001),AND(72500&lt;S865,S865&lt;75001)),$G865,IF(OR(AND(27500&lt;S865,S865&lt;30001),AND(57000&lt;S865,S865&lt;60001),AND(75000&lt;S865,S865&lt;77500)),$H865,VLOOKUP(S865,BDins,6,FALSE)))))</f>
        <v>3.25</v>
      </c>
      <c r="T867">
        <f>IF(T869&gt;10000,HLOOKUP(T869,$O865:S868,4,FALSE),IF(OR(AND(22500&lt;T865,T865&lt;25001),AND(50000&lt;T865,T865&lt;53501),AND(70000&lt;T865,T865&lt;72501)),$F865,IF(OR(AND(25001&lt;T865,T865&lt;27501),AND(53500&lt;T865,T865&lt;57001),AND(72500&lt;T865,T865&lt;75001)),$G865,IF(OR(AND(27500&lt;T865,T865&lt;30001),AND(57000&lt;T865,T865&lt;60001),AND(75000&lt;T865,T865&lt;77500)),$H865,VLOOKUP(T865,BDins,6,FALSE)))))</f>
        <v>13</v>
      </c>
      <c r="U867">
        <f>IF(U869&gt;10000,HLOOKUP(U869,$O865:T868,4,FALSE),IF(OR(AND(22500&lt;U865,U865&lt;25001),AND(50000&lt;U865,U865&lt;53501),AND(70000&lt;U865,U865&lt;72501)),$F865,IF(OR(AND(25001&lt;U865,U865&lt;27501),AND(53500&lt;U865,U865&lt;57001),AND(72500&lt;U865,U865&lt;75001)),$G865,IF(OR(AND(27500&lt;U865,U865&lt;30001),AND(57000&lt;U865,U865&lt;60001),AND(75000&lt;U865,U865&lt;77500)),$H865,VLOOKUP(U865,BDins,6,FALSE)))))</f>
        <v>190</v>
      </c>
      <c r="V867">
        <f>IF(V869&gt;10000,HLOOKUP(V869,$O865:U868,4,FALSE),IF(OR(AND(22500&lt;V865,V865&lt;25001),AND(50000&lt;V865,V865&lt;53501),AND(70000&lt;V865,V865&lt;72501)),$F865,IF(OR(AND(25001&lt;V865,V865&lt;27501),AND(53500&lt;V865,V865&lt;57001),AND(72500&lt;V865,V865&lt;75001)),$G865,IF(OR(AND(27500&lt;V865,V865&lt;30001),AND(57000&lt;V865,V865&lt;60001),AND(75000&lt;V865,V865&lt;77500)),$H865,VLOOKUP(V865,BDins,6,FALSE)))))</f>
        <v>150</v>
      </c>
      <c r="W867">
        <f>IF(W869&gt;10000,HLOOKUP(W869,$O865:V868,4,FALSE),IF(OR(AND(22500&lt;W865,W865&lt;25001),AND(50000&lt;W865,W865&lt;53501),AND(70000&lt;W865,W865&lt;72501)),$F865,IF(OR(AND(25001&lt;W865,W865&lt;27501),AND(53500&lt;W865,W865&lt;57001),AND(72500&lt;W865,W865&lt;75001)),$G865,IF(OR(AND(27500&lt;W865,W865&lt;30001),AND(57000&lt;W865,W865&lt;60001),AND(75000&lt;W865,W865&lt;77500)),$H865,VLOOKUP(W865,BDins,6,FALSE)))))</f>
        <v>35</v>
      </c>
      <c r="X867">
        <f>IF(X869&gt;10000,HLOOKUP(X869,$O865:W868,4,FALSE),IF(OR(AND(22500&lt;X865,X865&lt;25001),AND(50000&lt;X865,X865&lt;53501),AND(70000&lt;X865,X865&lt;72501)),$F865,IF(OR(AND(25001&lt;X865,X865&lt;27501),AND(53500&lt;X865,X865&lt;57001),AND(72500&lt;X865,X865&lt;75001)),$G865,IF(OR(AND(27500&lt;X865,X865&lt;30001),AND(57000&lt;X865,X865&lt;60001),AND(75000&lt;X865,X865&lt;77500)),$H865,VLOOKUP(X865,BDins,6,FALSE)))))</f>
        <v>25.5</v>
      </c>
      <c r="Y867">
        <f>IF(Y869&gt;10000,HLOOKUP(Y869,$O865:X868,4,FALSE),IF(OR(AND(22500&lt;Y865,Y865&lt;25001),AND(50000&lt;Y865,Y865&lt;53501),AND(70000&lt;Y865,Y865&lt;72501)),$F865,IF(OR(AND(25001&lt;Y865,Y865&lt;27501),AND(53500&lt;Y865,Y865&lt;57001),AND(72500&lt;Y865,Y865&lt;75001)),$G865,IF(OR(AND(27500&lt;Y865,Y865&lt;30001),AND(57000&lt;Y865,Y865&lt;60001),AND(75000&lt;Y865,Y865&lt;77500)),$H865,VLOOKUP(Y865,BDins,6,FALSE)))))</f>
        <v>6.5</v>
      </c>
      <c r="Z867">
        <f>IF(Z869&gt;10000,HLOOKUP(Z869,$O865:Y868,4,FALSE),IF(OR(AND(22500&lt;Z865,Z865&lt;25001),AND(50000&lt;Z865,Z865&lt;53501),AND(70000&lt;Z865,Z865&lt;72501)),$F865,IF(OR(AND(25001&lt;Z865,Z865&lt;27501),AND(53500&lt;Z865,Z865&lt;57001),AND(72500&lt;Z865,Z865&lt;75001)),$G865,IF(OR(AND(27500&lt;Z865,Z865&lt;30001),AND(57000&lt;Z865,Z865&lt;60001),AND(75000&lt;Z865,Z865&lt;77500)),$H865,VLOOKUP(Z865,BDins,6,FALSE)))))</f>
        <v>109.77000000000001</v>
      </c>
    </row>
    <row r="868" spans="1:26" x14ac:dyDescent="0.2">
      <c r="O868">
        <f t="shared" ref="O868:Z868" si="120">IF($K865&gt;0,ROUND(O866*$E865/100,DpCU),IF(O869&gt;10000,ROUND(HLOOKUP(O869,$O865:$Z868,4,FALSE)/100*O866,DpCU),IF(OR(O865&lt;20001,O865&gt;95000,AND(60000&lt;O865,O865&lt;70001)),ROUND(ROUND(O866*JL/$C865,DcCU)*O867,DpCU),IF(OR(AND(20000&lt;O865,O865&lt;22501),AND(30000&lt;O865,O865&lt;50001),77500&lt;O865),ROUND(O867*O866,DpCU),IF(OR(AND(22500&lt;O865,O865&lt;25001),AND(50000&lt;O865,O865&lt;53501),AND(70000&lt;O865,O865&lt;72501)),ROUND($F865/100*O866,DpCU),IF(OR(AND(25000&lt;O865,O865&lt;27501),AND(53500&lt;O865,O865&lt;57001),AND(72500&lt;O865,O865&lt;75001)),ROUND($G865/100*O866,DpCU),ROUND($H865/100*O866,DpCU)))))))</f>
        <v>13.32</v>
      </c>
      <c r="P868">
        <f t="shared" si="120"/>
        <v>55.49</v>
      </c>
      <c r="Q868">
        <f t="shared" si="120"/>
        <v>40.96</v>
      </c>
      <c r="R868">
        <f t="shared" si="120"/>
        <v>18.5</v>
      </c>
      <c r="S868">
        <f t="shared" si="120"/>
        <v>3.25</v>
      </c>
      <c r="T868">
        <f t="shared" si="120"/>
        <v>1.3</v>
      </c>
      <c r="U868">
        <f t="shared" si="120"/>
        <v>190</v>
      </c>
      <c r="V868">
        <f t="shared" si="120"/>
        <v>150</v>
      </c>
      <c r="W868">
        <f t="shared" si="120"/>
        <v>35</v>
      </c>
      <c r="X868">
        <f t="shared" si="120"/>
        <v>2.5499999999999998</v>
      </c>
      <c r="Y868">
        <f t="shared" si="120"/>
        <v>0.65</v>
      </c>
      <c r="Z868">
        <f t="shared" si="120"/>
        <v>5.49</v>
      </c>
    </row>
    <row r="869" spans="1:26" x14ac:dyDescent="0.2">
      <c r="B869" s="3" t="str">
        <f>A865&amp;"r"</f>
        <v>10173r</v>
      </c>
    </row>
    <row r="870" spans="1:26" x14ac:dyDescent="0.2">
      <c r="A870">
        <v>10174</v>
      </c>
      <c r="B870" s="3" t="s">
        <v>898</v>
      </c>
      <c r="C870" s="1">
        <f>ROUND(J870*JL*Frto/8,4)</f>
        <v>15</v>
      </c>
      <c r="D870" t="s">
        <v>7</v>
      </c>
      <c r="E870">
        <f>SUM($O873:$U873)</f>
        <v>21.349999999999998</v>
      </c>
      <c r="F870">
        <f>SUMIF($O870:$U870,"&lt;22501",$O873:$U873)</f>
        <v>12.43</v>
      </c>
      <c r="G870">
        <f>SUMIFS($O873:$U873,$O870:$U870,"&gt;30000",$O870:$U870,"&lt;50001")</f>
        <v>8.3000000000000007</v>
      </c>
      <c r="H870">
        <f>SUMIFS($O873:$U873,$O870:$U870,"&gt;60000",$O870:$U870,"&lt;70001")</f>
        <v>0</v>
      </c>
      <c r="I870">
        <v>7</v>
      </c>
      <c r="J870">
        <v>15</v>
      </c>
      <c r="O870">
        <v>10001</v>
      </c>
      <c r="P870">
        <v>10002</v>
      </c>
      <c r="Q870">
        <v>30181</v>
      </c>
      <c r="R870">
        <v>30192</v>
      </c>
      <c r="S870">
        <v>30193</v>
      </c>
      <c r="T870">
        <v>30194</v>
      </c>
      <c r="U870">
        <v>70001</v>
      </c>
    </row>
    <row r="871" spans="1:26" x14ac:dyDescent="0.2">
      <c r="B871" s="3" t="str">
        <f>A870&amp;"C"</f>
        <v>10174C</v>
      </c>
      <c r="O871">
        <v>0.1</v>
      </c>
      <c r="P871">
        <v>1</v>
      </c>
      <c r="Q871">
        <v>0.05</v>
      </c>
      <c r="R871">
        <v>1</v>
      </c>
      <c r="S871">
        <v>0.1</v>
      </c>
      <c r="T871">
        <v>0.05</v>
      </c>
      <c r="U871">
        <v>5</v>
      </c>
    </row>
    <row r="872" spans="1:26" x14ac:dyDescent="0.2">
      <c r="O872">
        <f>IF(O874&gt;10000,HLOOKUP(O874,N870:$O873,4,FALSE),IF(OR(AND(22500&lt;O870,O870&lt;25001),AND(50000&lt;O870,O870&lt;53501),AND(70000&lt;O870,O870&lt;72501)),$F870,IF(OR(AND(25001&lt;O870,O870&lt;27501),AND(53500&lt;O870,O870&lt;57001),AND(72500&lt;O870,O870&lt;75001)),$G870,IF(OR(AND(27500&lt;O870,O870&lt;30001),AND(57000&lt;O870,O870&lt;60001),AND(75000&lt;O870,O870&lt;77500)),$H870,VLOOKUP(O870,BDins,6,FALSE)))))</f>
        <v>24.97</v>
      </c>
      <c r="P872">
        <f>IF(P874&gt;10000,HLOOKUP(P874,O870:$O873,4,FALSE),IF(OR(AND(22500&lt;P870,P870&lt;25001),AND(50000&lt;P870,P870&lt;53501),AND(70000&lt;P870,P870&lt;72501)),$F870,IF(OR(AND(25001&lt;P870,P870&lt;27501),AND(53500&lt;P870,P870&lt;57001),AND(72500&lt;P870,P870&lt;75001)),$G870,IF(OR(AND(27500&lt;P870,P870&lt;30001),AND(57000&lt;P870,P870&lt;60001),AND(75000&lt;P870,P870&lt;77500)),$H870,VLOOKUP(P870,BDins,6,FALSE)))))</f>
        <v>20.81</v>
      </c>
      <c r="Q872">
        <f>IF(Q874&gt;10000,HLOOKUP(Q874,$O870:P873,4,FALSE),IF(OR(AND(22500&lt;Q870,Q870&lt;25001),AND(50000&lt;Q870,Q870&lt;53501),AND(70000&lt;Q870,Q870&lt;72501)),$F870,IF(OR(AND(25001&lt;Q870,Q870&lt;27501),AND(53500&lt;Q870,Q870&lt;57001),AND(72500&lt;Q870,Q870&lt;75001)),$G870,IF(OR(AND(27500&lt;Q870,Q870&lt;30001),AND(57000&lt;Q870,Q870&lt;60001),AND(75000&lt;Q870,Q870&lt;77500)),$H870,VLOOKUP(Q870,BDins,6,FALSE)))))</f>
        <v>13</v>
      </c>
      <c r="R872">
        <f>IF(R874&gt;10000,HLOOKUP(R874,$O870:Q873,4,FALSE),IF(OR(AND(22500&lt;R870,R870&lt;25001),AND(50000&lt;R870,R870&lt;53501),AND(70000&lt;R870,R870&lt;72501)),$F870,IF(OR(AND(25001&lt;R870,R870&lt;27501),AND(53500&lt;R870,R870&lt;57001),AND(72500&lt;R870,R870&lt;75001)),$G870,IF(OR(AND(27500&lt;R870,R870&lt;30001),AND(57000&lt;R870,R870&lt;60001),AND(75000&lt;R870,R870&lt;77500)),$H870,VLOOKUP(R870,BDins,6,FALSE)))))</f>
        <v>6.5</v>
      </c>
      <c r="S872">
        <f>IF(S874&gt;10000,HLOOKUP(S874,$O870:R873,4,FALSE),IF(OR(AND(22500&lt;S870,S870&lt;25001),AND(50000&lt;S870,S870&lt;53501),AND(70000&lt;S870,S870&lt;72501)),$F870,IF(OR(AND(25001&lt;S870,S870&lt;27501),AND(53500&lt;S870,S870&lt;57001),AND(72500&lt;S870,S870&lt;75001)),$G870,IF(OR(AND(27500&lt;S870,S870&lt;30001),AND(57000&lt;S870,S870&lt;60001),AND(75000&lt;S870,S870&lt;77500)),$H870,VLOOKUP(S870,BDins,6,FALSE)))))</f>
        <v>9</v>
      </c>
      <c r="T872">
        <f>IF(T874&gt;10000,HLOOKUP(T874,$O870:S873,4,FALSE),IF(OR(AND(22500&lt;T870,T870&lt;25001),AND(50000&lt;T870,T870&lt;53501),AND(70000&lt;T870,T870&lt;72501)),$F870,IF(OR(AND(25001&lt;T870,T870&lt;27501),AND(53500&lt;T870,T870&lt;57001),AND(72500&lt;T870,T870&lt;75001)),$G870,IF(OR(AND(27500&lt;T870,T870&lt;30001),AND(57000&lt;T870,T870&lt;60001),AND(75000&lt;T870,T870&lt;77500)),$H870,VLOOKUP(T870,BDins,6,FALSE)))))</f>
        <v>5</v>
      </c>
      <c r="U872">
        <f>IF(U874&gt;10000,HLOOKUP(U874,$O870:T873,4,FALSE),IF(OR(AND(22500&lt;U870,U870&lt;25001),AND(50000&lt;U870,U870&lt;53501),AND(70000&lt;U870,U870&lt;72501)),$F870,IF(OR(AND(25001&lt;U870,U870&lt;27501),AND(53500&lt;U870,U870&lt;57001),AND(72500&lt;U870,U870&lt;75001)),$G870,IF(OR(AND(27500&lt;U870,U870&lt;30001),AND(57000&lt;U870,U870&lt;60001),AND(75000&lt;U870,U870&lt;77500)),$H870,VLOOKUP(U870,BDins,6,FALSE)))))</f>
        <v>12.43</v>
      </c>
    </row>
    <row r="873" spans="1:26" x14ac:dyDescent="0.2">
      <c r="O873">
        <f t="shared" ref="O873:U873" si="121">IF($K870&gt;0,ROUND(O871*$E870/100,DpCU),IF(O874&gt;10000,ROUND(HLOOKUP(O874,$O870:$U873,4,FALSE)/100*O871,DpCU),IF(OR(O870&lt;20001,O870&gt;95000,AND(60000&lt;O870,O870&lt;70001)),ROUND(ROUND(O871*JL/$C870,DcCU)*O872,DpCU),IF(OR(AND(20000&lt;O870,O870&lt;22501),AND(30000&lt;O870,O870&lt;50001),77500&lt;O870),ROUND(O872*O871,DpCU),IF(OR(AND(22500&lt;O870,O870&lt;25001),AND(50000&lt;O870,O870&lt;53501),AND(70000&lt;O870,O870&lt;72501)),ROUND($F870/100*O871,DpCU),IF(OR(AND(25000&lt;O870,O870&lt;27501),AND(53500&lt;O870,O870&lt;57001),AND(72500&lt;O870,O870&lt;75001)),ROUND($G870/100*O871,DpCU),ROUND($H870/100*O871,DpCU)))))))</f>
        <v>1.33</v>
      </c>
      <c r="P873">
        <f t="shared" si="121"/>
        <v>11.1</v>
      </c>
      <c r="Q873">
        <f t="shared" si="121"/>
        <v>0.65</v>
      </c>
      <c r="R873">
        <f t="shared" si="121"/>
        <v>6.5</v>
      </c>
      <c r="S873">
        <f t="shared" si="121"/>
        <v>0.9</v>
      </c>
      <c r="T873">
        <f t="shared" si="121"/>
        <v>0.25</v>
      </c>
      <c r="U873">
        <f t="shared" si="121"/>
        <v>0.62</v>
      </c>
    </row>
    <row r="874" spans="1:26" x14ac:dyDescent="0.2">
      <c r="B874" s="3" t="str">
        <f>A870&amp;"r"</f>
        <v>10174r</v>
      </c>
    </row>
    <row r="875" spans="1:26" x14ac:dyDescent="0.2">
      <c r="A875">
        <v>10175</v>
      </c>
      <c r="B875" s="3" t="s">
        <v>903</v>
      </c>
      <c r="C875" s="1">
        <f>ROUND(J875*JL*Frto/8,4)</f>
        <v>15</v>
      </c>
      <c r="D875" t="s">
        <v>174</v>
      </c>
      <c r="E875">
        <f>SUM($O878:$U878)</f>
        <v>20.400000000000002</v>
      </c>
      <c r="F875">
        <f>SUMIF($O875:$U875,"&lt;22501",$O878:$U878)</f>
        <v>12.43</v>
      </c>
      <c r="G875">
        <f>SUMIFS($O878:$U878,$O875:$U875,"&gt;30000",$O875:$U875,"&lt;50001")</f>
        <v>7.35</v>
      </c>
      <c r="H875">
        <f>SUMIFS($O878:$U878,$O875:$U875,"&gt;60000",$O875:$U875,"&lt;70001")</f>
        <v>0</v>
      </c>
      <c r="I875">
        <v>7</v>
      </c>
      <c r="J875">
        <v>15</v>
      </c>
      <c r="O875">
        <v>10001</v>
      </c>
      <c r="P875">
        <v>10002</v>
      </c>
      <c r="Q875">
        <v>30181</v>
      </c>
      <c r="R875">
        <v>30193</v>
      </c>
      <c r="S875">
        <v>30194</v>
      </c>
      <c r="T875">
        <v>30195</v>
      </c>
      <c r="U875">
        <v>70001</v>
      </c>
    </row>
    <row r="876" spans="1:26" x14ac:dyDescent="0.2">
      <c r="B876" s="3" t="str">
        <f>A875&amp;"C"</f>
        <v>10175C</v>
      </c>
      <c r="O876">
        <v>0.1</v>
      </c>
      <c r="P876">
        <v>1</v>
      </c>
      <c r="Q876">
        <v>0.05</v>
      </c>
      <c r="R876">
        <v>0.05</v>
      </c>
      <c r="S876">
        <v>0.05</v>
      </c>
      <c r="T876">
        <v>1</v>
      </c>
      <c r="U876">
        <v>5</v>
      </c>
    </row>
    <row r="877" spans="1:26" x14ac:dyDescent="0.2">
      <c r="O877">
        <f>IF(O879&gt;10000,HLOOKUP(O879,N875:$O878,4,FALSE),IF(OR(AND(22500&lt;O875,O875&lt;25001),AND(50000&lt;O875,O875&lt;53501),AND(70000&lt;O875,O875&lt;72501)),$F875,IF(OR(AND(25001&lt;O875,O875&lt;27501),AND(53500&lt;O875,O875&lt;57001),AND(72500&lt;O875,O875&lt;75001)),$G875,IF(OR(AND(27500&lt;O875,O875&lt;30001),AND(57000&lt;O875,O875&lt;60001),AND(75000&lt;O875,O875&lt;77500)),$H875,VLOOKUP(O875,BDins,6,FALSE)))))</f>
        <v>24.97</v>
      </c>
      <c r="P877">
        <f>IF(P879&gt;10000,HLOOKUP(P879,O875:$O878,4,FALSE),IF(OR(AND(22500&lt;P875,P875&lt;25001),AND(50000&lt;P875,P875&lt;53501),AND(70000&lt;P875,P875&lt;72501)),$F875,IF(OR(AND(25001&lt;P875,P875&lt;27501),AND(53500&lt;P875,P875&lt;57001),AND(72500&lt;P875,P875&lt;75001)),$G875,IF(OR(AND(27500&lt;P875,P875&lt;30001),AND(57000&lt;P875,P875&lt;60001),AND(75000&lt;P875,P875&lt;77500)),$H875,VLOOKUP(P875,BDins,6,FALSE)))))</f>
        <v>20.81</v>
      </c>
      <c r="Q877">
        <f>IF(Q879&gt;10000,HLOOKUP(Q879,$O875:P878,4,FALSE),IF(OR(AND(22500&lt;Q875,Q875&lt;25001),AND(50000&lt;Q875,Q875&lt;53501),AND(70000&lt;Q875,Q875&lt;72501)),$F875,IF(OR(AND(25001&lt;Q875,Q875&lt;27501),AND(53500&lt;Q875,Q875&lt;57001),AND(72500&lt;Q875,Q875&lt;75001)),$G875,IF(OR(AND(27500&lt;Q875,Q875&lt;30001),AND(57000&lt;Q875,Q875&lt;60001),AND(75000&lt;Q875,Q875&lt;77500)),$H875,VLOOKUP(Q875,BDins,6,FALSE)))))</f>
        <v>13</v>
      </c>
      <c r="R877">
        <f>IF(R879&gt;10000,HLOOKUP(R879,$O875:Q878,4,FALSE),IF(OR(AND(22500&lt;R875,R875&lt;25001),AND(50000&lt;R875,R875&lt;53501),AND(70000&lt;R875,R875&lt;72501)),$F875,IF(OR(AND(25001&lt;R875,R875&lt;27501),AND(53500&lt;R875,R875&lt;57001),AND(72500&lt;R875,R875&lt;75001)),$G875,IF(OR(AND(27500&lt;R875,R875&lt;30001),AND(57000&lt;R875,R875&lt;60001),AND(75000&lt;R875,R875&lt;77500)),$H875,VLOOKUP(R875,BDins,6,FALSE)))))</f>
        <v>9</v>
      </c>
      <c r="S877">
        <f>IF(S879&gt;10000,HLOOKUP(S879,$O875:R878,4,FALSE),IF(OR(AND(22500&lt;S875,S875&lt;25001),AND(50000&lt;S875,S875&lt;53501),AND(70000&lt;S875,S875&lt;72501)),$F875,IF(OR(AND(25001&lt;S875,S875&lt;27501),AND(53500&lt;S875,S875&lt;57001),AND(72500&lt;S875,S875&lt;75001)),$G875,IF(OR(AND(27500&lt;S875,S875&lt;30001),AND(57000&lt;S875,S875&lt;60001),AND(75000&lt;S875,S875&lt;77500)),$H875,VLOOKUP(S875,BDins,6,FALSE)))))</f>
        <v>5</v>
      </c>
      <c r="T877">
        <f>IF(T879&gt;10000,HLOOKUP(T879,$O875:S878,4,FALSE),IF(OR(AND(22500&lt;T875,T875&lt;25001),AND(50000&lt;T875,T875&lt;53501),AND(70000&lt;T875,T875&lt;72501)),$F875,IF(OR(AND(25001&lt;T875,T875&lt;27501),AND(53500&lt;T875,T875&lt;57001),AND(72500&lt;T875,T875&lt;75001)),$G875,IF(OR(AND(27500&lt;T875,T875&lt;30001),AND(57000&lt;T875,T875&lt;60001),AND(75000&lt;T875,T875&lt;77500)),$H875,VLOOKUP(T875,BDins,6,FALSE)))))</f>
        <v>6</v>
      </c>
      <c r="U877">
        <f>IF(U879&gt;10000,HLOOKUP(U879,$O875:T878,4,FALSE),IF(OR(AND(22500&lt;U875,U875&lt;25001),AND(50000&lt;U875,U875&lt;53501),AND(70000&lt;U875,U875&lt;72501)),$F875,IF(OR(AND(25001&lt;U875,U875&lt;27501),AND(53500&lt;U875,U875&lt;57001),AND(72500&lt;U875,U875&lt;75001)),$G875,IF(OR(AND(27500&lt;U875,U875&lt;30001),AND(57000&lt;U875,U875&lt;60001),AND(75000&lt;U875,U875&lt;77500)),$H875,VLOOKUP(U875,BDins,6,FALSE)))))</f>
        <v>12.43</v>
      </c>
    </row>
    <row r="878" spans="1:26" x14ac:dyDescent="0.2">
      <c r="O878">
        <f t="shared" ref="O878:U878" si="122">IF($K875&gt;0,ROUND(O876*$E875/100,DpCU),IF(O879&gt;10000,ROUND(HLOOKUP(O879,$O875:$U878,4,FALSE)/100*O876,DpCU),IF(OR(O875&lt;20001,O875&gt;95000,AND(60000&lt;O875,O875&lt;70001)),ROUND(ROUND(O876*JL/$C875,DcCU)*O877,DpCU),IF(OR(AND(20000&lt;O875,O875&lt;22501),AND(30000&lt;O875,O875&lt;50001),77500&lt;O875),ROUND(O877*O876,DpCU),IF(OR(AND(22500&lt;O875,O875&lt;25001),AND(50000&lt;O875,O875&lt;53501),AND(70000&lt;O875,O875&lt;72501)),ROUND($F875/100*O876,DpCU),IF(OR(AND(25000&lt;O875,O875&lt;27501),AND(53500&lt;O875,O875&lt;57001),AND(72500&lt;O875,O875&lt;75001)),ROUND($G875/100*O876,DpCU),ROUND($H875/100*O876,DpCU)))))))</f>
        <v>1.33</v>
      </c>
      <c r="P878">
        <f t="shared" si="122"/>
        <v>11.1</v>
      </c>
      <c r="Q878">
        <f t="shared" si="122"/>
        <v>0.65</v>
      </c>
      <c r="R878">
        <f t="shared" si="122"/>
        <v>0.45</v>
      </c>
      <c r="S878">
        <f t="shared" si="122"/>
        <v>0.25</v>
      </c>
      <c r="T878">
        <f t="shared" si="122"/>
        <v>6</v>
      </c>
      <c r="U878">
        <f t="shared" si="122"/>
        <v>0.62</v>
      </c>
    </row>
    <row r="879" spans="1:26" x14ac:dyDescent="0.2">
      <c r="B879" s="3" t="str">
        <f>A875&amp;"r"</f>
        <v>10175r</v>
      </c>
    </row>
    <row r="880" spans="1:26" x14ac:dyDescent="0.2">
      <c r="A880">
        <v>10176</v>
      </c>
      <c r="B880" s="3" t="s">
        <v>906</v>
      </c>
      <c r="C880" s="1">
        <f>ROUND(J880*JL*Frto/8,4)</f>
        <v>15</v>
      </c>
      <c r="D880" t="s">
        <v>174</v>
      </c>
      <c r="E880">
        <f>SUM($O883:$U883)</f>
        <v>18.490000000000002</v>
      </c>
      <c r="F880">
        <f>SUMIF($O880:$U880,"&lt;22501",$O883:$U883)</f>
        <v>12.43</v>
      </c>
      <c r="G880">
        <f>SUMIFS($O883:$U883,$O880:$U880,"&gt;30000",$O880:$U880,"&lt;50001")</f>
        <v>5.44</v>
      </c>
      <c r="H880">
        <f>SUMIFS($O883:$U883,$O880:$U880,"&gt;60000",$O880:$U880,"&lt;70001")</f>
        <v>0</v>
      </c>
      <c r="I880">
        <v>7</v>
      </c>
      <c r="J880">
        <v>15</v>
      </c>
      <c r="O880">
        <v>10001</v>
      </c>
      <c r="P880">
        <v>10002</v>
      </c>
      <c r="Q880">
        <v>30181</v>
      </c>
      <c r="R880">
        <v>30193</v>
      </c>
      <c r="S880">
        <v>30194</v>
      </c>
      <c r="T880">
        <v>30196</v>
      </c>
      <c r="U880">
        <v>70001</v>
      </c>
    </row>
    <row r="881" spans="1:26" x14ac:dyDescent="0.2">
      <c r="B881" s="3" t="str">
        <f>A880&amp;"C"</f>
        <v>10176C</v>
      </c>
      <c r="O881">
        <v>0.1</v>
      </c>
      <c r="P881">
        <v>1</v>
      </c>
      <c r="Q881">
        <v>0.01</v>
      </c>
      <c r="R881">
        <v>2.5000000000000001E-2</v>
      </c>
      <c r="S881">
        <v>2.5000000000000001E-2</v>
      </c>
      <c r="T881">
        <v>1</v>
      </c>
      <c r="U881">
        <v>5</v>
      </c>
    </row>
    <row r="882" spans="1:26" x14ac:dyDescent="0.2">
      <c r="O882">
        <f>IF(O884&gt;10000,HLOOKUP(O884,N880:$O883,4,FALSE),IF(OR(AND(22500&lt;O880,O880&lt;25001),AND(50000&lt;O880,O880&lt;53501),AND(70000&lt;O880,O880&lt;72501)),$F880,IF(OR(AND(25001&lt;O880,O880&lt;27501),AND(53500&lt;O880,O880&lt;57001),AND(72500&lt;O880,O880&lt;75001)),$G880,IF(OR(AND(27500&lt;O880,O880&lt;30001),AND(57000&lt;O880,O880&lt;60001),AND(75000&lt;O880,O880&lt;77500)),$H880,VLOOKUP(O880,BDins,6,FALSE)))))</f>
        <v>24.97</v>
      </c>
      <c r="P882">
        <f>IF(P884&gt;10000,HLOOKUP(P884,O880:$O883,4,FALSE),IF(OR(AND(22500&lt;P880,P880&lt;25001),AND(50000&lt;P880,P880&lt;53501),AND(70000&lt;P880,P880&lt;72501)),$F880,IF(OR(AND(25001&lt;P880,P880&lt;27501),AND(53500&lt;P880,P880&lt;57001),AND(72500&lt;P880,P880&lt;75001)),$G880,IF(OR(AND(27500&lt;P880,P880&lt;30001),AND(57000&lt;P880,P880&lt;60001),AND(75000&lt;P880,P880&lt;77500)),$H880,VLOOKUP(P880,BDins,6,FALSE)))))</f>
        <v>20.81</v>
      </c>
      <c r="Q882">
        <f>IF(Q884&gt;10000,HLOOKUP(Q884,$O880:P883,4,FALSE),IF(OR(AND(22500&lt;Q880,Q880&lt;25001),AND(50000&lt;Q880,Q880&lt;53501),AND(70000&lt;Q880,Q880&lt;72501)),$F880,IF(OR(AND(25001&lt;Q880,Q880&lt;27501),AND(53500&lt;Q880,Q880&lt;57001),AND(72500&lt;Q880,Q880&lt;75001)),$G880,IF(OR(AND(27500&lt;Q880,Q880&lt;30001),AND(57000&lt;Q880,Q880&lt;60001),AND(75000&lt;Q880,Q880&lt;77500)),$H880,VLOOKUP(Q880,BDins,6,FALSE)))))</f>
        <v>13</v>
      </c>
      <c r="R882">
        <f>IF(R884&gt;10000,HLOOKUP(R884,$O880:Q883,4,FALSE),IF(OR(AND(22500&lt;R880,R880&lt;25001),AND(50000&lt;R880,R880&lt;53501),AND(70000&lt;R880,R880&lt;72501)),$F880,IF(OR(AND(25001&lt;R880,R880&lt;27501),AND(53500&lt;R880,R880&lt;57001),AND(72500&lt;R880,R880&lt;75001)),$G880,IF(OR(AND(27500&lt;R880,R880&lt;30001),AND(57000&lt;R880,R880&lt;60001),AND(75000&lt;R880,R880&lt;77500)),$H880,VLOOKUP(R880,BDins,6,FALSE)))))</f>
        <v>9</v>
      </c>
      <c r="S882">
        <f>IF(S884&gt;10000,HLOOKUP(S884,$O880:R883,4,FALSE),IF(OR(AND(22500&lt;S880,S880&lt;25001),AND(50000&lt;S880,S880&lt;53501),AND(70000&lt;S880,S880&lt;72501)),$F880,IF(OR(AND(25001&lt;S880,S880&lt;27501),AND(53500&lt;S880,S880&lt;57001),AND(72500&lt;S880,S880&lt;75001)),$G880,IF(OR(AND(27500&lt;S880,S880&lt;30001),AND(57000&lt;S880,S880&lt;60001),AND(75000&lt;S880,S880&lt;77500)),$H880,VLOOKUP(S880,BDins,6,FALSE)))))</f>
        <v>5</v>
      </c>
      <c r="T882">
        <f>IF(T884&gt;10000,HLOOKUP(T884,$O880:S883,4,FALSE),IF(OR(AND(22500&lt;T880,T880&lt;25001),AND(50000&lt;T880,T880&lt;53501),AND(70000&lt;T880,T880&lt;72501)),$F880,IF(OR(AND(25001&lt;T880,T880&lt;27501),AND(53500&lt;T880,T880&lt;57001),AND(72500&lt;T880,T880&lt;75001)),$G880,IF(OR(AND(27500&lt;T880,T880&lt;30001),AND(57000&lt;T880,T880&lt;60001),AND(75000&lt;T880,T880&lt;77500)),$H880,VLOOKUP(T880,BDins,6,FALSE)))))</f>
        <v>4.95</v>
      </c>
      <c r="U882">
        <f>IF(U884&gt;10000,HLOOKUP(U884,$O880:T883,4,FALSE),IF(OR(AND(22500&lt;U880,U880&lt;25001),AND(50000&lt;U880,U880&lt;53501),AND(70000&lt;U880,U880&lt;72501)),$F880,IF(OR(AND(25001&lt;U880,U880&lt;27501),AND(53500&lt;U880,U880&lt;57001),AND(72500&lt;U880,U880&lt;75001)),$G880,IF(OR(AND(27500&lt;U880,U880&lt;30001),AND(57000&lt;U880,U880&lt;60001),AND(75000&lt;U880,U880&lt;77500)),$H880,VLOOKUP(U880,BDins,6,FALSE)))))</f>
        <v>12.43</v>
      </c>
    </row>
    <row r="883" spans="1:26" x14ac:dyDescent="0.2">
      <c r="O883">
        <f t="shared" ref="O883:U883" si="123">IF($K880&gt;0,ROUND(O881*$E880/100,DpCU),IF(O884&gt;10000,ROUND(HLOOKUP(O884,$O880:$U883,4,FALSE)/100*O881,DpCU),IF(OR(O880&lt;20001,O880&gt;95000,AND(60000&lt;O880,O880&lt;70001)),ROUND(ROUND(O881*JL/$C880,DcCU)*O882,DpCU),IF(OR(AND(20000&lt;O880,O880&lt;22501),AND(30000&lt;O880,O880&lt;50001),77500&lt;O880),ROUND(O882*O881,DpCU),IF(OR(AND(22500&lt;O880,O880&lt;25001),AND(50000&lt;O880,O880&lt;53501),AND(70000&lt;O880,O880&lt;72501)),ROUND($F880/100*O881,DpCU),IF(OR(AND(25000&lt;O880,O880&lt;27501),AND(53500&lt;O880,O880&lt;57001),AND(72500&lt;O880,O880&lt;75001)),ROUND($G880/100*O881,DpCU),ROUND($H880/100*O881,DpCU)))))))</f>
        <v>1.33</v>
      </c>
      <c r="P883">
        <f t="shared" si="123"/>
        <v>11.1</v>
      </c>
      <c r="Q883">
        <f t="shared" si="123"/>
        <v>0.13</v>
      </c>
      <c r="R883">
        <f t="shared" si="123"/>
        <v>0.23</v>
      </c>
      <c r="S883">
        <f t="shared" si="123"/>
        <v>0.13</v>
      </c>
      <c r="T883">
        <f t="shared" si="123"/>
        <v>4.95</v>
      </c>
      <c r="U883">
        <f t="shared" si="123"/>
        <v>0.62</v>
      </c>
    </row>
    <row r="884" spans="1:26" x14ac:dyDescent="0.2">
      <c r="B884" s="3" t="str">
        <f>A880&amp;"r"</f>
        <v>10176r</v>
      </c>
    </row>
    <row r="885" spans="1:26" x14ac:dyDescent="0.2">
      <c r="A885">
        <v>10177</v>
      </c>
      <c r="B885" s="3" t="s">
        <v>913</v>
      </c>
      <c r="C885" s="1">
        <f>ROUND(J885*JL*Frto/8,4)</f>
        <v>6.25</v>
      </c>
      <c r="D885" t="s">
        <v>914</v>
      </c>
      <c r="E885">
        <f>SUM($O888:$Z888)</f>
        <v>63.339999999999996</v>
      </c>
      <c r="F885">
        <f>SUMIF($O885:$Z885,"&lt;22501",$O888:$Z888)</f>
        <v>49.5</v>
      </c>
      <c r="G885">
        <f>SUMIFS($O888:$Z888,$O885:$Z885,"&gt;30000",$O885:$Z885,"&lt;50001")</f>
        <v>11.36</v>
      </c>
      <c r="H885">
        <f>SUMIFS($O888:$Z888,$O885:$Z885,"&gt;60000",$O885:$Z885,"&lt;70001")</f>
        <v>0</v>
      </c>
      <c r="I885">
        <v>12</v>
      </c>
      <c r="J885">
        <v>6.25</v>
      </c>
      <c r="O885">
        <v>10001</v>
      </c>
      <c r="P885">
        <v>10002</v>
      </c>
      <c r="Q885">
        <v>10003</v>
      </c>
      <c r="R885">
        <v>30197</v>
      </c>
      <c r="S885">
        <v>30198</v>
      </c>
      <c r="T885">
        <v>30199</v>
      </c>
      <c r="U885">
        <v>30200</v>
      </c>
      <c r="V885">
        <v>30201</v>
      </c>
      <c r="W885">
        <v>30202</v>
      </c>
      <c r="X885">
        <v>30203</v>
      </c>
      <c r="Y885">
        <v>30204</v>
      </c>
      <c r="Z885">
        <v>70001</v>
      </c>
    </row>
    <row r="886" spans="1:26" x14ac:dyDescent="0.2">
      <c r="B886" s="3" t="str">
        <f>A885&amp;"C"</f>
        <v>10177C</v>
      </c>
      <c r="O886">
        <v>0.1</v>
      </c>
      <c r="P886">
        <v>1</v>
      </c>
      <c r="Q886">
        <v>1</v>
      </c>
      <c r="R886">
        <v>0.06</v>
      </c>
      <c r="S886">
        <v>0.1</v>
      </c>
      <c r="T886">
        <v>1</v>
      </c>
      <c r="U886">
        <v>1</v>
      </c>
      <c r="V886">
        <v>0.6</v>
      </c>
      <c r="W886">
        <v>0.7</v>
      </c>
      <c r="X886">
        <v>0.7</v>
      </c>
      <c r="Y886">
        <v>1</v>
      </c>
      <c r="Z886">
        <v>5</v>
      </c>
    </row>
    <row r="887" spans="1:26" x14ac:dyDescent="0.2">
      <c r="O887">
        <f>IF(O889&gt;10000,HLOOKUP(O889,N885:$O888,4,FALSE),IF(OR(AND(22500&lt;O885,O885&lt;25001),AND(50000&lt;O885,O885&lt;53501),AND(70000&lt;O885,O885&lt;72501)),$F885,IF(OR(AND(25001&lt;O885,O885&lt;27501),AND(53500&lt;O885,O885&lt;57001),AND(72500&lt;O885,O885&lt;75001)),$G885,IF(OR(AND(27500&lt;O885,O885&lt;30001),AND(57000&lt;O885,O885&lt;60001),AND(75000&lt;O885,O885&lt;77500)),$H885,VLOOKUP(O885,BDins,6,FALSE)))))</f>
        <v>24.97</v>
      </c>
      <c r="P887">
        <f>IF(P889&gt;10000,HLOOKUP(P889,O885:$O888,4,FALSE),IF(OR(AND(22500&lt;P885,P885&lt;25001),AND(50000&lt;P885,P885&lt;53501),AND(70000&lt;P885,P885&lt;72501)),$F885,IF(OR(AND(25001&lt;P885,P885&lt;27501),AND(53500&lt;P885,P885&lt;57001),AND(72500&lt;P885,P885&lt;75001)),$G885,IF(OR(AND(27500&lt;P885,P885&lt;30001),AND(57000&lt;P885,P885&lt;60001),AND(75000&lt;P885,P885&lt;77500)),$H885,VLOOKUP(P885,BDins,6,FALSE)))))</f>
        <v>20.81</v>
      </c>
      <c r="Q887">
        <f>IF(Q889&gt;10000,HLOOKUP(Q889,$O885:P888,4,FALSE),IF(OR(AND(22500&lt;Q885,Q885&lt;25001),AND(50000&lt;Q885,Q885&lt;53501),AND(70000&lt;Q885,Q885&lt;72501)),$F885,IF(OR(AND(25001&lt;Q885,Q885&lt;27501),AND(53500&lt;Q885,Q885&lt;57001),AND(72500&lt;Q885,Q885&lt;75001)),$G885,IF(OR(AND(27500&lt;Q885,Q885&lt;30001),AND(57000&lt;Q885,Q885&lt;60001),AND(75000&lt;Q885,Q885&lt;77500)),$H885,VLOOKUP(Q885,BDins,6,FALSE)))))</f>
        <v>15.36</v>
      </c>
      <c r="R887">
        <f>IF(R889&gt;10000,HLOOKUP(R889,$O885:Q888,4,FALSE),IF(OR(AND(22500&lt;R885,R885&lt;25001),AND(50000&lt;R885,R885&lt;53501),AND(70000&lt;R885,R885&lt;72501)),$F885,IF(OR(AND(25001&lt;R885,R885&lt;27501),AND(53500&lt;R885,R885&lt;57001),AND(72500&lt;R885,R885&lt;75001)),$G885,IF(OR(AND(27500&lt;R885,R885&lt;30001),AND(57000&lt;R885,R885&lt;60001),AND(75000&lt;R885,R885&lt;77500)),$H885,VLOOKUP(R885,BDins,6,FALSE)))))</f>
        <v>7.25</v>
      </c>
      <c r="S887">
        <f>IF(S889&gt;10000,HLOOKUP(S889,$O885:R888,4,FALSE),IF(OR(AND(22500&lt;S885,S885&lt;25001),AND(50000&lt;S885,S885&lt;53501),AND(70000&lt;S885,S885&lt;72501)),$F885,IF(OR(AND(25001&lt;S885,S885&lt;27501),AND(53500&lt;S885,S885&lt;57001),AND(72500&lt;S885,S885&lt;75001)),$G885,IF(OR(AND(27500&lt;S885,S885&lt;30001),AND(57000&lt;S885,S885&lt;60001),AND(75000&lt;S885,S885&lt;77500)),$H885,VLOOKUP(S885,BDins,6,FALSE)))))</f>
        <v>5</v>
      </c>
      <c r="T887">
        <f>IF(T889&gt;10000,HLOOKUP(T889,$O885:S888,4,FALSE),IF(OR(AND(22500&lt;T885,T885&lt;25001),AND(50000&lt;T885,T885&lt;53501),AND(70000&lt;T885,T885&lt;72501)),$F885,IF(OR(AND(25001&lt;T885,T885&lt;27501),AND(53500&lt;T885,T885&lt;57001),AND(72500&lt;T885,T885&lt;75001)),$G885,IF(OR(AND(27500&lt;T885,T885&lt;30001),AND(57000&lt;T885,T885&lt;60001),AND(75000&lt;T885,T885&lt;77500)),$H885,VLOOKUP(T885,BDins,6,FALSE)))))</f>
        <v>1.5</v>
      </c>
      <c r="U887">
        <f>IF(U889&gt;10000,HLOOKUP(U889,$O885:T888,4,FALSE),IF(OR(AND(22500&lt;U885,U885&lt;25001),AND(50000&lt;U885,U885&lt;53501),AND(70000&lt;U885,U885&lt;72501)),$F885,IF(OR(AND(25001&lt;U885,U885&lt;27501),AND(53500&lt;U885,U885&lt;57001),AND(72500&lt;U885,U885&lt;75001)),$G885,IF(OR(AND(27500&lt;U885,U885&lt;30001),AND(57000&lt;U885,U885&lt;60001),AND(75000&lt;U885,U885&lt;77500)),$H885,VLOOKUP(U885,BDins,6,FALSE)))))</f>
        <v>1.2</v>
      </c>
      <c r="V887">
        <f>IF(V889&gt;10000,HLOOKUP(V889,$O885:U888,4,FALSE),IF(OR(AND(22500&lt;V885,V885&lt;25001),AND(50000&lt;V885,V885&lt;53501),AND(70000&lt;V885,V885&lt;72501)),$F885,IF(OR(AND(25001&lt;V885,V885&lt;27501),AND(53500&lt;V885,V885&lt;57001),AND(72500&lt;V885,V885&lt;75001)),$G885,IF(OR(AND(27500&lt;V885,V885&lt;30001),AND(57000&lt;V885,V885&lt;60001),AND(75000&lt;V885,V885&lt;77500)),$H885,VLOOKUP(V885,BDins,6,FALSE)))))</f>
        <v>9.3000000000000007</v>
      </c>
      <c r="W887">
        <f>IF(W889&gt;10000,HLOOKUP(W889,$O885:V888,4,FALSE),IF(OR(AND(22500&lt;W885,W885&lt;25001),AND(50000&lt;W885,W885&lt;53501),AND(70000&lt;W885,W885&lt;72501)),$F885,IF(OR(AND(25001&lt;W885,W885&lt;27501),AND(53500&lt;W885,W885&lt;57001),AND(72500&lt;W885,W885&lt;75001)),$G885,IF(OR(AND(27500&lt;W885,W885&lt;30001),AND(57000&lt;W885,W885&lt;60001),AND(75000&lt;W885,W885&lt;77500)),$H885,VLOOKUP(W885,BDins,6,FALSE)))))</f>
        <v>0.9</v>
      </c>
      <c r="X887">
        <f>IF(X889&gt;10000,HLOOKUP(X889,$O885:W888,4,FALSE),IF(OR(AND(22500&lt;X885,X885&lt;25001),AND(50000&lt;X885,X885&lt;53501),AND(70000&lt;X885,X885&lt;72501)),$F885,IF(OR(AND(25001&lt;X885,X885&lt;27501),AND(53500&lt;X885,X885&lt;57001),AND(72500&lt;X885,X885&lt;75001)),$G885,IF(OR(AND(27500&lt;X885,X885&lt;30001),AND(57000&lt;X885,X885&lt;60001),AND(75000&lt;X885,X885&lt;77500)),$H885,VLOOKUP(X885,BDins,6,FALSE)))))</f>
        <v>1.3</v>
      </c>
      <c r="Y887">
        <f>IF(Y889&gt;10000,HLOOKUP(Y889,$O885:X888,4,FALSE),IF(OR(AND(22500&lt;Y885,Y885&lt;25001),AND(50000&lt;Y885,Y885&lt;53501),AND(70000&lt;Y885,Y885&lt;72501)),$F885,IF(OR(AND(25001&lt;Y885,Y885&lt;27501),AND(53500&lt;Y885,Y885&lt;57001),AND(72500&lt;Y885,Y885&lt;75001)),$G885,IF(OR(AND(27500&lt;Y885,Y885&lt;30001),AND(57000&lt;Y885,Y885&lt;60001),AND(75000&lt;Y885,Y885&lt;77500)),$H885,VLOOKUP(Y885,BDins,6,FALSE)))))</f>
        <v>0.6</v>
      </c>
      <c r="Z887">
        <f>IF(Z889&gt;10000,HLOOKUP(Z889,$O885:Y888,4,FALSE),IF(OR(AND(22500&lt;Z885,Z885&lt;25001),AND(50000&lt;Z885,Z885&lt;53501),AND(70000&lt;Z885,Z885&lt;72501)),$F885,IF(OR(AND(25001&lt;Z885,Z885&lt;27501),AND(53500&lt;Z885,Z885&lt;57001),AND(72500&lt;Z885,Z885&lt;75001)),$G885,IF(OR(AND(27500&lt;Z885,Z885&lt;30001),AND(57000&lt;Z885,Z885&lt;60001),AND(75000&lt;Z885,Z885&lt;77500)),$H885,VLOOKUP(Z885,BDins,6,FALSE)))))</f>
        <v>49.5</v>
      </c>
    </row>
    <row r="888" spans="1:26" x14ac:dyDescent="0.2">
      <c r="O888">
        <f t="shared" ref="O888:Z888" si="124">IF($K885&gt;0,ROUND(O886*$E885/100,DpCU),IF(O889&gt;10000,ROUND(HLOOKUP(O889,$O885:$Z888,4,FALSE)/100*O886,DpCU),IF(OR(O885&lt;20001,O885&gt;95000,AND(60000&lt;O885,O885&lt;70001)),ROUND(ROUND(O886*JL/$C885,DcCU)*O887,DpCU),IF(OR(AND(20000&lt;O885,O885&lt;22501),AND(30000&lt;O885,O885&lt;50001),77500&lt;O885),ROUND(O887*O886,DpCU),IF(OR(AND(22500&lt;O885,O885&lt;25001),AND(50000&lt;O885,O885&lt;53501),AND(70000&lt;O885,O885&lt;72501)),ROUND($F885/100*O886,DpCU),IF(OR(AND(25000&lt;O885,O885&lt;27501),AND(53500&lt;O885,O885&lt;57001),AND(72500&lt;O885,O885&lt;75001)),ROUND($G885/100*O886,DpCU),ROUND($H885/100*O886,DpCU)))))))</f>
        <v>3.2</v>
      </c>
      <c r="P888">
        <f t="shared" si="124"/>
        <v>26.64</v>
      </c>
      <c r="Q888">
        <f t="shared" si="124"/>
        <v>19.66</v>
      </c>
      <c r="R888">
        <f t="shared" si="124"/>
        <v>0.44</v>
      </c>
      <c r="S888">
        <f t="shared" si="124"/>
        <v>0.5</v>
      </c>
      <c r="T888">
        <f t="shared" si="124"/>
        <v>1.5</v>
      </c>
      <c r="U888">
        <f t="shared" si="124"/>
        <v>1.2</v>
      </c>
      <c r="V888">
        <f t="shared" si="124"/>
        <v>5.58</v>
      </c>
      <c r="W888">
        <f t="shared" si="124"/>
        <v>0.63</v>
      </c>
      <c r="X888">
        <f t="shared" si="124"/>
        <v>0.91</v>
      </c>
      <c r="Y888">
        <f t="shared" si="124"/>
        <v>0.6</v>
      </c>
      <c r="Z888">
        <f t="shared" si="124"/>
        <v>2.48</v>
      </c>
    </row>
    <row r="889" spans="1:26" x14ac:dyDescent="0.2">
      <c r="B889" s="3" t="str">
        <f>A885&amp;"r"</f>
        <v>10177r</v>
      </c>
    </row>
    <row r="890" spans="1:26" x14ac:dyDescent="0.2">
      <c r="A890">
        <v>10178</v>
      </c>
      <c r="B890" s="3" t="s">
        <v>924</v>
      </c>
      <c r="C890" s="1">
        <f>ROUND(J890*JL*Frto/8,4)</f>
        <v>6.25</v>
      </c>
      <c r="D890" t="s">
        <v>914</v>
      </c>
      <c r="E890">
        <f>SUM($O893:$Z893)</f>
        <v>71.02000000000001</v>
      </c>
      <c r="F890">
        <f>SUMIF($O890:$Z890,"&lt;22501",$O893:$Z893)</f>
        <v>49.5</v>
      </c>
      <c r="G890">
        <f>SUMIFS($O893:$Z893,$O890:$Z890,"&gt;30000",$O890:$Z890,"&lt;50001")</f>
        <v>19.04</v>
      </c>
      <c r="H890">
        <f>SUMIFS($O893:$Z893,$O890:$Z890,"&gt;60000",$O890:$Z890,"&lt;70001")</f>
        <v>0</v>
      </c>
      <c r="I890">
        <v>12</v>
      </c>
      <c r="J890">
        <v>6.25</v>
      </c>
      <c r="O890">
        <v>10001</v>
      </c>
      <c r="P890">
        <v>10002</v>
      </c>
      <c r="Q890">
        <v>10003</v>
      </c>
      <c r="R890">
        <v>30197</v>
      </c>
      <c r="S890">
        <v>30198</v>
      </c>
      <c r="T890">
        <v>30205</v>
      </c>
      <c r="U890">
        <v>30206</v>
      </c>
      <c r="V890">
        <v>30207</v>
      </c>
      <c r="W890">
        <v>30208</v>
      </c>
      <c r="X890">
        <v>30209</v>
      </c>
      <c r="Y890">
        <v>30210</v>
      </c>
      <c r="Z890">
        <v>70001</v>
      </c>
    </row>
    <row r="891" spans="1:26" x14ac:dyDescent="0.2">
      <c r="B891" s="3" t="str">
        <f>A890&amp;"C"</f>
        <v>10178C</v>
      </c>
      <c r="O891">
        <v>0.1</v>
      </c>
      <c r="P891">
        <v>1</v>
      </c>
      <c r="Q891">
        <v>1</v>
      </c>
      <c r="R891">
        <v>0.06</v>
      </c>
      <c r="S891">
        <v>0.1</v>
      </c>
      <c r="T891">
        <v>1</v>
      </c>
      <c r="U891">
        <v>1</v>
      </c>
      <c r="V891">
        <v>0.6</v>
      </c>
      <c r="W891">
        <v>1</v>
      </c>
      <c r="X891">
        <v>1</v>
      </c>
      <c r="Y891">
        <v>1</v>
      </c>
      <c r="Z891">
        <v>5</v>
      </c>
    </row>
    <row r="892" spans="1:26" x14ac:dyDescent="0.2">
      <c r="O892">
        <f>IF(O894&gt;10000,HLOOKUP(O894,N890:$O893,4,FALSE),IF(OR(AND(22500&lt;O890,O890&lt;25001),AND(50000&lt;O890,O890&lt;53501),AND(70000&lt;O890,O890&lt;72501)),$F890,IF(OR(AND(25001&lt;O890,O890&lt;27501),AND(53500&lt;O890,O890&lt;57001),AND(72500&lt;O890,O890&lt;75001)),$G890,IF(OR(AND(27500&lt;O890,O890&lt;30001),AND(57000&lt;O890,O890&lt;60001),AND(75000&lt;O890,O890&lt;77500)),$H890,VLOOKUP(O890,BDins,6,FALSE)))))</f>
        <v>24.97</v>
      </c>
      <c r="P892">
        <f>IF(P894&gt;10000,HLOOKUP(P894,O890:$O893,4,FALSE),IF(OR(AND(22500&lt;P890,P890&lt;25001),AND(50000&lt;P890,P890&lt;53501),AND(70000&lt;P890,P890&lt;72501)),$F890,IF(OR(AND(25001&lt;P890,P890&lt;27501),AND(53500&lt;P890,P890&lt;57001),AND(72500&lt;P890,P890&lt;75001)),$G890,IF(OR(AND(27500&lt;P890,P890&lt;30001),AND(57000&lt;P890,P890&lt;60001),AND(75000&lt;P890,P890&lt;77500)),$H890,VLOOKUP(P890,BDins,6,FALSE)))))</f>
        <v>20.81</v>
      </c>
      <c r="Q892">
        <f>IF(Q894&gt;10000,HLOOKUP(Q894,$O890:P893,4,FALSE),IF(OR(AND(22500&lt;Q890,Q890&lt;25001),AND(50000&lt;Q890,Q890&lt;53501),AND(70000&lt;Q890,Q890&lt;72501)),$F890,IF(OR(AND(25001&lt;Q890,Q890&lt;27501),AND(53500&lt;Q890,Q890&lt;57001),AND(72500&lt;Q890,Q890&lt;75001)),$G890,IF(OR(AND(27500&lt;Q890,Q890&lt;30001),AND(57000&lt;Q890,Q890&lt;60001),AND(75000&lt;Q890,Q890&lt;77500)),$H890,VLOOKUP(Q890,BDins,6,FALSE)))))</f>
        <v>15.36</v>
      </c>
      <c r="R892">
        <f>IF(R894&gt;10000,HLOOKUP(R894,$O890:Q893,4,FALSE),IF(OR(AND(22500&lt;R890,R890&lt;25001),AND(50000&lt;R890,R890&lt;53501),AND(70000&lt;R890,R890&lt;72501)),$F890,IF(OR(AND(25001&lt;R890,R890&lt;27501),AND(53500&lt;R890,R890&lt;57001),AND(72500&lt;R890,R890&lt;75001)),$G890,IF(OR(AND(27500&lt;R890,R890&lt;30001),AND(57000&lt;R890,R890&lt;60001),AND(75000&lt;R890,R890&lt;77500)),$H890,VLOOKUP(R890,BDins,6,FALSE)))))</f>
        <v>7.25</v>
      </c>
      <c r="S892">
        <f>IF(S894&gt;10000,HLOOKUP(S894,$O890:R893,4,FALSE),IF(OR(AND(22500&lt;S890,S890&lt;25001),AND(50000&lt;S890,S890&lt;53501),AND(70000&lt;S890,S890&lt;72501)),$F890,IF(OR(AND(25001&lt;S890,S890&lt;27501),AND(53500&lt;S890,S890&lt;57001),AND(72500&lt;S890,S890&lt;75001)),$G890,IF(OR(AND(27500&lt;S890,S890&lt;30001),AND(57000&lt;S890,S890&lt;60001),AND(75000&lt;S890,S890&lt;77500)),$H890,VLOOKUP(S890,BDins,6,FALSE)))))</f>
        <v>5</v>
      </c>
      <c r="T892">
        <f>IF(T894&gt;10000,HLOOKUP(T894,$O890:S893,4,FALSE),IF(OR(AND(22500&lt;T890,T890&lt;25001),AND(50000&lt;T890,T890&lt;53501),AND(70000&lt;T890,T890&lt;72501)),$F890,IF(OR(AND(25001&lt;T890,T890&lt;27501),AND(53500&lt;T890,T890&lt;57001),AND(72500&lt;T890,T890&lt;75001)),$G890,IF(OR(AND(27500&lt;T890,T890&lt;30001),AND(57000&lt;T890,T890&lt;60001),AND(75000&lt;T890,T890&lt;77500)),$H890,VLOOKUP(T890,BDins,6,FALSE)))))</f>
        <v>2.2000000000000002</v>
      </c>
      <c r="U892">
        <f>IF(U894&gt;10000,HLOOKUP(U894,$O890:T893,4,FALSE),IF(OR(AND(22500&lt;U890,U890&lt;25001),AND(50000&lt;U890,U890&lt;53501),AND(70000&lt;U890,U890&lt;72501)),$F890,IF(OR(AND(25001&lt;U890,U890&lt;27501),AND(53500&lt;U890,U890&lt;57001),AND(72500&lt;U890,U890&lt;75001)),$G890,IF(OR(AND(27500&lt;U890,U890&lt;30001),AND(57000&lt;U890,U890&lt;60001),AND(75000&lt;U890,U890&lt;77500)),$H890,VLOOKUP(U890,BDins,6,FALSE)))))</f>
        <v>1.5</v>
      </c>
      <c r="V892">
        <f>IF(V894&gt;10000,HLOOKUP(V894,$O890:U893,4,FALSE),IF(OR(AND(22500&lt;V890,V890&lt;25001),AND(50000&lt;V890,V890&lt;53501),AND(70000&lt;V890,V890&lt;72501)),$F890,IF(OR(AND(25001&lt;V890,V890&lt;27501),AND(53500&lt;V890,V890&lt;57001),AND(72500&lt;V890,V890&lt;75001)),$G890,IF(OR(AND(27500&lt;V890,V890&lt;30001),AND(57000&lt;V890,V890&lt;60001),AND(75000&lt;V890,V890&lt;77500)),$H890,VLOOKUP(V890,BDins,6,FALSE)))))</f>
        <v>15</v>
      </c>
      <c r="W892">
        <f>IF(W894&gt;10000,HLOOKUP(W894,$O890:V893,4,FALSE),IF(OR(AND(22500&lt;W890,W890&lt;25001),AND(50000&lt;W890,W890&lt;53501),AND(70000&lt;W890,W890&lt;72501)),$F890,IF(OR(AND(25001&lt;W890,W890&lt;27501),AND(53500&lt;W890,W890&lt;57001),AND(72500&lt;W890,W890&lt;75001)),$G890,IF(OR(AND(27500&lt;W890,W890&lt;30001),AND(57000&lt;W890,W890&lt;60001),AND(75000&lt;W890,W890&lt;77500)),$H890,VLOOKUP(W890,BDins,6,FALSE)))))</f>
        <v>1.7</v>
      </c>
      <c r="X892">
        <f>IF(X894&gt;10000,HLOOKUP(X894,$O890:W893,4,FALSE),IF(OR(AND(22500&lt;X890,X890&lt;25001),AND(50000&lt;X890,X890&lt;53501),AND(70000&lt;X890,X890&lt;72501)),$F890,IF(OR(AND(25001&lt;X890,X890&lt;27501),AND(53500&lt;X890,X890&lt;57001),AND(72500&lt;X890,X890&lt;75001)),$G890,IF(OR(AND(27500&lt;X890,X890&lt;30001),AND(57000&lt;X890,X890&lt;60001),AND(75000&lt;X890,X890&lt;77500)),$H890,VLOOKUP(X890,BDins,6,FALSE)))))</f>
        <v>2.5</v>
      </c>
      <c r="Y892">
        <f>IF(Y894&gt;10000,HLOOKUP(Y894,$O890:X893,4,FALSE),IF(OR(AND(22500&lt;Y890,Y890&lt;25001),AND(50000&lt;Y890,Y890&lt;53501),AND(70000&lt;Y890,Y890&lt;72501)),$F890,IF(OR(AND(25001&lt;Y890,Y890&lt;27501),AND(53500&lt;Y890,Y890&lt;57001),AND(72500&lt;Y890,Y890&lt;75001)),$G890,IF(OR(AND(27500&lt;Y890,Y890&lt;30001),AND(57000&lt;Y890,Y890&lt;60001),AND(75000&lt;Y890,Y890&lt;77500)),$H890,VLOOKUP(Y890,BDins,6,FALSE)))))</f>
        <v>1.2</v>
      </c>
      <c r="Z892">
        <f>IF(Z894&gt;10000,HLOOKUP(Z894,$O890:Y893,4,FALSE),IF(OR(AND(22500&lt;Z890,Z890&lt;25001),AND(50000&lt;Z890,Z890&lt;53501),AND(70000&lt;Z890,Z890&lt;72501)),$F890,IF(OR(AND(25001&lt;Z890,Z890&lt;27501),AND(53500&lt;Z890,Z890&lt;57001),AND(72500&lt;Z890,Z890&lt;75001)),$G890,IF(OR(AND(27500&lt;Z890,Z890&lt;30001),AND(57000&lt;Z890,Z890&lt;60001),AND(75000&lt;Z890,Z890&lt;77500)),$H890,VLOOKUP(Z890,BDins,6,FALSE)))))</f>
        <v>49.5</v>
      </c>
    </row>
    <row r="893" spans="1:26" x14ac:dyDescent="0.2">
      <c r="O893">
        <f t="shared" ref="O893:Z893" si="125">IF($K890&gt;0,ROUND(O891*$E890/100,DpCU),IF(O894&gt;10000,ROUND(HLOOKUP(O894,$O890:$Z893,4,FALSE)/100*O891,DpCU),IF(OR(O890&lt;20001,O890&gt;95000,AND(60000&lt;O890,O890&lt;70001)),ROUND(ROUND(O891*JL/$C890,DcCU)*O892,DpCU),IF(OR(AND(20000&lt;O890,O890&lt;22501),AND(30000&lt;O890,O890&lt;50001),77500&lt;O890),ROUND(O892*O891,DpCU),IF(OR(AND(22500&lt;O890,O890&lt;25001),AND(50000&lt;O890,O890&lt;53501),AND(70000&lt;O890,O890&lt;72501)),ROUND($F890/100*O891,DpCU),IF(OR(AND(25000&lt;O890,O890&lt;27501),AND(53500&lt;O890,O890&lt;57001),AND(72500&lt;O890,O890&lt;75001)),ROUND($G890/100*O891,DpCU),ROUND($H890/100*O891,DpCU)))))))</f>
        <v>3.2</v>
      </c>
      <c r="P893">
        <f t="shared" si="125"/>
        <v>26.64</v>
      </c>
      <c r="Q893">
        <f t="shared" si="125"/>
        <v>19.66</v>
      </c>
      <c r="R893">
        <f t="shared" si="125"/>
        <v>0.44</v>
      </c>
      <c r="S893">
        <f t="shared" si="125"/>
        <v>0.5</v>
      </c>
      <c r="T893">
        <f t="shared" si="125"/>
        <v>2.2000000000000002</v>
      </c>
      <c r="U893">
        <f t="shared" si="125"/>
        <v>1.5</v>
      </c>
      <c r="V893">
        <f t="shared" si="125"/>
        <v>9</v>
      </c>
      <c r="W893">
        <f t="shared" si="125"/>
        <v>1.7</v>
      </c>
      <c r="X893">
        <f t="shared" si="125"/>
        <v>2.5</v>
      </c>
      <c r="Y893">
        <f t="shared" si="125"/>
        <v>1.2</v>
      </c>
      <c r="Z893">
        <f t="shared" si="125"/>
        <v>2.48</v>
      </c>
    </row>
    <row r="894" spans="1:26" x14ac:dyDescent="0.2">
      <c r="B894" s="3" t="str">
        <f>A890&amp;"r"</f>
        <v>10178r</v>
      </c>
    </row>
    <row r="895" spans="1:26" x14ac:dyDescent="0.2">
      <c r="A895">
        <v>10179</v>
      </c>
      <c r="B895" s="3" t="s">
        <v>934</v>
      </c>
      <c r="C895" s="1">
        <f>ROUND(J895*JL*Frto/8,4)</f>
        <v>45</v>
      </c>
      <c r="D895" t="s">
        <v>194</v>
      </c>
      <c r="E895">
        <f>SUM($O898:$X898)</f>
        <v>11.290000000000001</v>
      </c>
      <c r="F895">
        <f>SUMIF($O895:$X895,"&lt;22501",$O898:$X898)</f>
        <v>6.870000000000001</v>
      </c>
      <c r="G895">
        <f>SUMIFS($O898:$X898,$O895:$X895,"&gt;30000",$O895:$X895,"&lt;50001")</f>
        <v>4.0799999999999992</v>
      </c>
      <c r="H895">
        <f>SUMIFS($O898:$X898,$O895:$X895,"&gt;60000",$O895:$X895,"&lt;70001")</f>
        <v>0</v>
      </c>
      <c r="I895">
        <v>10</v>
      </c>
      <c r="J895">
        <v>45</v>
      </c>
      <c r="O895">
        <v>10001</v>
      </c>
      <c r="P895">
        <v>10002</v>
      </c>
      <c r="Q895">
        <v>10003</v>
      </c>
      <c r="R895">
        <v>30180</v>
      </c>
      <c r="S895">
        <v>30201</v>
      </c>
      <c r="T895">
        <v>30203</v>
      </c>
      <c r="U895">
        <v>30211</v>
      </c>
      <c r="V895">
        <v>30212</v>
      </c>
      <c r="W895">
        <v>30213</v>
      </c>
      <c r="X895">
        <v>70001</v>
      </c>
    </row>
    <row r="896" spans="1:26" x14ac:dyDescent="0.2">
      <c r="B896" s="3" t="str">
        <f>A895&amp;"C"</f>
        <v>10179C</v>
      </c>
      <c r="O896">
        <v>0.1</v>
      </c>
      <c r="P896">
        <v>1</v>
      </c>
      <c r="Q896">
        <v>1</v>
      </c>
      <c r="R896">
        <v>0.1</v>
      </c>
      <c r="S896">
        <v>0.21</v>
      </c>
      <c r="T896">
        <v>0.1</v>
      </c>
      <c r="U896">
        <v>4.0000000000000001E-3</v>
      </c>
      <c r="V896">
        <v>0.05</v>
      </c>
      <c r="W896">
        <v>0.1</v>
      </c>
      <c r="X896">
        <v>5</v>
      </c>
    </row>
    <row r="897" spans="1:24" x14ac:dyDescent="0.2">
      <c r="O897">
        <f>IF(O899&gt;10000,HLOOKUP(O899,N895:$O898,4,FALSE),IF(OR(AND(22500&lt;O895,O895&lt;25001),AND(50000&lt;O895,O895&lt;53501),AND(70000&lt;O895,O895&lt;72501)),$F895,IF(OR(AND(25001&lt;O895,O895&lt;27501),AND(53500&lt;O895,O895&lt;57001),AND(72500&lt;O895,O895&lt;75001)),$G895,IF(OR(AND(27500&lt;O895,O895&lt;30001),AND(57000&lt;O895,O895&lt;60001),AND(75000&lt;O895,O895&lt;77500)),$H895,VLOOKUP(O895,BDins,6,FALSE)))))</f>
        <v>24.97</v>
      </c>
      <c r="P897">
        <f>IF(P899&gt;10000,HLOOKUP(P899,O895:$O898,4,FALSE),IF(OR(AND(22500&lt;P895,P895&lt;25001),AND(50000&lt;P895,P895&lt;53501),AND(70000&lt;P895,P895&lt;72501)),$F895,IF(OR(AND(25001&lt;P895,P895&lt;27501),AND(53500&lt;P895,P895&lt;57001),AND(72500&lt;P895,P895&lt;75001)),$G895,IF(OR(AND(27500&lt;P895,P895&lt;30001),AND(57000&lt;P895,P895&lt;60001),AND(75000&lt;P895,P895&lt;77500)),$H895,VLOOKUP(P895,BDins,6,FALSE)))))</f>
        <v>20.81</v>
      </c>
      <c r="Q897">
        <f>IF(Q899&gt;10000,HLOOKUP(Q899,$O895:P898,4,FALSE),IF(OR(AND(22500&lt;Q895,Q895&lt;25001),AND(50000&lt;Q895,Q895&lt;53501),AND(70000&lt;Q895,Q895&lt;72501)),$F895,IF(OR(AND(25001&lt;Q895,Q895&lt;27501),AND(53500&lt;Q895,Q895&lt;57001),AND(72500&lt;Q895,Q895&lt;75001)),$G895,IF(OR(AND(27500&lt;Q895,Q895&lt;30001),AND(57000&lt;Q895,Q895&lt;60001),AND(75000&lt;Q895,Q895&lt;77500)),$H895,VLOOKUP(Q895,BDins,6,FALSE)))))</f>
        <v>15.36</v>
      </c>
      <c r="R897">
        <f>IF(R899&gt;10000,HLOOKUP(R899,$O895:Q898,4,FALSE),IF(OR(AND(22500&lt;R895,R895&lt;25001),AND(50000&lt;R895,R895&lt;53501),AND(70000&lt;R895,R895&lt;72501)),$F895,IF(OR(AND(25001&lt;R895,R895&lt;27501),AND(53500&lt;R895,R895&lt;57001),AND(72500&lt;R895,R895&lt;75001)),$G895,IF(OR(AND(27500&lt;R895,R895&lt;30001),AND(57000&lt;R895,R895&lt;60001),AND(75000&lt;R895,R895&lt;77500)),$H895,VLOOKUP(R895,BDins,6,FALSE)))))</f>
        <v>3.25</v>
      </c>
      <c r="S897">
        <f>IF(S899&gt;10000,HLOOKUP(S899,$O895:R898,4,FALSE),IF(OR(AND(22500&lt;S895,S895&lt;25001),AND(50000&lt;S895,S895&lt;53501),AND(70000&lt;S895,S895&lt;72501)),$F895,IF(OR(AND(25001&lt;S895,S895&lt;27501),AND(53500&lt;S895,S895&lt;57001),AND(72500&lt;S895,S895&lt;75001)),$G895,IF(OR(AND(27500&lt;S895,S895&lt;30001),AND(57000&lt;S895,S895&lt;60001),AND(75000&lt;S895,S895&lt;77500)),$H895,VLOOKUP(S895,BDins,6,FALSE)))))</f>
        <v>9.3000000000000007</v>
      </c>
      <c r="T897">
        <f>IF(T899&gt;10000,HLOOKUP(T899,$O895:S898,4,FALSE),IF(OR(AND(22500&lt;T895,T895&lt;25001),AND(50000&lt;T895,T895&lt;53501),AND(70000&lt;T895,T895&lt;72501)),$F895,IF(OR(AND(25001&lt;T895,T895&lt;27501),AND(53500&lt;T895,T895&lt;57001),AND(72500&lt;T895,T895&lt;75001)),$G895,IF(OR(AND(27500&lt;T895,T895&lt;30001),AND(57000&lt;T895,T895&lt;60001),AND(75000&lt;T895,T895&lt;77500)),$H895,VLOOKUP(T895,BDins,6,FALSE)))))</f>
        <v>1.3</v>
      </c>
      <c r="U897">
        <f>IF(U899&gt;10000,HLOOKUP(U899,$O895:T898,4,FALSE),IF(OR(AND(22500&lt;U895,U895&lt;25001),AND(50000&lt;U895,U895&lt;53501),AND(70000&lt;U895,U895&lt;72501)),$F895,IF(OR(AND(25001&lt;U895,U895&lt;27501),AND(53500&lt;U895,U895&lt;57001),AND(72500&lt;U895,U895&lt;75001)),$G895,IF(OR(AND(27500&lt;U895,U895&lt;30001),AND(57000&lt;U895,U895&lt;60001),AND(75000&lt;U895,U895&lt;77500)),$H895,VLOOKUP(U895,BDins,6,FALSE)))))</f>
        <v>116</v>
      </c>
      <c r="V897">
        <f>IF(V899&gt;10000,HLOOKUP(V899,$O895:U898,4,FALSE),IF(OR(AND(22500&lt;V895,V895&lt;25001),AND(50000&lt;V895,V895&lt;53501),AND(70000&lt;V895,V895&lt;72501)),$F895,IF(OR(AND(25001&lt;V895,V895&lt;27501),AND(53500&lt;V895,V895&lt;57001),AND(72500&lt;V895,V895&lt;75001)),$G895,IF(OR(AND(27500&lt;V895,V895&lt;30001),AND(57000&lt;V895,V895&lt;60001),AND(75000&lt;V895,V895&lt;77500)),$H895,VLOOKUP(V895,BDins,6,FALSE)))))</f>
        <v>5.5</v>
      </c>
      <c r="W897">
        <f>IF(W899&gt;10000,HLOOKUP(W899,$O895:V898,4,FALSE),IF(OR(AND(22500&lt;W895,W895&lt;25001),AND(50000&lt;W895,W895&lt;53501),AND(70000&lt;W895,W895&lt;72501)),$F895,IF(OR(AND(25001&lt;W895,W895&lt;27501),AND(53500&lt;W895,W895&lt;57001),AND(72500&lt;W895,W895&lt;75001)),$G895,IF(OR(AND(27500&lt;W895,W895&lt;30001),AND(57000&lt;W895,W895&lt;60001),AND(75000&lt;W895,W895&lt;77500)),$H895,VLOOKUP(W895,BDins,6,FALSE)))))</f>
        <v>9.3000000000000007</v>
      </c>
      <c r="X897">
        <f>IF(X899&gt;10000,HLOOKUP(X899,$O895:W898,4,FALSE),IF(OR(AND(22500&lt;X895,X895&lt;25001),AND(50000&lt;X895,X895&lt;53501),AND(70000&lt;X895,X895&lt;72501)),$F895,IF(OR(AND(25001&lt;X895,X895&lt;27501),AND(53500&lt;X895,X895&lt;57001),AND(72500&lt;X895,X895&lt;75001)),$G895,IF(OR(AND(27500&lt;X895,X895&lt;30001),AND(57000&lt;X895,X895&lt;60001),AND(75000&lt;X895,X895&lt;77500)),$H895,VLOOKUP(X895,BDins,6,FALSE)))))</f>
        <v>6.870000000000001</v>
      </c>
    </row>
    <row r="898" spans="1:24" x14ac:dyDescent="0.2">
      <c r="O898">
        <f t="shared" ref="O898:X898" si="126">IF($K895&gt;0,ROUND(O896*$E895/100,DpCU),IF(O899&gt;10000,ROUND(HLOOKUP(O899,$O895:$X898,4,FALSE)/100*O896,DpCU),IF(OR(O895&lt;20001,O895&gt;95000,AND(60000&lt;O895,O895&lt;70001)),ROUND(ROUND(O896*JL/$C895,DcCU)*O897,DpCU),IF(OR(AND(20000&lt;O895,O895&lt;22501),AND(30000&lt;O895,O895&lt;50001),77500&lt;O895),ROUND(O897*O896,DpCU),IF(OR(AND(22500&lt;O895,O895&lt;25001),AND(50000&lt;O895,O895&lt;53501),AND(70000&lt;O895,O895&lt;72501)),ROUND($F895/100*O896,DpCU),IF(OR(AND(25000&lt;O895,O895&lt;27501),AND(53500&lt;O895,O895&lt;57001),AND(72500&lt;O895,O895&lt;75001)),ROUND($G895/100*O896,DpCU),ROUND($H895/100*O896,DpCU)))))))</f>
        <v>0.44</v>
      </c>
      <c r="P898">
        <f t="shared" si="126"/>
        <v>3.7</v>
      </c>
      <c r="Q898">
        <f t="shared" si="126"/>
        <v>2.73</v>
      </c>
      <c r="R898">
        <f t="shared" si="126"/>
        <v>0.33</v>
      </c>
      <c r="S898">
        <f t="shared" si="126"/>
        <v>1.95</v>
      </c>
      <c r="T898">
        <f t="shared" si="126"/>
        <v>0.13</v>
      </c>
      <c r="U898">
        <f t="shared" si="126"/>
        <v>0.46</v>
      </c>
      <c r="V898">
        <f t="shared" si="126"/>
        <v>0.28000000000000003</v>
      </c>
      <c r="W898">
        <f t="shared" si="126"/>
        <v>0.93</v>
      </c>
      <c r="X898">
        <f t="shared" si="126"/>
        <v>0.34</v>
      </c>
    </row>
    <row r="899" spans="1:24" x14ac:dyDescent="0.2">
      <c r="B899" s="3" t="str">
        <f>A895&amp;"r"</f>
        <v>10179r</v>
      </c>
    </row>
    <row r="900" spans="1:24" x14ac:dyDescent="0.2">
      <c r="A900">
        <v>10180</v>
      </c>
      <c r="B900" s="3" t="s">
        <v>940</v>
      </c>
      <c r="C900" s="1">
        <f>ROUND(J900*JL*Frto/8,4)</f>
        <v>45</v>
      </c>
      <c r="D900" t="s">
        <v>194</v>
      </c>
      <c r="E900">
        <f>SUM($O903:$X903)</f>
        <v>11.850000000000001</v>
      </c>
      <c r="F900">
        <f>SUMIF($O900:$X900,"&lt;22501",$O903:$X903)</f>
        <v>6.870000000000001</v>
      </c>
      <c r="G900">
        <f>SUMIFS($O903:$X903,$O900:$X900,"&gt;30000",$O900:$X900,"&lt;50001")</f>
        <v>4.6399999999999997</v>
      </c>
      <c r="H900">
        <f>SUMIFS($O903:$X903,$O900:$X900,"&gt;60000",$O900:$X900,"&lt;70001")</f>
        <v>0</v>
      </c>
      <c r="I900">
        <v>10</v>
      </c>
      <c r="J900">
        <v>45</v>
      </c>
      <c r="O900">
        <v>10001</v>
      </c>
      <c r="P900">
        <v>10002</v>
      </c>
      <c r="Q900">
        <v>10003</v>
      </c>
      <c r="R900">
        <v>30180</v>
      </c>
      <c r="S900">
        <v>30209</v>
      </c>
      <c r="T900">
        <v>30211</v>
      </c>
      <c r="U900">
        <v>30212</v>
      </c>
      <c r="V900">
        <v>30214</v>
      </c>
      <c r="W900">
        <v>30215</v>
      </c>
      <c r="X900">
        <v>70001</v>
      </c>
    </row>
    <row r="901" spans="1:24" x14ac:dyDescent="0.2">
      <c r="B901" s="3" t="str">
        <f>A900&amp;"C"</f>
        <v>10180C</v>
      </c>
      <c r="O901">
        <v>0.1</v>
      </c>
      <c r="P901">
        <v>1</v>
      </c>
      <c r="Q901">
        <v>1</v>
      </c>
      <c r="R901">
        <v>0.1</v>
      </c>
      <c r="S901">
        <v>0.1</v>
      </c>
      <c r="T901">
        <v>4.0000000000000001E-3</v>
      </c>
      <c r="U901">
        <v>0.05</v>
      </c>
      <c r="V901">
        <v>0.21</v>
      </c>
      <c r="W901">
        <v>0.1</v>
      </c>
      <c r="X901">
        <v>5</v>
      </c>
    </row>
    <row r="902" spans="1:24" x14ac:dyDescent="0.2">
      <c r="O902">
        <f>IF(O904&gt;10000,HLOOKUP(O904,N900:$O903,4,FALSE),IF(OR(AND(22500&lt;O900,O900&lt;25001),AND(50000&lt;O900,O900&lt;53501),AND(70000&lt;O900,O900&lt;72501)),$F900,IF(OR(AND(25001&lt;O900,O900&lt;27501),AND(53500&lt;O900,O900&lt;57001),AND(72500&lt;O900,O900&lt;75001)),$G900,IF(OR(AND(27500&lt;O900,O900&lt;30001),AND(57000&lt;O900,O900&lt;60001),AND(75000&lt;O900,O900&lt;77500)),$H900,VLOOKUP(O900,BDins,6,FALSE)))))</f>
        <v>24.97</v>
      </c>
      <c r="P902">
        <f>IF(P904&gt;10000,HLOOKUP(P904,O900:$O903,4,FALSE),IF(OR(AND(22500&lt;P900,P900&lt;25001),AND(50000&lt;P900,P900&lt;53501),AND(70000&lt;P900,P900&lt;72501)),$F900,IF(OR(AND(25001&lt;P900,P900&lt;27501),AND(53500&lt;P900,P900&lt;57001),AND(72500&lt;P900,P900&lt;75001)),$G900,IF(OR(AND(27500&lt;P900,P900&lt;30001),AND(57000&lt;P900,P900&lt;60001),AND(75000&lt;P900,P900&lt;77500)),$H900,VLOOKUP(P900,BDins,6,FALSE)))))</f>
        <v>20.81</v>
      </c>
      <c r="Q902">
        <f>IF(Q904&gt;10000,HLOOKUP(Q904,$O900:P903,4,FALSE),IF(OR(AND(22500&lt;Q900,Q900&lt;25001),AND(50000&lt;Q900,Q900&lt;53501),AND(70000&lt;Q900,Q900&lt;72501)),$F900,IF(OR(AND(25001&lt;Q900,Q900&lt;27501),AND(53500&lt;Q900,Q900&lt;57001),AND(72500&lt;Q900,Q900&lt;75001)),$G900,IF(OR(AND(27500&lt;Q900,Q900&lt;30001),AND(57000&lt;Q900,Q900&lt;60001),AND(75000&lt;Q900,Q900&lt;77500)),$H900,VLOOKUP(Q900,BDins,6,FALSE)))))</f>
        <v>15.36</v>
      </c>
      <c r="R902">
        <f>IF(R904&gt;10000,HLOOKUP(R904,$O900:Q903,4,FALSE),IF(OR(AND(22500&lt;R900,R900&lt;25001),AND(50000&lt;R900,R900&lt;53501),AND(70000&lt;R900,R900&lt;72501)),$F900,IF(OR(AND(25001&lt;R900,R900&lt;27501),AND(53500&lt;R900,R900&lt;57001),AND(72500&lt;R900,R900&lt;75001)),$G900,IF(OR(AND(27500&lt;R900,R900&lt;30001),AND(57000&lt;R900,R900&lt;60001),AND(75000&lt;R900,R900&lt;77500)),$H900,VLOOKUP(R900,BDins,6,FALSE)))))</f>
        <v>3.25</v>
      </c>
      <c r="S902">
        <f>IF(S904&gt;10000,HLOOKUP(S904,$O900:R903,4,FALSE),IF(OR(AND(22500&lt;S900,S900&lt;25001),AND(50000&lt;S900,S900&lt;53501),AND(70000&lt;S900,S900&lt;72501)),$F900,IF(OR(AND(25001&lt;S900,S900&lt;27501),AND(53500&lt;S900,S900&lt;57001),AND(72500&lt;S900,S900&lt;75001)),$G900,IF(OR(AND(27500&lt;S900,S900&lt;30001),AND(57000&lt;S900,S900&lt;60001),AND(75000&lt;S900,S900&lt;77500)),$H900,VLOOKUP(S900,BDins,6,FALSE)))))</f>
        <v>2.5</v>
      </c>
      <c r="T902">
        <f>IF(T904&gt;10000,HLOOKUP(T904,$O900:S903,4,FALSE),IF(OR(AND(22500&lt;T900,T900&lt;25001),AND(50000&lt;T900,T900&lt;53501),AND(70000&lt;T900,T900&lt;72501)),$F900,IF(OR(AND(25001&lt;T900,T900&lt;27501),AND(53500&lt;T900,T900&lt;57001),AND(72500&lt;T900,T900&lt;75001)),$G900,IF(OR(AND(27500&lt;T900,T900&lt;30001),AND(57000&lt;T900,T900&lt;60001),AND(75000&lt;T900,T900&lt;77500)),$H900,VLOOKUP(T900,BDins,6,FALSE)))))</f>
        <v>116</v>
      </c>
      <c r="U902">
        <f>IF(U904&gt;10000,HLOOKUP(U904,$O900:T903,4,FALSE),IF(OR(AND(22500&lt;U900,U900&lt;25001),AND(50000&lt;U900,U900&lt;53501),AND(70000&lt;U900,U900&lt;72501)),$F900,IF(OR(AND(25001&lt;U900,U900&lt;27501),AND(53500&lt;U900,U900&lt;57001),AND(72500&lt;U900,U900&lt;75001)),$G900,IF(OR(AND(27500&lt;U900,U900&lt;30001),AND(57000&lt;U900,U900&lt;60001),AND(75000&lt;U900,U900&lt;77500)),$H900,VLOOKUP(U900,BDins,6,FALSE)))))</f>
        <v>5.5</v>
      </c>
      <c r="V902">
        <f>IF(V904&gt;10000,HLOOKUP(V904,$O900:U903,4,FALSE),IF(OR(AND(22500&lt;V900,V900&lt;25001),AND(50000&lt;V900,V900&lt;53501),AND(70000&lt;V900,V900&lt;72501)),$F900,IF(OR(AND(25001&lt;V900,V900&lt;27501),AND(53500&lt;V900,V900&lt;57001),AND(72500&lt;V900,V900&lt;75001)),$G900,IF(OR(AND(27500&lt;V900,V900&lt;30001),AND(57000&lt;V900,V900&lt;60001),AND(75000&lt;V900,V900&lt;77500)),$H900,VLOOKUP(V900,BDins,6,FALSE)))))</f>
        <v>15</v>
      </c>
      <c r="W902">
        <f>IF(W904&gt;10000,HLOOKUP(W904,$O900:V903,4,FALSE),IF(OR(AND(22500&lt;W900,W900&lt;25001),AND(50000&lt;W900,W900&lt;53501),AND(70000&lt;W900,W900&lt;72501)),$F900,IF(OR(AND(25001&lt;W900,W900&lt;27501),AND(53500&lt;W900,W900&lt;57001),AND(72500&lt;W900,W900&lt;75001)),$G900,IF(OR(AND(27500&lt;W900,W900&lt;30001),AND(57000&lt;W900,W900&lt;60001),AND(75000&lt;W900,W900&lt;77500)),$H900,VLOOKUP(W900,BDins,6,FALSE)))))</f>
        <v>1.7</v>
      </c>
      <c r="X902">
        <f>IF(X904&gt;10000,HLOOKUP(X904,$O900:W903,4,FALSE),IF(OR(AND(22500&lt;X900,X900&lt;25001),AND(50000&lt;X900,X900&lt;53501),AND(70000&lt;X900,X900&lt;72501)),$F900,IF(OR(AND(25001&lt;X900,X900&lt;27501),AND(53500&lt;X900,X900&lt;57001),AND(72500&lt;X900,X900&lt;75001)),$G900,IF(OR(AND(27500&lt;X900,X900&lt;30001),AND(57000&lt;X900,X900&lt;60001),AND(75000&lt;X900,X900&lt;77500)),$H900,VLOOKUP(X900,BDins,6,FALSE)))))</f>
        <v>6.870000000000001</v>
      </c>
    </row>
    <row r="903" spans="1:24" x14ac:dyDescent="0.2">
      <c r="O903">
        <f t="shared" ref="O903:X903" si="127">IF($K900&gt;0,ROUND(O901*$E900/100,DpCU),IF(O904&gt;10000,ROUND(HLOOKUP(O904,$O900:$X903,4,FALSE)/100*O901,DpCU),IF(OR(O900&lt;20001,O900&gt;95000,AND(60000&lt;O900,O900&lt;70001)),ROUND(ROUND(O901*JL/$C900,DcCU)*O902,DpCU),IF(OR(AND(20000&lt;O900,O900&lt;22501),AND(30000&lt;O900,O900&lt;50001),77500&lt;O900),ROUND(O902*O901,DpCU),IF(OR(AND(22500&lt;O900,O900&lt;25001),AND(50000&lt;O900,O900&lt;53501),AND(70000&lt;O900,O900&lt;72501)),ROUND($F900/100*O901,DpCU),IF(OR(AND(25000&lt;O900,O900&lt;27501),AND(53500&lt;O900,O900&lt;57001),AND(72500&lt;O900,O900&lt;75001)),ROUND($G900/100*O901,DpCU),ROUND($H900/100*O901,DpCU)))))))</f>
        <v>0.44</v>
      </c>
      <c r="P903">
        <f t="shared" si="127"/>
        <v>3.7</v>
      </c>
      <c r="Q903">
        <f t="shared" si="127"/>
        <v>2.73</v>
      </c>
      <c r="R903">
        <f t="shared" si="127"/>
        <v>0.33</v>
      </c>
      <c r="S903">
        <f t="shared" si="127"/>
        <v>0.25</v>
      </c>
      <c r="T903">
        <f t="shared" si="127"/>
        <v>0.46</v>
      </c>
      <c r="U903">
        <f t="shared" si="127"/>
        <v>0.28000000000000003</v>
      </c>
      <c r="V903">
        <f t="shared" si="127"/>
        <v>3.15</v>
      </c>
      <c r="W903">
        <f t="shared" si="127"/>
        <v>0.17</v>
      </c>
      <c r="X903">
        <f t="shared" si="127"/>
        <v>0.34</v>
      </c>
    </row>
    <row r="904" spans="1:24" x14ac:dyDescent="0.2">
      <c r="B904" s="3" t="str">
        <f>A900&amp;"r"</f>
        <v>10180r</v>
      </c>
    </row>
    <row r="905" spans="1:24" x14ac:dyDescent="0.2">
      <c r="A905">
        <v>10181</v>
      </c>
      <c r="B905" s="3" t="s">
        <v>944</v>
      </c>
      <c r="C905" s="1">
        <f>ROUND(J905*JL*Frto/8,4)</f>
        <v>25</v>
      </c>
      <c r="D905" t="s">
        <v>194</v>
      </c>
      <c r="E905">
        <f>SUM($O908:$X908)</f>
        <v>19.829999999999998</v>
      </c>
      <c r="F905">
        <f>SUMIF($O905:$X905,"&lt;22501",$O908:$X908)</f>
        <v>12.379999999999999</v>
      </c>
      <c r="G905">
        <f>SUMIFS($O908:$X908,$O905:$X905,"&gt;30000",$O905:$X905,"&lt;50001")</f>
        <v>6.83</v>
      </c>
      <c r="H905">
        <f>SUMIFS($O908:$X908,$O905:$X905,"&gt;60000",$O905:$X905,"&lt;70001")</f>
        <v>0</v>
      </c>
      <c r="I905">
        <v>10</v>
      </c>
      <c r="J905">
        <v>25</v>
      </c>
      <c r="O905">
        <v>10001</v>
      </c>
      <c r="P905">
        <v>10002</v>
      </c>
      <c r="Q905">
        <v>10003</v>
      </c>
      <c r="R905">
        <v>30180</v>
      </c>
      <c r="S905">
        <v>30212</v>
      </c>
      <c r="T905">
        <v>30216</v>
      </c>
      <c r="U905">
        <v>30217</v>
      </c>
      <c r="V905">
        <v>30218</v>
      </c>
      <c r="W905">
        <v>30219</v>
      </c>
      <c r="X905">
        <v>70001</v>
      </c>
    </row>
    <row r="906" spans="1:24" x14ac:dyDescent="0.2">
      <c r="B906" s="3" t="str">
        <f>A905&amp;"C"</f>
        <v>10181C</v>
      </c>
      <c r="O906">
        <v>0.1</v>
      </c>
      <c r="P906">
        <v>1</v>
      </c>
      <c r="Q906">
        <v>1</v>
      </c>
      <c r="R906">
        <v>0.1</v>
      </c>
      <c r="S906">
        <v>0.05</v>
      </c>
      <c r="T906">
        <v>4.0000000000000001E-3</v>
      </c>
      <c r="U906">
        <v>0.21</v>
      </c>
      <c r="V906">
        <v>0.2</v>
      </c>
      <c r="W906">
        <v>0.2</v>
      </c>
      <c r="X906">
        <v>5</v>
      </c>
    </row>
    <row r="907" spans="1:24" x14ac:dyDescent="0.2">
      <c r="O907">
        <f>IF(O909&gt;10000,HLOOKUP(O909,N905:$O908,4,FALSE),IF(OR(AND(22500&lt;O905,O905&lt;25001),AND(50000&lt;O905,O905&lt;53501),AND(70000&lt;O905,O905&lt;72501)),$F905,IF(OR(AND(25001&lt;O905,O905&lt;27501),AND(53500&lt;O905,O905&lt;57001),AND(72500&lt;O905,O905&lt;75001)),$G905,IF(OR(AND(27500&lt;O905,O905&lt;30001),AND(57000&lt;O905,O905&lt;60001),AND(75000&lt;O905,O905&lt;77500)),$H905,VLOOKUP(O905,BDins,6,FALSE)))))</f>
        <v>24.97</v>
      </c>
      <c r="P907">
        <f>IF(P909&gt;10000,HLOOKUP(P909,O905:$O908,4,FALSE),IF(OR(AND(22500&lt;P905,P905&lt;25001),AND(50000&lt;P905,P905&lt;53501),AND(70000&lt;P905,P905&lt;72501)),$F905,IF(OR(AND(25001&lt;P905,P905&lt;27501),AND(53500&lt;P905,P905&lt;57001),AND(72500&lt;P905,P905&lt;75001)),$G905,IF(OR(AND(27500&lt;P905,P905&lt;30001),AND(57000&lt;P905,P905&lt;60001),AND(75000&lt;P905,P905&lt;77500)),$H905,VLOOKUP(P905,BDins,6,FALSE)))))</f>
        <v>20.81</v>
      </c>
      <c r="Q907">
        <f>IF(Q909&gt;10000,HLOOKUP(Q909,$O905:P908,4,FALSE),IF(OR(AND(22500&lt;Q905,Q905&lt;25001),AND(50000&lt;Q905,Q905&lt;53501),AND(70000&lt;Q905,Q905&lt;72501)),$F905,IF(OR(AND(25001&lt;Q905,Q905&lt;27501),AND(53500&lt;Q905,Q905&lt;57001),AND(72500&lt;Q905,Q905&lt;75001)),$G905,IF(OR(AND(27500&lt;Q905,Q905&lt;30001),AND(57000&lt;Q905,Q905&lt;60001),AND(75000&lt;Q905,Q905&lt;77500)),$H905,VLOOKUP(Q905,BDins,6,FALSE)))))</f>
        <v>15.36</v>
      </c>
      <c r="R907">
        <f>IF(R909&gt;10000,HLOOKUP(R909,$O905:Q908,4,FALSE),IF(OR(AND(22500&lt;R905,R905&lt;25001),AND(50000&lt;R905,R905&lt;53501),AND(70000&lt;R905,R905&lt;72501)),$F905,IF(OR(AND(25001&lt;R905,R905&lt;27501),AND(53500&lt;R905,R905&lt;57001),AND(72500&lt;R905,R905&lt;75001)),$G905,IF(OR(AND(27500&lt;R905,R905&lt;30001),AND(57000&lt;R905,R905&lt;60001),AND(75000&lt;R905,R905&lt;77500)),$H905,VLOOKUP(R905,BDins,6,FALSE)))))</f>
        <v>3.25</v>
      </c>
      <c r="S907">
        <f>IF(S909&gt;10000,HLOOKUP(S909,$O905:R908,4,FALSE),IF(OR(AND(22500&lt;S905,S905&lt;25001),AND(50000&lt;S905,S905&lt;53501),AND(70000&lt;S905,S905&lt;72501)),$F905,IF(OR(AND(25001&lt;S905,S905&lt;27501),AND(53500&lt;S905,S905&lt;57001),AND(72500&lt;S905,S905&lt;75001)),$G905,IF(OR(AND(27500&lt;S905,S905&lt;30001),AND(57000&lt;S905,S905&lt;60001),AND(75000&lt;S905,S905&lt;77500)),$H905,VLOOKUP(S905,BDins,6,FALSE)))))</f>
        <v>5.5</v>
      </c>
      <c r="T907">
        <f>IF(T909&gt;10000,HLOOKUP(T909,$O905:S908,4,FALSE),IF(OR(AND(22500&lt;T905,T905&lt;25001),AND(50000&lt;T905,T905&lt;53501),AND(70000&lt;T905,T905&lt;72501)),$F905,IF(OR(AND(25001&lt;T905,T905&lt;27501),AND(53500&lt;T905,T905&lt;57001),AND(72500&lt;T905,T905&lt;75001)),$G905,IF(OR(AND(27500&lt;T905,T905&lt;30001),AND(57000&lt;T905,T905&lt;60001),AND(75000&lt;T905,T905&lt;77500)),$H905,VLOOKUP(T905,BDins,6,FALSE)))))</f>
        <v>116</v>
      </c>
      <c r="U907">
        <f>IF(U909&gt;10000,HLOOKUP(U909,$O905:T908,4,FALSE),IF(OR(AND(22500&lt;U905,U905&lt;25001),AND(50000&lt;U905,U905&lt;53501),AND(70000&lt;U905,U905&lt;72501)),$F905,IF(OR(AND(25001&lt;U905,U905&lt;27501),AND(53500&lt;U905,U905&lt;57001),AND(72500&lt;U905,U905&lt;75001)),$G905,IF(OR(AND(27500&lt;U905,U905&lt;30001),AND(57000&lt;U905,U905&lt;60001),AND(75000&lt;U905,U905&lt;77500)),$H905,VLOOKUP(U905,BDins,6,FALSE)))))</f>
        <v>21.5</v>
      </c>
      <c r="V907">
        <f>IF(V909&gt;10000,HLOOKUP(V909,$O905:U908,4,FALSE),IF(OR(AND(22500&lt;V905,V905&lt;25001),AND(50000&lt;V905,V905&lt;53501),AND(70000&lt;V905,V905&lt;72501)),$F905,IF(OR(AND(25001&lt;V905,V905&lt;27501),AND(53500&lt;V905,V905&lt;57001),AND(72500&lt;V905,V905&lt;75001)),$G905,IF(OR(AND(27500&lt;V905,V905&lt;30001),AND(57000&lt;V905,V905&lt;60001),AND(75000&lt;V905,V905&lt;77500)),$H905,VLOOKUP(V905,BDins,6,FALSE)))))</f>
        <v>3.5</v>
      </c>
      <c r="W907">
        <f>IF(W909&gt;10000,HLOOKUP(W909,$O905:V908,4,FALSE),IF(OR(AND(22500&lt;W905,W905&lt;25001),AND(50000&lt;W905,W905&lt;53501),AND(70000&lt;W905,W905&lt;72501)),$F905,IF(OR(AND(25001&lt;W905,W905&lt;27501),AND(53500&lt;W905,W905&lt;57001),AND(72500&lt;W905,W905&lt;75001)),$G905,IF(OR(AND(27500&lt;W905,W905&lt;30001),AND(57000&lt;W905,W905&lt;60001),AND(75000&lt;W905,W905&lt;77500)),$H905,VLOOKUP(W905,BDins,6,FALSE)))))</f>
        <v>2.7</v>
      </c>
      <c r="X907">
        <f>IF(X909&gt;10000,HLOOKUP(X909,$O905:W908,4,FALSE),IF(OR(AND(22500&lt;X905,X905&lt;25001),AND(50000&lt;X905,X905&lt;53501),AND(70000&lt;X905,X905&lt;72501)),$F905,IF(OR(AND(25001&lt;X905,X905&lt;27501),AND(53500&lt;X905,X905&lt;57001),AND(72500&lt;X905,X905&lt;75001)),$G905,IF(OR(AND(27500&lt;X905,X905&lt;30001),AND(57000&lt;X905,X905&lt;60001),AND(75000&lt;X905,X905&lt;77500)),$H905,VLOOKUP(X905,BDins,6,FALSE)))))</f>
        <v>12.379999999999999</v>
      </c>
    </row>
    <row r="908" spans="1:24" x14ac:dyDescent="0.2">
      <c r="O908">
        <f t="shared" ref="O908:X908" si="128">IF($K905&gt;0,ROUND(O906*$E905/100,DpCU),IF(O909&gt;10000,ROUND(HLOOKUP(O909,$O905:$X908,4,FALSE)/100*O906,DpCU),IF(OR(O905&lt;20001,O905&gt;95000,AND(60000&lt;O905,O905&lt;70001)),ROUND(ROUND(O906*JL/$C905,DcCU)*O907,DpCU),IF(OR(AND(20000&lt;O905,O905&lt;22501),AND(30000&lt;O905,O905&lt;50001),77500&lt;O905),ROUND(O907*O906,DpCU),IF(OR(AND(22500&lt;O905,O905&lt;25001),AND(50000&lt;O905,O905&lt;53501),AND(70000&lt;O905,O905&lt;72501)),ROUND($F905/100*O906,DpCU),IF(OR(AND(25000&lt;O905,O905&lt;27501),AND(53500&lt;O905,O905&lt;57001),AND(72500&lt;O905,O905&lt;75001)),ROUND($G905/100*O906,DpCU),ROUND($H905/100*O906,DpCU)))))))</f>
        <v>0.8</v>
      </c>
      <c r="P908">
        <f t="shared" si="128"/>
        <v>6.66</v>
      </c>
      <c r="Q908">
        <f t="shared" si="128"/>
        <v>4.92</v>
      </c>
      <c r="R908">
        <f t="shared" si="128"/>
        <v>0.33</v>
      </c>
      <c r="S908">
        <f t="shared" si="128"/>
        <v>0.28000000000000003</v>
      </c>
      <c r="T908">
        <f t="shared" si="128"/>
        <v>0.46</v>
      </c>
      <c r="U908">
        <f t="shared" si="128"/>
        <v>4.5199999999999996</v>
      </c>
      <c r="V908">
        <f t="shared" si="128"/>
        <v>0.7</v>
      </c>
      <c r="W908">
        <f t="shared" si="128"/>
        <v>0.54</v>
      </c>
      <c r="X908">
        <f t="shared" si="128"/>
        <v>0.62</v>
      </c>
    </row>
    <row r="909" spans="1:24" x14ac:dyDescent="0.2">
      <c r="B909" s="3" t="str">
        <f>A905&amp;"r"</f>
        <v>10181r</v>
      </c>
    </row>
    <row r="910" spans="1:24" x14ac:dyDescent="0.2">
      <c r="A910">
        <v>10182</v>
      </c>
      <c r="B910" s="3" t="s">
        <v>950</v>
      </c>
      <c r="C910" s="1">
        <f>ROUND(J910*JL*Frto/8,4)</f>
        <v>25</v>
      </c>
      <c r="D910" t="s">
        <v>194</v>
      </c>
      <c r="E910">
        <f>SUM($O913:$X913)</f>
        <v>15.789999999999997</v>
      </c>
      <c r="F910">
        <f>SUMIF($O910:$X910,"&lt;22501",$O913:$X913)</f>
        <v>12.379999999999999</v>
      </c>
      <c r="G910">
        <f>SUMIFS($O913:$X913,$O910:$X910,"&gt;30000",$O910:$X910,"&lt;50001")</f>
        <v>2.79</v>
      </c>
      <c r="H910">
        <f>SUMIFS($O913:$X913,$O910:$X910,"&gt;60000",$O910:$X910,"&lt;70001")</f>
        <v>0</v>
      </c>
      <c r="I910">
        <v>10</v>
      </c>
      <c r="J910">
        <v>25</v>
      </c>
      <c r="O910">
        <v>10001</v>
      </c>
      <c r="P910">
        <v>10002</v>
      </c>
      <c r="Q910">
        <v>10003</v>
      </c>
      <c r="R910">
        <v>30180</v>
      </c>
      <c r="S910">
        <v>30212</v>
      </c>
      <c r="T910">
        <v>30216</v>
      </c>
      <c r="U910">
        <v>30220</v>
      </c>
      <c r="V910">
        <v>30221</v>
      </c>
      <c r="W910">
        <v>30222</v>
      </c>
      <c r="X910">
        <v>70001</v>
      </c>
    </row>
    <row r="911" spans="1:24" x14ac:dyDescent="0.2">
      <c r="B911" s="3" t="str">
        <f>A910&amp;"C"</f>
        <v>10182C</v>
      </c>
      <c r="O911">
        <v>0.1</v>
      </c>
      <c r="P911">
        <v>1</v>
      </c>
      <c r="Q911">
        <v>1</v>
      </c>
      <c r="R911">
        <v>0.1</v>
      </c>
      <c r="S911">
        <v>0.05</v>
      </c>
      <c r="T911">
        <v>4.0000000000000001E-3</v>
      </c>
      <c r="U911">
        <v>0.21</v>
      </c>
      <c r="V911">
        <v>0.2</v>
      </c>
      <c r="W911">
        <v>0.2</v>
      </c>
      <c r="X911">
        <v>5</v>
      </c>
    </row>
    <row r="912" spans="1:24" x14ac:dyDescent="0.2">
      <c r="O912">
        <f>IF(O914&gt;10000,HLOOKUP(O914,N910:$O913,4,FALSE),IF(OR(AND(22500&lt;O910,O910&lt;25001),AND(50000&lt;O910,O910&lt;53501),AND(70000&lt;O910,O910&lt;72501)),$F910,IF(OR(AND(25001&lt;O910,O910&lt;27501),AND(53500&lt;O910,O910&lt;57001),AND(72500&lt;O910,O910&lt;75001)),$G910,IF(OR(AND(27500&lt;O910,O910&lt;30001),AND(57000&lt;O910,O910&lt;60001),AND(75000&lt;O910,O910&lt;77500)),$H910,VLOOKUP(O910,BDins,6,FALSE)))))</f>
        <v>24.97</v>
      </c>
      <c r="P912">
        <f>IF(P914&gt;10000,HLOOKUP(P914,O910:$O913,4,FALSE),IF(OR(AND(22500&lt;P910,P910&lt;25001),AND(50000&lt;P910,P910&lt;53501),AND(70000&lt;P910,P910&lt;72501)),$F910,IF(OR(AND(25001&lt;P910,P910&lt;27501),AND(53500&lt;P910,P910&lt;57001),AND(72500&lt;P910,P910&lt;75001)),$G910,IF(OR(AND(27500&lt;P910,P910&lt;30001),AND(57000&lt;P910,P910&lt;60001),AND(75000&lt;P910,P910&lt;77500)),$H910,VLOOKUP(P910,BDins,6,FALSE)))))</f>
        <v>20.81</v>
      </c>
      <c r="Q912">
        <f>IF(Q914&gt;10000,HLOOKUP(Q914,$O910:P913,4,FALSE),IF(OR(AND(22500&lt;Q910,Q910&lt;25001),AND(50000&lt;Q910,Q910&lt;53501),AND(70000&lt;Q910,Q910&lt;72501)),$F910,IF(OR(AND(25001&lt;Q910,Q910&lt;27501),AND(53500&lt;Q910,Q910&lt;57001),AND(72500&lt;Q910,Q910&lt;75001)),$G910,IF(OR(AND(27500&lt;Q910,Q910&lt;30001),AND(57000&lt;Q910,Q910&lt;60001),AND(75000&lt;Q910,Q910&lt;77500)),$H910,VLOOKUP(Q910,BDins,6,FALSE)))))</f>
        <v>15.36</v>
      </c>
      <c r="R912">
        <f>IF(R914&gt;10000,HLOOKUP(R914,$O910:Q913,4,FALSE),IF(OR(AND(22500&lt;R910,R910&lt;25001),AND(50000&lt;R910,R910&lt;53501),AND(70000&lt;R910,R910&lt;72501)),$F910,IF(OR(AND(25001&lt;R910,R910&lt;27501),AND(53500&lt;R910,R910&lt;57001),AND(72500&lt;R910,R910&lt;75001)),$G910,IF(OR(AND(27500&lt;R910,R910&lt;30001),AND(57000&lt;R910,R910&lt;60001),AND(75000&lt;R910,R910&lt;77500)),$H910,VLOOKUP(R910,BDins,6,FALSE)))))</f>
        <v>3.25</v>
      </c>
      <c r="S912">
        <f>IF(S914&gt;10000,HLOOKUP(S914,$O910:R913,4,FALSE),IF(OR(AND(22500&lt;S910,S910&lt;25001),AND(50000&lt;S910,S910&lt;53501),AND(70000&lt;S910,S910&lt;72501)),$F910,IF(OR(AND(25001&lt;S910,S910&lt;27501),AND(53500&lt;S910,S910&lt;57001),AND(72500&lt;S910,S910&lt;75001)),$G910,IF(OR(AND(27500&lt;S910,S910&lt;30001),AND(57000&lt;S910,S910&lt;60001),AND(75000&lt;S910,S910&lt;77500)),$H910,VLOOKUP(S910,BDins,6,FALSE)))))</f>
        <v>5.5</v>
      </c>
      <c r="T912">
        <f>IF(T914&gt;10000,HLOOKUP(T914,$O910:S913,4,FALSE),IF(OR(AND(22500&lt;T910,T910&lt;25001),AND(50000&lt;T910,T910&lt;53501),AND(70000&lt;T910,T910&lt;72501)),$F910,IF(OR(AND(25001&lt;T910,T910&lt;27501),AND(53500&lt;T910,T910&lt;57001),AND(72500&lt;T910,T910&lt;75001)),$G910,IF(OR(AND(27500&lt;T910,T910&lt;30001),AND(57000&lt;T910,T910&lt;60001),AND(75000&lt;T910,T910&lt;77500)),$H910,VLOOKUP(T910,BDins,6,FALSE)))))</f>
        <v>116</v>
      </c>
      <c r="U912">
        <f>IF(U914&gt;10000,HLOOKUP(U914,$O910:T913,4,FALSE),IF(OR(AND(22500&lt;U910,U910&lt;25001),AND(50000&lt;U910,U910&lt;53501),AND(70000&lt;U910,U910&lt;72501)),$F910,IF(OR(AND(25001&lt;U910,U910&lt;27501),AND(53500&lt;U910,U910&lt;57001),AND(72500&lt;U910,U910&lt;75001)),$G910,IF(OR(AND(27500&lt;U910,U910&lt;30001),AND(57000&lt;U910,U910&lt;60001),AND(75000&lt;U910,U910&lt;77500)),$H910,VLOOKUP(U910,BDins,6,FALSE)))))</f>
        <v>1.5</v>
      </c>
      <c r="V912">
        <f>IF(V914&gt;10000,HLOOKUP(V914,$O910:U913,4,FALSE),IF(OR(AND(22500&lt;V910,V910&lt;25001),AND(50000&lt;V910,V910&lt;53501),AND(70000&lt;V910,V910&lt;72501)),$F910,IF(OR(AND(25001&lt;V910,V910&lt;27501),AND(53500&lt;V910,V910&lt;57001),AND(72500&lt;V910,V910&lt;75001)),$G910,IF(OR(AND(27500&lt;V910,V910&lt;30001),AND(57000&lt;V910,V910&lt;60001),AND(75000&lt;V910,V910&lt;77500)),$H910,VLOOKUP(V910,BDins,6,FALSE)))))</f>
        <v>3.5</v>
      </c>
      <c r="W912">
        <f>IF(W914&gt;10000,HLOOKUP(W914,$O910:V913,4,FALSE),IF(OR(AND(22500&lt;W910,W910&lt;25001),AND(50000&lt;W910,W910&lt;53501),AND(70000&lt;W910,W910&lt;72501)),$F910,IF(OR(AND(25001&lt;W910,W910&lt;27501),AND(53500&lt;W910,W910&lt;57001),AND(72500&lt;W910,W910&lt;75001)),$G910,IF(OR(AND(27500&lt;W910,W910&lt;30001),AND(57000&lt;W910,W910&lt;60001),AND(75000&lt;W910,W910&lt;77500)),$H910,VLOOKUP(W910,BDins,6,FALSE)))))</f>
        <v>3.5</v>
      </c>
      <c r="X912">
        <f>IF(X914&gt;10000,HLOOKUP(X914,$O910:W913,4,FALSE),IF(OR(AND(22500&lt;X910,X910&lt;25001),AND(50000&lt;X910,X910&lt;53501),AND(70000&lt;X910,X910&lt;72501)),$F910,IF(OR(AND(25001&lt;X910,X910&lt;27501),AND(53500&lt;X910,X910&lt;57001),AND(72500&lt;X910,X910&lt;75001)),$G910,IF(OR(AND(27500&lt;X910,X910&lt;30001),AND(57000&lt;X910,X910&lt;60001),AND(75000&lt;X910,X910&lt;77500)),$H910,VLOOKUP(X910,BDins,6,FALSE)))))</f>
        <v>12.379999999999999</v>
      </c>
    </row>
    <row r="913" spans="1:24" x14ac:dyDescent="0.2">
      <c r="O913">
        <f t="shared" ref="O913:X913" si="129">IF($K910&gt;0,ROUND(O911*$E910/100,DpCU),IF(O914&gt;10000,ROUND(HLOOKUP(O914,$O910:$X913,4,FALSE)/100*O911,DpCU),IF(OR(O910&lt;20001,O910&gt;95000,AND(60000&lt;O910,O910&lt;70001)),ROUND(ROUND(O911*JL/$C910,DcCU)*O912,DpCU),IF(OR(AND(20000&lt;O910,O910&lt;22501),AND(30000&lt;O910,O910&lt;50001),77500&lt;O910),ROUND(O912*O911,DpCU),IF(OR(AND(22500&lt;O910,O910&lt;25001),AND(50000&lt;O910,O910&lt;53501),AND(70000&lt;O910,O910&lt;72501)),ROUND($F910/100*O911,DpCU),IF(OR(AND(25000&lt;O910,O910&lt;27501),AND(53500&lt;O910,O910&lt;57001),AND(72500&lt;O910,O910&lt;75001)),ROUND($G910/100*O911,DpCU),ROUND($H910/100*O911,DpCU)))))))</f>
        <v>0.8</v>
      </c>
      <c r="P913">
        <f t="shared" si="129"/>
        <v>6.66</v>
      </c>
      <c r="Q913">
        <f t="shared" si="129"/>
        <v>4.92</v>
      </c>
      <c r="R913">
        <f t="shared" si="129"/>
        <v>0.33</v>
      </c>
      <c r="S913">
        <f t="shared" si="129"/>
        <v>0.28000000000000003</v>
      </c>
      <c r="T913">
        <f t="shared" si="129"/>
        <v>0.46</v>
      </c>
      <c r="U913">
        <f t="shared" si="129"/>
        <v>0.32</v>
      </c>
      <c r="V913">
        <f t="shared" si="129"/>
        <v>0.7</v>
      </c>
      <c r="W913">
        <f t="shared" si="129"/>
        <v>0.7</v>
      </c>
      <c r="X913">
        <f t="shared" si="129"/>
        <v>0.62</v>
      </c>
    </row>
    <row r="914" spans="1:24" x14ac:dyDescent="0.2">
      <c r="B914" s="3" t="str">
        <f>A910&amp;"r"</f>
        <v>10182r</v>
      </c>
    </row>
    <row r="915" spans="1:24" x14ac:dyDescent="0.2">
      <c r="A915">
        <v>10183</v>
      </c>
      <c r="B915" s="3" t="s">
        <v>955</v>
      </c>
      <c r="C915" s="1">
        <f>ROUND(J915*JL*Frto/8,4)</f>
        <v>25</v>
      </c>
      <c r="D915" t="s">
        <v>194</v>
      </c>
      <c r="E915">
        <f>SUM($O918:$X918)</f>
        <v>22.819999999999997</v>
      </c>
      <c r="F915">
        <f>SUMIF($O915:$X915,"&lt;22501",$O918:$X918)</f>
        <v>12.379999999999999</v>
      </c>
      <c r="G915">
        <f>SUMIFS($O918:$X918,$O915:$X915,"&gt;30000",$O915:$X915,"&lt;50001")</f>
        <v>9.82</v>
      </c>
      <c r="H915">
        <f>SUMIFS($O918:$X918,$O915:$X915,"&gt;60000",$O915:$X915,"&lt;70001")</f>
        <v>0</v>
      </c>
      <c r="I915">
        <v>10</v>
      </c>
      <c r="J915">
        <v>25</v>
      </c>
      <c r="O915">
        <v>10001</v>
      </c>
      <c r="P915">
        <v>10002</v>
      </c>
      <c r="Q915">
        <v>10003</v>
      </c>
      <c r="R915">
        <v>30180</v>
      </c>
      <c r="S915">
        <v>30212</v>
      </c>
      <c r="T915">
        <v>30216</v>
      </c>
      <c r="U915">
        <v>30223</v>
      </c>
      <c r="V915">
        <v>30224</v>
      </c>
      <c r="W915">
        <v>30225</v>
      </c>
      <c r="X915">
        <v>70001</v>
      </c>
    </row>
    <row r="916" spans="1:24" x14ac:dyDescent="0.2">
      <c r="B916" s="3" t="str">
        <f>A915&amp;"C"</f>
        <v>10183C</v>
      </c>
      <c r="O916">
        <v>0.1</v>
      </c>
      <c r="P916">
        <v>1</v>
      </c>
      <c r="Q916">
        <v>1</v>
      </c>
      <c r="R916">
        <v>0.1</v>
      </c>
      <c r="S916">
        <v>0.05</v>
      </c>
      <c r="T916">
        <v>4.0000000000000001E-3</v>
      </c>
      <c r="U916">
        <v>0.22</v>
      </c>
      <c r="V916">
        <v>0.1</v>
      </c>
      <c r="W916">
        <v>0.1</v>
      </c>
      <c r="X916">
        <v>5</v>
      </c>
    </row>
    <row r="917" spans="1:24" x14ac:dyDescent="0.2">
      <c r="O917">
        <f>IF(O919&gt;10000,HLOOKUP(O919,N915:$O918,4,FALSE),IF(OR(AND(22500&lt;O915,O915&lt;25001),AND(50000&lt;O915,O915&lt;53501),AND(70000&lt;O915,O915&lt;72501)),$F915,IF(OR(AND(25001&lt;O915,O915&lt;27501),AND(53500&lt;O915,O915&lt;57001),AND(72500&lt;O915,O915&lt;75001)),$G915,IF(OR(AND(27500&lt;O915,O915&lt;30001),AND(57000&lt;O915,O915&lt;60001),AND(75000&lt;O915,O915&lt;77500)),$H915,VLOOKUP(O915,BDins,6,FALSE)))))</f>
        <v>24.97</v>
      </c>
      <c r="P917">
        <f>IF(P919&gt;10000,HLOOKUP(P919,O915:$O918,4,FALSE),IF(OR(AND(22500&lt;P915,P915&lt;25001),AND(50000&lt;P915,P915&lt;53501),AND(70000&lt;P915,P915&lt;72501)),$F915,IF(OR(AND(25001&lt;P915,P915&lt;27501),AND(53500&lt;P915,P915&lt;57001),AND(72500&lt;P915,P915&lt;75001)),$G915,IF(OR(AND(27500&lt;P915,P915&lt;30001),AND(57000&lt;P915,P915&lt;60001),AND(75000&lt;P915,P915&lt;77500)),$H915,VLOOKUP(P915,BDins,6,FALSE)))))</f>
        <v>20.81</v>
      </c>
      <c r="Q917">
        <f>IF(Q919&gt;10000,HLOOKUP(Q919,$O915:P918,4,FALSE),IF(OR(AND(22500&lt;Q915,Q915&lt;25001),AND(50000&lt;Q915,Q915&lt;53501),AND(70000&lt;Q915,Q915&lt;72501)),$F915,IF(OR(AND(25001&lt;Q915,Q915&lt;27501),AND(53500&lt;Q915,Q915&lt;57001),AND(72500&lt;Q915,Q915&lt;75001)),$G915,IF(OR(AND(27500&lt;Q915,Q915&lt;30001),AND(57000&lt;Q915,Q915&lt;60001),AND(75000&lt;Q915,Q915&lt;77500)),$H915,VLOOKUP(Q915,BDins,6,FALSE)))))</f>
        <v>15.36</v>
      </c>
      <c r="R917">
        <f>IF(R919&gt;10000,HLOOKUP(R919,$O915:Q918,4,FALSE),IF(OR(AND(22500&lt;R915,R915&lt;25001),AND(50000&lt;R915,R915&lt;53501),AND(70000&lt;R915,R915&lt;72501)),$F915,IF(OR(AND(25001&lt;R915,R915&lt;27501),AND(53500&lt;R915,R915&lt;57001),AND(72500&lt;R915,R915&lt;75001)),$G915,IF(OR(AND(27500&lt;R915,R915&lt;30001),AND(57000&lt;R915,R915&lt;60001),AND(75000&lt;R915,R915&lt;77500)),$H915,VLOOKUP(R915,BDins,6,FALSE)))))</f>
        <v>3.25</v>
      </c>
      <c r="S917">
        <f>IF(S919&gt;10000,HLOOKUP(S919,$O915:R918,4,FALSE),IF(OR(AND(22500&lt;S915,S915&lt;25001),AND(50000&lt;S915,S915&lt;53501),AND(70000&lt;S915,S915&lt;72501)),$F915,IF(OR(AND(25001&lt;S915,S915&lt;27501),AND(53500&lt;S915,S915&lt;57001),AND(72500&lt;S915,S915&lt;75001)),$G915,IF(OR(AND(27500&lt;S915,S915&lt;30001),AND(57000&lt;S915,S915&lt;60001),AND(75000&lt;S915,S915&lt;77500)),$H915,VLOOKUP(S915,BDins,6,FALSE)))))</f>
        <v>5.5</v>
      </c>
      <c r="T917">
        <f>IF(T919&gt;10000,HLOOKUP(T919,$O915:S918,4,FALSE),IF(OR(AND(22500&lt;T915,T915&lt;25001),AND(50000&lt;T915,T915&lt;53501),AND(70000&lt;T915,T915&lt;72501)),$F915,IF(OR(AND(25001&lt;T915,T915&lt;27501),AND(53500&lt;T915,T915&lt;57001),AND(72500&lt;T915,T915&lt;75001)),$G915,IF(OR(AND(27500&lt;T915,T915&lt;30001),AND(57000&lt;T915,T915&lt;60001),AND(75000&lt;T915,T915&lt;77500)),$H915,VLOOKUP(T915,BDins,6,FALSE)))))</f>
        <v>116</v>
      </c>
      <c r="U917">
        <f>IF(U919&gt;10000,HLOOKUP(U919,$O915:T918,4,FALSE),IF(OR(AND(22500&lt;U915,U915&lt;25001),AND(50000&lt;U915,U915&lt;53501),AND(70000&lt;U915,U915&lt;72501)),$F915,IF(OR(AND(25001&lt;U915,U915&lt;27501),AND(53500&lt;U915,U915&lt;57001),AND(72500&lt;U915,U915&lt;75001)),$G915,IF(OR(AND(27500&lt;U915,U915&lt;30001),AND(57000&lt;U915,U915&lt;60001),AND(75000&lt;U915,U915&lt;77500)),$H915,VLOOKUP(U915,BDins,6,FALSE)))))</f>
        <v>30</v>
      </c>
      <c r="V917">
        <f>IF(V919&gt;10000,HLOOKUP(V919,$O915:U918,4,FALSE),IF(OR(AND(22500&lt;V915,V915&lt;25001),AND(50000&lt;V915,V915&lt;53501),AND(70000&lt;V915,V915&lt;72501)),$F915,IF(OR(AND(25001&lt;V915,V915&lt;27501),AND(53500&lt;V915,V915&lt;57001),AND(72500&lt;V915,V915&lt;75001)),$G915,IF(OR(AND(27500&lt;V915,V915&lt;30001),AND(57000&lt;V915,V915&lt;60001),AND(75000&lt;V915,V915&lt;77500)),$H915,VLOOKUP(V915,BDins,6,FALSE)))))</f>
        <v>12.5</v>
      </c>
      <c r="W917">
        <f>IF(W919&gt;10000,HLOOKUP(W919,$O915:V918,4,FALSE),IF(OR(AND(22500&lt;W915,W915&lt;25001),AND(50000&lt;W915,W915&lt;53501),AND(70000&lt;W915,W915&lt;72501)),$F915,IF(OR(AND(25001&lt;W915,W915&lt;27501),AND(53500&lt;W915,W915&lt;57001),AND(72500&lt;W915,W915&lt;75001)),$G915,IF(OR(AND(27500&lt;W915,W915&lt;30001),AND(57000&lt;W915,W915&lt;60001),AND(75000&lt;W915,W915&lt;77500)),$H915,VLOOKUP(W915,BDins,6,FALSE)))))</f>
        <v>9</v>
      </c>
      <c r="X917">
        <f>IF(X919&gt;10000,HLOOKUP(X919,$O915:W918,4,FALSE),IF(OR(AND(22500&lt;X915,X915&lt;25001),AND(50000&lt;X915,X915&lt;53501),AND(70000&lt;X915,X915&lt;72501)),$F915,IF(OR(AND(25001&lt;X915,X915&lt;27501),AND(53500&lt;X915,X915&lt;57001),AND(72500&lt;X915,X915&lt;75001)),$G915,IF(OR(AND(27500&lt;X915,X915&lt;30001),AND(57000&lt;X915,X915&lt;60001),AND(75000&lt;X915,X915&lt;77500)),$H915,VLOOKUP(X915,BDins,6,FALSE)))))</f>
        <v>12.379999999999999</v>
      </c>
    </row>
    <row r="918" spans="1:24" x14ac:dyDescent="0.2">
      <c r="O918">
        <f t="shared" ref="O918:X918" si="130">IF($K915&gt;0,ROUND(O916*$E915/100,DpCU),IF(O919&gt;10000,ROUND(HLOOKUP(O919,$O915:$X918,4,FALSE)/100*O916,DpCU),IF(OR(O915&lt;20001,O915&gt;95000,AND(60000&lt;O915,O915&lt;70001)),ROUND(ROUND(O916*JL/$C915,DcCU)*O917,DpCU),IF(OR(AND(20000&lt;O915,O915&lt;22501),AND(30000&lt;O915,O915&lt;50001),77500&lt;O915),ROUND(O917*O916,DpCU),IF(OR(AND(22500&lt;O915,O915&lt;25001),AND(50000&lt;O915,O915&lt;53501),AND(70000&lt;O915,O915&lt;72501)),ROUND($F915/100*O916,DpCU),IF(OR(AND(25000&lt;O915,O915&lt;27501),AND(53500&lt;O915,O915&lt;57001),AND(72500&lt;O915,O915&lt;75001)),ROUND($G915/100*O916,DpCU),ROUND($H915/100*O916,DpCU)))))))</f>
        <v>0.8</v>
      </c>
      <c r="P918">
        <f t="shared" si="130"/>
        <v>6.66</v>
      </c>
      <c r="Q918">
        <f t="shared" si="130"/>
        <v>4.92</v>
      </c>
      <c r="R918">
        <f t="shared" si="130"/>
        <v>0.33</v>
      </c>
      <c r="S918">
        <f t="shared" si="130"/>
        <v>0.28000000000000003</v>
      </c>
      <c r="T918">
        <f t="shared" si="130"/>
        <v>0.46</v>
      </c>
      <c r="U918">
        <f t="shared" si="130"/>
        <v>6.6</v>
      </c>
      <c r="V918">
        <f t="shared" si="130"/>
        <v>1.25</v>
      </c>
      <c r="W918">
        <f t="shared" si="130"/>
        <v>0.9</v>
      </c>
      <c r="X918">
        <f t="shared" si="130"/>
        <v>0.62</v>
      </c>
    </row>
    <row r="919" spans="1:24" x14ac:dyDescent="0.2">
      <c r="B919" s="3" t="str">
        <f>A915&amp;"r"</f>
        <v>10183r</v>
      </c>
    </row>
    <row r="920" spans="1:24" x14ac:dyDescent="0.2">
      <c r="A920">
        <v>10184</v>
      </c>
      <c r="B920" s="3" t="s">
        <v>960</v>
      </c>
      <c r="C920" s="1">
        <f>ROUND(J920*JL*Frto/8,4)</f>
        <v>80</v>
      </c>
      <c r="D920" t="s">
        <v>194</v>
      </c>
      <c r="E920">
        <f>SUM($O923:$O923)</f>
        <v>2.56</v>
      </c>
      <c r="F920">
        <f>SUMIF($O920:$O920,"&lt;22501",$O923:$O923)</f>
        <v>0</v>
      </c>
      <c r="G920">
        <f>SUMIFS($O923:$O923,$O920:$O920,"&gt;30000",$O920:$O920,"&lt;50001")</f>
        <v>0</v>
      </c>
      <c r="H920">
        <f>SUMIFS($O923:$O923,$O920:$O920,"&gt;60000",$O920:$O920,"&lt;70001")</f>
        <v>0</v>
      </c>
      <c r="I920">
        <v>1</v>
      </c>
      <c r="J920">
        <v>80</v>
      </c>
      <c r="O920">
        <v>80009</v>
      </c>
    </row>
    <row r="921" spans="1:24" x14ac:dyDescent="0.2">
      <c r="B921" s="3" t="str">
        <f>A920&amp;"C"</f>
        <v>10184C</v>
      </c>
      <c r="O921">
        <v>1.05</v>
      </c>
    </row>
    <row r="922" spans="1:24" x14ac:dyDescent="0.2">
      <c r="O922">
        <f>IF(O924&gt;10000,HLOOKUP(O924,N920:$O923,4,FALSE),IF(OR(AND(22500&lt;O920,O920&lt;25001),AND(50000&lt;O920,O920&lt;53501),AND(70000&lt;O920,O920&lt;72501)),$F920,IF(OR(AND(25001&lt;O920,O920&lt;27501),AND(53500&lt;O920,O920&lt;57001),AND(72500&lt;O920,O920&lt;75001)),$G920,IF(OR(AND(27500&lt;O920,O920&lt;30001),AND(57000&lt;O920,O920&lt;60001),AND(75000&lt;O920,O920&lt;77500)),$H920,VLOOKUP(O920,BDins,6,FALSE)))))</f>
        <v>2.44</v>
      </c>
    </row>
    <row r="923" spans="1:24" x14ac:dyDescent="0.2">
      <c r="O923">
        <f>IF($K920&gt;0,ROUND(O921*$E920/100,DpCU),IF(O924&gt;10000,ROUND(HLOOKUP(O924,$O920:$O923,4,FALSE)/100*O921,DpCU),IF(OR(O920&lt;20001,O920&gt;95000,AND(60000&lt;O920,O920&lt;70001)),ROUND(ROUND(O921*JL/$C920,DcCU)*O922,DpCU),IF(OR(AND(20000&lt;O920,O920&lt;22501),AND(30000&lt;O920,O920&lt;50001),77500&lt;O920),ROUND(O922*O921,DpCU),IF(OR(AND(22500&lt;O920,O920&lt;25001),AND(50000&lt;O920,O920&lt;53501),AND(70000&lt;O920,O920&lt;72501)),ROUND($F920/100*O921,DpCU),IF(OR(AND(25000&lt;O920,O920&lt;27501),AND(53500&lt;O920,O920&lt;57001),AND(72500&lt;O920,O920&lt;75001)),ROUND($G920/100*O921,DpCU),ROUND($H920/100*O921,DpCU)))))))</f>
        <v>2.56</v>
      </c>
    </row>
    <row r="924" spans="1:24" x14ac:dyDescent="0.2">
      <c r="B924" s="3" t="str">
        <f>A920&amp;"r"</f>
        <v>10184r</v>
      </c>
    </row>
    <row r="925" spans="1:24" x14ac:dyDescent="0.2">
      <c r="A925">
        <v>10185</v>
      </c>
      <c r="B925" s="3" t="s">
        <v>965</v>
      </c>
      <c r="C925" s="1">
        <f>ROUND(J925*JL*Frto/8,4)</f>
        <v>4</v>
      </c>
      <c r="D925" t="s">
        <v>194</v>
      </c>
      <c r="E925">
        <f>SUM($O928:$O928)</f>
        <v>8.44</v>
      </c>
      <c r="F925">
        <f>SUMIF($O925:$O925,"&lt;22501",$O928:$O928)</f>
        <v>0</v>
      </c>
      <c r="G925">
        <f>SUMIFS($O928:$O928,$O925:$O925,"&gt;30000",$O925:$O925,"&lt;50001")</f>
        <v>0</v>
      </c>
      <c r="H925">
        <f>SUMIFS($O928:$O928,$O925:$O925,"&gt;60000",$O925:$O925,"&lt;70001")</f>
        <v>0</v>
      </c>
      <c r="I925">
        <v>1</v>
      </c>
      <c r="J925">
        <v>4</v>
      </c>
      <c r="O925">
        <v>80010</v>
      </c>
    </row>
    <row r="926" spans="1:24" x14ac:dyDescent="0.2">
      <c r="B926" s="3" t="str">
        <f>A925&amp;"C"</f>
        <v>10185C</v>
      </c>
      <c r="O926">
        <v>0.5</v>
      </c>
    </row>
    <row r="927" spans="1:24" x14ac:dyDescent="0.2">
      <c r="O927">
        <f>IF(O929&gt;10000,HLOOKUP(O929,N925:$O928,4,FALSE),IF(OR(AND(22500&lt;O925,O925&lt;25001),AND(50000&lt;O925,O925&lt;53501),AND(70000&lt;O925,O925&lt;72501)),$F925,IF(OR(AND(25001&lt;O925,O925&lt;27501),AND(53500&lt;O925,O925&lt;57001),AND(72500&lt;O925,O925&lt;75001)),$G925,IF(OR(AND(27500&lt;O925,O925&lt;30001),AND(57000&lt;O925,O925&lt;60001),AND(75000&lt;O925,O925&lt;77500)),$H925,VLOOKUP(O925,BDins,6,FALSE)))))</f>
        <v>16.87</v>
      </c>
    </row>
    <row r="928" spans="1:24" x14ac:dyDescent="0.2">
      <c r="O928">
        <f>IF($K925&gt;0,ROUND(O926*$E925/100,DpCU),IF(O929&gt;10000,ROUND(HLOOKUP(O929,$O925:$O928,4,FALSE)/100*O926,DpCU),IF(OR(O925&lt;20001,O925&gt;95000,AND(60000&lt;O925,O925&lt;70001)),ROUND(ROUND(O926*JL/$C925,DcCU)*O927,DpCU),IF(OR(AND(20000&lt;O925,O925&lt;22501),AND(30000&lt;O925,O925&lt;50001),77500&lt;O925),ROUND(O927*O926,DpCU),IF(OR(AND(22500&lt;O925,O925&lt;25001),AND(50000&lt;O925,O925&lt;53501),AND(70000&lt;O925,O925&lt;72501)),ROUND($F925/100*O926,DpCU),IF(OR(AND(25000&lt;O925,O925&lt;27501),AND(53500&lt;O925,O925&lt;57001),AND(72500&lt;O925,O925&lt;75001)),ROUND($G925/100*O926,DpCU),ROUND($H925/100*O926,DpCU)))))))</f>
        <v>8.44</v>
      </c>
    </row>
    <row r="929" spans="1:24" x14ac:dyDescent="0.2">
      <c r="B929" s="3" t="str">
        <f>A925&amp;"r"</f>
        <v>10185r</v>
      </c>
    </row>
    <row r="930" spans="1:24" x14ac:dyDescent="0.2">
      <c r="A930">
        <v>10186</v>
      </c>
      <c r="B930" s="3" t="s">
        <v>968</v>
      </c>
      <c r="C930" s="1">
        <f>ROUND(J930*JL*Frto/8,4)</f>
        <v>20</v>
      </c>
      <c r="D930" t="s">
        <v>194</v>
      </c>
      <c r="E930">
        <f>SUM($O933:$O933)</f>
        <v>19.079999999999998</v>
      </c>
      <c r="F930">
        <f>SUMIF($O930:$O930,"&lt;22501",$O933:$O933)</f>
        <v>0</v>
      </c>
      <c r="G930">
        <f>SUMIFS($O933:$O933,$O930:$O930,"&gt;30000",$O930:$O930,"&lt;50001")</f>
        <v>19.079999999999998</v>
      </c>
      <c r="H930">
        <f>SUMIFS($O933:$O933,$O930:$O930,"&gt;60000",$O930:$O930,"&lt;70001")</f>
        <v>0</v>
      </c>
      <c r="I930">
        <v>1</v>
      </c>
      <c r="J930">
        <v>20</v>
      </c>
      <c r="O930">
        <v>30226</v>
      </c>
    </row>
    <row r="931" spans="1:24" x14ac:dyDescent="0.2">
      <c r="B931" s="3" t="str">
        <f>A930&amp;"C"</f>
        <v>10186C</v>
      </c>
      <c r="O931">
        <v>1</v>
      </c>
    </row>
    <row r="932" spans="1:24" x14ac:dyDescent="0.2">
      <c r="O932">
        <f>IF(O934&gt;10000,HLOOKUP(O934,N930:$O933,4,FALSE),IF(OR(AND(22500&lt;O930,O930&lt;25001),AND(50000&lt;O930,O930&lt;53501),AND(70000&lt;O930,O930&lt;72501)),$F930,IF(OR(AND(25001&lt;O930,O930&lt;27501),AND(53500&lt;O930,O930&lt;57001),AND(72500&lt;O930,O930&lt;75001)),$G930,IF(OR(AND(27500&lt;O930,O930&lt;30001),AND(57000&lt;O930,O930&lt;60001),AND(75000&lt;O930,O930&lt;77500)),$H930,VLOOKUP(O930,BDins,6,FALSE)))))</f>
        <v>19.079999999999998</v>
      </c>
    </row>
    <row r="933" spans="1:24" x14ac:dyDescent="0.2">
      <c r="O933">
        <f>IF($K930&gt;0,ROUND(O931*$E930/100,DpCU),IF(O934&gt;10000,ROUND(HLOOKUP(O934,$O930:$O933,4,FALSE)/100*O931,DpCU),IF(OR(O930&lt;20001,O930&gt;95000,AND(60000&lt;O930,O930&lt;70001)),ROUND(ROUND(O931*JL/$C930,DcCU)*O932,DpCU),IF(OR(AND(20000&lt;O930,O930&lt;22501),AND(30000&lt;O930,O930&lt;50001),77500&lt;O930),ROUND(O932*O931,DpCU),IF(OR(AND(22500&lt;O930,O930&lt;25001),AND(50000&lt;O930,O930&lt;53501),AND(70000&lt;O930,O930&lt;72501)),ROUND($F930/100*O931,DpCU),IF(OR(AND(25000&lt;O930,O930&lt;27501),AND(53500&lt;O930,O930&lt;57001),AND(72500&lt;O930,O930&lt;75001)),ROUND($G930/100*O931,DpCU),ROUND($H930/100*O931,DpCU)))))))</f>
        <v>19.079999999999998</v>
      </c>
    </row>
    <row r="934" spans="1:24" x14ac:dyDescent="0.2">
      <c r="B934" s="3" t="str">
        <f>A930&amp;"r"</f>
        <v>10186r</v>
      </c>
    </row>
    <row r="935" spans="1:24" x14ac:dyDescent="0.2">
      <c r="A935">
        <v>10187</v>
      </c>
      <c r="B935" s="3" t="s">
        <v>971</v>
      </c>
      <c r="C935" s="1">
        <f>ROUND(J935*JL*Frto/8,4)</f>
        <v>20</v>
      </c>
      <c r="D935" t="s">
        <v>194</v>
      </c>
      <c r="E935">
        <f>SUM($O938:$V938)</f>
        <v>21.94</v>
      </c>
      <c r="F935">
        <f>SUMIF($O935:$V935,"&lt;22501",$O938:$V938)</f>
        <v>15.46</v>
      </c>
      <c r="G935">
        <f>SUMIFS($O938:$V938,$O935:$V935,"&gt;30000",$O935:$V935,"&lt;50001")</f>
        <v>5.71</v>
      </c>
      <c r="H935">
        <f>SUMIFS($O938:$V938,$O935:$V935,"&gt;60000",$O935:$V935,"&lt;70001")</f>
        <v>0</v>
      </c>
      <c r="I935">
        <v>8</v>
      </c>
      <c r="J935">
        <v>20</v>
      </c>
      <c r="O935">
        <v>10001</v>
      </c>
      <c r="P935">
        <v>10002</v>
      </c>
      <c r="Q935">
        <v>10003</v>
      </c>
      <c r="R935">
        <v>30211</v>
      </c>
      <c r="S935">
        <v>30227</v>
      </c>
      <c r="T935">
        <v>30228</v>
      </c>
      <c r="U935">
        <v>30229</v>
      </c>
      <c r="V935">
        <v>70001</v>
      </c>
    </row>
    <row r="936" spans="1:24" x14ac:dyDescent="0.2">
      <c r="B936" s="3" t="str">
        <f>A935&amp;"C"</f>
        <v>10187C</v>
      </c>
      <c r="O936">
        <v>0.1</v>
      </c>
      <c r="P936">
        <v>1</v>
      </c>
      <c r="Q936">
        <v>1</v>
      </c>
      <c r="R936">
        <v>4.0000000000000001E-3</v>
      </c>
      <c r="S936">
        <v>1.05</v>
      </c>
      <c r="T936">
        <v>0.5</v>
      </c>
      <c r="U936">
        <v>0.5</v>
      </c>
      <c r="V936">
        <v>5</v>
      </c>
    </row>
    <row r="937" spans="1:24" x14ac:dyDescent="0.2">
      <c r="O937">
        <f>IF(O939&gt;10000,HLOOKUP(O939,N935:$O938,4,FALSE),IF(OR(AND(22500&lt;O935,O935&lt;25001),AND(50000&lt;O935,O935&lt;53501),AND(70000&lt;O935,O935&lt;72501)),$F935,IF(OR(AND(25001&lt;O935,O935&lt;27501),AND(53500&lt;O935,O935&lt;57001),AND(72500&lt;O935,O935&lt;75001)),$G935,IF(OR(AND(27500&lt;O935,O935&lt;30001),AND(57000&lt;O935,O935&lt;60001),AND(75000&lt;O935,O935&lt;77500)),$H935,VLOOKUP(O935,BDins,6,FALSE)))))</f>
        <v>24.97</v>
      </c>
      <c r="P937">
        <f>IF(P939&gt;10000,HLOOKUP(P939,O935:$O938,4,FALSE),IF(OR(AND(22500&lt;P935,P935&lt;25001),AND(50000&lt;P935,P935&lt;53501),AND(70000&lt;P935,P935&lt;72501)),$F935,IF(OR(AND(25001&lt;P935,P935&lt;27501),AND(53500&lt;P935,P935&lt;57001),AND(72500&lt;P935,P935&lt;75001)),$G935,IF(OR(AND(27500&lt;P935,P935&lt;30001),AND(57000&lt;P935,P935&lt;60001),AND(75000&lt;P935,P935&lt;77500)),$H935,VLOOKUP(P935,BDins,6,FALSE)))))</f>
        <v>20.81</v>
      </c>
      <c r="Q937">
        <f>IF(Q939&gt;10000,HLOOKUP(Q939,$O935:P938,4,FALSE),IF(OR(AND(22500&lt;Q935,Q935&lt;25001),AND(50000&lt;Q935,Q935&lt;53501),AND(70000&lt;Q935,Q935&lt;72501)),$F935,IF(OR(AND(25001&lt;Q935,Q935&lt;27501),AND(53500&lt;Q935,Q935&lt;57001),AND(72500&lt;Q935,Q935&lt;75001)),$G935,IF(OR(AND(27500&lt;Q935,Q935&lt;30001),AND(57000&lt;Q935,Q935&lt;60001),AND(75000&lt;Q935,Q935&lt;77500)),$H935,VLOOKUP(Q935,BDins,6,FALSE)))))</f>
        <v>15.36</v>
      </c>
      <c r="R937">
        <f>IF(R939&gt;10000,HLOOKUP(R939,$O935:Q938,4,FALSE),IF(OR(AND(22500&lt;R935,R935&lt;25001),AND(50000&lt;R935,R935&lt;53501),AND(70000&lt;R935,R935&lt;72501)),$F935,IF(OR(AND(25001&lt;R935,R935&lt;27501),AND(53500&lt;R935,R935&lt;57001),AND(72500&lt;R935,R935&lt;75001)),$G935,IF(OR(AND(27500&lt;R935,R935&lt;30001),AND(57000&lt;R935,R935&lt;60001),AND(75000&lt;R935,R935&lt;77500)),$H935,VLOOKUP(R935,BDins,6,FALSE)))))</f>
        <v>116</v>
      </c>
      <c r="S937">
        <f>IF(S939&gt;10000,HLOOKUP(S939,$O935:R938,4,FALSE),IF(OR(AND(22500&lt;S935,S935&lt;25001),AND(50000&lt;S935,S935&lt;53501),AND(70000&lt;S935,S935&lt;72501)),$F935,IF(OR(AND(25001&lt;S935,S935&lt;27501),AND(53500&lt;S935,S935&lt;57001),AND(72500&lt;S935,S935&lt;75001)),$G935,IF(OR(AND(27500&lt;S935,S935&lt;30001),AND(57000&lt;S935,S935&lt;60001),AND(75000&lt;S935,S935&lt;77500)),$H935,VLOOKUP(S935,BDins,6,FALSE)))))</f>
        <v>3</v>
      </c>
      <c r="T937">
        <f>IF(T939&gt;10000,HLOOKUP(T939,$O935:S938,4,FALSE),IF(OR(AND(22500&lt;T935,T935&lt;25001),AND(50000&lt;T935,T935&lt;53501),AND(70000&lt;T935,T935&lt;72501)),$F935,IF(OR(AND(25001&lt;T935,T935&lt;27501),AND(53500&lt;T935,T935&lt;57001),AND(72500&lt;T935,T935&lt;75001)),$G935,IF(OR(AND(27500&lt;T935,T935&lt;30001),AND(57000&lt;T935,T935&lt;60001),AND(75000&lt;T935,T935&lt;77500)),$H935,VLOOKUP(T935,BDins,6,FALSE)))))</f>
        <v>1.7</v>
      </c>
      <c r="U937">
        <f>IF(U939&gt;10000,HLOOKUP(U939,$O935:T938,4,FALSE),IF(OR(AND(22500&lt;U935,U935&lt;25001),AND(50000&lt;U935,U935&lt;53501),AND(70000&lt;U935,U935&lt;72501)),$F935,IF(OR(AND(25001&lt;U935,U935&lt;27501),AND(53500&lt;U935,U935&lt;57001),AND(72500&lt;U935,U935&lt;75001)),$G935,IF(OR(AND(27500&lt;U935,U935&lt;30001),AND(57000&lt;U935,U935&lt;60001),AND(75000&lt;U935,U935&lt;77500)),$H935,VLOOKUP(U935,BDins,6,FALSE)))))</f>
        <v>2.5</v>
      </c>
      <c r="V937">
        <f>IF(V939&gt;10000,HLOOKUP(V939,$O935:U938,4,FALSE),IF(OR(AND(22500&lt;V935,V935&lt;25001),AND(50000&lt;V935,V935&lt;53501),AND(70000&lt;V935,V935&lt;72501)),$F935,IF(OR(AND(25001&lt;V935,V935&lt;27501),AND(53500&lt;V935,V935&lt;57001),AND(72500&lt;V935,V935&lt;75001)),$G935,IF(OR(AND(27500&lt;V935,V935&lt;30001),AND(57000&lt;V935,V935&lt;60001),AND(75000&lt;V935,V935&lt;77500)),$H935,VLOOKUP(V935,BDins,6,FALSE)))))</f>
        <v>15.46</v>
      </c>
    </row>
    <row r="938" spans="1:24" x14ac:dyDescent="0.2">
      <c r="O938">
        <f t="shared" ref="O938:V938" si="131">IF($K935&gt;0,ROUND(O936*$E935/100,DpCU),IF(O939&gt;10000,ROUND(HLOOKUP(O939,$O935:$V938,4,FALSE)/100*O936,DpCU),IF(OR(O935&lt;20001,O935&gt;95000,AND(60000&lt;O935,O935&lt;70001)),ROUND(ROUND(O936*JL/$C935,DcCU)*O937,DpCU),IF(OR(AND(20000&lt;O935,O935&lt;22501),AND(30000&lt;O935,O935&lt;50001),77500&lt;O935),ROUND(O937*O936,DpCU),IF(OR(AND(22500&lt;O935,O935&lt;25001),AND(50000&lt;O935,O935&lt;53501),AND(70000&lt;O935,O935&lt;72501)),ROUND($F935/100*O936,DpCU),IF(OR(AND(25000&lt;O935,O935&lt;27501),AND(53500&lt;O935,O935&lt;57001),AND(72500&lt;O935,O935&lt;75001)),ROUND($G935/100*O936,DpCU),ROUND($H935/100*O936,DpCU)))))))</f>
        <v>1</v>
      </c>
      <c r="P938">
        <f t="shared" si="131"/>
        <v>8.32</v>
      </c>
      <c r="Q938">
        <f t="shared" si="131"/>
        <v>6.14</v>
      </c>
      <c r="R938">
        <f t="shared" si="131"/>
        <v>0.46</v>
      </c>
      <c r="S938">
        <f t="shared" si="131"/>
        <v>3.15</v>
      </c>
      <c r="T938">
        <f t="shared" si="131"/>
        <v>0.85</v>
      </c>
      <c r="U938">
        <f t="shared" si="131"/>
        <v>1.25</v>
      </c>
      <c r="V938">
        <f t="shared" si="131"/>
        <v>0.77</v>
      </c>
    </row>
    <row r="939" spans="1:24" x14ac:dyDescent="0.2">
      <c r="B939" s="3" t="str">
        <f>A935&amp;"r"</f>
        <v>10187r</v>
      </c>
    </row>
    <row r="940" spans="1:24" x14ac:dyDescent="0.2">
      <c r="A940">
        <v>10188</v>
      </c>
      <c r="B940" s="3" t="s">
        <v>979</v>
      </c>
      <c r="C940" s="1">
        <f>ROUND(J940*JL*Frto/8,4)</f>
        <v>30</v>
      </c>
      <c r="D940" t="s">
        <v>194</v>
      </c>
      <c r="E940">
        <f>SUM($O943:$X943)</f>
        <v>20.66</v>
      </c>
      <c r="F940">
        <f>SUMIF($O940:$X940,"&lt;22501",$O943:$X943)</f>
        <v>10.32</v>
      </c>
      <c r="G940">
        <f>SUMIFS($O943:$X943,$O940:$X940,"&gt;30000",$O940:$X940,"&lt;50001")</f>
        <v>9.82</v>
      </c>
      <c r="H940">
        <f>SUMIFS($O943:$X943,$O940:$X940,"&gt;60000",$O940:$X940,"&lt;70001")</f>
        <v>0</v>
      </c>
      <c r="I940">
        <v>10</v>
      </c>
      <c r="J940">
        <v>30</v>
      </c>
      <c r="O940">
        <v>10001</v>
      </c>
      <c r="P940">
        <v>10002</v>
      </c>
      <c r="Q940">
        <v>10003</v>
      </c>
      <c r="R940">
        <v>30180</v>
      </c>
      <c r="S940">
        <v>30212</v>
      </c>
      <c r="T940">
        <v>30216</v>
      </c>
      <c r="U940">
        <v>30224</v>
      </c>
      <c r="V940">
        <v>30225</v>
      </c>
      <c r="W940">
        <v>30230</v>
      </c>
      <c r="X940">
        <v>70001</v>
      </c>
    </row>
    <row r="941" spans="1:24" x14ac:dyDescent="0.2">
      <c r="B941" s="3" t="str">
        <f>A940&amp;"C"</f>
        <v>10188C</v>
      </c>
      <c r="O941">
        <v>0.1</v>
      </c>
      <c r="P941">
        <v>1</v>
      </c>
      <c r="Q941">
        <v>1</v>
      </c>
      <c r="R941">
        <v>0.1</v>
      </c>
      <c r="S941">
        <v>0.05</v>
      </c>
      <c r="T941">
        <v>4.0000000000000001E-3</v>
      </c>
      <c r="U941">
        <v>0.1</v>
      </c>
      <c r="V941">
        <v>0.1</v>
      </c>
      <c r="W941">
        <v>0.22</v>
      </c>
      <c r="X941">
        <v>5</v>
      </c>
    </row>
    <row r="942" spans="1:24" x14ac:dyDescent="0.2">
      <c r="O942">
        <f>IF(O944&gt;10000,HLOOKUP(O944,N940:$O943,4,FALSE),IF(OR(AND(22500&lt;O940,O940&lt;25001),AND(50000&lt;O940,O940&lt;53501),AND(70000&lt;O940,O940&lt;72501)),$F940,IF(OR(AND(25001&lt;O940,O940&lt;27501),AND(53500&lt;O940,O940&lt;57001),AND(72500&lt;O940,O940&lt;75001)),$G940,IF(OR(AND(27500&lt;O940,O940&lt;30001),AND(57000&lt;O940,O940&lt;60001),AND(75000&lt;O940,O940&lt;77500)),$H940,VLOOKUP(O940,BDins,6,FALSE)))))</f>
        <v>24.97</v>
      </c>
      <c r="P942">
        <f>IF(P944&gt;10000,HLOOKUP(P944,O940:$O943,4,FALSE),IF(OR(AND(22500&lt;P940,P940&lt;25001),AND(50000&lt;P940,P940&lt;53501),AND(70000&lt;P940,P940&lt;72501)),$F940,IF(OR(AND(25001&lt;P940,P940&lt;27501),AND(53500&lt;P940,P940&lt;57001),AND(72500&lt;P940,P940&lt;75001)),$G940,IF(OR(AND(27500&lt;P940,P940&lt;30001),AND(57000&lt;P940,P940&lt;60001),AND(75000&lt;P940,P940&lt;77500)),$H940,VLOOKUP(P940,BDins,6,FALSE)))))</f>
        <v>20.81</v>
      </c>
      <c r="Q942">
        <f>IF(Q944&gt;10000,HLOOKUP(Q944,$O940:P943,4,FALSE),IF(OR(AND(22500&lt;Q940,Q940&lt;25001),AND(50000&lt;Q940,Q940&lt;53501),AND(70000&lt;Q940,Q940&lt;72501)),$F940,IF(OR(AND(25001&lt;Q940,Q940&lt;27501),AND(53500&lt;Q940,Q940&lt;57001),AND(72500&lt;Q940,Q940&lt;75001)),$G940,IF(OR(AND(27500&lt;Q940,Q940&lt;30001),AND(57000&lt;Q940,Q940&lt;60001),AND(75000&lt;Q940,Q940&lt;77500)),$H940,VLOOKUP(Q940,BDins,6,FALSE)))))</f>
        <v>15.36</v>
      </c>
      <c r="R942">
        <f>IF(R944&gt;10000,HLOOKUP(R944,$O940:Q943,4,FALSE),IF(OR(AND(22500&lt;R940,R940&lt;25001),AND(50000&lt;R940,R940&lt;53501),AND(70000&lt;R940,R940&lt;72501)),$F940,IF(OR(AND(25001&lt;R940,R940&lt;27501),AND(53500&lt;R940,R940&lt;57001),AND(72500&lt;R940,R940&lt;75001)),$G940,IF(OR(AND(27500&lt;R940,R940&lt;30001),AND(57000&lt;R940,R940&lt;60001),AND(75000&lt;R940,R940&lt;77500)),$H940,VLOOKUP(R940,BDins,6,FALSE)))))</f>
        <v>3.25</v>
      </c>
      <c r="S942">
        <f>IF(S944&gt;10000,HLOOKUP(S944,$O940:R943,4,FALSE),IF(OR(AND(22500&lt;S940,S940&lt;25001),AND(50000&lt;S940,S940&lt;53501),AND(70000&lt;S940,S940&lt;72501)),$F940,IF(OR(AND(25001&lt;S940,S940&lt;27501),AND(53500&lt;S940,S940&lt;57001),AND(72500&lt;S940,S940&lt;75001)),$G940,IF(OR(AND(27500&lt;S940,S940&lt;30001),AND(57000&lt;S940,S940&lt;60001),AND(75000&lt;S940,S940&lt;77500)),$H940,VLOOKUP(S940,BDins,6,FALSE)))))</f>
        <v>5.5</v>
      </c>
      <c r="T942">
        <f>IF(T944&gt;10000,HLOOKUP(T944,$O940:S943,4,FALSE),IF(OR(AND(22500&lt;T940,T940&lt;25001),AND(50000&lt;T940,T940&lt;53501),AND(70000&lt;T940,T940&lt;72501)),$F940,IF(OR(AND(25001&lt;T940,T940&lt;27501),AND(53500&lt;T940,T940&lt;57001),AND(72500&lt;T940,T940&lt;75001)),$G940,IF(OR(AND(27500&lt;T940,T940&lt;30001),AND(57000&lt;T940,T940&lt;60001),AND(75000&lt;T940,T940&lt;77500)),$H940,VLOOKUP(T940,BDins,6,FALSE)))))</f>
        <v>116</v>
      </c>
      <c r="U942">
        <f>IF(U944&gt;10000,HLOOKUP(U944,$O940:T943,4,FALSE),IF(OR(AND(22500&lt;U940,U940&lt;25001),AND(50000&lt;U940,U940&lt;53501),AND(70000&lt;U940,U940&lt;72501)),$F940,IF(OR(AND(25001&lt;U940,U940&lt;27501),AND(53500&lt;U940,U940&lt;57001),AND(72500&lt;U940,U940&lt;75001)),$G940,IF(OR(AND(27500&lt;U940,U940&lt;30001),AND(57000&lt;U940,U940&lt;60001),AND(75000&lt;U940,U940&lt;77500)),$H940,VLOOKUP(U940,BDins,6,FALSE)))))</f>
        <v>12.5</v>
      </c>
      <c r="V942">
        <f>IF(V944&gt;10000,HLOOKUP(V944,$O940:U943,4,FALSE),IF(OR(AND(22500&lt;V940,V940&lt;25001),AND(50000&lt;V940,V940&lt;53501),AND(70000&lt;V940,V940&lt;72501)),$F940,IF(OR(AND(25001&lt;V940,V940&lt;27501),AND(53500&lt;V940,V940&lt;57001),AND(72500&lt;V940,V940&lt;75001)),$G940,IF(OR(AND(27500&lt;V940,V940&lt;30001),AND(57000&lt;V940,V940&lt;60001),AND(75000&lt;V940,V940&lt;77500)),$H940,VLOOKUP(V940,BDins,6,FALSE)))))</f>
        <v>9</v>
      </c>
      <c r="W942">
        <f>IF(W944&gt;10000,HLOOKUP(W944,$O940:V943,4,FALSE),IF(OR(AND(22500&lt;W940,W940&lt;25001),AND(50000&lt;W940,W940&lt;53501),AND(70000&lt;W940,W940&lt;72501)),$F940,IF(OR(AND(25001&lt;W940,W940&lt;27501),AND(53500&lt;W940,W940&lt;57001),AND(72500&lt;W940,W940&lt;75001)),$G940,IF(OR(AND(27500&lt;W940,W940&lt;30001),AND(57000&lt;W940,W940&lt;60001),AND(75000&lt;W940,W940&lt;77500)),$H940,VLOOKUP(W940,BDins,6,FALSE)))))</f>
        <v>30</v>
      </c>
      <c r="X942">
        <f>IF(X944&gt;10000,HLOOKUP(X944,$O940:W943,4,FALSE),IF(OR(AND(22500&lt;X940,X940&lt;25001),AND(50000&lt;X940,X940&lt;53501),AND(70000&lt;X940,X940&lt;72501)),$F940,IF(OR(AND(25001&lt;X940,X940&lt;27501),AND(53500&lt;X940,X940&lt;57001),AND(72500&lt;X940,X940&lt;75001)),$G940,IF(OR(AND(27500&lt;X940,X940&lt;30001),AND(57000&lt;X940,X940&lt;60001),AND(75000&lt;X940,X940&lt;77500)),$H940,VLOOKUP(X940,BDins,6,FALSE)))))</f>
        <v>10.32</v>
      </c>
    </row>
    <row r="943" spans="1:24" x14ac:dyDescent="0.2">
      <c r="O943">
        <f t="shared" ref="O943:X943" si="132">IF($K940&gt;0,ROUND(O941*$E940/100,DpCU),IF(O944&gt;10000,ROUND(HLOOKUP(O944,$O940:$X943,4,FALSE)/100*O941,DpCU),IF(OR(O940&lt;20001,O940&gt;95000,AND(60000&lt;O940,O940&lt;70001)),ROUND(ROUND(O941*JL/$C940,DcCU)*O942,DpCU),IF(OR(AND(20000&lt;O940,O940&lt;22501),AND(30000&lt;O940,O940&lt;50001),77500&lt;O940),ROUND(O942*O941,DpCU),IF(OR(AND(22500&lt;O940,O940&lt;25001),AND(50000&lt;O940,O940&lt;53501),AND(70000&lt;O940,O940&lt;72501)),ROUND($F940/100*O941,DpCU),IF(OR(AND(25000&lt;O940,O940&lt;27501),AND(53500&lt;O940,O940&lt;57001),AND(72500&lt;O940,O940&lt;75001)),ROUND($G940/100*O941,DpCU),ROUND($H940/100*O941,DpCU)))))))</f>
        <v>0.67</v>
      </c>
      <c r="P943">
        <f t="shared" si="132"/>
        <v>5.55</v>
      </c>
      <c r="Q943">
        <f t="shared" si="132"/>
        <v>4.0999999999999996</v>
      </c>
      <c r="R943">
        <f t="shared" si="132"/>
        <v>0.33</v>
      </c>
      <c r="S943">
        <f t="shared" si="132"/>
        <v>0.28000000000000003</v>
      </c>
      <c r="T943">
        <f t="shared" si="132"/>
        <v>0.46</v>
      </c>
      <c r="U943">
        <f t="shared" si="132"/>
        <v>1.25</v>
      </c>
      <c r="V943">
        <f t="shared" si="132"/>
        <v>0.9</v>
      </c>
      <c r="W943">
        <f t="shared" si="132"/>
        <v>6.6</v>
      </c>
      <c r="X943">
        <f t="shared" si="132"/>
        <v>0.52</v>
      </c>
    </row>
    <row r="944" spans="1:24" x14ac:dyDescent="0.2">
      <c r="B944" s="3" t="str">
        <f>A940&amp;"r"</f>
        <v>10188r</v>
      </c>
    </row>
    <row r="945" spans="1:24" x14ac:dyDescent="0.2">
      <c r="A945">
        <v>10189</v>
      </c>
      <c r="B945" s="3" t="s">
        <v>985</v>
      </c>
      <c r="C945" s="1">
        <f>ROUND(J945*JL*Frto/8,4)</f>
        <v>10</v>
      </c>
      <c r="D945" t="s">
        <v>7</v>
      </c>
      <c r="E945">
        <f>SUM($O948:$X948)</f>
        <v>71.41</v>
      </c>
      <c r="F945">
        <f>SUMIF($O945:$X945,"&lt;22501",$O948:$X948)</f>
        <v>32.32</v>
      </c>
      <c r="G945">
        <f>SUMIFS($O948:$X948,$O945:$X945,"&gt;30000",$O945:$X945,"&lt;50001")</f>
        <v>37.47</v>
      </c>
      <c r="H945">
        <f>SUMIFS($O948:$X948,$O945:$X945,"&gt;60000",$O945:$X945,"&lt;70001")</f>
        <v>0</v>
      </c>
      <c r="I945">
        <v>10</v>
      </c>
      <c r="J945">
        <v>10</v>
      </c>
      <c r="O945">
        <v>10001</v>
      </c>
      <c r="P945">
        <v>10002</v>
      </c>
      <c r="Q945">
        <v>10008</v>
      </c>
      <c r="R945">
        <v>30180</v>
      </c>
      <c r="S945">
        <v>30204</v>
      </c>
      <c r="T945">
        <v>30211</v>
      </c>
      <c r="U945">
        <v>30231</v>
      </c>
      <c r="V945">
        <v>30232</v>
      </c>
      <c r="W945">
        <v>30233</v>
      </c>
      <c r="X945">
        <v>70001</v>
      </c>
    </row>
    <row r="946" spans="1:24" x14ac:dyDescent="0.2">
      <c r="B946" s="3" t="str">
        <f>A945&amp;"C"</f>
        <v>10189C</v>
      </c>
      <c r="O946">
        <v>0.1</v>
      </c>
      <c r="P946">
        <v>1</v>
      </c>
      <c r="Q946">
        <v>1</v>
      </c>
      <c r="R946">
        <v>1</v>
      </c>
      <c r="S946">
        <v>2</v>
      </c>
      <c r="T946">
        <v>1E-3</v>
      </c>
      <c r="U946">
        <v>2</v>
      </c>
      <c r="V946">
        <v>2</v>
      </c>
      <c r="W946">
        <v>1</v>
      </c>
      <c r="X946">
        <v>5</v>
      </c>
    </row>
    <row r="947" spans="1:24" x14ac:dyDescent="0.2">
      <c r="O947">
        <f>IF(O949&gt;10000,HLOOKUP(O949,N945:$O948,4,FALSE),IF(OR(AND(22500&lt;O945,O945&lt;25001),AND(50000&lt;O945,O945&lt;53501),AND(70000&lt;O945,O945&lt;72501)),$F945,IF(OR(AND(25001&lt;O945,O945&lt;27501),AND(53500&lt;O945,O945&lt;57001),AND(72500&lt;O945,O945&lt;75001)),$G945,IF(OR(AND(27500&lt;O945,O945&lt;30001),AND(57000&lt;O945,O945&lt;60001),AND(75000&lt;O945,O945&lt;77500)),$H945,VLOOKUP(O945,BDins,6,FALSE)))))</f>
        <v>24.97</v>
      </c>
      <c r="P947">
        <f>IF(P949&gt;10000,HLOOKUP(P949,O945:$O948,4,FALSE),IF(OR(AND(22500&lt;P945,P945&lt;25001),AND(50000&lt;P945,P945&lt;53501),AND(70000&lt;P945,P945&lt;72501)),$F945,IF(OR(AND(25001&lt;P945,P945&lt;27501),AND(53500&lt;P945,P945&lt;57001),AND(72500&lt;P945,P945&lt;75001)),$G945,IF(OR(AND(27500&lt;P945,P945&lt;30001),AND(57000&lt;P945,P945&lt;60001),AND(75000&lt;P945,P945&lt;77500)),$H945,VLOOKUP(P945,BDins,6,FALSE)))))</f>
        <v>20.81</v>
      </c>
      <c r="Q947">
        <f>IF(Q949&gt;10000,HLOOKUP(Q949,$O945:P948,4,FALSE),IF(OR(AND(22500&lt;Q945,Q945&lt;25001),AND(50000&lt;Q945,Q945&lt;53501),AND(70000&lt;Q945,Q945&lt;72501)),$F945,IF(OR(AND(25001&lt;Q945,Q945&lt;27501),AND(53500&lt;Q945,Q945&lt;57001),AND(72500&lt;Q945,Q945&lt;75001)),$G945,IF(OR(AND(27500&lt;Q945,Q945&lt;30001),AND(57000&lt;Q945,Q945&lt;60001),AND(75000&lt;Q945,Q945&lt;77500)),$H945,VLOOKUP(Q945,BDins,6,FALSE)))))</f>
        <v>17.09</v>
      </c>
      <c r="R947">
        <f>IF(R949&gt;10000,HLOOKUP(R949,$O945:Q948,4,FALSE),IF(OR(AND(22500&lt;R945,R945&lt;25001),AND(50000&lt;R945,R945&lt;53501),AND(70000&lt;R945,R945&lt;72501)),$F945,IF(OR(AND(25001&lt;R945,R945&lt;27501),AND(53500&lt;R945,R945&lt;57001),AND(72500&lt;R945,R945&lt;75001)),$G945,IF(OR(AND(27500&lt;R945,R945&lt;30001),AND(57000&lt;R945,R945&lt;60001),AND(75000&lt;R945,R945&lt;77500)),$H945,VLOOKUP(R945,BDins,6,FALSE)))))</f>
        <v>3.25</v>
      </c>
      <c r="S947">
        <f>IF(S949&gt;10000,HLOOKUP(S949,$O945:R948,4,FALSE),IF(OR(AND(22500&lt;S945,S945&lt;25001),AND(50000&lt;S945,S945&lt;53501),AND(70000&lt;S945,S945&lt;72501)),$F945,IF(OR(AND(25001&lt;S945,S945&lt;27501),AND(53500&lt;S945,S945&lt;57001),AND(72500&lt;S945,S945&lt;75001)),$G945,IF(OR(AND(27500&lt;S945,S945&lt;30001),AND(57000&lt;S945,S945&lt;60001),AND(75000&lt;S945,S945&lt;77500)),$H945,VLOOKUP(S945,BDins,6,FALSE)))))</f>
        <v>0.6</v>
      </c>
      <c r="T947">
        <f>IF(T949&gt;10000,HLOOKUP(T949,$O945:S948,4,FALSE),IF(OR(AND(22500&lt;T945,T945&lt;25001),AND(50000&lt;T945,T945&lt;53501),AND(70000&lt;T945,T945&lt;72501)),$F945,IF(OR(AND(25001&lt;T945,T945&lt;27501),AND(53500&lt;T945,T945&lt;57001),AND(72500&lt;T945,T945&lt;75001)),$G945,IF(OR(AND(27500&lt;T945,T945&lt;30001),AND(57000&lt;T945,T945&lt;60001),AND(75000&lt;T945,T945&lt;77500)),$H945,VLOOKUP(T945,BDins,6,FALSE)))))</f>
        <v>116</v>
      </c>
      <c r="U947">
        <f>IF(U949&gt;10000,HLOOKUP(U949,$O945:T948,4,FALSE),IF(OR(AND(22500&lt;U945,U945&lt;25001),AND(50000&lt;U945,U945&lt;53501),AND(70000&lt;U945,U945&lt;72501)),$F945,IF(OR(AND(25001&lt;U945,U945&lt;27501),AND(53500&lt;U945,U945&lt;57001),AND(72500&lt;U945,U945&lt;75001)),$G945,IF(OR(AND(27500&lt;U945,U945&lt;30001),AND(57000&lt;U945,U945&lt;60001),AND(75000&lt;U945,U945&lt;77500)),$H945,VLOOKUP(U945,BDins,6,FALSE)))))</f>
        <v>6.5</v>
      </c>
      <c r="V947">
        <f>IF(V949&gt;10000,HLOOKUP(V949,$O945:U948,4,FALSE),IF(OR(AND(22500&lt;V945,V945&lt;25001),AND(50000&lt;V945,V945&lt;53501),AND(70000&lt;V945,V945&lt;72501)),$F945,IF(OR(AND(25001&lt;V945,V945&lt;27501),AND(53500&lt;V945,V945&lt;57001),AND(72500&lt;V945,V945&lt;75001)),$G945,IF(OR(AND(27500&lt;V945,V945&lt;30001),AND(57000&lt;V945,V945&lt;60001),AND(75000&lt;V945,V945&lt;77500)),$H945,VLOOKUP(V945,BDins,6,FALSE)))))</f>
        <v>1.2</v>
      </c>
      <c r="W947">
        <f>IF(W949&gt;10000,HLOOKUP(W949,$O945:V948,4,FALSE),IF(OR(AND(22500&lt;W945,W945&lt;25001),AND(50000&lt;W945,W945&lt;53501),AND(70000&lt;W945,W945&lt;72501)),$F945,IF(OR(AND(25001&lt;W945,W945&lt;27501),AND(53500&lt;W945,W945&lt;57001),AND(72500&lt;W945,W945&lt;75001)),$G945,IF(OR(AND(27500&lt;W945,W945&lt;30001),AND(57000&lt;W945,W945&lt;60001),AND(75000&lt;W945,W945&lt;77500)),$H945,VLOOKUP(W945,BDins,6,FALSE)))))</f>
        <v>17.5</v>
      </c>
      <c r="X947">
        <f>IF(X949&gt;10000,HLOOKUP(X949,$O945:W948,4,FALSE),IF(OR(AND(22500&lt;X945,X945&lt;25001),AND(50000&lt;X945,X945&lt;53501),AND(70000&lt;X945,X945&lt;72501)),$F945,IF(OR(AND(25001&lt;X945,X945&lt;27501),AND(53500&lt;X945,X945&lt;57001),AND(72500&lt;X945,X945&lt;75001)),$G945,IF(OR(AND(27500&lt;X945,X945&lt;30001),AND(57000&lt;X945,X945&lt;60001),AND(75000&lt;X945,X945&lt;77500)),$H945,VLOOKUP(X945,BDins,6,FALSE)))))</f>
        <v>32.32</v>
      </c>
    </row>
    <row r="948" spans="1:24" x14ac:dyDescent="0.2">
      <c r="O948">
        <f t="shared" ref="O948:X948" si="133">IF($K945&gt;0,ROUND(O946*$E945/100,DpCU),IF(O949&gt;10000,ROUND(HLOOKUP(O949,$O945:$X948,4,FALSE)/100*O946,DpCU),IF(OR(O945&lt;20001,O945&gt;95000,AND(60000&lt;O945,O945&lt;70001)),ROUND(ROUND(O946*JL/$C945,DcCU)*O947,DpCU),IF(OR(AND(20000&lt;O945,O945&lt;22501),AND(30000&lt;O945,O945&lt;50001),77500&lt;O945),ROUND(O947*O946,DpCU),IF(OR(AND(22500&lt;O945,O945&lt;25001),AND(50000&lt;O945,O945&lt;53501),AND(70000&lt;O945,O945&lt;72501)),ROUND($F945/100*O946,DpCU),IF(OR(AND(25000&lt;O945,O945&lt;27501),AND(53500&lt;O945,O945&lt;57001),AND(72500&lt;O945,O945&lt;75001)),ROUND($G945/100*O946,DpCU),ROUND($H945/100*O946,DpCU)))))))</f>
        <v>2</v>
      </c>
      <c r="P948">
        <f t="shared" si="133"/>
        <v>16.649999999999999</v>
      </c>
      <c r="Q948">
        <f t="shared" si="133"/>
        <v>13.67</v>
      </c>
      <c r="R948">
        <f t="shared" si="133"/>
        <v>3.25</v>
      </c>
      <c r="S948">
        <f t="shared" si="133"/>
        <v>1.2</v>
      </c>
      <c r="T948">
        <f t="shared" si="133"/>
        <v>0.12</v>
      </c>
      <c r="U948">
        <f t="shared" si="133"/>
        <v>13</v>
      </c>
      <c r="V948">
        <f t="shared" si="133"/>
        <v>2.4</v>
      </c>
      <c r="W948">
        <f t="shared" si="133"/>
        <v>17.5</v>
      </c>
      <c r="X948">
        <f t="shared" si="133"/>
        <v>1.62</v>
      </c>
    </row>
    <row r="949" spans="1:24" x14ac:dyDescent="0.2">
      <c r="B949" s="3" t="str">
        <f>A945&amp;"r"</f>
        <v>10189r</v>
      </c>
    </row>
    <row r="950" spans="1:24" x14ac:dyDescent="0.2">
      <c r="A950">
        <v>10190</v>
      </c>
      <c r="B950" s="3" t="s">
        <v>990</v>
      </c>
      <c r="C950" s="1">
        <f>ROUND(J950*JL*Frto/8,4)</f>
        <v>7.5</v>
      </c>
      <c r="D950" t="s">
        <v>174</v>
      </c>
      <c r="E950">
        <f>SUM($O953:$X953)</f>
        <v>97.110000000000014</v>
      </c>
      <c r="F950">
        <f>SUMIF($O950:$X950,"&lt;22501",$O953:$X953)</f>
        <v>43.09</v>
      </c>
      <c r="G950">
        <f>SUMIFS($O953:$X953,$O950:$X950,"&gt;30000",$O950:$X950,"&lt;50001")</f>
        <v>51.870000000000005</v>
      </c>
      <c r="H950">
        <f>SUMIFS($O953:$X953,$O950:$X950,"&gt;60000",$O950:$X950,"&lt;70001")</f>
        <v>0</v>
      </c>
      <c r="I950">
        <v>10</v>
      </c>
      <c r="J950">
        <v>7.5</v>
      </c>
      <c r="O950">
        <v>10001</v>
      </c>
      <c r="P950">
        <v>10002</v>
      </c>
      <c r="Q950">
        <v>10008</v>
      </c>
      <c r="R950">
        <v>30180</v>
      </c>
      <c r="S950">
        <v>30211</v>
      </c>
      <c r="T950">
        <v>30234</v>
      </c>
      <c r="U950">
        <v>30235</v>
      </c>
      <c r="V950">
        <v>30236</v>
      </c>
      <c r="W950">
        <v>30237</v>
      </c>
      <c r="X950">
        <v>70001</v>
      </c>
    </row>
    <row r="951" spans="1:24" x14ac:dyDescent="0.2">
      <c r="B951" s="3" t="str">
        <f>A950&amp;"C"</f>
        <v>10190C</v>
      </c>
      <c r="O951">
        <v>0.1</v>
      </c>
      <c r="P951">
        <v>1</v>
      </c>
      <c r="Q951">
        <v>1</v>
      </c>
      <c r="R951">
        <v>1</v>
      </c>
      <c r="S951">
        <v>1E-3</v>
      </c>
      <c r="T951">
        <v>2</v>
      </c>
      <c r="U951">
        <v>2</v>
      </c>
      <c r="V951">
        <v>2</v>
      </c>
      <c r="W951">
        <v>1</v>
      </c>
      <c r="X951">
        <v>5</v>
      </c>
    </row>
    <row r="952" spans="1:24" x14ac:dyDescent="0.2">
      <c r="O952">
        <f>IF(O954&gt;10000,HLOOKUP(O954,N950:$O953,4,FALSE),IF(OR(AND(22500&lt;O950,O950&lt;25001),AND(50000&lt;O950,O950&lt;53501),AND(70000&lt;O950,O950&lt;72501)),$F950,IF(OR(AND(25001&lt;O950,O950&lt;27501),AND(53500&lt;O950,O950&lt;57001),AND(72500&lt;O950,O950&lt;75001)),$G950,IF(OR(AND(27500&lt;O950,O950&lt;30001),AND(57000&lt;O950,O950&lt;60001),AND(75000&lt;O950,O950&lt;77500)),$H950,VLOOKUP(O950,BDins,6,FALSE)))))</f>
        <v>24.97</v>
      </c>
      <c r="P952">
        <f>IF(P954&gt;10000,HLOOKUP(P954,O950:$O953,4,FALSE),IF(OR(AND(22500&lt;P950,P950&lt;25001),AND(50000&lt;P950,P950&lt;53501),AND(70000&lt;P950,P950&lt;72501)),$F950,IF(OR(AND(25001&lt;P950,P950&lt;27501),AND(53500&lt;P950,P950&lt;57001),AND(72500&lt;P950,P950&lt;75001)),$G950,IF(OR(AND(27500&lt;P950,P950&lt;30001),AND(57000&lt;P950,P950&lt;60001),AND(75000&lt;P950,P950&lt;77500)),$H950,VLOOKUP(P950,BDins,6,FALSE)))))</f>
        <v>20.81</v>
      </c>
      <c r="Q952">
        <f>IF(Q954&gt;10000,HLOOKUP(Q954,$O950:P953,4,FALSE),IF(OR(AND(22500&lt;Q950,Q950&lt;25001),AND(50000&lt;Q950,Q950&lt;53501),AND(70000&lt;Q950,Q950&lt;72501)),$F950,IF(OR(AND(25001&lt;Q950,Q950&lt;27501),AND(53500&lt;Q950,Q950&lt;57001),AND(72500&lt;Q950,Q950&lt;75001)),$G950,IF(OR(AND(27500&lt;Q950,Q950&lt;30001),AND(57000&lt;Q950,Q950&lt;60001),AND(75000&lt;Q950,Q950&lt;77500)),$H950,VLOOKUP(Q950,BDins,6,FALSE)))))</f>
        <v>17.09</v>
      </c>
      <c r="R952">
        <f>IF(R954&gt;10000,HLOOKUP(R954,$O950:Q953,4,FALSE),IF(OR(AND(22500&lt;R950,R950&lt;25001),AND(50000&lt;R950,R950&lt;53501),AND(70000&lt;R950,R950&lt;72501)),$F950,IF(OR(AND(25001&lt;R950,R950&lt;27501),AND(53500&lt;R950,R950&lt;57001),AND(72500&lt;R950,R950&lt;75001)),$G950,IF(OR(AND(27500&lt;R950,R950&lt;30001),AND(57000&lt;R950,R950&lt;60001),AND(75000&lt;R950,R950&lt;77500)),$H950,VLOOKUP(R950,BDins,6,FALSE)))))</f>
        <v>3.25</v>
      </c>
      <c r="S952">
        <f>IF(S954&gt;10000,HLOOKUP(S954,$O950:R953,4,FALSE),IF(OR(AND(22500&lt;S950,S950&lt;25001),AND(50000&lt;S950,S950&lt;53501),AND(70000&lt;S950,S950&lt;72501)),$F950,IF(OR(AND(25001&lt;S950,S950&lt;27501),AND(53500&lt;S950,S950&lt;57001),AND(72500&lt;S950,S950&lt;75001)),$G950,IF(OR(AND(27500&lt;S950,S950&lt;30001),AND(57000&lt;S950,S950&lt;60001),AND(75000&lt;S950,S950&lt;77500)),$H950,VLOOKUP(S950,BDins,6,FALSE)))))</f>
        <v>116</v>
      </c>
      <c r="T952">
        <f>IF(T954&gt;10000,HLOOKUP(T954,$O950:S953,4,FALSE),IF(OR(AND(22500&lt;T950,T950&lt;25001),AND(50000&lt;T950,T950&lt;53501),AND(70000&lt;T950,T950&lt;72501)),$F950,IF(OR(AND(25001&lt;T950,T950&lt;27501),AND(53500&lt;T950,T950&lt;57001),AND(72500&lt;T950,T950&lt;75001)),$G950,IF(OR(AND(27500&lt;T950,T950&lt;30001),AND(57000&lt;T950,T950&lt;60001),AND(75000&lt;T950,T950&lt;77500)),$H950,VLOOKUP(T950,BDins,6,FALSE)))))</f>
        <v>7.5</v>
      </c>
      <c r="U952">
        <f>IF(U954&gt;10000,HLOOKUP(U954,$O950:T953,4,FALSE),IF(OR(AND(22500&lt;U950,U950&lt;25001),AND(50000&lt;U950,U950&lt;53501),AND(70000&lt;U950,U950&lt;72501)),$F950,IF(OR(AND(25001&lt;U950,U950&lt;27501),AND(53500&lt;U950,U950&lt;57001),AND(72500&lt;U950,U950&lt;75001)),$G950,IF(OR(AND(27500&lt;U950,U950&lt;30001),AND(57000&lt;U950,U950&lt;60001),AND(75000&lt;U950,U950&lt;77500)),$H950,VLOOKUP(U950,BDins,6,FALSE)))))</f>
        <v>2.2000000000000002</v>
      </c>
      <c r="V952">
        <f>IF(V954&gt;10000,HLOOKUP(V954,$O950:U953,4,FALSE),IF(OR(AND(22500&lt;V950,V950&lt;25001),AND(50000&lt;V950,V950&lt;53501),AND(70000&lt;V950,V950&lt;72501)),$F950,IF(OR(AND(25001&lt;V950,V950&lt;27501),AND(53500&lt;V950,V950&lt;57001),AND(72500&lt;V950,V950&lt;75001)),$G950,IF(OR(AND(27500&lt;V950,V950&lt;30001),AND(57000&lt;V950,V950&lt;60001),AND(75000&lt;V950,V950&lt;77500)),$H950,VLOOKUP(V950,BDins,6,FALSE)))))</f>
        <v>1.2</v>
      </c>
      <c r="W952">
        <f>IF(W954&gt;10000,HLOOKUP(W954,$O950:V953,4,FALSE),IF(OR(AND(22500&lt;W950,W950&lt;25001),AND(50000&lt;W950,W950&lt;53501),AND(70000&lt;W950,W950&lt;72501)),$F950,IF(OR(AND(25001&lt;W950,W950&lt;27501),AND(53500&lt;W950,W950&lt;57001),AND(72500&lt;W950,W950&lt;75001)),$G950,IF(OR(AND(27500&lt;W950,W950&lt;30001),AND(57000&lt;W950,W950&lt;60001),AND(75000&lt;W950,W950&lt;77500)),$H950,VLOOKUP(W950,BDins,6,FALSE)))))</f>
        <v>26.7</v>
      </c>
      <c r="X952">
        <f>IF(X954&gt;10000,HLOOKUP(X954,$O950:W953,4,FALSE),IF(OR(AND(22500&lt;X950,X950&lt;25001),AND(50000&lt;X950,X950&lt;53501),AND(70000&lt;X950,X950&lt;72501)),$F950,IF(OR(AND(25001&lt;X950,X950&lt;27501),AND(53500&lt;X950,X950&lt;57001),AND(72500&lt;X950,X950&lt;75001)),$G950,IF(OR(AND(27500&lt;X950,X950&lt;30001),AND(57000&lt;X950,X950&lt;60001),AND(75000&lt;X950,X950&lt;77500)),$H950,VLOOKUP(X950,BDins,6,FALSE)))))</f>
        <v>43.09</v>
      </c>
    </row>
    <row r="953" spans="1:24" x14ac:dyDescent="0.2">
      <c r="O953">
        <f t="shared" ref="O953:X953" si="134">IF($K950&gt;0,ROUND(O951*$E950/100,DpCU),IF(O954&gt;10000,ROUND(HLOOKUP(O954,$O950:$X953,4,FALSE)/100*O951,DpCU),IF(OR(O950&lt;20001,O950&gt;95000,AND(60000&lt;O950,O950&lt;70001)),ROUND(ROUND(O951*JL/$C950,DcCU)*O952,DpCU),IF(OR(AND(20000&lt;O950,O950&lt;22501),AND(30000&lt;O950,O950&lt;50001),77500&lt;O950),ROUND(O952*O951,DpCU),IF(OR(AND(22500&lt;O950,O950&lt;25001),AND(50000&lt;O950,O950&lt;53501),AND(70000&lt;O950,O950&lt;72501)),ROUND($F950/100*O951,DpCU),IF(OR(AND(25000&lt;O950,O950&lt;27501),AND(53500&lt;O950,O950&lt;57001),AND(72500&lt;O950,O950&lt;75001)),ROUND($G950/100*O951,DpCU),ROUND($H950/100*O951,DpCU)))))))</f>
        <v>2.66</v>
      </c>
      <c r="P953">
        <f t="shared" si="134"/>
        <v>22.2</v>
      </c>
      <c r="Q953">
        <f t="shared" si="134"/>
        <v>18.23</v>
      </c>
      <c r="R953">
        <f t="shared" si="134"/>
        <v>3.25</v>
      </c>
      <c r="S953">
        <f t="shared" si="134"/>
        <v>0.12</v>
      </c>
      <c r="T953">
        <f t="shared" si="134"/>
        <v>15</v>
      </c>
      <c r="U953">
        <f t="shared" si="134"/>
        <v>4.4000000000000004</v>
      </c>
      <c r="V953">
        <f t="shared" si="134"/>
        <v>2.4</v>
      </c>
      <c r="W953">
        <f t="shared" si="134"/>
        <v>26.7</v>
      </c>
      <c r="X953">
        <f t="shared" si="134"/>
        <v>2.15</v>
      </c>
    </row>
    <row r="954" spans="1:24" x14ac:dyDescent="0.2">
      <c r="B954" s="3" t="str">
        <f>A950&amp;"r"</f>
        <v>10190r</v>
      </c>
    </row>
    <row r="955" spans="1:24" x14ac:dyDescent="0.2">
      <c r="A955">
        <v>10191</v>
      </c>
      <c r="B955" s="3" t="s">
        <v>996</v>
      </c>
      <c r="C955" s="1">
        <f>ROUND(J955*JL*Frto/8,4)</f>
        <v>10</v>
      </c>
      <c r="D955" t="s">
        <v>7</v>
      </c>
      <c r="E955">
        <f>SUM($O958:$X958)</f>
        <v>46.41</v>
      </c>
      <c r="F955">
        <f>SUMIF($O955:$X955,"&lt;22501",$O958:$X958)</f>
        <v>32.32</v>
      </c>
      <c r="G955">
        <f>SUMIFS($O958:$X958,$O955:$X955,"&gt;30000",$O955:$X955,"&lt;50001")</f>
        <v>12.47</v>
      </c>
      <c r="H955">
        <f>SUMIFS($O958:$X958,$O955:$X955,"&gt;60000",$O955:$X955,"&lt;70001")</f>
        <v>0</v>
      </c>
      <c r="I955">
        <v>10</v>
      </c>
      <c r="J955">
        <v>10</v>
      </c>
      <c r="O955">
        <v>10001</v>
      </c>
      <c r="P955">
        <v>10002</v>
      </c>
      <c r="Q955">
        <v>10008</v>
      </c>
      <c r="R955">
        <v>30180</v>
      </c>
      <c r="S955">
        <v>30211</v>
      </c>
      <c r="T955">
        <v>30238</v>
      </c>
      <c r="U955">
        <v>30239</v>
      </c>
      <c r="V955">
        <v>30240</v>
      </c>
      <c r="W955">
        <v>30241</v>
      </c>
      <c r="X955">
        <v>70001</v>
      </c>
    </row>
    <row r="956" spans="1:24" x14ac:dyDescent="0.2">
      <c r="B956" s="3" t="str">
        <f>A955&amp;"C"</f>
        <v>10191C</v>
      </c>
      <c r="O956">
        <v>0.1</v>
      </c>
      <c r="P956">
        <v>1</v>
      </c>
      <c r="Q956">
        <v>1</v>
      </c>
      <c r="R956">
        <v>1</v>
      </c>
      <c r="S956">
        <v>1E-3</v>
      </c>
      <c r="T956">
        <v>2</v>
      </c>
      <c r="U956">
        <v>2</v>
      </c>
      <c r="V956">
        <v>2</v>
      </c>
      <c r="W956">
        <v>1</v>
      </c>
      <c r="X956">
        <v>5</v>
      </c>
    </row>
    <row r="957" spans="1:24" x14ac:dyDescent="0.2">
      <c r="O957">
        <f>IF(O959&gt;10000,HLOOKUP(O959,N955:$O958,4,FALSE),IF(OR(AND(22500&lt;O955,O955&lt;25001),AND(50000&lt;O955,O955&lt;53501),AND(70000&lt;O955,O955&lt;72501)),$F955,IF(OR(AND(25001&lt;O955,O955&lt;27501),AND(53500&lt;O955,O955&lt;57001),AND(72500&lt;O955,O955&lt;75001)),$G955,IF(OR(AND(27500&lt;O955,O955&lt;30001),AND(57000&lt;O955,O955&lt;60001),AND(75000&lt;O955,O955&lt;77500)),$H955,VLOOKUP(O955,BDins,6,FALSE)))))</f>
        <v>24.97</v>
      </c>
      <c r="P957">
        <f>IF(P959&gt;10000,HLOOKUP(P959,O955:$O958,4,FALSE),IF(OR(AND(22500&lt;P955,P955&lt;25001),AND(50000&lt;P955,P955&lt;53501),AND(70000&lt;P955,P955&lt;72501)),$F955,IF(OR(AND(25001&lt;P955,P955&lt;27501),AND(53500&lt;P955,P955&lt;57001),AND(72500&lt;P955,P955&lt;75001)),$G955,IF(OR(AND(27500&lt;P955,P955&lt;30001),AND(57000&lt;P955,P955&lt;60001),AND(75000&lt;P955,P955&lt;77500)),$H955,VLOOKUP(P955,BDins,6,FALSE)))))</f>
        <v>20.81</v>
      </c>
      <c r="Q957">
        <f>IF(Q959&gt;10000,HLOOKUP(Q959,$O955:P958,4,FALSE),IF(OR(AND(22500&lt;Q955,Q955&lt;25001),AND(50000&lt;Q955,Q955&lt;53501),AND(70000&lt;Q955,Q955&lt;72501)),$F955,IF(OR(AND(25001&lt;Q955,Q955&lt;27501),AND(53500&lt;Q955,Q955&lt;57001),AND(72500&lt;Q955,Q955&lt;75001)),$G955,IF(OR(AND(27500&lt;Q955,Q955&lt;30001),AND(57000&lt;Q955,Q955&lt;60001),AND(75000&lt;Q955,Q955&lt;77500)),$H955,VLOOKUP(Q955,BDins,6,FALSE)))))</f>
        <v>17.09</v>
      </c>
      <c r="R957">
        <f>IF(R959&gt;10000,HLOOKUP(R959,$O955:Q958,4,FALSE),IF(OR(AND(22500&lt;R955,R955&lt;25001),AND(50000&lt;R955,R955&lt;53501),AND(70000&lt;R955,R955&lt;72501)),$F955,IF(OR(AND(25001&lt;R955,R955&lt;27501),AND(53500&lt;R955,R955&lt;57001),AND(72500&lt;R955,R955&lt;75001)),$G955,IF(OR(AND(27500&lt;R955,R955&lt;30001),AND(57000&lt;R955,R955&lt;60001),AND(75000&lt;R955,R955&lt;77500)),$H955,VLOOKUP(R955,BDins,6,FALSE)))))</f>
        <v>3.25</v>
      </c>
      <c r="S957">
        <f>IF(S959&gt;10000,HLOOKUP(S959,$O955:R958,4,FALSE),IF(OR(AND(22500&lt;S955,S955&lt;25001),AND(50000&lt;S955,S955&lt;53501),AND(70000&lt;S955,S955&lt;72501)),$F955,IF(OR(AND(25001&lt;S955,S955&lt;27501),AND(53500&lt;S955,S955&lt;57001),AND(72500&lt;S955,S955&lt;75001)),$G955,IF(OR(AND(27500&lt;S955,S955&lt;30001),AND(57000&lt;S955,S955&lt;60001),AND(75000&lt;S955,S955&lt;77500)),$H955,VLOOKUP(S955,BDins,6,FALSE)))))</f>
        <v>116</v>
      </c>
      <c r="T957">
        <f>IF(T959&gt;10000,HLOOKUP(T959,$O955:S958,4,FALSE),IF(OR(AND(22500&lt;T955,T955&lt;25001),AND(50000&lt;T955,T955&lt;53501),AND(70000&lt;T955,T955&lt;72501)),$F955,IF(OR(AND(25001&lt;T955,T955&lt;27501),AND(53500&lt;T955,T955&lt;57001),AND(72500&lt;T955,T955&lt;75001)),$G955,IF(OR(AND(27500&lt;T955,T955&lt;30001),AND(57000&lt;T955,T955&lt;60001),AND(75000&lt;T955,T955&lt;77500)),$H955,VLOOKUP(T955,BDins,6,FALSE)))))</f>
        <v>1.3</v>
      </c>
      <c r="U957">
        <f>IF(U959&gt;10000,HLOOKUP(U959,$O955:T958,4,FALSE),IF(OR(AND(22500&lt;U955,U955&lt;25001),AND(50000&lt;U955,U955&lt;53501),AND(70000&lt;U955,U955&lt;72501)),$F955,IF(OR(AND(25001&lt;U955,U955&lt;27501),AND(53500&lt;U955,U955&lt;57001),AND(72500&lt;U955,U955&lt;75001)),$G955,IF(OR(AND(27500&lt;U955,U955&lt;30001),AND(57000&lt;U955,U955&lt;60001),AND(75000&lt;U955,U955&lt;77500)),$H955,VLOOKUP(U955,BDins,6,FALSE)))))</f>
        <v>1.3</v>
      </c>
      <c r="V957">
        <f>IF(V959&gt;10000,HLOOKUP(V959,$O955:U958,4,FALSE),IF(OR(AND(22500&lt;V955,V955&lt;25001),AND(50000&lt;V955,V955&lt;53501),AND(70000&lt;V955,V955&lt;72501)),$F955,IF(OR(AND(25001&lt;V955,V955&lt;27501),AND(53500&lt;V955,V955&lt;57001),AND(72500&lt;V955,V955&lt;75001)),$G955,IF(OR(AND(27500&lt;V955,V955&lt;30001),AND(57000&lt;V955,V955&lt;60001),AND(75000&lt;V955,V955&lt;77500)),$H955,VLOOKUP(V955,BDins,6,FALSE)))))</f>
        <v>1.3</v>
      </c>
      <c r="W957">
        <f>IF(W959&gt;10000,HLOOKUP(W959,$O955:V958,4,FALSE),IF(OR(AND(22500&lt;W955,W955&lt;25001),AND(50000&lt;W955,W955&lt;53501),AND(70000&lt;W955,W955&lt;72501)),$F955,IF(OR(AND(25001&lt;W955,W955&lt;27501),AND(53500&lt;W955,W955&lt;57001),AND(72500&lt;W955,W955&lt;75001)),$G955,IF(OR(AND(27500&lt;W955,W955&lt;30001),AND(57000&lt;W955,W955&lt;60001),AND(75000&lt;W955,W955&lt;77500)),$H955,VLOOKUP(W955,BDins,6,FALSE)))))</f>
        <v>1.3</v>
      </c>
      <c r="X957">
        <f>IF(X959&gt;10000,HLOOKUP(X959,$O955:W958,4,FALSE),IF(OR(AND(22500&lt;X955,X955&lt;25001),AND(50000&lt;X955,X955&lt;53501),AND(70000&lt;X955,X955&lt;72501)),$F955,IF(OR(AND(25001&lt;X955,X955&lt;27501),AND(53500&lt;X955,X955&lt;57001),AND(72500&lt;X955,X955&lt;75001)),$G955,IF(OR(AND(27500&lt;X955,X955&lt;30001),AND(57000&lt;X955,X955&lt;60001),AND(75000&lt;X955,X955&lt;77500)),$H955,VLOOKUP(X955,BDins,6,FALSE)))))</f>
        <v>32.32</v>
      </c>
    </row>
    <row r="958" spans="1:24" x14ac:dyDescent="0.2">
      <c r="O958">
        <f t="shared" ref="O958:X958" si="135">IF($K955&gt;0,ROUND(O956*$E955/100,DpCU),IF(O959&gt;10000,ROUND(HLOOKUP(O959,$O955:$X958,4,FALSE)/100*O956,DpCU),IF(OR(O955&lt;20001,O955&gt;95000,AND(60000&lt;O955,O955&lt;70001)),ROUND(ROUND(O956*JL/$C955,DcCU)*O957,DpCU),IF(OR(AND(20000&lt;O955,O955&lt;22501),AND(30000&lt;O955,O955&lt;50001),77500&lt;O955),ROUND(O957*O956,DpCU),IF(OR(AND(22500&lt;O955,O955&lt;25001),AND(50000&lt;O955,O955&lt;53501),AND(70000&lt;O955,O955&lt;72501)),ROUND($F955/100*O956,DpCU),IF(OR(AND(25000&lt;O955,O955&lt;27501),AND(53500&lt;O955,O955&lt;57001),AND(72500&lt;O955,O955&lt;75001)),ROUND($G955/100*O956,DpCU),ROUND($H955/100*O956,DpCU)))))))</f>
        <v>2</v>
      </c>
      <c r="P958">
        <f t="shared" si="135"/>
        <v>16.649999999999999</v>
      </c>
      <c r="Q958">
        <f t="shared" si="135"/>
        <v>13.67</v>
      </c>
      <c r="R958">
        <f t="shared" si="135"/>
        <v>3.25</v>
      </c>
      <c r="S958">
        <f t="shared" si="135"/>
        <v>0.12</v>
      </c>
      <c r="T958">
        <f t="shared" si="135"/>
        <v>2.6</v>
      </c>
      <c r="U958">
        <f t="shared" si="135"/>
        <v>2.6</v>
      </c>
      <c r="V958">
        <f t="shared" si="135"/>
        <v>2.6</v>
      </c>
      <c r="W958">
        <f t="shared" si="135"/>
        <v>1.3</v>
      </c>
      <c r="X958">
        <f t="shared" si="135"/>
        <v>1.62</v>
      </c>
    </row>
    <row r="959" spans="1:24" x14ac:dyDescent="0.2">
      <c r="B959" s="3" t="str">
        <f>A955&amp;"r"</f>
        <v>10191r</v>
      </c>
    </row>
    <row r="960" spans="1:24" x14ac:dyDescent="0.2">
      <c r="A960">
        <v>10192</v>
      </c>
      <c r="B960" s="3" t="s">
        <v>1002</v>
      </c>
      <c r="C960" s="1">
        <f>ROUND(J960*JL*Frto/8,4)</f>
        <v>10</v>
      </c>
      <c r="D960" t="s">
        <v>7</v>
      </c>
      <c r="E960">
        <f>SUM($O963:$X963)</f>
        <v>61.809999999999995</v>
      </c>
      <c r="F960">
        <f>SUMIF($O960:$X960,"&lt;22501",$O963:$X963)</f>
        <v>32.32</v>
      </c>
      <c r="G960">
        <f>SUMIFS($O963:$X963,$O960:$X960,"&gt;30000",$O960:$X960,"&lt;50001")</f>
        <v>27.87</v>
      </c>
      <c r="H960">
        <f>SUMIFS($O963:$X963,$O960:$X960,"&gt;60000",$O960:$X960,"&lt;70001")</f>
        <v>0</v>
      </c>
      <c r="I960">
        <v>10</v>
      </c>
      <c r="J960">
        <v>10</v>
      </c>
      <c r="O960">
        <v>10001</v>
      </c>
      <c r="P960">
        <v>10002</v>
      </c>
      <c r="Q960">
        <v>10008</v>
      </c>
      <c r="R960">
        <v>30180</v>
      </c>
      <c r="S960">
        <v>30211</v>
      </c>
      <c r="T960">
        <v>30242</v>
      </c>
      <c r="U960">
        <v>30243</v>
      </c>
      <c r="V960">
        <v>30244</v>
      </c>
      <c r="W960">
        <v>30245</v>
      </c>
      <c r="X960">
        <v>70001</v>
      </c>
    </row>
    <row r="961" spans="1:24" x14ac:dyDescent="0.2">
      <c r="B961" s="3" t="str">
        <f>A960&amp;"C"</f>
        <v>10192C</v>
      </c>
      <c r="O961">
        <v>0.1</v>
      </c>
      <c r="P961">
        <v>1</v>
      </c>
      <c r="Q961">
        <v>1</v>
      </c>
      <c r="R961">
        <v>1</v>
      </c>
      <c r="S961">
        <v>1E-3</v>
      </c>
      <c r="T961">
        <v>2</v>
      </c>
      <c r="U961">
        <v>2</v>
      </c>
      <c r="V961">
        <v>2</v>
      </c>
      <c r="W961">
        <v>1</v>
      </c>
      <c r="X961">
        <v>5</v>
      </c>
    </row>
    <row r="962" spans="1:24" x14ac:dyDescent="0.2">
      <c r="O962">
        <f>IF(O964&gt;10000,HLOOKUP(O964,N960:$O963,4,FALSE),IF(OR(AND(22500&lt;O960,O960&lt;25001),AND(50000&lt;O960,O960&lt;53501),AND(70000&lt;O960,O960&lt;72501)),$F960,IF(OR(AND(25001&lt;O960,O960&lt;27501),AND(53500&lt;O960,O960&lt;57001),AND(72500&lt;O960,O960&lt;75001)),$G960,IF(OR(AND(27500&lt;O960,O960&lt;30001),AND(57000&lt;O960,O960&lt;60001),AND(75000&lt;O960,O960&lt;77500)),$H960,VLOOKUP(O960,BDins,6,FALSE)))))</f>
        <v>24.97</v>
      </c>
      <c r="P962">
        <f>IF(P964&gt;10000,HLOOKUP(P964,O960:$O963,4,FALSE),IF(OR(AND(22500&lt;P960,P960&lt;25001),AND(50000&lt;P960,P960&lt;53501),AND(70000&lt;P960,P960&lt;72501)),$F960,IF(OR(AND(25001&lt;P960,P960&lt;27501),AND(53500&lt;P960,P960&lt;57001),AND(72500&lt;P960,P960&lt;75001)),$G960,IF(OR(AND(27500&lt;P960,P960&lt;30001),AND(57000&lt;P960,P960&lt;60001),AND(75000&lt;P960,P960&lt;77500)),$H960,VLOOKUP(P960,BDins,6,FALSE)))))</f>
        <v>20.81</v>
      </c>
      <c r="Q962">
        <f>IF(Q964&gt;10000,HLOOKUP(Q964,$O960:P963,4,FALSE),IF(OR(AND(22500&lt;Q960,Q960&lt;25001),AND(50000&lt;Q960,Q960&lt;53501),AND(70000&lt;Q960,Q960&lt;72501)),$F960,IF(OR(AND(25001&lt;Q960,Q960&lt;27501),AND(53500&lt;Q960,Q960&lt;57001),AND(72500&lt;Q960,Q960&lt;75001)),$G960,IF(OR(AND(27500&lt;Q960,Q960&lt;30001),AND(57000&lt;Q960,Q960&lt;60001),AND(75000&lt;Q960,Q960&lt;77500)),$H960,VLOOKUP(Q960,BDins,6,FALSE)))))</f>
        <v>17.09</v>
      </c>
      <c r="R962">
        <f>IF(R964&gt;10000,HLOOKUP(R964,$O960:Q963,4,FALSE),IF(OR(AND(22500&lt;R960,R960&lt;25001),AND(50000&lt;R960,R960&lt;53501),AND(70000&lt;R960,R960&lt;72501)),$F960,IF(OR(AND(25001&lt;R960,R960&lt;27501),AND(53500&lt;R960,R960&lt;57001),AND(72500&lt;R960,R960&lt;75001)),$G960,IF(OR(AND(27500&lt;R960,R960&lt;30001),AND(57000&lt;R960,R960&lt;60001),AND(75000&lt;R960,R960&lt;77500)),$H960,VLOOKUP(R960,BDins,6,FALSE)))))</f>
        <v>3.25</v>
      </c>
      <c r="S962">
        <f>IF(S964&gt;10000,HLOOKUP(S964,$O960:R963,4,FALSE),IF(OR(AND(22500&lt;S960,S960&lt;25001),AND(50000&lt;S960,S960&lt;53501),AND(70000&lt;S960,S960&lt;72501)),$F960,IF(OR(AND(25001&lt;S960,S960&lt;27501),AND(53500&lt;S960,S960&lt;57001),AND(72500&lt;S960,S960&lt;75001)),$G960,IF(OR(AND(27500&lt;S960,S960&lt;30001),AND(57000&lt;S960,S960&lt;60001),AND(75000&lt;S960,S960&lt;77500)),$H960,VLOOKUP(S960,BDins,6,FALSE)))))</f>
        <v>116</v>
      </c>
      <c r="T962">
        <f>IF(T964&gt;10000,HLOOKUP(T964,$O960:S963,4,FALSE),IF(OR(AND(22500&lt;T960,T960&lt;25001),AND(50000&lt;T960,T960&lt;53501),AND(70000&lt;T960,T960&lt;72501)),$F960,IF(OR(AND(25001&lt;T960,T960&lt;27501),AND(53500&lt;T960,T960&lt;57001),AND(72500&lt;T960,T960&lt;75001)),$G960,IF(OR(AND(27500&lt;T960,T960&lt;30001),AND(57000&lt;T960,T960&lt;60001),AND(75000&lt;T960,T960&lt;77500)),$H960,VLOOKUP(T960,BDins,6,FALSE)))))</f>
        <v>3.5</v>
      </c>
      <c r="U962">
        <f>IF(U964&gt;10000,HLOOKUP(U964,$O960:T963,4,FALSE),IF(OR(AND(22500&lt;U960,U960&lt;25001),AND(50000&lt;U960,U960&lt;53501),AND(70000&lt;U960,U960&lt;72501)),$F960,IF(OR(AND(25001&lt;U960,U960&lt;27501),AND(53500&lt;U960,U960&lt;57001),AND(72500&lt;U960,U960&lt;75001)),$G960,IF(OR(AND(27500&lt;U960,U960&lt;30001),AND(57000&lt;U960,U960&lt;60001),AND(75000&lt;U960,U960&lt;77500)),$H960,VLOOKUP(U960,BDins,6,FALSE)))))</f>
        <v>3.5</v>
      </c>
      <c r="V962">
        <f>IF(V964&gt;10000,HLOOKUP(V964,$O960:U963,4,FALSE),IF(OR(AND(22500&lt;V960,V960&lt;25001),AND(50000&lt;V960,V960&lt;53501),AND(70000&lt;V960,V960&lt;72501)),$F960,IF(OR(AND(25001&lt;V960,V960&lt;27501),AND(53500&lt;V960,V960&lt;57001),AND(72500&lt;V960,V960&lt;75001)),$G960,IF(OR(AND(27500&lt;V960,V960&lt;30001),AND(57000&lt;V960,V960&lt;60001),AND(75000&lt;V960,V960&lt;77500)),$H960,VLOOKUP(V960,BDins,6,FALSE)))))</f>
        <v>3.5</v>
      </c>
      <c r="W962">
        <f>IF(W964&gt;10000,HLOOKUP(W964,$O960:V963,4,FALSE),IF(OR(AND(22500&lt;W960,W960&lt;25001),AND(50000&lt;W960,W960&lt;53501),AND(70000&lt;W960,W960&lt;72501)),$F960,IF(OR(AND(25001&lt;W960,W960&lt;27501),AND(53500&lt;W960,W960&lt;57001),AND(72500&lt;W960,W960&lt;75001)),$G960,IF(OR(AND(27500&lt;W960,W960&lt;30001),AND(57000&lt;W960,W960&lt;60001),AND(75000&lt;W960,W960&lt;77500)),$H960,VLOOKUP(W960,BDins,6,FALSE)))))</f>
        <v>3.5</v>
      </c>
      <c r="X962">
        <f>IF(X964&gt;10000,HLOOKUP(X964,$O960:W963,4,FALSE),IF(OR(AND(22500&lt;X960,X960&lt;25001),AND(50000&lt;X960,X960&lt;53501),AND(70000&lt;X960,X960&lt;72501)),$F960,IF(OR(AND(25001&lt;X960,X960&lt;27501),AND(53500&lt;X960,X960&lt;57001),AND(72500&lt;X960,X960&lt;75001)),$G960,IF(OR(AND(27500&lt;X960,X960&lt;30001),AND(57000&lt;X960,X960&lt;60001),AND(75000&lt;X960,X960&lt;77500)),$H960,VLOOKUP(X960,BDins,6,FALSE)))))</f>
        <v>32.32</v>
      </c>
    </row>
    <row r="963" spans="1:24" x14ac:dyDescent="0.2">
      <c r="O963">
        <f t="shared" ref="O963:X963" si="136">IF($K960&gt;0,ROUND(O961*$E960/100,DpCU),IF(O964&gt;10000,ROUND(HLOOKUP(O964,$O960:$X963,4,FALSE)/100*O961,DpCU),IF(OR(O960&lt;20001,O960&gt;95000,AND(60000&lt;O960,O960&lt;70001)),ROUND(ROUND(O961*JL/$C960,DcCU)*O962,DpCU),IF(OR(AND(20000&lt;O960,O960&lt;22501),AND(30000&lt;O960,O960&lt;50001),77500&lt;O960),ROUND(O962*O961,DpCU),IF(OR(AND(22500&lt;O960,O960&lt;25001),AND(50000&lt;O960,O960&lt;53501),AND(70000&lt;O960,O960&lt;72501)),ROUND($F960/100*O961,DpCU),IF(OR(AND(25000&lt;O960,O960&lt;27501),AND(53500&lt;O960,O960&lt;57001),AND(72500&lt;O960,O960&lt;75001)),ROUND($G960/100*O961,DpCU),ROUND($H960/100*O961,DpCU)))))))</f>
        <v>2</v>
      </c>
      <c r="P963">
        <f t="shared" si="136"/>
        <v>16.649999999999999</v>
      </c>
      <c r="Q963">
        <f t="shared" si="136"/>
        <v>13.67</v>
      </c>
      <c r="R963">
        <f t="shared" si="136"/>
        <v>3.25</v>
      </c>
      <c r="S963">
        <f t="shared" si="136"/>
        <v>0.12</v>
      </c>
      <c r="T963">
        <f t="shared" si="136"/>
        <v>7</v>
      </c>
      <c r="U963">
        <f t="shared" si="136"/>
        <v>7</v>
      </c>
      <c r="V963">
        <f t="shared" si="136"/>
        <v>7</v>
      </c>
      <c r="W963">
        <f t="shared" si="136"/>
        <v>3.5</v>
      </c>
      <c r="X963">
        <f t="shared" si="136"/>
        <v>1.62</v>
      </c>
    </row>
    <row r="964" spans="1:24" x14ac:dyDescent="0.2">
      <c r="B964" s="3" t="str">
        <f>A960&amp;"r"</f>
        <v>10192r</v>
      </c>
    </row>
    <row r="965" spans="1:24" x14ac:dyDescent="0.2">
      <c r="A965">
        <v>10193</v>
      </c>
      <c r="B965" s="3" t="s">
        <v>1008</v>
      </c>
      <c r="C965" s="1">
        <f>ROUND(J965*JL*Frto/8,4)</f>
        <v>5</v>
      </c>
      <c r="D965" t="s">
        <v>174</v>
      </c>
      <c r="E965">
        <f>SUM($O968:$V968)</f>
        <v>324.91000000000003</v>
      </c>
      <c r="F965">
        <f>SUMIF($O965:$V965,"&lt;22501",$O968:$V968)</f>
        <v>64.64</v>
      </c>
      <c r="G965">
        <f>SUMIFS($O968:$V968,$O965:$V965,"&gt;30000",$O965:$V965,"&lt;50001")</f>
        <v>258.33</v>
      </c>
      <c r="H965">
        <f>SUMIFS($O968:$V968,$O965:$V965,"&gt;60000",$O965:$V965,"&lt;70001")</f>
        <v>0</v>
      </c>
      <c r="I965">
        <v>8</v>
      </c>
      <c r="J965">
        <v>5</v>
      </c>
      <c r="O965">
        <v>10001</v>
      </c>
      <c r="P965">
        <v>10002</v>
      </c>
      <c r="Q965">
        <v>10008</v>
      </c>
      <c r="R965">
        <v>30180</v>
      </c>
      <c r="S965">
        <v>30246</v>
      </c>
      <c r="T965">
        <v>30247</v>
      </c>
      <c r="U965">
        <v>30248</v>
      </c>
      <c r="V965">
        <v>70001</v>
      </c>
    </row>
    <row r="966" spans="1:24" x14ac:dyDescent="0.2">
      <c r="B966" s="3" t="str">
        <f>A965&amp;"C"</f>
        <v>10193C</v>
      </c>
      <c r="O966">
        <v>0.1</v>
      </c>
      <c r="P966">
        <v>1</v>
      </c>
      <c r="Q966">
        <v>1</v>
      </c>
      <c r="R966">
        <v>0.1</v>
      </c>
      <c r="S966">
        <v>2</v>
      </c>
      <c r="T966">
        <v>2</v>
      </c>
      <c r="U966">
        <v>1</v>
      </c>
      <c r="V966">
        <v>3</v>
      </c>
    </row>
    <row r="967" spans="1:24" x14ac:dyDescent="0.2">
      <c r="O967">
        <f>IF(O969&gt;10000,HLOOKUP(O969,N965:$O968,4,FALSE),IF(OR(AND(22500&lt;O965,O965&lt;25001),AND(50000&lt;O965,O965&lt;53501),AND(70000&lt;O965,O965&lt;72501)),$F965,IF(OR(AND(25001&lt;O965,O965&lt;27501),AND(53500&lt;O965,O965&lt;57001),AND(72500&lt;O965,O965&lt;75001)),$G965,IF(OR(AND(27500&lt;O965,O965&lt;30001),AND(57000&lt;O965,O965&lt;60001),AND(75000&lt;O965,O965&lt;77500)),$H965,VLOOKUP(O965,BDins,6,FALSE)))))</f>
        <v>24.97</v>
      </c>
      <c r="P967">
        <f>IF(P969&gt;10000,HLOOKUP(P969,O965:$O968,4,FALSE),IF(OR(AND(22500&lt;P965,P965&lt;25001),AND(50000&lt;P965,P965&lt;53501),AND(70000&lt;P965,P965&lt;72501)),$F965,IF(OR(AND(25001&lt;P965,P965&lt;27501),AND(53500&lt;P965,P965&lt;57001),AND(72500&lt;P965,P965&lt;75001)),$G965,IF(OR(AND(27500&lt;P965,P965&lt;30001),AND(57000&lt;P965,P965&lt;60001),AND(75000&lt;P965,P965&lt;77500)),$H965,VLOOKUP(P965,BDins,6,FALSE)))))</f>
        <v>20.81</v>
      </c>
      <c r="Q967">
        <f>IF(Q969&gt;10000,HLOOKUP(Q969,$O965:P968,4,FALSE),IF(OR(AND(22500&lt;Q965,Q965&lt;25001),AND(50000&lt;Q965,Q965&lt;53501),AND(70000&lt;Q965,Q965&lt;72501)),$F965,IF(OR(AND(25001&lt;Q965,Q965&lt;27501),AND(53500&lt;Q965,Q965&lt;57001),AND(72500&lt;Q965,Q965&lt;75001)),$G965,IF(OR(AND(27500&lt;Q965,Q965&lt;30001),AND(57000&lt;Q965,Q965&lt;60001),AND(75000&lt;Q965,Q965&lt;77500)),$H965,VLOOKUP(Q965,BDins,6,FALSE)))))</f>
        <v>17.09</v>
      </c>
      <c r="R967">
        <f>IF(R969&gt;10000,HLOOKUP(R969,$O965:Q968,4,FALSE),IF(OR(AND(22500&lt;R965,R965&lt;25001),AND(50000&lt;R965,R965&lt;53501),AND(70000&lt;R965,R965&lt;72501)),$F965,IF(OR(AND(25001&lt;R965,R965&lt;27501),AND(53500&lt;R965,R965&lt;57001),AND(72500&lt;R965,R965&lt;75001)),$G965,IF(OR(AND(27500&lt;R965,R965&lt;30001),AND(57000&lt;R965,R965&lt;60001),AND(75000&lt;R965,R965&lt;77500)),$H965,VLOOKUP(R965,BDins,6,FALSE)))))</f>
        <v>3.25</v>
      </c>
      <c r="S967">
        <f>IF(S969&gt;10000,HLOOKUP(S969,$O965:R968,4,FALSE),IF(OR(AND(22500&lt;S965,S965&lt;25001),AND(50000&lt;S965,S965&lt;53501),AND(70000&lt;S965,S965&lt;72501)),$F965,IF(OR(AND(25001&lt;S965,S965&lt;27501),AND(53500&lt;S965,S965&lt;57001),AND(72500&lt;S965,S965&lt;75001)),$G965,IF(OR(AND(27500&lt;S965,S965&lt;30001),AND(57000&lt;S965,S965&lt;60001),AND(75000&lt;S965,S965&lt;77500)),$H965,VLOOKUP(S965,BDins,6,FALSE)))))</f>
        <v>35</v>
      </c>
      <c r="T967">
        <f>IF(T969&gt;10000,HLOOKUP(T969,$O965:S968,4,FALSE),IF(OR(AND(22500&lt;T965,T965&lt;25001),AND(50000&lt;T965,T965&lt;53501),AND(70000&lt;T965,T965&lt;72501)),$F965,IF(OR(AND(25001&lt;T965,T965&lt;27501),AND(53500&lt;T965,T965&lt;57001),AND(72500&lt;T965,T965&lt;75001)),$G965,IF(OR(AND(27500&lt;T965,T965&lt;30001),AND(57000&lt;T965,T965&lt;60001),AND(75000&lt;T965,T965&lt;77500)),$H965,VLOOKUP(T965,BDins,6,FALSE)))))</f>
        <v>6.5</v>
      </c>
      <c r="U967">
        <f>IF(U969&gt;10000,HLOOKUP(U969,$O965:T968,4,FALSE),IF(OR(AND(22500&lt;U965,U965&lt;25001),AND(50000&lt;U965,U965&lt;53501),AND(70000&lt;U965,U965&lt;72501)),$F965,IF(OR(AND(25001&lt;U965,U965&lt;27501),AND(53500&lt;U965,U965&lt;57001),AND(72500&lt;U965,U965&lt;75001)),$G965,IF(OR(AND(27500&lt;U965,U965&lt;30001),AND(57000&lt;U965,U965&lt;60001),AND(75000&lt;U965,U965&lt;77500)),$H965,VLOOKUP(U965,BDins,6,FALSE)))))</f>
        <v>175</v>
      </c>
      <c r="V967">
        <f>IF(V969&gt;10000,HLOOKUP(V969,$O965:U968,4,FALSE),IF(OR(AND(22500&lt;V965,V965&lt;25001),AND(50000&lt;V965,V965&lt;53501),AND(70000&lt;V965,V965&lt;72501)),$F965,IF(OR(AND(25001&lt;V965,V965&lt;27501),AND(53500&lt;V965,V965&lt;57001),AND(72500&lt;V965,V965&lt;75001)),$G965,IF(OR(AND(27500&lt;V965,V965&lt;30001),AND(57000&lt;V965,V965&lt;60001),AND(75000&lt;V965,V965&lt;77500)),$H965,VLOOKUP(V965,BDins,6,FALSE)))))</f>
        <v>64.64</v>
      </c>
    </row>
    <row r="968" spans="1:24" x14ac:dyDescent="0.2">
      <c r="O968">
        <f t="shared" ref="O968:V968" si="137">IF($K965&gt;0,ROUND(O966*$E965/100,DpCU),IF(O969&gt;10000,ROUND(HLOOKUP(O969,$O965:$V968,4,FALSE)/100*O966,DpCU),IF(OR(O965&lt;20001,O965&gt;95000,AND(60000&lt;O965,O965&lt;70001)),ROUND(ROUND(O966*JL/$C965,DcCU)*O967,DpCU),IF(OR(AND(20000&lt;O965,O965&lt;22501),AND(30000&lt;O965,O965&lt;50001),77500&lt;O965),ROUND(O967*O966,DpCU),IF(OR(AND(22500&lt;O965,O965&lt;25001),AND(50000&lt;O965,O965&lt;53501),AND(70000&lt;O965,O965&lt;72501)),ROUND($F965/100*O966,DpCU),IF(OR(AND(25000&lt;O965,O965&lt;27501),AND(53500&lt;O965,O965&lt;57001),AND(72500&lt;O965,O965&lt;75001)),ROUND($G965/100*O966,DpCU),ROUND($H965/100*O966,DpCU)))))))</f>
        <v>4</v>
      </c>
      <c r="P968">
        <f t="shared" si="137"/>
        <v>33.299999999999997</v>
      </c>
      <c r="Q968">
        <f t="shared" si="137"/>
        <v>27.34</v>
      </c>
      <c r="R968">
        <f t="shared" si="137"/>
        <v>0.33</v>
      </c>
      <c r="S968">
        <f t="shared" si="137"/>
        <v>70</v>
      </c>
      <c r="T968">
        <f t="shared" si="137"/>
        <v>13</v>
      </c>
      <c r="U968">
        <f t="shared" si="137"/>
        <v>175</v>
      </c>
      <c r="V968">
        <f t="shared" si="137"/>
        <v>1.94</v>
      </c>
    </row>
    <row r="969" spans="1:24" x14ac:dyDescent="0.2">
      <c r="B969" s="3" t="str">
        <f>A965&amp;"r"</f>
        <v>10193r</v>
      </c>
    </row>
    <row r="970" spans="1:24" x14ac:dyDescent="0.2">
      <c r="A970">
        <v>10194</v>
      </c>
      <c r="B970" s="3" t="s">
        <v>1013</v>
      </c>
      <c r="C970" s="1">
        <f>ROUND(J970*JL*Frto/8,4)</f>
        <v>4</v>
      </c>
      <c r="D970" t="s">
        <v>174</v>
      </c>
      <c r="E970">
        <f>SUM($O973:$T973)</f>
        <v>150.16</v>
      </c>
      <c r="F970">
        <f>SUMIF($O970:$T970,"&lt;22501",$O973:$T973)</f>
        <v>80.789999999999992</v>
      </c>
      <c r="G970">
        <f>SUMIFS($O973:$T973,$O970:$T970,"&gt;30000",$O970:$T970,"&lt;50001")</f>
        <v>65.33</v>
      </c>
      <c r="H970">
        <f>SUMIFS($O973:$T973,$O970:$T970,"&gt;60000",$O970:$T970,"&lt;70001")</f>
        <v>0</v>
      </c>
      <c r="I970">
        <v>6</v>
      </c>
      <c r="J970">
        <v>4</v>
      </c>
      <c r="O970">
        <v>10001</v>
      </c>
      <c r="P970">
        <v>10002</v>
      </c>
      <c r="Q970">
        <v>10008</v>
      </c>
      <c r="R970">
        <v>30180</v>
      </c>
      <c r="S970">
        <v>30249</v>
      </c>
      <c r="T970">
        <v>70001</v>
      </c>
    </row>
    <row r="971" spans="1:24" x14ac:dyDescent="0.2">
      <c r="B971" s="3" t="str">
        <f>A970&amp;"C"</f>
        <v>10194C</v>
      </c>
      <c r="O971">
        <v>0.1</v>
      </c>
      <c r="P971">
        <v>1</v>
      </c>
      <c r="Q971">
        <v>1</v>
      </c>
      <c r="R971">
        <v>0.1</v>
      </c>
      <c r="S971">
        <v>1</v>
      </c>
      <c r="T971">
        <v>5</v>
      </c>
    </row>
    <row r="972" spans="1:24" x14ac:dyDescent="0.2">
      <c r="O972">
        <f>IF(O974&gt;10000,HLOOKUP(O974,N970:$O973,4,FALSE),IF(OR(AND(22500&lt;O970,O970&lt;25001),AND(50000&lt;O970,O970&lt;53501),AND(70000&lt;O970,O970&lt;72501)),$F970,IF(OR(AND(25001&lt;O970,O970&lt;27501),AND(53500&lt;O970,O970&lt;57001),AND(72500&lt;O970,O970&lt;75001)),$G970,IF(OR(AND(27500&lt;O970,O970&lt;30001),AND(57000&lt;O970,O970&lt;60001),AND(75000&lt;O970,O970&lt;77500)),$H970,VLOOKUP(O970,BDins,6,FALSE)))))</f>
        <v>24.97</v>
      </c>
      <c r="P972">
        <f>IF(P974&gt;10000,HLOOKUP(P974,O970:$O973,4,FALSE),IF(OR(AND(22500&lt;P970,P970&lt;25001),AND(50000&lt;P970,P970&lt;53501),AND(70000&lt;P970,P970&lt;72501)),$F970,IF(OR(AND(25001&lt;P970,P970&lt;27501),AND(53500&lt;P970,P970&lt;57001),AND(72500&lt;P970,P970&lt;75001)),$G970,IF(OR(AND(27500&lt;P970,P970&lt;30001),AND(57000&lt;P970,P970&lt;60001),AND(75000&lt;P970,P970&lt;77500)),$H970,VLOOKUP(P970,BDins,6,FALSE)))))</f>
        <v>20.81</v>
      </c>
      <c r="Q972">
        <f>IF(Q974&gt;10000,HLOOKUP(Q974,$O970:P973,4,FALSE),IF(OR(AND(22500&lt;Q970,Q970&lt;25001),AND(50000&lt;Q970,Q970&lt;53501),AND(70000&lt;Q970,Q970&lt;72501)),$F970,IF(OR(AND(25001&lt;Q970,Q970&lt;27501),AND(53500&lt;Q970,Q970&lt;57001),AND(72500&lt;Q970,Q970&lt;75001)),$G970,IF(OR(AND(27500&lt;Q970,Q970&lt;30001),AND(57000&lt;Q970,Q970&lt;60001),AND(75000&lt;Q970,Q970&lt;77500)),$H970,VLOOKUP(Q970,BDins,6,FALSE)))))</f>
        <v>17.09</v>
      </c>
      <c r="R972">
        <f>IF(R974&gt;10000,HLOOKUP(R974,$O970:Q973,4,FALSE),IF(OR(AND(22500&lt;R970,R970&lt;25001),AND(50000&lt;R970,R970&lt;53501),AND(70000&lt;R970,R970&lt;72501)),$F970,IF(OR(AND(25001&lt;R970,R970&lt;27501),AND(53500&lt;R970,R970&lt;57001),AND(72500&lt;R970,R970&lt;75001)),$G970,IF(OR(AND(27500&lt;R970,R970&lt;30001),AND(57000&lt;R970,R970&lt;60001),AND(75000&lt;R970,R970&lt;77500)),$H970,VLOOKUP(R970,BDins,6,FALSE)))))</f>
        <v>3.25</v>
      </c>
      <c r="S972">
        <f>IF(S974&gt;10000,HLOOKUP(S974,$O970:R973,4,FALSE),IF(OR(AND(22500&lt;S970,S970&lt;25001),AND(50000&lt;S970,S970&lt;53501),AND(70000&lt;S970,S970&lt;72501)),$F970,IF(OR(AND(25001&lt;S970,S970&lt;27501),AND(53500&lt;S970,S970&lt;57001),AND(72500&lt;S970,S970&lt;75001)),$G970,IF(OR(AND(27500&lt;S970,S970&lt;30001),AND(57000&lt;S970,S970&lt;60001),AND(75000&lt;S970,S970&lt;77500)),$H970,VLOOKUP(S970,BDins,6,FALSE)))))</f>
        <v>65</v>
      </c>
      <c r="T972">
        <f>IF(T974&gt;10000,HLOOKUP(T974,$O970:S973,4,FALSE),IF(OR(AND(22500&lt;T970,T970&lt;25001),AND(50000&lt;T970,T970&lt;53501),AND(70000&lt;T970,T970&lt;72501)),$F970,IF(OR(AND(25001&lt;T970,T970&lt;27501),AND(53500&lt;T970,T970&lt;57001),AND(72500&lt;T970,T970&lt;75001)),$G970,IF(OR(AND(27500&lt;T970,T970&lt;30001),AND(57000&lt;T970,T970&lt;60001),AND(75000&lt;T970,T970&lt;77500)),$H970,VLOOKUP(T970,BDins,6,FALSE)))))</f>
        <v>80.789999999999992</v>
      </c>
    </row>
    <row r="973" spans="1:24" x14ac:dyDescent="0.2">
      <c r="O973">
        <f t="shared" ref="O973:T973" si="138">IF($K970&gt;0,ROUND(O971*$E970/100,DpCU),IF(O974&gt;10000,ROUND(HLOOKUP(O974,$O970:$T973,4,FALSE)/100*O971,DpCU),IF(OR(O970&lt;20001,O970&gt;95000,AND(60000&lt;O970,O970&lt;70001)),ROUND(ROUND(O971*JL/$C970,DcCU)*O972,DpCU),IF(OR(AND(20000&lt;O970,O970&lt;22501),AND(30000&lt;O970,O970&lt;50001),77500&lt;O970),ROUND(O972*O971,DpCU),IF(OR(AND(22500&lt;O970,O970&lt;25001),AND(50000&lt;O970,O970&lt;53501),AND(70000&lt;O970,O970&lt;72501)),ROUND($F970/100*O971,DpCU),IF(OR(AND(25000&lt;O970,O970&lt;27501),AND(53500&lt;O970,O970&lt;57001),AND(72500&lt;O970,O970&lt;75001)),ROUND($G970/100*O971,DpCU),ROUND($H970/100*O971,DpCU)))))))</f>
        <v>4.99</v>
      </c>
      <c r="P973">
        <f t="shared" si="138"/>
        <v>41.62</v>
      </c>
      <c r="Q973">
        <f t="shared" si="138"/>
        <v>34.18</v>
      </c>
      <c r="R973">
        <f t="shared" si="138"/>
        <v>0.33</v>
      </c>
      <c r="S973">
        <f t="shared" si="138"/>
        <v>65</v>
      </c>
      <c r="T973">
        <f t="shared" si="138"/>
        <v>4.04</v>
      </c>
    </row>
    <row r="974" spans="1:24" x14ac:dyDescent="0.2">
      <c r="B974" s="3" t="str">
        <f>A970&amp;"r"</f>
        <v>10194r</v>
      </c>
    </row>
    <row r="975" spans="1:24" x14ac:dyDescent="0.2">
      <c r="A975">
        <v>10195</v>
      </c>
      <c r="B975" s="3" t="s">
        <v>1016</v>
      </c>
      <c r="C975" s="1">
        <f>ROUND(J975*JL*Frto/8,4)</f>
        <v>4</v>
      </c>
      <c r="D975" t="s">
        <v>174</v>
      </c>
      <c r="E975">
        <f>SUM($O978:$U978)</f>
        <v>96.04</v>
      </c>
      <c r="F975">
        <f>SUMIF($O975:$U975,"&lt;22501",$O978:$U978)</f>
        <v>46.61</v>
      </c>
      <c r="G975">
        <f>SUMIFS($O978:$U978,$O975:$U975,"&gt;30000",$O975:$U975,"&lt;50001")</f>
        <v>47.1</v>
      </c>
      <c r="H975">
        <f>SUMIFS($O978:$U978,$O975:$U975,"&gt;60000",$O975:$U975,"&lt;70001")</f>
        <v>0</v>
      </c>
      <c r="I975">
        <v>7</v>
      </c>
      <c r="J975">
        <v>4</v>
      </c>
      <c r="O975">
        <v>10001</v>
      </c>
      <c r="P975">
        <v>10002</v>
      </c>
      <c r="Q975">
        <v>30002</v>
      </c>
      <c r="R975">
        <v>30023</v>
      </c>
      <c r="S975">
        <v>30093</v>
      </c>
      <c r="T975">
        <v>30250</v>
      </c>
      <c r="U975">
        <v>70001</v>
      </c>
    </row>
    <row r="976" spans="1:24" x14ac:dyDescent="0.2">
      <c r="B976" s="3" t="str">
        <f>A975&amp;"C"</f>
        <v>10195C</v>
      </c>
      <c r="O976">
        <v>0.1</v>
      </c>
      <c r="P976">
        <v>1</v>
      </c>
      <c r="Q976">
        <v>0.5</v>
      </c>
      <c r="R976">
        <v>0.01</v>
      </c>
      <c r="S976">
        <v>0.03</v>
      </c>
      <c r="T976">
        <v>1</v>
      </c>
      <c r="U976">
        <v>5</v>
      </c>
    </row>
    <row r="977" spans="1:21" x14ac:dyDescent="0.2">
      <c r="O977">
        <f>IF(O979&gt;10000,HLOOKUP(O979,N975:$O978,4,FALSE),IF(OR(AND(22500&lt;O975,O975&lt;25001),AND(50000&lt;O975,O975&lt;53501),AND(70000&lt;O975,O975&lt;72501)),$F975,IF(OR(AND(25001&lt;O975,O975&lt;27501),AND(53500&lt;O975,O975&lt;57001),AND(72500&lt;O975,O975&lt;75001)),$G975,IF(OR(AND(27500&lt;O975,O975&lt;30001),AND(57000&lt;O975,O975&lt;60001),AND(75000&lt;O975,O975&lt;77500)),$H975,VLOOKUP(O975,BDins,6,FALSE)))))</f>
        <v>24.97</v>
      </c>
      <c r="P977">
        <f>IF(P979&gt;10000,HLOOKUP(P979,O975:$O978,4,FALSE),IF(OR(AND(22500&lt;P975,P975&lt;25001),AND(50000&lt;P975,P975&lt;53501),AND(70000&lt;P975,P975&lt;72501)),$F975,IF(OR(AND(25001&lt;P975,P975&lt;27501),AND(53500&lt;P975,P975&lt;57001),AND(72500&lt;P975,P975&lt;75001)),$G975,IF(OR(AND(27500&lt;P975,P975&lt;30001),AND(57000&lt;P975,P975&lt;60001),AND(75000&lt;P975,P975&lt;77500)),$H975,VLOOKUP(P975,BDins,6,FALSE)))))</f>
        <v>20.81</v>
      </c>
      <c r="Q977">
        <f>IF(Q979&gt;10000,HLOOKUP(Q979,$O975:P978,4,FALSE),IF(OR(AND(22500&lt;Q975,Q975&lt;25001),AND(50000&lt;Q975,Q975&lt;53501),AND(70000&lt;Q975,Q975&lt;72501)),$F975,IF(OR(AND(25001&lt;Q975,Q975&lt;27501),AND(53500&lt;Q975,Q975&lt;57001),AND(72500&lt;Q975,Q975&lt;75001)),$G975,IF(OR(AND(27500&lt;Q975,Q975&lt;30001),AND(57000&lt;Q975,Q975&lt;60001),AND(75000&lt;Q975,Q975&lt;77500)),$H975,VLOOKUP(Q975,BDins,6,FALSE)))))</f>
        <v>18.5</v>
      </c>
      <c r="R977">
        <f>IF(R979&gt;10000,HLOOKUP(R979,$O975:Q978,4,FALSE),IF(OR(AND(22500&lt;R975,R975&lt;25001),AND(50000&lt;R975,R975&lt;53501),AND(70000&lt;R975,R975&lt;72501)),$F975,IF(OR(AND(25001&lt;R975,R975&lt;27501),AND(53500&lt;R975,R975&lt;57001),AND(72500&lt;R975,R975&lt;75001)),$G975,IF(OR(AND(27500&lt;R975,R975&lt;30001),AND(57000&lt;R975,R975&lt;60001),AND(75000&lt;R975,R975&lt;77500)),$H975,VLOOKUP(R975,BDins,6,FALSE)))))</f>
        <v>150</v>
      </c>
      <c r="S977">
        <f>IF(S979&gt;10000,HLOOKUP(S979,$O975:R978,4,FALSE),IF(OR(AND(22500&lt;S975,S975&lt;25001),AND(50000&lt;S975,S975&lt;53501),AND(70000&lt;S975,S975&lt;72501)),$F975,IF(OR(AND(25001&lt;S975,S975&lt;27501),AND(53500&lt;S975,S975&lt;57001),AND(72500&lt;S975,S975&lt;75001)),$G975,IF(OR(AND(27500&lt;S975,S975&lt;30001),AND(57000&lt;S975,S975&lt;60001),AND(75000&lt;S975,S975&lt;77500)),$H975,VLOOKUP(S975,BDins,6,FALSE)))))</f>
        <v>45</v>
      </c>
      <c r="T977">
        <f>IF(T979&gt;10000,HLOOKUP(T979,$O975:S978,4,FALSE),IF(OR(AND(22500&lt;T975,T975&lt;25001),AND(50000&lt;T975,T975&lt;53501),AND(70000&lt;T975,T975&lt;72501)),$F975,IF(OR(AND(25001&lt;T975,T975&lt;27501),AND(53500&lt;T975,T975&lt;57001),AND(72500&lt;T975,T975&lt;75001)),$G975,IF(OR(AND(27500&lt;T975,T975&lt;30001),AND(57000&lt;T975,T975&lt;60001),AND(75000&lt;T975,T975&lt;77500)),$H975,VLOOKUP(T975,BDins,6,FALSE)))))</f>
        <v>35</v>
      </c>
      <c r="U977">
        <f>IF(U979&gt;10000,HLOOKUP(U979,$O975:T978,4,FALSE),IF(OR(AND(22500&lt;U975,U975&lt;25001),AND(50000&lt;U975,U975&lt;53501),AND(70000&lt;U975,U975&lt;72501)),$F975,IF(OR(AND(25001&lt;U975,U975&lt;27501),AND(53500&lt;U975,U975&lt;57001),AND(72500&lt;U975,U975&lt;75001)),$G975,IF(OR(AND(27500&lt;U975,U975&lt;30001),AND(57000&lt;U975,U975&lt;60001),AND(75000&lt;U975,U975&lt;77500)),$H975,VLOOKUP(U975,BDins,6,FALSE)))))</f>
        <v>46.61</v>
      </c>
    </row>
    <row r="978" spans="1:21" x14ac:dyDescent="0.2">
      <c r="O978">
        <f t="shared" ref="O978:U978" si="139">IF($K975&gt;0,ROUND(O976*$E975/100,DpCU),IF(O979&gt;10000,ROUND(HLOOKUP(O979,$O975:$U978,4,FALSE)/100*O976,DpCU),IF(OR(O975&lt;20001,O975&gt;95000,AND(60000&lt;O975,O975&lt;70001)),ROUND(ROUND(O976*JL/$C975,DcCU)*O977,DpCU),IF(OR(AND(20000&lt;O975,O975&lt;22501),AND(30000&lt;O975,O975&lt;50001),77500&lt;O975),ROUND(O977*O976,DpCU),IF(OR(AND(22500&lt;O975,O975&lt;25001),AND(50000&lt;O975,O975&lt;53501),AND(70000&lt;O975,O975&lt;72501)),ROUND($F975/100*O976,DpCU),IF(OR(AND(25000&lt;O975,O975&lt;27501),AND(53500&lt;O975,O975&lt;57001),AND(72500&lt;O975,O975&lt;75001)),ROUND($G975/100*O976,DpCU),ROUND($H975/100*O976,DpCU)))))))</f>
        <v>4.99</v>
      </c>
      <c r="P978">
        <f t="shared" si="139"/>
        <v>41.62</v>
      </c>
      <c r="Q978">
        <f t="shared" si="139"/>
        <v>9.25</v>
      </c>
      <c r="R978">
        <f t="shared" si="139"/>
        <v>1.5</v>
      </c>
      <c r="S978">
        <f t="shared" si="139"/>
        <v>1.35</v>
      </c>
      <c r="T978">
        <f t="shared" si="139"/>
        <v>35</v>
      </c>
      <c r="U978">
        <f t="shared" si="139"/>
        <v>2.33</v>
      </c>
    </row>
    <row r="979" spans="1:21" x14ac:dyDescent="0.2">
      <c r="B979" s="3" t="str">
        <f>A975&amp;"r"</f>
        <v>10195r</v>
      </c>
    </row>
    <row r="980" spans="1:21" x14ac:dyDescent="0.2">
      <c r="A980">
        <v>10196</v>
      </c>
      <c r="B980" s="3" t="s">
        <v>1019</v>
      </c>
      <c r="C980" s="1">
        <f>ROUND(J980*JL*Frto/8,4)</f>
        <v>5</v>
      </c>
      <c r="D980" t="s">
        <v>7</v>
      </c>
      <c r="E980">
        <f>SUM($O983:$Q983)</f>
        <v>167.01999999999998</v>
      </c>
      <c r="F980">
        <f>SUMIF($O980:$Q980,"&lt;22501",$O983:$Q983)</f>
        <v>41.62</v>
      </c>
      <c r="G980">
        <f>SUMIFS($O983:$Q983,$O980:$Q980,"&gt;30000",$O980:$Q980,"&lt;50001")</f>
        <v>125.4</v>
      </c>
      <c r="H980">
        <f>SUMIFS($O983:$Q983,$O980:$Q980,"&gt;60000",$O980:$Q980,"&lt;70001")</f>
        <v>0</v>
      </c>
      <c r="I980">
        <v>3</v>
      </c>
      <c r="J980">
        <v>5</v>
      </c>
      <c r="O980">
        <v>10002</v>
      </c>
      <c r="P980">
        <v>30251</v>
      </c>
      <c r="Q980">
        <v>30252</v>
      </c>
    </row>
    <row r="981" spans="1:21" x14ac:dyDescent="0.2">
      <c r="B981" s="3" t="str">
        <f>A980&amp;"C"</f>
        <v>10196C</v>
      </c>
      <c r="O981">
        <v>1.25</v>
      </c>
      <c r="P981">
        <v>1</v>
      </c>
      <c r="Q981">
        <v>1</v>
      </c>
    </row>
    <row r="982" spans="1:21" x14ac:dyDescent="0.2">
      <c r="O982">
        <f>IF(O984&gt;10000,HLOOKUP(O984,N980:$O983,4,FALSE),IF(OR(AND(22500&lt;O980,O980&lt;25001),AND(50000&lt;O980,O980&lt;53501),AND(70000&lt;O980,O980&lt;72501)),$F980,IF(OR(AND(25001&lt;O980,O980&lt;27501),AND(53500&lt;O980,O980&lt;57001),AND(72500&lt;O980,O980&lt;75001)),$G980,IF(OR(AND(27500&lt;O980,O980&lt;30001),AND(57000&lt;O980,O980&lt;60001),AND(75000&lt;O980,O980&lt;77500)),$H980,VLOOKUP(O980,BDins,6,FALSE)))))</f>
        <v>20.81</v>
      </c>
      <c r="P982">
        <f>IF(P984&gt;10000,HLOOKUP(P984,O980:$O983,4,FALSE),IF(OR(AND(22500&lt;P980,P980&lt;25001),AND(50000&lt;P980,P980&lt;53501),AND(70000&lt;P980,P980&lt;72501)),$F980,IF(OR(AND(25001&lt;P980,P980&lt;27501),AND(53500&lt;P980,P980&lt;57001),AND(72500&lt;P980,P980&lt;75001)),$G980,IF(OR(AND(27500&lt;P980,P980&lt;30001),AND(57000&lt;P980,P980&lt;60001),AND(75000&lt;P980,P980&lt;77500)),$H980,VLOOKUP(P980,BDins,6,FALSE)))))</f>
        <v>90.2</v>
      </c>
      <c r="Q982">
        <f>IF(Q984&gt;10000,HLOOKUP(Q984,$O980:P983,4,FALSE),IF(OR(AND(22500&lt;Q980,Q980&lt;25001),AND(50000&lt;Q980,Q980&lt;53501),AND(70000&lt;Q980,Q980&lt;72501)),$F980,IF(OR(AND(25001&lt;Q980,Q980&lt;27501),AND(53500&lt;Q980,Q980&lt;57001),AND(72500&lt;Q980,Q980&lt;75001)),$G980,IF(OR(AND(27500&lt;Q980,Q980&lt;30001),AND(57000&lt;Q980,Q980&lt;60001),AND(75000&lt;Q980,Q980&lt;77500)),$H980,VLOOKUP(Q980,BDins,6,FALSE)))))</f>
        <v>35.200000000000003</v>
      </c>
    </row>
    <row r="983" spans="1:21" x14ac:dyDescent="0.2">
      <c r="O983">
        <f>IF($K980&gt;0,ROUND(O981*$E980/100,DpCU),IF(O984&gt;10000,ROUND(HLOOKUP(O984,$O980:$Q983,4,FALSE)/100*O981,DpCU),IF(OR(O980&lt;20001,O980&gt;95000,AND(60000&lt;O980,O980&lt;70001)),ROUND(ROUND(O981*JL/$C980,DcCU)*O982,DpCU),IF(OR(AND(20000&lt;O980,O980&lt;22501),AND(30000&lt;O980,O980&lt;50001),77500&lt;O980),ROUND(O982*O981,DpCU),IF(OR(AND(22500&lt;O980,O980&lt;25001),AND(50000&lt;O980,O980&lt;53501),AND(70000&lt;O980,O980&lt;72501)),ROUND($F980/100*O981,DpCU),IF(OR(AND(25000&lt;O980,O980&lt;27501),AND(53500&lt;O980,O980&lt;57001),AND(72500&lt;O980,O980&lt;75001)),ROUND($G980/100*O981,DpCU),ROUND($H980/100*O981,DpCU)))))))</f>
        <v>41.62</v>
      </c>
      <c r="P983">
        <f>IF($K980&gt;0,ROUND(P981*$E980/100,DpCU),IF(P984&gt;10000,ROUND(HLOOKUP(P984,$O980:$Q983,4,FALSE)/100*P981,DpCU),IF(OR(P980&lt;20001,P980&gt;95000,AND(60000&lt;P980,P980&lt;70001)),ROUND(ROUND(P981*JL/$C980,DcCU)*P982,DpCU),IF(OR(AND(20000&lt;P980,P980&lt;22501),AND(30000&lt;P980,P980&lt;50001),77500&lt;P980),ROUND(P982*P981,DpCU),IF(OR(AND(22500&lt;P980,P980&lt;25001),AND(50000&lt;P980,P980&lt;53501),AND(70000&lt;P980,P980&lt;72501)),ROUND($F980/100*P981,DpCU),IF(OR(AND(25000&lt;P980,P980&lt;27501),AND(53500&lt;P980,P980&lt;57001),AND(72500&lt;P980,P980&lt;75001)),ROUND($G980/100*P981,DpCU),ROUND($H980/100*P981,DpCU)))))))</f>
        <v>90.2</v>
      </c>
      <c r="Q983">
        <f>IF($K980&gt;0,ROUND(Q981*$E980/100,DpCU),IF(Q984&gt;10000,ROUND(HLOOKUP(Q984,$O980:$Q983,4,FALSE)/100*Q981,DpCU),IF(OR(Q980&lt;20001,Q980&gt;95000,AND(60000&lt;Q980,Q980&lt;70001)),ROUND(ROUND(Q981*JL/$C980,DcCU)*Q982,DpCU),IF(OR(AND(20000&lt;Q980,Q980&lt;22501),AND(30000&lt;Q980,Q980&lt;50001),77500&lt;Q980),ROUND(Q982*Q981,DpCU),IF(OR(AND(22500&lt;Q980,Q980&lt;25001),AND(50000&lt;Q980,Q980&lt;53501),AND(70000&lt;Q980,Q980&lt;72501)),ROUND($F980/100*Q981,DpCU),IF(OR(AND(25000&lt;Q980,Q980&lt;27501),AND(53500&lt;Q980,Q980&lt;57001),AND(72500&lt;Q980,Q980&lt;75001)),ROUND($G980/100*Q981,DpCU),ROUND($H980/100*Q981,DpCU)))))))</f>
        <v>35.200000000000003</v>
      </c>
    </row>
    <row r="984" spans="1:21" x14ac:dyDescent="0.2">
      <c r="B984" s="3" t="str">
        <f>A980&amp;"r"</f>
        <v>10196r</v>
      </c>
    </row>
    <row r="985" spans="1:21" x14ac:dyDescent="0.2">
      <c r="A985">
        <v>10197</v>
      </c>
      <c r="B985" s="3" t="s">
        <v>1023</v>
      </c>
      <c r="C985" s="1">
        <f>ROUND(J985*JL*Frto/8,4)</f>
        <v>5</v>
      </c>
      <c r="D985" t="s">
        <v>7</v>
      </c>
      <c r="E985">
        <f>SUM($O988:$Q988)</f>
        <v>230.12</v>
      </c>
      <c r="F985">
        <f>SUMIF($O985:$Q985,"&lt;22501",$O988:$Q988)</f>
        <v>41.62</v>
      </c>
      <c r="G985">
        <f>SUMIFS($O988:$Q988,$O985:$Q985,"&gt;30000",$O985:$Q985,"&lt;50001")</f>
        <v>188.5</v>
      </c>
      <c r="H985">
        <f>SUMIFS($O988:$Q988,$O985:$Q985,"&gt;60000",$O985:$Q985,"&lt;70001")</f>
        <v>0</v>
      </c>
      <c r="I985">
        <v>3</v>
      </c>
      <c r="J985">
        <v>5</v>
      </c>
      <c r="O985">
        <v>10002</v>
      </c>
      <c r="P985">
        <v>30253</v>
      </c>
      <c r="Q985">
        <v>30254</v>
      </c>
    </row>
    <row r="986" spans="1:21" x14ac:dyDescent="0.2">
      <c r="B986" s="3" t="str">
        <f>A985&amp;"C"</f>
        <v>10197C</v>
      </c>
      <c r="O986">
        <v>1.25</v>
      </c>
      <c r="P986">
        <v>1</v>
      </c>
      <c r="Q986">
        <v>1</v>
      </c>
    </row>
    <row r="987" spans="1:21" x14ac:dyDescent="0.2">
      <c r="O987">
        <f>IF(O989&gt;10000,HLOOKUP(O989,N985:$O988,4,FALSE),IF(OR(AND(22500&lt;O985,O985&lt;25001),AND(50000&lt;O985,O985&lt;53501),AND(70000&lt;O985,O985&lt;72501)),$F985,IF(OR(AND(25001&lt;O985,O985&lt;27501),AND(53500&lt;O985,O985&lt;57001),AND(72500&lt;O985,O985&lt;75001)),$G985,IF(OR(AND(27500&lt;O985,O985&lt;30001),AND(57000&lt;O985,O985&lt;60001),AND(75000&lt;O985,O985&lt;77500)),$H985,VLOOKUP(O985,BDins,6,FALSE)))))</f>
        <v>20.81</v>
      </c>
      <c r="P987">
        <f>IF(P989&gt;10000,HLOOKUP(P989,O985:$O988,4,FALSE),IF(OR(AND(22500&lt;P985,P985&lt;25001),AND(50000&lt;P985,P985&lt;53501),AND(70000&lt;P985,P985&lt;72501)),$F985,IF(OR(AND(25001&lt;P985,P985&lt;27501),AND(53500&lt;P985,P985&lt;57001),AND(72500&lt;P985,P985&lt;75001)),$G985,IF(OR(AND(27500&lt;P985,P985&lt;30001),AND(57000&lt;P985,P985&lt;60001),AND(75000&lt;P985,P985&lt;77500)),$H985,VLOOKUP(P985,BDins,6,FALSE)))))</f>
        <v>145.30000000000001</v>
      </c>
      <c r="Q987">
        <f>IF(Q989&gt;10000,HLOOKUP(Q989,$O985:P988,4,FALSE),IF(OR(AND(22500&lt;Q985,Q985&lt;25001),AND(50000&lt;Q985,Q985&lt;53501),AND(70000&lt;Q985,Q985&lt;72501)),$F985,IF(OR(AND(25001&lt;Q985,Q985&lt;27501),AND(53500&lt;Q985,Q985&lt;57001),AND(72500&lt;Q985,Q985&lt;75001)),$G985,IF(OR(AND(27500&lt;Q985,Q985&lt;30001),AND(57000&lt;Q985,Q985&lt;60001),AND(75000&lt;Q985,Q985&lt;77500)),$H985,VLOOKUP(Q985,BDins,6,FALSE)))))</f>
        <v>43.2</v>
      </c>
    </row>
    <row r="988" spans="1:21" x14ac:dyDescent="0.2">
      <c r="O988">
        <f>IF($K985&gt;0,ROUND(O986*$E985/100,DpCU),IF(O989&gt;10000,ROUND(HLOOKUP(O989,$O985:$Q988,4,FALSE)/100*O986,DpCU),IF(OR(O985&lt;20001,O985&gt;95000,AND(60000&lt;O985,O985&lt;70001)),ROUND(ROUND(O986*JL/$C985,DcCU)*O987,DpCU),IF(OR(AND(20000&lt;O985,O985&lt;22501),AND(30000&lt;O985,O985&lt;50001),77500&lt;O985),ROUND(O987*O986,DpCU),IF(OR(AND(22500&lt;O985,O985&lt;25001),AND(50000&lt;O985,O985&lt;53501),AND(70000&lt;O985,O985&lt;72501)),ROUND($F985/100*O986,DpCU),IF(OR(AND(25000&lt;O985,O985&lt;27501),AND(53500&lt;O985,O985&lt;57001),AND(72500&lt;O985,O985&lt;75001)),ROUND($G985/100*O986,DpCU),ROUND($H985/100*O986,DpCU)))))))</f>
        <v>41.62</v>
      </c>
      <c r="P988">
        <f>IF($K985&gt;0,ROUND(P986*$E985/100,DpCU),IF(P989&gt;10000,ROUND(HLOOKUP(P989,$O985:$Q988,4,FALSE)/100*P986,DpCU),IF(OR(P985&lt;20001,P985&gt;95000,AND(60000&lt;P985,P985&lt;70001)),ROUND(ROUND(P986*JL/$C985,DcCU)*P987,DpCU),IF(OR(AND(20000&lt;P985,P985&lt;22501),AND(30000&lt;P985,P985&lt;50001),77500&lt;P985),ROUND(P987*P986,DpCU),IF(OR(AND(22500&lt;P985,P985&lt;25001),AND(50000&lt;P985,P985&lt;53501),AND(70000&lt;P985,P985&lt;72501)),ROUND($F985/100*P986,DpCU),IF(OR(AND(25000&lt;P985,P985&lt;27501),AND(53500&lt;P985,P985&lt;57001),AND(72500&lt;P985,P985&lt;75001)),ROUND($G985/100*P986,DpCU),ROUND($H985/100*P986,DpCU)))))))</f>
        <v>145.30000000000001</v>
      </c>
      <c r="Q988">
        <f>IF($K985&gt;0,ROUND(Q986*$E985/100,DpCU),IF(Q989&gt;10000,ROUND(HLOOKUP(Q989,$O985:$Q988,4,FALSE)/100*Q986,DpCU),IF(OR(Q985&lt;20001,Q985&gt;95000,AND(60000&lt;Q985,Q985&lt;70001)),ROUND(ROUND(Q986*JL/$C985,DcCU)*Q987,DpCU),IF(OR(AND(20000&lt;Q985,Q985&lt;22501),AND(30000&lt;Q985,Q985&lt;50001),77500&lt;Q985),ROUND(Q987*Q986,DpCU),IF(OR(AND(22500&lt;Q985,Q985&lt;25001),AND(50000&lt;Q985,Q985&lt;53501),AND(70000&lt;Q985,Q985&lt;72501)),ROUND($F985/100*Q986,DpCU),IF(OR(AND(25000&lt;Q985,Q985&lt;27501),AND(53500&lt;Q985,Q985&lt;57001),AND(72500&lt;Q985,Q985&lt;75001)),ROUND($G985/100*Q986,DpCU),ROUND($H985/100*Q986,DpCU)))))))</f>
        <v>43.2</v>
      </c>
    </row>
    <row r="989" spans="1:21" x14ac:dyDescent="0.2">
      <c r="B989" s="3" t="str">
        <f>A985&amp;"r"</f>
        <v>10197r</v>
      </c>
    </row>
    <row r="990" spans="1:21" x14ac:dyDescent="0.2">
      <c r="A990">
        <v>10198</v>
      </c>
      <c r="B990" s="3" t="s">
        <v>1026</v>
      </c>
      <c r="C990" s="1">
        <f>ROUND(J990*JL*Frto/8,4)</f>
        <v>5</v>
      </c>
      <c r="D990" t="s">
        <v>7</v>
      </c>
      <c r="E990">
        <f>SUM($O993:$O993)</f>
        <v>95.2</v>
      </c>
      <c r="F990">
        <f>SUMIF($O990:$O990,"&lt;22501",$O993:$O993)</f>
        <v>0</v>
      </c>
      <c r="G990">
        <f>SUMIFS($O993:$O993,$O990:$O990,"&gt;30000",$O990:$O990,"&lt;50001")</f>
        <v>95.2</v>
      </c>
      <c r="H990">
        <f>SUMIFS($O993:$O993,$O990:$O990,"&gt;60000",$O990:$O990,"&lt;70001")</f>
        <v>0</v>
      </c>
      <c r="I990">
        <v>1</v>
      </c>
      <c r="J990">
        <v>5</v>
      </c>
      <c r="O990">
        <v>30255</v>
      </c>
    </row>
    <row r="991" spans="1:21" x14ac:dyDescent="0.2">
      <c r="B991" s="3" t="str">
        <f>A990&amp;"C"</f>
        <v>10198C</v>
      </c>
      <c r="O991">
        <v>1</v>
      </c>
    </row>
    <row r="992" spans="1:21" x14ac:dyDescent="0.2">
      <c r="O992">
        <f>IF(O994&gt;10000,HLOOKUP(O994,N990:$O993,4,FALSE),IF(OR(AND(22500&lt;O990,O990&lt;25001),AND(50000&lt;O990,O990&lt;53501),AND(70000&lt;O990,O990&lt;72501)),$F990,IF(OR(AND(25001&lt;O990,O990&lt;27501),AND(53500&lt;O990,O990&lt;57001),AND(72500&lt;O990,O990&lt;75001)),$G990,IF(OR(AND(27500&lt;O990,O990&lt;30001),AND(57000&lt;O990,O990&lt;60001),AND(75000&lt;O990,O990&lt;77500)),$H990,VLOOKUP(O990,BDins,6,FALSE)))))</f>
        <v>95.2</v>
      </c>
    </row>
    <row r="993" spans="1:24" x14ac:dyDescent="0.2">
      <c r="O993">
        <f>IF($K990&gt;0,ROUND(O991*$E990/100,DpCU),IF(O994&gt;10000,ROUND(HLOOKUP(O994,$O990:$O993,4,FALSE)/100*O991,DpCU),IF(OR(O990&lt;20001,O990&gt;95000,AND(60000&lt;O990,O990&lt;70001)),ROUND(ROUND(O991*JL/$C990,DcCU)*O992,DpCU),IF(OR(AND(20000&lt;O990,O990&lt;22501),AND(30000&lt;O990,O990&lt;50001),77500&lt;O990),ROUND(O992*O991,DpCU),IF(OR(AND(22500&lt;O990,O990&lt;25001),AND(50000&lt;O990,O990&lt;53501),AND(70000&lt;O990,O990&lt;72501)),ROUND($F990/100*O991,DpCU),IF(OR(AND(25000&lt;O990,O990&lt;27501),AND(53500&lt;O990,O990&lt;57001),AND(72500&lt;O990,O990&lt;75001)),ROUND($G990/100*O991,DpCU),ROUND($H990/100*O991,DpCU)))))))</f>
        <v>95.2</v>
      </c>
    </row>
    <row r="994" spans="1:24" x14ac:dyDescent="0.2">
      <c r="B994" s="3" t="str">
        <f>A990&amp;"r"</f>
        <v>10198r</v>
      </c>
    </row>
    <row r="995" spans="1:24" x14ac:dyDescent="0.2">
      <c r="A995">
        <v>10199</v>
      </c>
      <c r="B995" s="3" t="s">
        <v>1033</v>
      </c>
      <c r="C995" s="1">
        <f>ROUND(J995*JL*Frto/8,4)</f>
        <v>6.25</v>
      </c>
      <c r="D995" t="s">
        <v>914</v>
      </c>
      <c r="E995">
        <f>SUM($O998:$X998)</f>
        <v>67.240000000000009</v>
      </c>
      <c r="F995">
        <f>SUMIF($O995:$X995,"&lt;22501",$O998:$X998)</f>
        <v>49.5</v>
      </c>
      <c r="G995">
        <f>SUMIFS($O998:$X998,$O995:$X995,"&gt;30000",$O995:$X995,"&lt;50001")</f>
        <v>15.26</v>
      </c>
      <c r="H995">
        <f>SUMIFS($O998:$X998,$O995:$X995,"&gt;60000",$O995:$X995,"&lt;70001")</f>
        <v>0</v>
      </c>
      <c r="I995">
        <v>10</v>
      </c>
      <c r="J995">
        <v>6.25</v>
      </c>
      <c r="O995">
        <v>10001</v>
      </c>
      <c r="P995">
        <v>10002</v>
      </c>
      <c r="Q995">
        <v>10003</v>
      </c>
      <c r="R995">
        <v>30199</v>
      </c>
      <c r="S995">
        <v>30200</v>
      </c>
      <c r="T995">
        <v>30256</v>
      </c>
      <c r="U995">
        <v>30257</v>
      </c>
      <c r="V995">
        <v>30258</v>
      </c>
      <c r="W995">
        <v>30259</v>
      </c>
      <c r="X995">
        <v>70001</v>
      </c>
    </row>
    <row r="996" spans="1:24" x14ac:dyDescent="0.2">
      <c r="B996" s="3" t="str">
        <f>A995&amp;"C"</f>
        <v>10199C</v>
      </c>
      <c r="O996">
        <v>0.1</v>
      </c>
      <c r="P996">
        <v>1</v>
      </c>
      <c r="Q996">
        <v>1</v>
      </c>
      <c r="R996">
        <v>1</v>
      </c>
      <c r="S996">
        <v>1</v>
      </c>
      <c r="T996">
        <v>1.5E-3</v>
      </c>
      <c r="U996">
        <v>0.6</v>
      </c>
      <c r="V996">
        <v>1</v>
      </c>
      <c r="W996">
        <v>1</v>
      </c>
      <c r="X996">
        <v>5</v>
      </c>
    </row>
    <row r="997" spans="1:24" x14ac:dyDescent="0.2">
      <c r="O997">
        <f>IF(O999&gt;10000,HLOOKUP(O999,N995:$O998,4,FALSE),IF(OR(AND(22500&lt;O995,O995&lt;25001),AND(50000&lt;O995,O995&lt;53501),AND(70000&lt;O995,O995&lt;72501)),$F995,IF(OR(AND(25001&lt;O995,O995&lt;27501),AND(53500&lt;O995,O995&lt;57001),AND(72500&lt;O995,O995&lt;75001)),$G995,IF(OR(AND(27500&lt;O995,O995&lt;30001),AND(57000&lt;O995,O995&lt;60001),AND(75000&lt;O995,O995&lt;77500)),$H995,VLOOKUP(O995,BDins,6,FALSE)))))</f>
        <v>24.97</v>
      </c>
      <c r="P997">
        <f>IF(P999&gt;10000,HLOOKUP(P999,O995:$O998,4,FALSE),IF(OR(AND(22500&lt;P995,P995&lt;25001),AND(50000&lt;P995,P995&lt;53501),AND(70000&lt;P995,P995&lt;72501)),$F995,IF(OR(AND(25001&lt;P995,P995&lt;27501),AND(53500&lt;P995,P995&lt;57001),AND(72500&lt;P995,P995&lt;75001)),$G995,IF(OR(AND(27500&lt;P995,P995&lt;30001),AND(57000&lt;P995,P995&lt;60001),AND(75000&lt;P995,P995&lt;77500)),$H995,VLOOKUP(P995,BDins,6,FALSE)))))</f>
        <v>20.81</v>
      </c>
      <c r="Q997">
        <f>IF(Q999&gt;10000,HLOOKUP(Q999,$O995:P998,4,FALSE),IF(OR(AND(22500&lt;Q995,Q995&lt;25001),AND(50000&lt;Q995,Q995&lt;53501),AND(70000&lt;Q995,Q995&lt;72501)),$F995,IF(OR(AND(25001&lt;Q995,Q995&lt;27501),AND(53500&lt;Q995,Q995&lt;57001),AND(72500&lt;Q995,Q995&lt;75001)),$G995,IF(OR(AND(27500&lt;Q995,Q995&lt;30001),AND(57000&lt;Q995,Q995&lt;60001),AND(75000&lt;Q995,Q995&lt;77500)),$H995,VLOOKUP(Q995,BDins,6,FALSE)))))</f>
        <v>15.36</v>
      </c>
      <c r="R997">
        <f>IF(R999&gt;10000,HLOOKUP(R999,$O995:Q998,4,FALSE),IF(OR(AND(22500&lt;R995,R995&lt;25001),AND(50000&lt;R995,R995&lt;53501),AND(70000&lt;R995,R995&lt;72501)),$F995,IF(OR(AND(25001&lt;R995,R995&lt;27501),AND(53500&lt;R995,R995&lt;57001),AND(72500&lt;R995,R995&lt;75001)),$G995,IF(OR(AND(27500&lt;R995,R995&lt;30001),AND(57000&lt;R995,R995&lt;60001),AND(75000&lt;R995,R995&lt;77500)),$H995,VLOOKUP(R995,BDins,6,FALSE)))))</f>
        <v>1.5</v>
      </c>
      <c r="S997">
        <f>IF(S999&gt;10000,HLOOKUP(S999,$O995:R998,4,FALSE),IF(OR(AND(22500&lt;S995,S995&lt;25001),AND(50000&lt;S995,S995&lt;53501),AND(70000&lt;S995,S995&lt;72501)),$F995,IF(OR(AND(25001&lt;S995,S995&lt;27501),AND(53500&lt;S995,S995&lt;57001),AND(72500&lt;S995,S995&lt;75001)),$G995,IF(OR(AND(27500&lt;S995,S995&lt;30001),AND(57000&lt;S995,S995&lt;60001),AND(75000&lt;S995,S995&lt;77500)),$H995,VLOOKUP(S995,BDins,6,FALSE)))))</f>
        <v>1.2</v>
      </c>
      <c r="T997">
        <f>IF(T999&gt;10000,HLOOKUP(T999,$O995:S998,4,FALSE),IF(OR(AND(22500&lt;T995,T995&lt;25001),AND(50000&lt;T995,T995&lt;53501),AND(70000&lt;T995,T995&lt;72501)),$F995,IF(OR(AND(25001&lt;T995,T995&lt;27501),AND(53500&lt;T995,T995&lt;57001),AND(72500&lt;T995,T995&lt;75001)),$G995,IF(OR(AND(27500&lt;T995,T995&lt;30001),AND(57000&lt;T995,T995&lt;60001),AND(75000&lt;T995,T995&lt;77500)),$H995,VLOOKUP(T995,BDins,6,FALSE)))))</f>
        <v>29</v>
      </c>
      <c r="U997">
        <f>IF(U999&gt;10000,HLOOKUP(U999,$O995:T998,4,FALSE),IF(OR(AND(22500&lt;U995,U995&lt;25001),AND(50000&lt;U995,U995&lt;53501),AND(70000&lt;U995,U995&lt;72501)),$F995,IF(OR(AND(25001&lt;U995,U995&lt;27501),AND(53500&lt;U995,U995&lt;57001),AND(72500&lt;U995,U995&lt;75001)),$G995,IF(OR(AND(27500&lt;U995,U995&lt;30001),AND(57000&lt;U995,U995&lt;60001),AND(75000&lt;U995,U995&lt;77500)),$H995,VLOOKUP(U995,BDins,6,FALSE)))))</f>
        <v>19.2</v>
      </c>
      <c r="V997">
        <f>IF(V999&gt;10000,HLOOKUP(V999,$O995:U998,4,FALSE),IF(OR(AND(22500&lt;V995,V995&lt;25001),AND(50000&lt;V995,V995&lt;53501),AND(70000&lt;V995,V995&lt;72501)),$F995,IF(OR(AND(25001&lt;V995,V995&lt;27501),AND(53500&lt;V995,V995&lt;57001),AND(72500&lt;V995,V995&lt;75001)),$G995,IF(OR(AND(27500&lt;V995,V995&lt;30001),AND(57000&lt;V995,V995&lt;60001),AND(75000&lt;V995,V995&lt;77500)),$H995,VLOOKUP(V995,BDins,6,FALSE)))))</f>
        <v>0.4</v>
      </c>
      <c r="W997">
        <f>IF(W999&gt;10000,HLOOKUP(W999,$O995:V998,4,FALSE),IF(OR(AND(22500&lt;W995,W995&lt;25001),AND(50000&lt;W995,W995&lt;53501),AND(70000&lt;W995,W995&lt;72501)),$F995,IF(OR(AND(25001&lt;W995,W995&lt;27501),AND(53500&lt;W995,W995&lt;57001),AND(72500&lt;W995,W995&lt;75001)),$G995,IF(OR(AND(27500&lt;W995,W995&lt;30001),AND(57000&lt;W995,W995&lt;60001),AND(75000&lt;W995,W995&lt;77500)),$H995,VLOOKUP(W995,BDins,6,FALSE)))))</f>
        <v>0.6</v>
      </c>
      <c r="X997">
        <f>IF(X999&gt;10000,HLOOKUP(X999,$O995:W998,4,FALSE),IF(OR(AND(22500&lt;X995,X995&lt;25001),AND(50000&lt;X995,X995&lt;53501),AND(70000&lt;X995,X995&lt;72501)),$F995,IF(OR(AND(25001&lt;X995,X995&lt;27501),AND(53500&lt;X995,X995&lt;57001),AND(72500&lt;X995,X995&lt;75001)),$G995,IF(OR(AND(27500&lt;X995,X995&lt;30001),AND(57000&lt;X995,X995&lt;60001),AND(75000&lt;X995,X995&lt;77500)),$H995,VLOOKUP(X995,BDins,6,FALSE)))))</f>
        <v>49.5</v>
      </c>
    </row>
    <row r="998" spans="1:24" x14ac:dyDescent="0.2">
      <c r="O998">
        <f t="shared" ref="O998:X998" si="140">IF($K995&gt;0,ROUND(O996*$E995/100,DpCU),IF(O999&gt;10000,ROUND(HLOOKUP(O999,$O995:$X998,4,FALSE)/100*O996,DpCU),IF(OR(O995&lt;20001,O995&gt;95000,AND(60000&lt;O995,O995&lt;70001)),ROUND(ROUND(O996*JL/$C995,DcCU)*O997,DpCU),IF(OR(AND(20000&lt;O995,O995&lt;22501),AND(30000&lt;O995,O995&lt;50001),77500&lt;O995),ROUND(O997*O996,DpCU),IF(OR(AND(22500&lt;O995,O995&lt;25001),AND(50000&lt;O995,O995&lt;53501),AND(70000&lt;O995,O995&lt;72501)),ROUND($F995/100*O996,DpCU),IF(OR(AND(25000&lt;O995,O995&lt;27501),AND(53500&lt;O995,O995&lt;57001),AND(72500&lt;O995,O995&lt;75001)),ROUND($G995/100*O996,DpCU),ROUND($H995/100*O996,DpCU)))))))</f>
        <v>3.2</v>
      </c>
      <c r="P998">
        <f t="shared" si="140"/>
        <v>26.64</v>
      </c>
      <c r="Q998">
        <f t="shared" si="140"/>
        <v>19.66</v>
      </c>
      <c r="R998">
        <f t="shared" si="140"/>
        <v>1.5</v>
      </c>
      <c r="S998">
        <f t="shared" si="140"/>
        <v>1.2</v>
      </c>
      <c r="T998">
        <f t="shared" si="140"/>
        <v>0.04</v>
      </c>
      <c r="U998">
        <f t="shared" si="140"/>
        <v>11.52</v>
      </c>
      <c r="V998">
        <f t="shared" si="140"/>
        <v>0.4</v>
      </c>
      <c r="W998">
        <f t="shared" si="140"/>
        <v>0.6</v>
      </c>
      <c r="X998">
        <f t="shared" si="140"/>
        <v>2.48</v>
      </c>
    </row>
    <row r="999" spans="1:24" x14ac:dyDescent="0.2">
      <c r="B999" s="3" t="str">
        <f>A995&amp;"r"</f>
        <v>10199r</v>
      </c>
    </row>
    <row r="1000" spans="1:24" x14ac:dyDescent="0.2">
      <c r="A1000">
        <v>10200</v>
      </c>
      <c r="B1000" s="3" t="s">
        <v>1039</v>
      </c>
      <c r="C1000" s="1">
        <f>ROUND(J1000*JL*Frto/8,4)</f>
        <v>5</v>
      </c>
      <c r="D1000" t="s">
        <v>174</v>
      </c>
      <c r="E1000">
        <f>SUM($O1003:$X1003)</f>
        <v>72.610000000000014</v>
      </c>
      <c r="F1000">
        <f>SUMIF($O1000:$X1000,"&lt;22501",$O1003:$X1003)</f>
        <v>61.879999999999995</v>
      </c>
      <c r="G1000">
        <f>SUMIFS($O1003:$X1003,$O1000:$X1000,"&gt;30000",$O1000:$X1000,"&lt;50001")</f>
        <v>7.6400000000000006</v>
      </c>
      <c r="H1000">
        <f>SUMIFS($O1003:$X1003,$O1000:$X1000,"&gt;60000",$O1000:$X1000,"&lt;70001")</f>
        <v>0</v>
      </c>
      <c r="I1000">
        <v>10</v>
      </c>
      <c r="J1000">
        <v>5</v>
      </c>
      <c r="O1000">
        <v>10001</v>
      </c>
      <c r="P1000">
        <v>10002</v>
      </c>
      <c r="Q1000">
        <v>10003</v>
      </c>
      <c r="R1000">
        <v>30205</v>
      </c>
      <c r="S1000">
        <v>30206</v>
      </c>
      <c r="T1000">
        <v>30256</v>
      </c>
      <c r="U1000">
        <v>30260</v>
      </c>
      <c r="V1000">
        <v>30261</v>
      </c>
      <c r="W1000">
        <v>30262</v>
      </c>
      <c r="X1000">
        <v>70001</v>
      </c>
    </row>
    <row r="1001" spans="1:24" x14ac:dyDescent="0.2">
      <c r="B1001" s="3" t="str">
        <f>A1000&amp;"C"</f>
        <v>10200C</v>
      </c>
      <c r="O1001">
        <v>0.1</v>
      </c>
      <c r="P1001">
        <v>1</v>
      </c>
      <c r="Q1001">
        <v>1</v>
      </c>
      <c r="R1001">
        <v>1</v>
      </c>
      <c r="S1001">
        <v>1</v>
      </c>
      <c r="T1001">
        <v>1.5E-3</v>
      </c>
      <c r="U1001">
        <v>0.6</v>
      </c>
      <c r="V1001">
        <v>1</v>
      </c>
      <c r="W1001">
        <v>1</v>
      </c>
      <c r="X1001">
        <v>5</v>
      </c>
    </row>
    <row r="1002" spans="1:24" x14ac:dyDescent="0.2">
      <c r="O1002">
        <f>IF(O1004&gt;10000,HLOOKUP(O1004,N1000:$O1003,4,FALSE),IF(OR(AND(22500&lt;O1000,O1000&lt;25001),AND(50000&lt;O1000,O1000&lt;53501),AND(70000&lt;O1000,O1000&lt;72501)),$F1000,IF(OR(AND(25001&lt;O1000,O1000&lt;27501),AND(53500&lt;O1000,O1000&lt;57001),AND(72500&lt;O1000,O1000&lt;75001)),$G1000,IF(OR(AND(27500&lt;O1000,O1000&lt;30001),AND(57000&lt;O1000,O1000&lt;60001),AND(75000&lt;O1000,O1000&lt;77500)),$H1000,VLOOKUP(O1000,BDins,6,FALSE)))))</f>
        <v>24.97</v>
      </c>
      <c r="P1002">
        <f>IF(P1004&gt;10000,HLOOKUP(P1004,O1000:$O1003,4,FALSE),IF(OR(AND(22500&lt;P1000,P1000&lt;25001),AND(50000&lt;P1000,P1000&lt;53501),AND(70000&lt;P1000,P1000&lt;72501)),$F1000,IF(OR(AND(25001&lt;P1000,P1000&lt;27501),AND(53500&lt;P1000,P1000&lt;57001),AND(72500&lt;P1000,P1000&lt;75001)),$G1000,IF(OR(AND(27500&lt;P1000,P1000&lt;30001),AND(57000&lt;P1000,P1000&lt;60001),AND(75000&lt;P1000,P1000&lt;77500)),$H1000,VLOOKUP(P1000,BDins,6,FALSE)))))</f>
        <v>20.81</v>
      </c>
      <c r="Q1002">
        <f>IF(Q1004&gt;10000,HLOOKUP(Q1004,$O1000:P1003,4,FALSE),IF(OR(AND(22500&lt;Q1000,Q1000&lt;25001),AND(50000&lt;Q1000,Q1000&lt;53501),AND(70000&lt;Q1000,Q1000&lt;72501)),$F1000,IF(OR(AND(25001&lt;Q1000,Q1000&lt;27501),AND(53500&lt;Q1000,Q1000&lt;57001),AND(72500&lt;Q1000,Q1000&lt;75001)),$G1000,IF(OR(AND(27500&lt;Q1000,Q1000&lt;30001),AND(57000&lt;Q1000,Q1000&lt;60001),AND(75000&lt;Q1000,Q1000&lt;77500)),$H1000,VLOOKUP(Q1000,BDins,6,FALSE)))))</f>
        <v>15.36</v>
      </c>
      <c r="R1002">
        <f>IF(R1004&gt;10000,HLOOKUP(R1004,$O1000:Q1003,4,FALSE),IF(OR(AND(22500&lt;R1000,R1000&lt;25001),AND(50000&lt;R1000,R1000&lt;53501),AND(70000&lt;R1000,R1000&lt;72501)),$F1000,IF(OR(AND(25001&lt;R1000,R1000&lt;27501),AND(53500&lt;R1000,R1000&lt;57001),AND(72500&lt;R1000,R1000&lt;75001)),$G1000,IF(OR(AND(27500&lt;R1000,R1000&lt;30001),AND(57000&lt;R1000,R1000&lt;60001),AND(75000&lt;R1000,R1000&lt;77500)),$H1000,VLOOKUP(R1000,BDins,6,FALSE)))))</f>
        <v>2.2000000000000002</v>
      </c>
      <c r="S1002">
        <f>IF(S1004&gt;10000,HLOOKUP(S1004,$O1000:R1003,4,FALSE),IF(OR(AND(22500&lt;S1000,S1000&lt;25001),AND(50000&lt;S1000,S1000&lt;53501),AND(70000&lt;S1000,S1000&lt;72501)),$F1000,IF(OR(AND(25001&lt;S1000,S1000&lt;27501),AND(53500&lt;S1000,S1000&lt;57001),AND(72500&lt;S1000,S1000&lt;75001)),$G1000,IF(OR(AND(27500&lt;S1000,S1000&lt;30001),AND(57000&lt;S1000,S1000&lt;60001),AND(75000&lt;S1000,S1000&lt;77500)),$H1000,VLOOKUP(S1000,BDins,6,FALSE)))))</f>
        <v>1.5</v>
      </c>
      <c r="T1002">
        <f>IF(T1004&gt;10000,HLOOKUP(T1004,$O1000:S1003,4,FALSE),IF(OR(AND(22500&lt;T1000,T1000&lt;25001),AND(50000&lt;T1000,T1000&lt;53501),AND(70000&lt;T1000,T1000&lt;72501)),$F1000,IF(OR(AND(25001&lt;T1000,T1000&lt;27501),AND(53500&lt;T1000,T1000&lt;57001),AND(72500&lt;T1000,T1000&lt;75001)),$G1000,IF(OR(AND(27500&lt;T1000,T1000&lt;30001),AND(57000&lt;T1000,T1000&lt;60001),AND(75000&lt;T1000,T1000&lt;77500)),$H1000,VLOOKUP(T1000,BDins,6,FALSE)))))</f>
        <v>29</v>
      </c>
      <c r="U1002">
        <f>IF(U1004&gt;10000,HLOOKUP(U1004,$O1000:T1003,4,FALSE),IF(OR(AND(22500&lt;U1000,U1000&lt;25001),AND(50000&lt;U1000,U1000&lt;53501),AND(70000&lt;U1000,U1000&lt;72501)),$F1000,IF(OR(AND(25001&lt;U1000,U1000&lt;27501),AND(53500&lt;U1000,U1000&lt;57001),AND(72500&lt;U1000,U1000&lt;75001)),$G1000,IF(OR(AND(27500&lt;U1000,U1000&lt;30001),AND(57000&lt;U1000,U1000&lt;60001),AND(75000&lt;U1000,U1000&lt;77500)),$H1000,VLOOKUP(U1000,BDins,6,FALSE)))))</f>
        <v>1.5</v>
      </c>
      <c r="V1002">
        <f>IF(V1004&gt;10000,HLOOKUP(V1004,$O1000:U1003,4,FALSE),IF(OR(AND(22500&lt;V1000,V1000&lt;25001),AND(50000&lt;V1000,V1000&lt;53501),AND(70000&lt;V1000,V1000&lt;72501)),$F1000,IF(OR(AND(25001&lt;V1000,V1000&lt;27501),AND(53500&lt;V1000,V1000&lt;57001),AND(72500&lt;V1000,V1000&lt;75001)),$G1000,IF(OR(AND(27500&lt;V1000,V1000&lt;30001),AND(57000&lt;V1000,V1000&lt;60001),AND(75000&lt;V1000,V1000&lt;77500)),$H1000,VLOOKUP(V1000,BDins,6,FALSE)))))</f>
        <v>1.5</v>
      </c>
      <c r="W1002">
        <f>IF(W1004&gt;10000,HLOOKUP(W1004,$O1000:V1003,4,FALSE),IF(OR(AND(22500&lt;W1000,W1000&lt;25001),AND(50000&lt;W1000,W1000&lt;53501),AND(70000&lt;W1000,W1000&lt;72501)),$F1000,IF(OR(AND(25001&lt;W1000,W1000&lt;27501),AND(53500&lt;W1000,W1000&lt;57001),AND(72500&lt;W1000,W1000&lt;75001)),$G1000,IF(OR(AND(27500&lt;W1000,W1000&lt;30001),AND(57000&lt;W1000,W1000&lt;60001),AND(75000&lt;W1000,W1000&lt;77500)),$H1000,VLOOKUP(W1000,BDins,6,FALSE)))))</f>
        <v>1.5</v>
      </c>
      <c r="X1002">
        <f>IF(X1004&gt;10000,HLOOKUP(X1004,$O1000:W1003,4,FALSE),IF(OR(AND(22500&lt;X1000,X1000&lt;25001),AND(50000&lt;X1000,X1000&lt;53501),AND(70000&lt;X1000,X1000&lt;72501)),$F1000,IF(OR(AND(25001&lt;X1000,X1000&lt;27501),AND(53500&lt;X1000,X1000&lt;57001),AND(72500&lt;X1000,X1000&lt;75001)),$G1000,IF(OR(AND(27500&lt;X1000,X1000&lt;30001),AND(57000&lt;X1000,X1000&lt;60001),AND(75000&lt;X1000,X1000&lt;77500)),$H1000,VLOOKUP(X1000,BDins,6,FALSE)))))</f>
        <v>61.879999999999995</v>
      </c>
    </row>
    <row r="1003" spans="1:24" x14ac:dyDescent="0.2">
      <c r="O1003">
        <f t="shared" ref="O1003:X1003" si="141">IF($K1000&gt;0,ROUND(O1001*$E1000/100,DpCU),IF(O1004&gt;10000,ROUND(HLOOKUP(O1004,$O1000:$X1003,4,FALSE)/100*O1001,DpCU),IF(OR(O1000&lt;20001,O1000&gt;95000,AND(60000&lt;O1000,O1000&lt;70001)),ROUND(ROUND(O1001*JL/$C1000,DcCU)*O1002,DpCU),IF(OR(AND(20000&lt;O1000,O1000&lt;22501),AND(30000&lt;O1000,O1000&lt;50001),77500&lt;O1000),ROUND(O1002*O1001,DpCU),IF(OR(AND(22500&lt;O1000,O1000&lt;25001),AND(50000&lt;O1000,O1000&lt;53501),AND(70000&lt;O1000,O1000&lt;72501)),ROUND($F1000/100*O1001,DpCU),IF(OR(AND(25000&lt;O1000,O1000&lt;27501),AND(53500&lt;O1000,O1000&lt;57001),AND(72500&lt;O1000,O1000&lt;75001)),ROUND($G1000/100*O1001,DpCU),ROUND($H1000/100*O1001,DpCU)))))))</f>
        <v>4</v>
      </c>
      <c r="P1003">
        <f t="shared" si="141"/>
        <v>33.299999999999997</v>
      </c>
      <c r="Q1003">
        <f t="shared" si="141"/>
        <v>24.58</v>
      </c>
      <c r="R1003">
        <f t="shared" si="141"/>
        <v>2.2000000000000002</v>
      </c>
      <c r="S1003">
        <f t="shared" si="141"/>
        <v>1.5</v>
      </c>
      <c r="T1003">
        <f t="shared" si="141"/>
        <v>0.04</v>
      </c>
      <c r="U1003">
        <f t="shared" si="141"/>
        <v>0.9</v>
      </c>
      <c r="V1003">
        <f t="shared" si="141"/>
        <v>1.5</v>
      </c>
      <c r="W1003">
        <f t="shared" si="141"/>
        <v>1.5</v>
      </c>
      <c r="X1003">
        <f t="shared" si="141"/>
        <v>3.09</v>
      </c>
    </row>
    <row r="1004" spans="1:24" x14ac:dyDescent="0.2">
      <c r="B1004" s="3" t="str">
        <f>A1000&amp;"r"</f>
        <v>10200r</v>
      </c>
    </row>
    <row r="1005" spans="1:24" x14ac:dyDescent="0.2">
      <c r="A1005">
        <v>10201</v>
      </c>
      <c r="B1005" s="3" t="s">
        <v>1046</v>
      </c>
      <c r="C1005" s="1">
        <f>ROUND(J1005*JL*Frto/8,4)</f>
        <v>25</v>
      </c>
      <c r="D1005" t="s">
        <v>194</v>
      </c>
      <c r="E1005">
        <f>SUM($O1008:$W1008)</f>
        <v>17.869999999999997</v>
      </c>
      <c r="F1005">
        <f>SUMIF($O1005:$W1005,"&lt;22501",$O1008:$W1008)</f>
        <v>12.379999999999999</v>
      </c>
      <c r="G1005">
        <f>SUMIFS($O1008:$W1008,$O1005:$W1005,"&gt;30000",$O1005:$W1005,"&lt;50001")</f>
        <v>4.8699999999999992</v>
      </c>
      <c r="H1005">
        <f>SUMIFS($O1008:$W1008,$O1005:$W1005,"&gt;60000",$O1005:$W1005,"&lt;70001")</f>
        <v>0</v>
      </c>
      <c r="I1005">
        <v>9</v>
      </c>
      <c r="J1005">
        <v>25</v>
      </c>
      <c r="O1005">
        <v>10001</v>
      </c>
      <c r="P1005">
        <v>10002</v>
      </c>
      <c r="Q1005">
        <v>10003</v>
      </c>
      <c r="R1005">
        <v>30256</v>
      </c>
      <c r="S1005">
        <v>30257</v>
      </c>
      <c r="T1005">
        <v>30258</v>
      </c>
      <c r="U1005">
        <v>30259</v>
      </c>
      <c r="V1005">
        <v>30263</v>
      </c>
      <c r="W1005">
        <v>70001</v>
      </c>
    </row>
    <row r="1006" spans="1:24" x14ac:dyDescent="0.2">
      <c r="B1006" s="3" t="str">
        <f>A1005&amp;"C"</f>
        <v>10201C</v>
      </c>
      <c r="O1006">
        <v>0.1</v>
      </c>
      <c r="P1006">
        <v>1</v>
      </c>
      <c r="Q1006">
        <v>1</v>
      </c>
      <c r="R1006">
        <v>0.01</v>
      </c>
      <c r="S1006">
        <v>0.22</v>
      </c>
      <c r="T1006">
        <v>0.22</v>
      </c>
      <c r="U1006">
        <v>0.22</v>
      </c>
      <c r="V1006">
        <v>0.22</v>
      </c>
      <c r="W1006">
        <v>5</v>
      </c>
    </row>
    <row r="1007" spans="1:24" x14ac:dyDescent="0.2">
      <c r="O1007">
        <f>IF(O1009&gt;10000,HLOOKUP(O1009,N1005:$O1008,4,FALSE),IF(OR(AND(22500&lt;O1005,O1005&lt;25001),AND(50000&lt;O1005,O1005&lt;53501),AND(70000&lt;O1005,O1005&lt;72501)),$F1005,IF(OR(AND(25001&lt;O1005,O1005&lt;27501),AND(53500&lt;O1005,O1005&lt;57001),AND(72500&lt;O1005,O1005&lt;75001)),$G1005,IF(OR(AND(27500&lt;O1005,O1005&lt;30001),AND(57000&lt;O1005,O1005&lt;60001),AND(75000&lt;O1005,O1005&lt;77500)),$H1005,VLOOKUP(O1005,BDins,6,FALSE)))))</f>
        <v>24.97</v>
      </c>
      <c r="P1007">
        <f>IF(P1009&gt;10000,HLOOKUP(P1009,O1005:$O1008,4,FALSE),IF(OR(AND(22500&lt;P1005,P1005&lt;25001),AND(50000&lt;P1005,P1005&lt;53501),AND(70000&lt;P1005,P1005&lt;72501)),$F1005,IF(OR(AND(25001&lt;P1005,P1005&lt;27501),AND(53500&lt;P1005,P1005&lt;57001),AND(72500&lt;P1005,P1005&lt;75001)),$G1005,IF(OR(AND(27500&lt;P1005,P1005&lt;30001),AND(57000&lt;P1005,P1005&lt;60001),AND(75000&lt;P1005,P1005&lt;77500)),$H1005,VLOOKUP(P1005,BDins,6,FALSE)))))</f>
        <v>20.81</v>
      </c>
      <c r="Q1007">
        <f>IF(Q1009&gt;10000,HLOOKUP(Q1009,$O1005:P1008,4,FALSE),IF(OR(AND(22500&lt;Q1005,Q1005&lt;25001),AND(50000&lt;Q1005,Q1005&lt;53501),AND(70000&lt;Q1005,Q1005&lt;72501)),$F1005,IF(OR(AND(25001&lt;Q1005,Q1005&lt;27501),AND(53500&lt;Q1005,Q1005&lt;57001),AND(72500&lt;Q1005,Q1005&lt;75001)),$G1005,IF(OR(AND(27500&lt;Q1005,Q1005&lt;30001),AND(57000&lt;Q1005,Q1005&lt;60001),AND(75000&lt;Q1005,Q1005&lt;77500)),$H1005,VLOOKUP(Q1005,BDins,6,FALSE)))))</f>
        <v>15.36</v>
      </c>
      <c r="R1007">
        <f>IF(R1009&gt;10000,HLOOKUP(R1009,$O1005:Q1008,4,FALSE),IF(OR(AND(22500&lt;R1005,R1005&lt;25001),AND(50000&lt;R1005,R1005&lt;53501),AND(70000&lt;R1005,R1005&lt;72501)),$F1005,IF(OR(AND(25001&lt;R1005,R1005&lt;27501),AND(53500&lt;R1005,R1005&lt;57001),AND(72500&lt;R1005,R1005&lt;75001)),$G1005,IF(OR(AND(27500&lt;R1005,R1005&lt;30001),AND(57000&lt;R1005,R1005&lt;60001),AND(75000&lt;R1005,R1005&lt;77500)),$H1005,VLOOKUP(R1005,BDins,6,FALSE)))))</f>
        <v>29</v>
      </c>
      <c r="S1007">
        <f>IF(S1009&gt;10000,HLOOKUP(S1009,$O1005:R1008,4,FALSE),IF(OR(AND(22500&lt;S1005,S1005&lt;25001),AND(50000&lt;S1005,S1005&lt;53501),AND(70000&lt;S1005,S1005&lt;72501)),$F1005,IF(OR(AND(25001&lt;S1005,S1005&lt;27501),AND(53500&lt;S1005,S1005&lt;57001),AND(72500&lt;S1005,S1005&lt;75001)),$G1005,IF(OR(AND(27500&lt;S1005,S1005&lt;30001),AND(57000&lt;S1005,S1005&lt;60001),AND(75000&lt;S1005,S1005&lt;77500)),$H1005,VLOOKUP(S1005,BDins,6,FALSE)))))</f>
        <v>19.2</v>
      </c>
      <c r="T1007">
        <f>IF(T1009&gt;10000,HLOOKUP(T1009,$O1005:S1008,4,FALSE),IF(OR(AND(22500&lt;T1005,T1005&lt;25001),AND(50000&lt;T1005,T1005&lt;53501),AND(70000&lt;T1005,T1005&lt;72501)),$F1005,IF(OR(AND(25001&lt;T1005,T1005&lt;27501),AND(53500&lt;T1005,T1005&lt;57001),AND(72500&lt;T1005,T1005&lt;75001)),$G1005,IF(OR(AND(27500&lt;T1005,T1005&lt;30001),AND(57000&lt;T1005,T1005&lt;60001),AND(75000&lt;T1005,T1005&lt;77500)),$H1005,VLOOKUP(T1005,BDins,6,FALSE)))))</f>
        <v>0.4</v>
      </c>
      <c r="U1007">
        <f>IF(U1009&gt;10000,HLOOKUP(U1009,$O1005:T1008,4,FALSE),IF(OR(AND(22500&lt;U1005,U1005&lt;25001),AND(50000&lt;U1005,U1005&lt;53501),AND(70000&lt;U1005,U1005&lt;72501)),$F1005,IF(OR(AND(25001&lt;U1005,U1005&lt;27501),AND(53500&lt;U1005,U1005&lt;57001),AND(72500&lt;U1005,U1005&lt;75001)),$G1005,IF(OR(AND(27500&lt;U1005,U1005&lt;30001),AND(57000&lt;U1005,U1005&lt;60001),AND(75000&lt;U1005,U1005&lt;77500)),$H1005,VLOOKUP(U1005,BDins,6,FALSE)))))</f>
        <v>0.6</v>
      </c>
      <c r="V1007">
        <f>IF(V1009&gt;10000,HLOOKUP(V1009,$O1005:U1008,4,FALSE),IF(OR(AND(22500&lt;V1005,V1005&lt;25001),AND(50000&lt;V1005,V1005&lt;53501),AND(70000&lt;V1005,V1005&lt;72501)),$F1005,IF(OR(AND(25001&lt;V1005,V1005&lt;27501),AND(53500&lt;V1005,V1005&lt;57001),AND(72500&lt;V1005,V1005&lt;75001)),$G1005,IF(OR(AND(27500&lt;V1005,V1005&lt;30001),AND(57000&lt;V1005,V1005&lt;60001),AND(75000&lt;V1005,V1005&lt;77500)),$H1005,VLOOKUP(V1005,BDins,6,FALSE)))))</f>
        <v>0.65</v>
      </c>
      <c r="W1007">
        <f>IF(W1009&gt;10000,HLOOKUP(W1009,$O1005:V1008,4,FALSE),IF(OR(AND(22500&lt;W1005,W1005&lt;25001),AND(50000&lt;W1005,W1005&lt;53501),AND(70000&lt;W1005,W1005&lt;72501)),$F1005,IF(OR(AND(25001&lt;W1005,W1005&lt;27501),AND(53500&lt;W1005,W1005&lt;57001),AND(72500&lt;W1005,W1005&lt;75001)),$G1005,IF(OR(AND(27500&lt;W1005,W1005&lt;30001),AND(57000&lt;W1005,W1005&lt;60001),AND(75000&lt;W1005,W1005&lt;77500)),$H1005,VLOOKUP(W1005,BDins,6,FALSE)))))</f>
        <v>12.379999999999999</v>
      </c>
    </row>
    <row r="1008" spans="1:24" x14ac:dyDescent="0.2">
      <c r="O1008">
        <f t="shared" ref="O1008:W1008" si="142">IF($K1005&gt;0,ROUND(O1006*$E1005/100,DpCU),IF(O1009&gt;10000,ROUND(HLOOKUP(O1009,$O1005:$W1008,4,FALSE)/100*O1006,DpCU),IF(OR(O1005&lt;20001,O1005&gt;95000,AND(60000&lt;O1005,O1005&lt;70001)),ROUND(ROUND(O1006*JL/$C1005,DcCU)*O1007,DpCU),IF(OR(AND(20000&lt;O1005,O1005&lt;22501),AND(30000&lt;O1005,O1005&lt;50001),77500&lt;O1005),ROUND(O1007*O1006,DpCU),IF(OR(AND(22500&lt;O1005,O1005&lt;25001),AND(50000&lt;O1005,O1005&lt;53501),AND(70000&lt;O1005,O1005&lt;72501)),ROUND($F1005/100*O1006,DpCU),IF(OR(AND(25000&lt;O1005,O1005&lt;27501),AND(53500&lt;O1005,O1005&lt;57001),AND(72500&lt;O1005,O1005&lt;75001)),ROUND($G1005/100*O1006,DpCU),ROUND($H1005/100*O1006,DpCU)))))))</f>
        <v>0.8</v>
      </c>
      <c r="P1008">
        <f t="shared" si="142"/>
        <v>6.66</v>
      </c>
      <c r="Q1008">
        <f t="shared" si="142"/>
        <v>4.92</v>
      </c>
      <c r="R1008">
        <f t="shared" si="142"/>
        <v>0.28999999999999998</v>
      </c>
      <c r="S1008">
        <f t="shared" si="142"/>
        <v>4.22</v>
      </c>
      <c r="T1008">
        <f t="shared" si="142"/>
        <v>0.09</v>
      </c>
      <c r="U1008">
        <f t="shared" si="142"/>
        <v>0.13</v>
      </c>
      <c r="V1008">
        <f t="shared" si="142"/>
        <v>0.14000000000000001</v>
      </c>
      <c r="W1008">
        <f t="shared" si="142"/>
        <v>0.62</v>
      </c>
    </row>
    <row r="1009" spans="1:23" x14ac:dyDescent="0.2">
      <c r="B1009" s="3" t="str">
        <f>A1005&amp;"r"</f>
        <v>10201r</v>
      </c>
    </row>
    <row r="1010" spans="1:23" x14ac:dyDescent="0.2">
      <c r="A1010">
        <v>10202</v>
      </c>
      <c r="B1010" s="3" t="s">
        <v>1049</v>
      </c>
      <c r="C1010" s="1">
        <f>ROUND(J1010*JL*Frto/8,4)</f>
        <v>25</v>
      </c>
      <c r="D1010" t="s">
        <v>194</v>
      </c>
      <c r="E1010">
        <f>SUM($O1013:$W1013)</f>
        <v>14.609999999999998</v>
      </c>
      <c r="F1010">
        <f>SUMIF($O1010:$W1010,"&lt;22501",$O1013:$W1013)</f>
        <v>12.379999999999999</v>
      </c>
      <c r="G1010">
        <f>SUMIFS($O1013:$W1013,$O1010:$W1010,"&gt;30000",$O1010:$W1010,"&lt;50001")</f>
        <v>1.61</v>
      </c>
      <c r="H1010">
        <f>SUMIFS($O1013:$W1013,$O1010:$W1010,"&gt;60000",$O1010:$W1010,"&lt;70001")</f>
        <v>0</v>
      </c>
      <c r="I1010">
        <v>9</v>
      </c>
      <c r="J1010">
        <v>25</v>
      </c>
      <c r="O1010">
        <v>10001</v>
      </c>
      <c r="P1010">
        <v>10002</v>
      </c>
      <c r="Q1010">
        <v>10003</v>
      </c>
      <c r="R1010">
        <v>30256</v>
      </c>
      <c r="S1010">
        <v>30260</v>
      </c>
      <c r="T1010">
        <v>30261</v>
      </c>
      <c r="U1010">
        <v>30262</v>
      </c>
      <c r="V1010">
        <v>30264</v>
      </c>
      <c r="W1010">
        <v>70001</v>
      </c>
    </row>
    <row r="1011" spans="1:23" x14ac:dyDescent="0.2">
      <c r="B1011" s="3" t="str">
        <f>A1010&amp;"C"</f>
        <v>10202C</v>
      </c>
      <c r="O1011">
        <v>0.1</v>
      </c>
      <c r="P1011">
        <v>1</v>
      </c>
      <c r="Q1011">
        <v>1</v>
      </c>
      <c r="R1011">
        <v>0.01</v>
      </c>
      <c r="S1011">
        <v>0.22</v>
      </c>
      <c r="T1011">
        <v>0.22</v>
      </c>
      <c r="U1011">
        <v>0.22</v>
      </c>
      <c r="V1011">
        <v>0.22</v>
      </c>
      <c r="W1011">
        <v>5</v>
      </c>
    </row>
    <row r="1012" spans="1:23" x14ac:dyDescent="0.2">
      <c r="O1012">
        <f>IF(O1014&gt;10000,HLOOKUP(O1014,N1010:$O1013,4,FALSE),IF(OR(AND(22500&lt;O1010,O1010&lt;25001),AND(50000&lt;O1010,O1010&lt;53501),AND(70000&lt;O1010,O1010&lt;72501)),$F1010,IF(OR(AND(25001&lt;O1010,O1010&lt;27501),AND(53500&lt;O1010,O1010&lt;57001),AND(72500&lt;O1010,O1010&lt;75001)),$G1010,IF(OR(AND(27500&lt;O1010,O1010&lt;30001),AND(57000&lt;O1010,O1010&lt;60001),AND(75000&lt;O1010,O1010&lt;77500)),$H1010,VLOOKUP(O1010,BDins,6,FALSE)))))</f>
        <v>24.97</v>
      </c>
      <c r="P1012">
        <f>IF(P1014&gt;10000,HLOOKUP(P1014,O1010:$O1013,4,FALSE),IF(OR(AND(22500&lt;P1010,P1010&lt;25001),AND(50000&lt;P1010,P1010&lt;53501),AND(70000&lt;P1010,P1010&lt;72501)),$F1010,IF(OR(AND(25001&lt;P1010,P1010&lt;27501),AND(53500&lt;P1010,P1010&lt;57001),AND(72500&lt;P1010,P1010&lt;75001)),$G1010,IF(OR(AND(27500&lt;P1010,P1010&lt;30001),AND(57000&lt;P1010,P1010&lt;60001),AND(75000&lt;P1010,P1010&lt;77500)),$H1010,VLOOKUP(P1010,BDins,6,FALSE)))))</f>
        <v>20.81</v>
      </c>
      <c r="Q1012">
        <f>IF(Q1014&gt;10000,HLOOKUP(Q1014,$O1010:P1013,4,FALSE),IF(OR(AND(22500&lt;Q1010,Q1010&lt;25001),AND(50000&lt;Q1010,Q1010&lt;53501),AND(70000&lt;Q1010,Q1010&lt;72501)),$F1010,IF(OR(AND(25001&lt;Q1010,Q1010&lt;27501),AND(53500&lt;Q1010,Q1010&lt;57001),AND(72500&lt;Q1010,Q1010&lt;75001)),$G1010,IF(OR(AND(27500&lt;Q1010,Q1010&lt;30001),AND(57000&lt;Q1010,Q1010&lt;60001),AND(75000&lt;Q1010,Q1010&lt;77500)),$H1010,VLOOKUP(Q1010,BDins,6,FALSE)))))</f>
        <v>15.36</v>
      </c>
      <c r="R1012">
        <f>IF(R1014&gt;10000,HLOOKUP(R1014,$O1010:Q1013,4,FALSE),IF(OR(AND(22500&lt;R1010,R1010&lt;25001),AND(50000&lt;R1010,R1010&lt;53501),AND(70000&lt;R1010,R1010&lt;72501)),$F1010,IF(OR(AND(25001&lt;R1010,R1010&lt;27501),AND(53500&lt;R1010,R1010&lt;57001),AND(72500&lt;R1010,R1010&lt;75001)),$G1010,IF(OR(AND(27500&lt;R1010,R1010&lt;30001),AND(57000&lt;R1010,R1010&lt;60001),AND(75000&lt;R1010,R1010&lt;77500)),$H1010,VLOOKUP(R1010,BDins,6,FALSE)))))</f>
        <v>29</v>
      </c>
      <c r="S1012">
        <f>IF(S1014&gt;10000,HLOOKUP(S1014,$O1010:R1013,4,FALSE),IF(OR(AND(22500&lt;S1010,S1010&lt;25001),AND(50000&lt;S1010,S1010&lt;53501),AND(70000&lt;S1010,S1010&lt;72501)),$F1010,IF(OR(AND(25001&lt;S1010,S1010&lt;27501),AND(53500&lt;S1010,S1010&lt;57001),AND(72500&lt;S1010,S1010&lt;75001)),$G1010,IF(OR(AND(27500&lt;S1010,S1010&lt;30001),AND(57000&lt;S1010,S1010&lt;60001),AND(75000&lt;S1010,S1010&lt;77500)),$H1010,VLOOKUP(S1010,BDins,6,FALSE)))))</f>
        <v>1.5</v>
      </c>
      <c r="T1012">
        <f>IF(T1014&gt;10000,HLOOKUP(T1014,$O1010:S1013,4,FALSE),IF(OR(AND(22500&lt;T1010,T1010&lt;25001),AND(50000&lt;T1010,T1010&lt;53501),AND(70000&lt;T1010,T1010&lt;72501)),$F1010,IF(OR(AND(25001&lt;T1010,T1010&lt;27501),AND(53500&lt;T1010,T1010&lt;57001),AND(72500&lt;T1010,T1010&lt;75001)),$G1010,IF(OR(AND(27500&lt;T1010,T1010&lt;30001),AND(57000&lt;T1010,T1010&lt;60001),AND(75000&lt;T1010,T1010&lt;77500)),$H1010,VLOOKUP(T1010,BDins,6,FALSE)))))</f>
        <v>1.5</v>
      </c>
      <c r="U1012">
        <f>IF(U1014&gt;10000,HLOOKUP(U1014,$O1010:T1013,4,FALSE),IF(OR(AND(22500&lt;U1010,U1010&lt;25001),AND(50000&lt;U1010,U1010&lt;53501),AND(70000&lt;U1010,U1010&lt;72501)),$F1010,IF(OR(AND(25001&lt;U1010,U1010&lt;27501),AND(53500&lt;U1010,U1010&lt;57001),AND(72500&lt;U1010,U1010&lt;75001)),$G1010,IF(OR(AND(27500&lt;U1010,U1010&lt;30001),AND(57000&lt;U1010,U1010&lt;60001),AND(75000&lt;U1010,U1010&lt;77500)),$H1010,VLOOKUP(U1010,BDins,6,FALSE)))))</f>
        <v>1.5</v>
      </c>
      <c r="V1012">
        <f>IF(V1014&gt;10000,HLOOKUP(V1014,$O1010:U1013,4,FALSE),IF(OR(AND(22500&lt;V1010,V1010&lt;25001),AND(50000&lt;V1010,V1010&lt;53501),AND(70000&lt;V1010,V1010&lt;72501)),$F1010,IF(OR(AND(25001&lt;V1010,V1010&lt;27501),AND(53500&lt;V1010,V1010&lt;57001),AND(72500&lt;V1010,V1010&lt;75001)),$G1010,IF(OR(AND(27500&lt;V1010,V1010&lt;30001),AND(57000&lt;V1010,V1010&lt;60001),AND(75000&lt;V1010,V1010&lt;77500)),$H1010,VLOOKUP(V1010,BDins,6,FALSE)))))</f>
        <v>1.5</v>
      </c>
      <c r="W1012">
        <f>IF(W1014&gt;10000,HLOOKUP(W1014,$O1010:V1013,4,FALSE),IF(OR(AND(22500&lt;W1010,W1010&lt;25001),AND(50000&lt;W1010,W1010&lt;53501),AND(70000&lt;W1010,W1010&lt;72501)),$F1010,IF(OR(AND(25001&lt;W1010,W1010&lt;27501),AND(53500&lt;W1010,W1010&lt;57001),AND(72500&lt;W1010,W1010&lt;75001)),$G1010,IF(OR(AND(27500&lt;W1010,W1010&lt;30001),AND(57000&lt;W1010,W1010&lt;60001),AND(75000&lt;W1010,W1010&lt;77500)),$H1010,VLOOKUP(W1010,BDins,6,FALSE)))))</f>
        <v>12.379999999999999</v>
      </c>
    </row>
    <row r="1013" spans="1:23" x14ac:dyDescent="0.2">
      <c r="O1013">
        <f t="shared" ref="O1013:W1013" si="143">IF($K1010&gt;0,ROUND(O1011*$E1010/100,DpCU),IF(O1014&gt;10000,ROUND(HLOOKUP(O1014,$O1010:$W1013,4,FALSE)/100*O1011,DpCU),IF(OR(O1010&lt;20001,O1010&gt;95000,AND(60000&lt;O1010,O1010&lt;70001)),ROUND(ROUND(O1011*JL/$C1010,DcCU)*O1012,DpCU),IF(OR(AND(20000&lt;O1010,O1010&lt;22501),AND(30000&lt;O1010,O1010&lt;50001),77500&lt;O1010),ROUND(O1012*O1011,DpCU),IF(OR(AND(22500&lt;O1010,O1010&lt;25001),AND(50000&lt;O1010,O1010&lt;53501),AND(70000&lt;O1010,O1010&lt;72501)),ROUND($F1010/100*O1011,DpCU),IF(OR(AND(25000&lt;O1010,O1010&lt;27501),AND(53500&lt;O1010,O1010&lt;57001),AND(72500&lt;O1010,O1010&lt;75001)),ROUND($G1010/100*O1011,DpCU),ROUND($H1010/100*O1011,DpCU)))))))</f>
        <v>0.8</v>
      </c>
      <c r="P1013">
        <f t="shared" si="143"/>
        <v>6.66</v>
      </c>
      <c r="Q1013">
        <f t="shared" si="143"/>
        <v>4.92</v>
      </c>
      <c r="R1013">
        <f t="shared" si="143"/>
        <v>0.28999999999999998</v>
      </c>
      <c r="S1013">
        <f t="shared" si="143"/>
        <v>0.33</v>
      </c>
      <c r="T1013">
        <f t="shared" si="143"/>
        <v>0.33</v>
      </c>
      <c r="U1013">
        <f t="shared" si="143"/>
        <v>0.33</v>
      </c>
      <c r="V1013">
        <f t="shared" si="143"/>
        <v>0.33</v>
      </c>
      <c r="W1013">
        <f t="shared" si="143"/>
        <v>0.62</v>
      </c>
    </row>
    <row r="1014" spans="1:23" x14ac:dyDescent="0.2">
      <c r="B1014" s="3" t="str">
        <f>A1010&amp;"r"</f>
        <v>10202r</v>
      </c>
    </row>
    <row r="1015" spans="1:23" x14ac:dyDescent="0.2">
      <c r="A1015">
        <v>10203</v>
      </c>
      <c r="B1015" s="3" t="s">
        <v>1060</v>
      </c>
      <c r="C1015" s="1">
        <f>ROUND(J1015*JL*Frto/8,4)</f>
        <v>6.25</v>
      </c>
      <c r="D1015" t="s">
        <v>914</v>
      </c>
      <c r="E1015">
        <f>SUM($O1018:$U1018)</f>
        <v>56.23</v>
      </c>
      <c r="F1015">
        <f>SUMIF($O1015:$U1015,"&lt;22501",$O1018:$U1018)</f>
        <v>49.5</v>
      </c>
      <c r="G1015">
        <f>SUMIFS($O1018:$U1018,$O1015:$U1015,"&gt;30000",$O1015:$U1015,"&lt;50001")</f>
        <v>4.25</v>
      </c>
      <c r="H1015">
        <f>SUMIFS($O1018:$U1018,$O1015:$U1015,"&gt;60000",$O1015:$U1015,"&lt;70001")</f>
        <v>0</v>
      </c>
      <c r="I1015">
        <v>7</v>
      </c>
      <c r="J1015">
        <v>6.25</v>
      </c>
      <c r="O1015">
        <v>10001</v>
      </c>
      <c r="P1015">
        <v>10002</v>
      </c>
      <c r="Q1015">
        <v>10003</v>
      </c>
      <c r="R1015">
        <v>30265</v>
      </c>
      <c r="S1015">
        <v>30266</v>
      </c>
      <c r="T1015">
        <v>30267</v>
      </c>
      <c r="U1015">
        <v>70001</v>
      </c>
    </row>
    <row r="1016" spans="1:23" x14ac:dyDescent="0.2">
      <c r="B1016" s="3" t="str">
        <f>A1015&amp;"C"</f>
        <v>10203C</v>
      </c>
      <c r="O1016">
        <v>0.1</v>
      </c>
      <c r="P1016">
        <v>1</v>
      </c>
      <c r="Q1016">
        <v>1</v>
      </c>
      <c r="R1016">
        <v>0.02</v>
      </c>
      <c r="S1016">
        <v>1</v>
      </c>
      <c r="T1016">
        <v>1</v>
      </c>
      <c r="U1016">
        <v>5</v>
      </c>
    </row>
    <row r="1017" spans="1:23" x14ac:dyDescent="0.2">
      <c r="O1017">
        <f>IF(O1019&gt;10000,HLOOKUP(O1019,N1015:$O1018,4,FALSE),IF(OR(AND(22500&lt;O1015,O1015&lt;25001),AND(50000&lt;O1015,O1015&lt;53501),AND(70000&lt;O1015,O1015&lt;72501)),$F1015,IF(OR(AND(25001&lt;O1015,O1015&lt;27501),AND(53500&lt;O1015,O1015&lt;57001),AND(72500&lt;O1015,O1015&lt;75001)),$G1015,IF(OR(AND(27500&lt;O1015,O1015&lt;30001),AND(57000&lt;O1015,O1015&lt;60001),AND(75000&lt;O1015,O1015&lt;77500)),$H1015,VLOOKUP(O1015,BDins,6,FALSE)))))</f>
        <v>24.97</v>
      </c>
      <c r="P1017">
        <f>IF(P1019&gt;10000,HLOOKUP(P1019,O1015:$O1018,4,FALSE),IF(OR(AND(22500&lt;P1015,P1015&lt;25001),AND(50000&lt;P1015,P1015&lt;53501),AND(70000&lt;P1015,P1015&lt;72501)),$F1015,IF(OR(AND(25001&lt;P1015,P1015&lt;27501),AND(53500&lt;P1015,P1015&lt;57001),AND(72500&lt;P1015,P1015&lt;75001)),$G1015,IF(OR(AND(27500&lt;P1015,P1015&lt;30001),AND(57000&lt;P1015,P1015&lt;60001),AND(75000&lt;P1015,P1015&lt;77500)),$H1015,VLOOKUP(P1015,BDins,6,FALSE)))))</f>
        <v>20.81</v>
      </c>
      <c r="Q1017">
        <f>IF(Q1019&gt;10000,HLOOKUP(Q1019,$O1015:P1018,4,FALSE),IF(OR(AND(22500&lt;Q1015,Q1015&lt;25001),AND(50000&lt;Q1015,Q1015&lt;53501),AND(70000&lt;Q1015,Q1015&lt;72501)),$F1015,IF(OR(AND(25001&lt;Q1015,Q1015&lt;27501),AND(53500&lt;Q1015,Q1015&lt;57001),AND(72500&lt;Q1015,Q1015&lt;75001)),$G1015,IF(OR(AND(27500&lt;Q1015,Q1015&lt;30001),AND(57000&lt;Q1015,Q1015&lt;60001),AND(75000&lt;Q1015,Q1015&lt;77500)),$H1015,VLOOKUP(Q1015,BDins,6,FALSE)))))</f>
        <v>15.36</v>
      </c>
      <c r="R1017">
        <f>IF(R1019&gt;10000,HLOOKUP(R1019,$O1015:Q1018,4,FALSE),IF(OR(AND(22500&lt;R1015,R1015&lt;25001),AND(50000&lt;R1015,R1015&lt;53501),AND(70000&lt;R1015,R1015&lt;72501)),$F1015,IF(OR(AND(25001&lt;R1015,R1015&lt;27501),AND(53500&lt;R1015,R1015&lt;57001),AND(72500&lt;R1015,R1015&lt;75001)),$G1015,IF(OR(AND(27500&lt;R1015,R1015&lt;30001),AND(57000&lt;R1015,R1015&lt;60001),AND(75000&lt;R1015,R1015&lt;77500)),$H1015,VLOOKUP(R1015,BDins,6,FALSE)))))</f>
        <v>30</v>
      </c>
      <c r="S1017">
        <f>IF(S1019&gt;10000,HLOOKUP(S1019,$O1015:R1018,4,FALSE),IF(OR(AND(22500&lt;S1015,S1015&lt;25001),AND(50000&lt;S1015,S1015&lt;53501),AND(70000&lt;S1015,S1015&lt;72501)),$F1015,IF(OR(AND(25001&lt;S1015,S1015&lt;27501),AND(53500&lt;S1015,S1015&lt;57001),AND(72500&lt;S1015,S1015&lt;75001)),$G1015,IF(OR(AND(27500&lt;S1015,S1015&lt;30001),AND(57000&lt;S1015,S1015&lt;60001),AND(75000&lt;S1015,S1015&lt;77500)),$H1015,VLOOKUP(S1015,BDins,6,FALSE)))))</f>
        <v>2.5</v>
      </c>
      <c r="T1017">
        <f>IF(T1019&gt;10000,HLOOKUP(T1019,$O1015:S1018,4,FALSE),IF(OR(AND(22500&lt;T1015,T1015&lt;25001),AND(50000&lt;T1015,T1015&lt;53501),AND(70000&lt;T1015,T1015&lt;72501)),$F1015,IF(OR(AND(25001&lt;T1015,T1015&lt;27501),AND(53500&lt;T1015,T1015&lt;57001),AND(72500&lt;T1015,T1015&lt;75001)),$G1015,IF(OR(AND(27500&lt;T1015,T1015&lt;30001),AND(57000&lt;T1015,T1015&lt;60001),AND(75000&lt;T1015,T1015&lt;77500)),$H1015,VLOOKUP(T1015,BDins,6,FALSE)))))</f>
        <v>1.1499999999999999</v>
      </c>
      <c r="U1017">
        <f>IF(U1019&gt;10000,HLOOKUP(U1019,$O1015:T1018,4,FALSE),IF(OR(AND(22500&lt;U1015,U1015&lt;25001),AND(50000&lt;U1015,U1015&lt;53501),AND(70000&lt;U1015,U1015&lt;72501)),$F1015,IF(OR(AND(25001&lt;U1015,U1015&lt;27501),AND(53500&lt;U1015,U1015&lt;57001),AND(72500&lt;U1015,U1015&lt;75001)),$G1015,IF(OR(AND(27500&lt;U1015,U1015&lt;30001),AND(57000&lt;U1015,U1015&lt;60001),AND(75000&lt;U1015,U1015&lt;77500)),$H1015,VLOOKUP(U1015,BDins,6,FALSE)))))</f>
        <v>49.5</v>
      </c>
    </row>
    <row r="1018" spans="1:23" x14ac:dyDescent="0.2">
      <c r="O1018">
        <f t="shared" ref="O1018:U1018" si="144">IF($K1015&gt;0,ROUND(O1016*$E1015/100,DpCU),IF(O1019&gt;10000,ROUND(HLOOKUP(O1019,$O1015:$U1018,4,FALSE)/100*O1016,DpCU),IF(OR(O1015&lt;20001,O1015&gt;95000,AND(60000&lt;O1015,O1015&lt;70001)),ROUND(ROUND(O1016*JL/$C1015,DcCU)*O1017,DpCU),IF(OR(AND(20000&lt;O1015,O1015&lt;22501),AND(30000&lt;O1015,O1015&lt;50001),77500&lt;O1015),ROUND(O1017*O1016,DpCU),IF(OR(AND(22500&lt;O1015,O1015&lt;25001),AND(50000&lt;O1015,O1015&lt;53501),AND(70000&lt;O1015,O1015&lt;72501)),ROUND($F1015/100*O1016,DpCU),IF(OR(AND(25000&lt;O1015,O1015&lt;27501),AND(53500&lt;O1015,O1015&lt;57001),AND(72500&lt;O1015,O1015&lt;75001)),ROUND($G1015/100*O1016,DpCU),ROUND($H1015/100*O1016,DpCU)))))))</f>
        <v>3.2</v>
      </c>
      <c r="P1018">
        <f t="shared" si="144"/>
        <v>26.64</v>
      </c>
      <c r="Q1018">
        <f t="shared" si="144"/>
        <v>19.66</v>
      </c>
      <c r="R1018">
        <f t="shared" si="144"/>
        <v>0.6</v>
      </c>
      <c r="S1018">
        <f t="shared" si="144"/>
        <v>2.5</v>
      </c>
      <c r="T1018">
        <f t="shared" si="144"/>
        <v>1.1499999999999999</v>
      </c>
      <c r="U1018">
        <f t="shared" si="144"/>
        <v>2.48</v>
      </c>
    </row>
    <row r="1019" spans="1:23" x14ac:dyDescent="0.2">
      <c r="B1019" s="3" t="str">
        <f>A1015&amp;"r"</f>
        <v>10203r</v>
      </c>
    </row>
    <row r="1020" spans="1:23" x14ac:dyDescent="0.2">
      <c r="A1020">
        <v>10204</v>
      </c>
      <c r="B1020" s="3" t="s">
        <v>1067</v>
      </c>
      <c r="C1020" s="1">
        <f>ROUND(J1020*JL*Frto/8,4)</f>
        <v>18</v>
      </c>
      <c r="D1020" t="s">
        <v>194</v>
      </c>
      <c r="E1020">
        <f>SUM($O1023:$U1023)</f>
        <v>22.09</v>
      </c>
      <c r="F1020">
        <f>SUMIF($O1020:$U1020,"&lt;22501",$O1023:$U1023)</f>
        <v>17.189999999999998</v>
      </c>
      <c r="G1020">
        <f>SUMIFS($O1023:$U1023,$O1020:$U1020,"&gt;30000",$O1020:$U1020,"&lt;50001")</f>
        <v>4.7300000000000004</v>
      </c>
      <c r="H1020">
        <f>SUMIFS($O1023:$U1023,$O1020:$U1020,"&gt;60000",$O1020:$U1020,"&lt;70001")</f>
        <v>0</v>
      </c>
      <c r="I1020">
        <v>7</v>
      </c>
      <c r="J1020">
        <v>18</v>
      </c>
      <c r="O1020">
        <v>10001</v>
      </c>
      <c r="P1020">
        <v>10002</v>
      </c>
      <c r="Q1020">
        <v>10003</v>
      </c>
      <c r="R1020">
        <v>30198</v>
      </c>
      <c r="S1020">
        <v>30268</v>
      </c>
      <c r="T1020">
        <v>30269</v>
      </c>
      <c r="U1020">
        <v>70001</v>
      </c>
    </row>
    <row r="1021" spans="1:23" x14ac:dyDescent="0.2">
      <c r="B1021" s="3" t="str">
        <f>A1020&amp;"C"</f>
        <v>10204C</v>
      </c>
      <c r="O1021">
        <v>0.1</v>
      </c>
      <c r="P1021">
        <v>1</v>
      </c>
      <c r="Q1021">
        <v>1</v>
      </c>
      <c r="R1021">
        <v>0.1</v>
      </c>
      <c r="S1021">
        <v>1.05</v>
      </c>
      <c r="T1021">
        <v>1</v>
      </c>
      <c r="U1021">
        <v>1</v>
      </c>
    </row>
    <row r="1022" spans="1:23" x14ac:dyDescent="0.2">
      <c r="O1022">
        <f>IF(O1024&gt;10000,HLOOKUP(O1024,N1020:$O1023,4,FALSE),IF(OR(AND(22500&lt;O1020,O1020&lt;25001),AND(50000&lt;O1020,O1020&lt;53501),AND(70000&lt;O1020,O1020&lt;72501)),$F1020,IF(OR(AND(25001&lt;O1020,O1020&lt;27501),AND(53500&lt;O1020,O1020&lt;57001),AND(72500&lt;O1020,O1020&lt;75001)),$G1020,IF(OR(AND(27500&lt;O1020,O1020&lt;30001),AND(57000&lt;O1020,O1020&lt;60001),AND(75000&lt;O1020,O1020&lt;77500)),$H1020,VLOOKUP(O1020,BDins,6,FALSE)))))</f>
        <v>24.97</v>
      </c>
      <c r="P1022">
        <f>IF(P1024&gt;10000,HLOOKUP(P1024,O1020:$O1023,4,FALSE),IF(OR(AND(22500&lt;P1020,P1020&lt;25001),AND(50000&lt;P1020,P1020&lt;53501),AND(70000&lt;P1020,P1020&lt;72501)),$F1020,IF(OR(AND(25001&lt;P1020,P1020&lt;27501),AND(53500&lt;P1020,P1020&lt;57001),AND(72500&lt;P1020,P1020&lt;75001)),$G1020,IF(OR(AND(27500&lt;P1020,P1020&lt;30001),AND(57000&lt;P1020,P1020&lt;60001),AND(75000&lt;P1020,P1020&lt;77500)),$H1020,VLOOKUP(P1020,BDins,6,FALSE)))))</f>
        <v>20.81</v>
      </c>
      <c r="Q1022">
        <f>IF(Q1024&gt;10000,HLOOKUP(Q1024,$O1020:P1023,4,FALSE),IF(OR(AND(22500&lt;Q1020,Q1020&lt;25001),AND(50000&lt;Q1020,Q1020&lt;53501),AND(70000&lt;Q1020,Q1020&lt;72501)),$F1020,IF(OR(AND(25001&lt;Q1020,Q1020&lt;27501),AND(53500&lt;Q1020,Q1020&lt;57001),AND(72500&lt;Q1020,Q1020&lt;75001)),$G1020,IF(OR(AND(27500&lt;Q1020,Q1020&lt;30001),AND(57000&lt;Q1020,Q1020&lt;60001),AND(75000&lt;Q1020,Q1020&lt;77500)),$H1020,VLOOKUP(Q1020,BDins,6,FALSE)))))</f>
        <v>15.36</v>
      </c>
      <c r="R1022">
        <f>IF(R1024&gt;10000,HLOOKUP(R1024,$O1020:Q1023,4,FALSE),IF(OR(AND(22500&lt;R1020,R1020&lt;25001),AND(50000&lt;R1020,R1020&lt;53501),AND(70000&lt;R1020,R1020&lt;72501)),$F1020,IF(OR(AND(25001&lt;R1020,R1020&lt;27501),AND(53500&lt;R1020,R1020&lt;57001),AND(72500&lt;R1020,R1020&lt;75001)),$G1020,IF(OR(AND(27500&lt;R1020,R1020&lt;30001),AND(57000&lt;R1020,R1020&lt;60001),AND(75000&lt;R1020,R1020&lt;77500)),$H1020,VLOOKUP(R1020,BDins,6,FALSE)))))</f>
        <v>5</v>
      </c>
      <c r="S1022">
        <f>IF(S1024&gt;10000,HLOOKUP(S1024,$O1020:R1023,4,FALSE),IF(OR(AND(22500&lt;S1020,S1020&lt;25001),AND(50000&lt;S1020,S1020&lt;53501),AND(70000&lt;S1020,S1020&lt;72501)),$F1020,IF(OR(AND(25001&lt;S1020,S1020&lt;27501),AND(53500&lt;S1020,S1020&lt;57001),AND(72500&lt;S1020,S1020&lt;75001)),$G1020,IF(OR(AND(27500&lt;S1020,S1020&lt;30001),AND(57000&lt;S1020,S1020&lt;60001),AND(75000&lt;S1020,S1020&lt;77500)),$H1020,VLOOKUP(S1020,BDins,6,FALSE)))))</f>
        <v>2.5</v>
      </c>
      <c r="T1022">
        <f>IF(T1024&gt;10000,HLOOKUP(T1024,$O1020:S1023,4,FALSE),IF(OR(AND(22500&lt;T1020,T1020&lt;25001),AND(50000&lt;T1020,T1020&lt;53501),AND(70000&lt;T1020,T1020&lt;72501)),$F1020,IF(OR(AND(25001&lt;T1020,T1020&lt;27501),AND(53500&lt;T1020,T1020&lt;57001),AND(72500&lt;T1020,T1020&lt;75001)),$G1020,IF(OR(AND(27500&lt;T1020,T1020&lt;30001),AND(57000&lt;T1020,T1020&lt;60001),AND(75000&lt;T1020,T1020&lt;77500)),$H1020,VLOOKUP(T1020,BDins,6,FALSE)))))</f>
        <v>1.6</v>
      </c>
      <c r="U1022">
        <f>IF(U1024&gt;10000,HLOOKUP(U1024,$O1020:T1023,4,FALSE),IF(OR(AND(22500&lt;U1020,U1020&lt;25001),AND(50000&lt;U1020,U1020&lt;53501),AND(70000&lt;U1020,U1020&lt;72501)),$F1020,IF(OR(AND(25001&lt;U1020,U1020&lt;27501),AND(53500&lt;U1020,U1020&lt;57001),AND(72500&lt;U1020,U1020&lt;75001)),$G1020,IF(OR(AND(27500&lt;U1020,U1020&lt;30001),AND(57000&lt;U1020,U1020&lt;60001),AND(75000&lt;U1020,U1020&lt;77500)),$H1020,VLOOKUP(U1020,BDins,6,FALSE)))))</f>
        <v>17.189999999999998</v>
      </c>
    </row>
    <row r="1023" spans="1:23" x14ac:dyDescent="0.2">
      <c r="O1023">
        <f t="shared" ref="O1023:U1023" si="145">IF($K1020&gt;0,ROUND(O1021*$E1020/100,DpCU),IF(O1024&gt;10000,ROUND(HLOOKUP(O1024,$O1020:$U1023,4,FALSE)/100*O1021,DpCU),IF(OR(O1020&lt;20001,O1020&gt;95000,AND(60000&lt;O1020,O1020&lt;70001)),ROUND(ROUND(O1021*JL/$C1020,DcCU)*O1022,DpCU),IF(OR(AND(20000&lt;O1020,O1020&lt;22501),AND(30000&lt;O1020,O1020&lt;50001),77500&lt;O1020),ROUND(O1022*O1021,DpCU),IF(OR(AND(22500&lt;O1020,O1020&lt;25001),AND(50000&lt;O1020,O1020&lt;53501),AND(70000&lt;O1020,O1020&lt;72501)),ROUND($F1020/100*O1021,DpCU),IF(OR(AND(25000&lt;O1020,O1020&lt;27501),AND(53500&lt;O1020,O1020&lt;57001),AND(72500&lt;O1020,O1020&lt;75001)),ROUND($G1020/100*O1021,DpCU),ROUND($H1020/100*O1021,DpCU)))))))</f>
        <v>1.1100000000000001</v>
      </c>
      <c r="P1023">
        <f t="shared" si="145"/>
        <v>9.25</v>
      </c>
      <c r="Q1023">
        <f t="shared" si="145"/>
        <v>6.83</v>
      </c>
      <c r="R1023">
        <f t="shared" si="145"/>
        <v>0.5</v>
      </c>
      <c r="S1023">
        <f t="shared" si="145"/>
        <v>2.63</v>
      </c>
      <c r="T1023">
        <f t="shared" si="145"/>
        <v>1.6</v>
      </c>
      <c r="U1023">
        <f t="shared" si="145"/>
        <v>0.17</v>
      </c>
    </row>
    <row r="1024" spans="1:23" x14ac:dyDescent="0.2">
      <c r="B1024" s="3" t="str">
        <f>A1020&amp;"r"</f>
        <v>10204r</v>
      </c>
    </row>
    <row r="1025" spans="1:20" x14ac:dyDescent="0.2">
      <c r="A1025">
        <v>10205</v>
      </c>
      <c r="B1025" s="3" t="s">
        <v>1073</v>
      </c>
      <c r="C1025" s="1">
        <f>ROUND(J1025*JL*Frto/8,4)</f>
        <v>4.5</v>
      </c>
      <c r="D1025" t="s">
        <v>194</v>
      </c>
      <c r="E1025">
        <f>SUM($O1028:$Q1028)</f>
        <v>33.340000000000003</v>
      </c>
      <c r="F1025">
        <f>SUMIF($O1025:$Q1025,"&lt;22501",$O1028:$Q1028)</f>
        <v>31.75</v>
      </c>
      <c r="G1025">
        <f>SUMIFS($O1028:$Q1028,$O1025:$Q1025,"&gt;30000",$O1025:$Q1025,"&lt;50001")</f>
        <v>0</v>
      </c>
      <c r="H1025">
        <f>SUMIFS($O1028:$Q1028,$O1025:$Q1025,"&gt;60000",$O1025:$Q1025,"&lt;70001")</f>
        <v>0</v>
      </c>
      <c r="I1025">
        <v>3</v>
      </c>
      <c r="J1025">
        <v>4.5</v>
      </c>
      <c r="O1025">
        <v>10001</v>
      </c>
      <c r="P1025">
        <v>10003</v>
      </c>
      <c r="Q1025">
        <v>70001</v>
      </c>
    </row>
    <row r="1026" spans="1:20" x14ac:dyDescent="0.2">
      <c r="B1026" s="3" t="str">
        <f>A1025&amp;"C"</f>
        <v>10205C</v>
      </c>
      <c r="O1026">
        <v>0.1</v>
      </c>
      <c r="P1026">
        <v>1</v>
      </c>
      <c r="Q1026">
        <v>5</v>
      </c>
    </row>
    <row r="1027" spans="1:20" x14ac:dyDescent="0.2">
      <c r="O1027">
        <f>IF(O1029&gt;10000,HLOOKUP(O1029,N1025:$O1028,4,FALSE),IF(OR(AND(22500&lt;O1025,O1025&lt;25001),AND(50000&lt;O1025,O1025&lt;53501),AND(70000&lt;O1025,O1025&lt;72501)),$F1025,IF(OR(AND(25001&lt;O1025,O1025&lt;27501),AND(53500&lt;O1025,O1025&lt;57001),AND(72500&lt;O1025,O1025&lt;75001)),$G1025,IF(OR(AND(27500&lt;O1025,O1025&lt;30001),AND(57000&lt;O1025,O1025&lt;60001),AND(75000&lt;O1025,O1025&lt;77500)),$H1025,VLOOKUP(O1025,BDins,6,FALSE)))))</f>
        <v>24.97</v>
      </c>
      <c r="P1027">
        <f>IF(P1029&gt;10000,HLOOKUP(P1029,O1025:$O1028,4,FALSE),IF(OR(AND(22500&lt;P1025,P1025&lt;25001),AND(50000&lt;P1025,P1025&lt;53501),AND(70000&lt;P1025,P1025&lt;72501)),$F1025,IF(OR(AND(25001&lt;P1025,P1025&lt;27501),AND(53500&lt;P1025,P1025&lt;57001),AND(72500&lt;P1025,P1025&lt;75001)),$G1025,IF(OR(AND(27500&lt;P1025,P1025&lt;30001),AND(57000&lt;P1025,P1025&lt;60001),AND(75000&lt;P1025,P1025&lt;77500)),$H1025,VLOOKUP(P1025,BDins,6,FALSE)))))</f>
        <v>15.36</v>
      </c>
      <c r="Q1027">
        <f>IF(Q1029&gt;10000,HLOOKUP(Q1029,$O1025:P1028,4,FALSE),IF(OR(AND(22500&lt;Q1025,Q1025&lt;25001),AND(50000&lt;Q1025,Q1025&lt;53501),AND(70000&lt;Q1025,Q1025&lt;72501)),$F1025,IF(OR(AND(25001&lt;Q1025,Q1025&lt;27501),AND(53500&lt;Q1025,Q1025&lt;57001),AND(72500&lt;Q1025,Q1025&lt;75001)),$G1025,IF(OR(AND(27500&lt;Q1025,Q1025&lt;30001),AND(57000&lt;Q1025,Q1025&lt;60001),AND(75000&lt;Q1025,Q1025&lt;77500)),$H1025,VLOOKUP(Q1025,BDins,6,FALSE)))))</f>
        <v>31.75</v>
      </c>
    </row>
    <row r="1028" spans="1:20" x14ac:dyDescent="0.2">
      <c r="O1028">
        <f>IF($K1025&gt;0,ROUND(O1026*$E1025/100,DpCU),IF(O1029&gt;10000,ROUND(HLOOKUP(O1029,$O1025:$Q1028,4,FALSE)/100*O1026,DpCU),IF(OR(O1025&lt;20001,O1025&gt;95000,AND(60000&lt;O1025,O1025&lt;70001)),ROUND(ROUND(O1026*JL/$C1025,DcCU)*O1027,DpCU),IF(OR(AND(20000&lt;O1025,O1025&lt;22501),AND(30000&lt;O1025,O1025&lt;50001),77500&lt;O1025),ROUND(O1027*O1026,DpCU),IF(OR(AND(22500&lt;O1025,O1025&lt;25001),AND(50000&lt;O1025,O1025&lt;53501),AND(70000&lt;O1025,O1025&lt;72501)),ROUND($F1025/100*O1026,DpCU),IF(OR(AND(25000&lt;O1025,O1025&lt;27501),AND(53500&lt;O1025,O1025&lt;57001),AND(72500&lt;O1025,O1025&lt;75001)),ROUND($G1025/100*O1026,DpCU),ROUND($H1025/100*O1026,DpCU)))))))</f>
        <v>4.4400000000000004</v>
      </c>
      <c r="P1028">
        <f>IF($K1025&gt;0,ROUND(P1026*$E1025/100,DpCU),IF(P1029&gt;10000,ROUND(HLOOKUP(P1029,$O1025:$Q1028,4,FALSE)/100*P1026,DpCU),IF(OR(P1025&lt;20001,P1025&gt;95000,AND(60000&lt;P1025,P1025&lt;70001)),ROUND(ROUND(P1026*JL/$C1025,DcCU)*P1027,DpCU),IF(OR(AND(20000&lt;P1025,P1025&lt;22501),AND(30000&lt;P1025,P1025&lt;50001),77500&lt;P1025),ROUND(P1027*P1026,DpCU),IF(OR(AND(22500&lt;P1025,P1025&lt;25001),AND(50000&lt;P1025,P1025&lt;53501),AND(70000&lt;P1025,P1025&lt;72501)),ROUND($F1025/100*P1026,DpCU),IF(OR(AND(25000&lt;P1025,P1025&lt;27501),AND(53500&lt;P1025,P1025&lt;57001),AND(72500&lt;P1025,P1025&lt;75001)),ROUND($G1025/100*P1026,DpCU),ROUND($H1025/100*P1026,DpCU)))))))</f>
        <v>27.31</v>
      </c>
      <c r="Q1028">
        <f>IF($K1025&gt;0,ROUND(Q1026*$E1025/100,DpCU),IF(Q1029&gt;10000,ROUND(HLOOKUP(Q1029,$O1025:$Q1028,4,FALSE)/100*Q1026,DpCU),IF(OR(Q1025&lt;20001,Q1025&gt;95000,AND(60000&lt;Q1025,Q1025&lt;70001)),ROUND(ROUND(Q1026*JL/$C1025,DcCU)*Q1027,DpCU),IF(OR(AND(20000&lt;Q1025,Q1025&lt;22501),AND(30000&lt;Q1025,Q1025&lt;50001),77500&lt;Q1025),ROUND(Q1027*Q1026,DpCU),IF(OR(AND(22500&lt;Q1025,Q1025&lt;25001),AND(50000&lt;Q1025,Q1025&lt;53501),AND(70000&lt;Q1025,Q1025&lt;72501)),ROUND($F1025/100*Q1026,DpCU),IF(OR(AND(25000&lt;Q1025,Q1025&lt;27501),AND(53500&lt;Q1025,Q1025&lt;57001),AND(72500&lt;Q1025,Q1025&lt;75001)),ROUND($G1025/100*Q1026,DpCU),ROUND($H1025/100*Q1026,DpCU)))))))</f>
        <v>1.59</v>
      </c>
    </row>
    <row r="1029" spans="1:20" x14ac:dyDescent="0.2">
      <c r="B1029" s="3" t="str">
        <f>A1025&amp;"r"</f>
        <v>10205r</v>
      </c>
    </row>
    <row r="1030" spans="1:20" x14ac:dyDescent="0.2">
      <c r="A1030">
        <v>10206</v>
      </c>
      <c r="B1030" s="3" t="s">
        <v>1075</v>
      </c>
      <c r="C1030" s="1">
        <f>ROUND(J1030*JL*Frto/8,4)</f>
        <v>5</v>
      </c>
      <c r="D1030" t="s">
        <v>194</v>
      </c>
      <c r="E1030">
        <f>SUM($O1033:$S1033)</f>
        <v>43.88</v>
      </c>
      <c r="F1030">
        <f>SUMIF($O1030:$S1030,"&lt;22501",$O1033:$S1033)</f>
        <v>28.58</v>
      </c>
      <c r="G1030">
        <f>SUMIFS($O1033:$S1033,$O1030:$S1030,"&gt;30000",$O1030:$S1030,"&lt;50001")</f>
        <v>7.3</v>
      </c>
      <c r="H1030">
        <f>SUMIFS($O1033:$S1033,$O1030:$S1030,"&gt;60000",$O1030:$S1030,"&lt;70001")</f>
        <v>8</v>
      </c>
      <c r="I1030">
        <v>5</v>
      </c>
      <c r="J1030">
        <v>5</v>
      </c>
      <c r="O1030">
        <v>10001</v>
      </c>
      <c r="P1030">
        <v>10003</v>
      </c>
      <c r="Q1030">
        <v>30056</v>
      </c>
      <c r="R1030">
        <v>30094</v>
      </c>
      <c r="S1030">
        <v>60016</v>
      </c>
    </row>
    <row r="1031" spans="1:20" x14ac:dyDescent="0.2">
      <c r="B1031" s="3" t="str">
        <f>A1030&amp;"C"</f>
        <v>10206C</v>
      </c>
      <c r="O1031">
        <v>0.1</v>
      </c>
      <c r="P1031">
        <v>1</v>
      </c>
      <c r="Q1031">
        <v>0.16</v>
      </c>
      <c r="R1031">
        <v>0.02</v>
      </c>
      <c r="S1031">
        <v>0.5</v>
      </c>
    </row>
    <row r="1032" spans="1:20" x14ac:dyDescent="0.2">
      <c r="O1032">
        <f>IF(O1034&gt;10000,HLOOKUP(O1034,N1030:$O1033,4,FALSE),IF(OR(AND(22500&lt;O1030,O1030&lt;25001),AND(50000&lt;O1030,O1030&lt;53501),AND(70000&lt;O1030,O1030&lt;72501)),$F1030,IF(OR(AND(25001&lt;O1030,O1030&lt;27501),AND(53500&lt;O1030,O1030&lt;57001),AND(72500&lt;O1030,O1030&lt;75001)),$G1030,IF(OR(AND(27500&lt;O1030,O1030&lt;30001),AND(57000&lt;O1030,O1030&lt;60001),AND(75000&lt;O1030,O1030&lt;77500)),$H1030,VLOOKUP(O1030,BDins,6,FALSE)))))</f>
        <v>24.97</v>
      </c>
      <c r="P1032">
        <f>IF(P1034&gt;10000,HLOOKUP(P1034,O1030:$O1033,4,FALSE),IF(OR(AND(22500&lt;P1030,P1030&lt;25001),AND(50000&lt;P1030,P1030&lt;53501),AND(70000&lt;P1030,P1030&lt;72501)),$F1030,IF(OR(AND(25001&lt;P1030,P1030&lt;27501),AND(53500&lt;P1030,P1030&lt;57001),AND(72500&lt;P1030,P1030&lt;75001)),$G1030,IF(OR(AND(27500&lt;P1030,P1030&lt;30001),AND(57000&lt;P1030,P1030&lt;60001),AND(75000&lt;P1030,P1030&lt;77500)),$H1030,VLOOKUP(P1030,BDins,6,FALSE)))))</f>
        <v>15.36</v>
      </c>
      <c r="Q1032">
        <f>IF(Q1034&gt;10000,HLOOKUP(Q1034,$O1030:P1033,4,FALSE),IF(OR(AND(22500&lt;Q1030,Q1030&lt;25001),AND(50000&lt;Q1030,Q1030&lt;53501),AND(70000&lt;Q1030,Q1030&lt;72501)),$F1030,IF(OR(AND(25001&lt;Q1030,Q1030&lt;27501),AND(53500&lt;Q1030,Q1030&lt;57001),AND(72500&lt;Q1030,Q1030&lt;75001)),$G1030,IF(OR(AND(27500&lt;Q1030,Q1030&lt;30001),AND(57000&lt;Q1030,Q1030&lt;60001),AND(75000&lt;Q1030,Q1030&lt;77500)),$H1030,VLOOKUP(Q1030,BDins,6,FALSE)))))</f>
        <v>45</v>
      </c>
      <c r="R1032">
        <f>IF(R1034&gt;10000,HLOOKUP(R1034,$O1030:Q1033,4,FALSE),IF(OR(AND(22500&lt;R1030,R1030&lt;25001),AND(50000&lt;R1030,R1030&lt;53501),AND(70000&lt;R1030,R1030&lt;72501)),$F1030,IF(OR(AND(25001&lt;R1030,R1030&lt;27501),AND(53500&lt;R1030,R1030&lt;57001),AND(72500&lt;R1030,R1030&lt;75001)),$G1030,IF(OR(AND(27500&lt;R1030,R1030&lt;30001),AND(57000&lt;R1030,R1030&lt;60001),AND(75000&lt;R1030,R1030&lt;77500)),$H1030,VLOOKUP(R1030,BDins,6,FALSE)))))</f>
        <v>5</v>
      </c>
      <c r="S1032">
        <f>IF(S1034&gt;10000,HLOOKUP(S1034,$O1030:R1033,4,FALSE),IF(OR(AND(22500&lt;S1030,S1030&lt;25001),AND(50000&lt;S1030,S1030&lt;53501),AND(70000&lt;S1030,S1030&lt;72501)),$F1030,IF(OR(AND(25001&lt;S1030,S1030&lt;27501),AND(53500&lt;S1030,S1030&lt;57001),AND(72500&lt;S1030,S1030&lt;75001)),$G1030,IF(OR(AND(27500&lt;S1030,S1030&lt;30001),AND(57000&lt;S1030,S1030&lt;60001),AND(75000&lt;S1030,S1030&lt;77500)),$H1030,VLOOKUP(S1030,BDins,6,FALSE)))))</f>
        <v>10</v>
      </c>
    </row>
    <row r="1033" spans="1:20" x14ac:dyDescent="0.2">
      <c r="O1033">
        <f>IF($K1030&gt;0,ROUND(O1031*$E1030/100,DpCU),IF(O1034&gt;10000,ROUND(HLOOKUP(O1034,$O1030:$S1033,4,FALSE)/100*O1031,DpCU),IF(OR(O1030&lt;20001,O1030&gt;95000,AND(60000&lt;O1030,O1030&lt;70001)),ROUND(ROUND(O1031*JL/$C1030,DcCU)*O1032,DpCU),IF(OR(AND(20000&lt;O1030,O1030&lt;22501),AND(30000&lt;O1030,O1030&lt;50001),77500&lt;O1030),ROUND(O1032*O1031,DpCU),IF(OR(AND(22500&lt;O1030,O1030&lt;25001),AND(50000&lt;O1030,O1030&lt;53501),AND(70000&lt;O1030,O1030&lt;72501)),ROUND($F1030/100*O1031,DpCU),IF(OR(AND(25000&lt;O1030,O1030&lt;27501),AND(53500&lt;O1030,O1030&lt;57001),AND(72500&lt;O1030,O1030&lt;75001)),ROUND($G1030/100*O1031,DpCU),ROUND($H1030/100*O1031,DpCU)))))))</f>
        <v>4</v>
      </c>
      <c r="P1033">
        <f>IF($K1030&gt;0,ROUND(P1031*$E1030/100,DpCU),IF(P1034&gt;10000,ROUND(HLOOKUP(P1034,$O1030:$S1033,4,FALSE)/100*P1031,DpCU),IF(OR(P1030&lt;20001,P1030&gt;95000,AND(60000&lt;P1030,P1030&lt;70001)),ROUND(ROUND(P1031*JL/$C1030,DcCU)*P1032,DpCU),IF(OR(AND(20000&lt;P1030,P1030&lt;22501),AND(30000&lt;P1030,P1030&lt;50001),77500&lt;P1030),ROUND(P1032*P1031,DpCU),IF(OR(AND(22500&lt;P1030,P1030&lt;25001),AND(50000&lt;P1030,P1030&lt;53501),AND(70000&lt;P1030,P1030&lt;72501)),ROUND($F1030/100*P1031,DpCU),IF(OR(AND(25000&lt;P1030,P1030&lt;27501),AND(53500&lt;P1030,P1030&lt;57001),AND(72500&lt;P1030,P1030&lt;75001)),ROUND($G1030/100*P1031,DpCU),ROUND($H1030/100*P1031,DpCU)))))))</f>
        <v>24.58</v>
      </c>
      <c r="Q1033">
        <f>IF($K1030&gt;0,ROUND(Q1031*$E1030/100,DpCU),IF(Q1034&gt;10000,ROUND(HLOOKUP(Q1034,$O1030:$S1033,4,FALSE)/100*Q1031,DpCU),IF(OR(Q1030&lt;20001,Q1030&gt;95000,AND(60000&lt;Q1030,Q1030&lt;70001)),ROUND(ROUND(Q1031*JL/$C1030,DcCU)*Q1032,DpCU),IF(OR(AND(20000&lt;Q1030,Q1030&lt;22501),AND(30000&lt;Q1030,Q1030&lt;50001),77500&lt;Q1030),ROUND(Q1032*Q1031,DpCU),IF(OR(AND(22500&lt;Q1030,Q1030&lt;25001),AND(50000&lt;Q1030,Q1030&lt;53501),AND(70000&lt;Q1030,Q1030&lt;72501)),ROUND($F1030/100*Q1031,DpCU),IF(OR(AND(25000&lt;Q1030,Q1030&lt;27501),AND(53500&lt;Q1030,Q1030&lt;57001),AND(72500&lt;Q1030,Q1030&lt;75001)),ROUND($G1030/100*Q1031,DpCU),ROUND($H1030/100*Q1031,DpCU)))))))</f>
        <v>7.2</v>
      </c>
      <c r="R1033">
        <f>IF($K1030&gt;0,ROUND(R1031*$E1030/100,DpCU),IF(R1034&gt;10000,ROUND(HLOOKUP(R1034,$O1030:$S1033,4,FALSE)/100*R1031,DpCU),IF(OR(R1030&lt;20001,R1030&gt;95000,AND(60000&lt;R1030,R1030&lt;70001)),ROUND(ROUND(R1031*JL/$C1030,DcCU)*R1032,DpCU),IF(OR(AND(20000&lt;R1030,R1030&lt;22501),AND(30000&lt;R1030,R1030&lt;50001),77500&lt;R1030),ROUND(R1032*R1031,DpCU),IF(OR(AND(22500&lt;R1030,R1030&lt;25001),AND(50000&lt;R1030,R1030&lt;53501),AND(70000&lt;R1030,R1030&lt;72501)),ROUND($F1030/100*R1031,DpCU),IF(OR(AND(25000&lt;R1030,R1030&lt;27501),AND(53500&lt;R1030,R1030&lt;57001),AND(72500&lt;R1030,R1030&lt;75001)),ROUND($G1030/100*R1031,DpCU),ROUND($H1030/100*R1031,DpCU)))))))</f>
        <v>0.1</v>
      </c>
      <c r="S1033">
        <f>IF($K1030&gt;0,ROUND(S1031*$E1030/100,DpCU),IF(S1034&gt;10000,ROUND(HLOOKUP(S1034,$O1030:$S1033,4,FALSE)/100*S1031,DpCU),IF(OR(S1030&lt;20001,S1030&gt;95000,AND(60000&lt;S1030,S1030&lt;70001)),ROUND(ROUND(S1031*JL/$C1030,DcCU)*S1032,DpCU),IF(OR(AND(20000&lt;S1030,S1030&lt;22501),AND(30000&lt;S1030,S1030&lt;50001),77500&lt;S1030),ROUND(S1032*S1031,DpCU),IF(OR(AND(22500&lt;S1030,S1030&lt;25001),AND(50000&lt;S1030,S1030&lt;53501),AND(70000&lt;S1030,S1030&lt;72501)),ROUND($F1030/100*S1031,DpCU),IF(OR(AND(25000&lt;S1030,S1030&lt;27501),AND(53500&lt;S1030,S1030&lt;57001),AND(72500&lt;S1030,S1030&lt;75001)),ROUND($G1030/100*S1031,DpCU),ROUND($H1030/100*S1031,DpCU)))))))</f>
        <v>8</v>
      </c>
    </row>
    <row r="1034" spans="1:20" x14ac:dyDescent="0.2">
      <c r="B1034" s="3" t="str">
        <f>A1030&amp;"r"</f>
        <v>10206r</v>
      </c>
    </row>
    <row r="1035" spans="1:20" x14ac:dyDescent="0.2">
      <c r="A1035">
        <v>10207</v>
      </c>
      <c r="B1035" s="3" t="s">
        <v>1078</v>
      </c>
      <c r="C1035" s="1">
        <f>ROUND(J1035*JL*Frto/8,4)</f>
        <v>62</v>
      </c>
      <c r="D1035" t="s">
        <v>194</v>
      </c>
      <c r="E1035">
        <f>SUM($O1038:$T1038)</f>
        <v>9.5800000000000018</v>
      </c>
      <c r="F1035">
        <f>SUMIF($O1035:$T1035,"&lt;22501",$O1038:$T1038)</f>
        <v>4.9800000000000004</v>
      </c>
      <c r="G1035">
        <f>SUMIFS($O1038:$T1038,$O1035:$T1035,"&gt;30000",$O1035:$T1035,"&lt;50001")</f>
        <v>4.3500000000000005</v>
      </c>
      <c r="H1035">
        <f>SUMIFS($O1038:$T1038,$O1035:$T1035,"&gt;60000",$O1035:$T1035,"&lt;70001")</f>
        <v>0</v>
      </c>
      <c r="I1035">
        <v>6</v>
      </c>
      <c r="J1035">
        <v>62</v>
      </c>
      <c r="O1035">
        <v>10001</v>
      </c>
      <c r="P1035">
        <v>10002</v>
      </c>
      <c r="Q1035">
        <v>10003</v>
      </c>
      <c r="R1035">
        <v>30265</v>
      </c>
      <c r="S1035">
        <v>30270</v>
      </c>
      <c r="T1035">
        <v>70001</v>
      </c>
    </row>
    <row r="1036" spans="1:20" x14ac:dyDescent="0.2">
      <c r="B1036" s="3" t="str">
        <f>A1035&amp;"C"</f>
        <v>10207C</v>
      </c>
      <c r="O1036">
        <v>0.1</v>
      </c>
      <c r="P1036">
        <v>1</v>
      </c>
      <c r="Q1036">
        <v>1</v>
      </c>
      <c r="R1036">
        <v>5.0000000000000001E-3</v>
      </c>
      <c r="S1036">
        <v>0.35</v>
      </c>
      <c r="T1036">
        <v>5</v>
      </c>
    </row>
    <row r="1037" spans="1:20" x14ac:dyDescent="0.2">
      <c r="O1037">
        <f>IF(O1039&gt;10000,HLOOKUP(O1039,N1035:$O1038,4,FALSE),IF(OR(AND(22500&lt;O1035,O1035&lt;25001),AND(50000&lt;O1035,O1035&lt;53501),AND(70000&lt;O1035,O1035&lt;72501)),$F1035,IF(OR(AND(25001&lt;O1035,O1035&lt;27501),AND(53500&lt;O1035,O1035&lt;57001),AND(72500&lt;O1035,O1035&lt;75001)),$G1035,IF(OR(AND(27500&lt;O1035,O1035&lt;30001),AND(57000&lt;O1035,O1035&lt;60001),AND(75000&lt;O1035,O1035&lt;77500)),$H1035,VLOOKUP(O1035,BDins,6,FALSE)))))</f>
        <v>24.97</v>
      </c>
      <c r="P1037">
        <f>IF(P1039&gt;10000,HLOOKUP(P1039,O1035:$O1038,4,FALSE),IF(OR(AND(22500&lt;P1035,P1035&lt;25001),AND(50000&lt;P1035,P1035&lt;53501),AND(70000&lt;P1035,P1035&lt;72501)),$F1035,IF(OR(AND(25001&lt;P1035,P1035&lt;27501),AND(53500&lt;P1035,P1035&lt;57001),AND(72500&lt;P1035,P1035&lt;75001)),$G1035,IF(OR(AND(27500&lt;P1035,P1035&lt;30001),AND(57000&lt;P1035,P1035&lt;60001),AND(75000&lt;P1035,P1035&lt;77500)),$H1035,VLOOKUP(P1035,BDins,6,FALSE)))))</f>
        <v>20.81</v>
      </c>
      <c r="Q1037">
        <f>IF(Q1039&gt;10000,HLOOKUP(Q1039,$O1035:P1038,4,FALSE),IF(OR(AND(22500&lt;Q1035,Q1035&lt;25001),AND(50000&lt;Q1035,Q1035&lt;53501),AND(70000&lt;Q1035,Q1035&lt;72501)),$F1035,IF(OR(AND(25001&lt;Q1035,Q1035&lt;27501),AND(53500&lt;Q1035,Q1035&lt;57001),AND(72500&lt;Q1035,Q1035&lt;75001)),$G1035,IF(OR(AND(27500&lt;Q1035,Q1035&lt;30001),AND(57000&lt;Q1035,Q1035&lt;60001),AND(75000&lt;Q1035,Q1035&lt;77500)),$H1035,VLOOKUP(Q1035,BDins,6,FALSE)))))</f>
        <v>15.36</v>
      </c>
      <c r="R1037">
        <f>IF(R1039&gt;10000,HLOOKUP(R1039,$O1035:Q1038,4,FALSE),IF(OR(AND(22500&lt;R1035,R1035&lt;25001),AND(50000&lt;R1035,R1035&lt;53501),AND(70000&lt;R1035,R1035&lt;72501)),$F1035,IF(OR(AND(25001&lt;R1035,R1035&lt;27501),AND(53500&lt;R1035,R1035&lt;57001),AND(72500&lt;R1035,R1035&lt;75001)),$G1035,IF(OR(AND(27500&lt;R1035,R1035&lt;30001),AND(57000&lt;R1035,R1035&lt;60001),AND(75000&lt;R1035,R1035&lt;77500)),$H1035,VLOOKUP(R1035,BDins,6,FALSE)))))</f>
        <v>30</v>
      </c>
      <c r="S1037">
        <f>IF(S1039&gt;10000,HLOOKUP(S1039,$O1035:R1038,4,FALSE),IF(OR(AND(22500&lt;S1035,S1035&lt;25001),AND(50000&lt;S1035,S1035&lt;53501),AND(70000&lt;S1035,S1035&lt;72501)),$F1035,IF(OR(AND(25001&lt;S1035,S1035&lt;27501),AND(53500&lt;S1035,S1035&lt;57001),AND(72500&lt;S1035,S1035&lt;75001)),$G1035,IF(OR(AND(27500&lt;S1035,S1035&lt;30001),AND(57000&lt;S1035,S1035&lt;60001),AND(75000&lt;S1035,S1035&lt;77500)),$H1035,VLOOKUP(S1035,BDins,6,FALSE)))))</f>
        <v>12</v>
      </c>
      <c r="T1037">
        <f>IF(T1039&gt;10000,HLOOKUP(T1039,$O1035:S1038,4,FALSE),IF(OR(AND(22500&lt;T1035,T1035&lt;25001),AND(50000&lt;T1035,T1035&lt;53501),AND(70000&lt;T1035,T1035&lt;72501)),$F1035,IF(OR(AND(25001&lt;T1035,T1035&lt;27501),AND(53500&lt;T1035,T1035&lt;57001),AND(72500&lt;T1035,T1035&lt;75001)),$G1035,IF(OR(AND(27500&lt;T1035,T1035&lt;30001),AND(57000&lt;T1035,T1035&lt;60001),AND(75000&lt;T1035,T1035&lt;77500)),$H1035,VLOOKUP(T1035,BDins,6,FALSE)))))</f>
        <v>4.9800000000000004</v>
      </c>
    </row>
    <row r="1038" spans="1:20" x14ac:dyDescent="0.2">
      <c r="O1038">
        <f t="shared" ref="O1038:T1038" si="146">IF($K1035&gt;0,ROUND(O1036*$E1035/100,DpCU),IF(O1039&gt;10000,ROUND(HLOOKUP(O1039,$O1035:$T1038,4,FALSE)/100*O1036,DpCU),IF(OR(O1035&lt;20001,O1035&gt;95000,AND(60000&lt;O1035,O1035&lt;70001)),ROUND(ROUND(O1036*JL/$C1035,DcCU)*O1037,DpCU),IF(OR(AND(20000&lt;O1035,O1035&lt;22501),AND(30000&lt;O1035,O1035&lt;50001),77500&lt;O1035),ROUND(O1037*O1036,DpCU),IF(OR(AND(22500&lt;O1035,O1035&lt;25001),AND(50000&lt;O1035,O1035&lt;53501),AND(70000&lt;O1035,O1035&lt;72501)),ROUND($F1035/100*O1036,DpCU),IF(OR(AND(25000&lt;O1035,O1035&lt;27501),AND(53500&lt;O1035,O1035&lt;57001),AND(72500&lt;O1035,O1035&lt;75001)),ROUND($G1035/100*O1036,DpCU),ROUND($H1035/100*O1036,DpCU)))))))</f>
        <v>0.32</v>
      </c>
      <c r="P1038">
        <f t="shared" si="146"/>
        <v>2.68</v>
      </c>
      <c r="Q1038">
        <f t="shared" si="146"/>
        <v>1.98</v>
      </c>
      <c r="R1038">
        <f t="shared" si="146"/>
        <v>0.15</v>
      </c>
      <c r="S1038">
        <f t="shared" si="146"/>
        <v>4.2</v>
      </c>
      <c r="T1038">
        <f t="shared" si="146"/>
        <v>0.25</v>
      </c>
    </row>
    <row r="1039" spans="1:20" x14ac:dyDescent="0.2">
      <c r="B1039" s="3" t="str">
        <f>A1035&amp;"r"</f>
        <v>10207r</v>
      </c>
    </row>
    <row r="1040" spans="1:20" x14ac:dyDescent="0.2">
      <c r="A1040">
        <v>10208</v>
      </c>
      <c r="B1040" s="3" t="s">
        <v>1083</v>
      </c>
      <c r="C1040" s="1">
        <f>ROUND(J1040*JL*Frto/8,4)</f>
        <v>24</v>
      </c>
      <c r="D1040" t="s">
        <v>194</v>
      </c>
      <c r="E1040">
        <f>SUM($O1043:$T1043)</f>
        <v>17.04</v>
      </c>
      <c r="F1040">
        <f>SUMIF($O1040:$T1040,"&lt;22501",$O1043:$T1043)</f>
        <v>12.89</v>
      </c>
      <c r="G1040">
        <f>SUMIFS($O1043:$T1043,$O1040:$T1040,"&gt;30000",$O1040:$T1040,"&lt;50001")</f>
        <v>3.5100000000000002</v>
      </c>
      <c r="H1040">
        <f>SUMIFS($O1043:$T1043,$O1040:$T1040,"&gt;60000",$O1040:$T1040,"&lt;70001")</f>
        <v>0</v>
      </c>
      <c r="I1040">
        <v>6</v>
      </c>
      <c r="J1040">
        <v>24</v>
      </c>
      <c r="O1040">
        <v>10001</v>
      </c>
      <c r="P1040">
        <v>10002</v>
      </c>
      <c r="Q1040">
        <v>10003</v>
      </c>
      <c r="R1040">
        <v>30265</v>
      </c>
      <c r="S1040">
        <v>30271</v>
      </c>
      <c r="T1040">
        <v>70001</v>
      </c>
    </row>
    <row r="1041" spans="1:25" x14ac:dyDescent="0.2">
      <c r="B1041" s="3" t="str">
        <f>A1040&amp;"C"</f>
        <v>10208C</v>
      </c>
      <c r="O1041">
        <v>0.1</v>
      </c>
      <c r="P1041">
        <v>1</v>
      </c>
      <c r="Q1041">
        <v>1</v>
      </c>
      <c r="R1041">
        <v>0.02</v>
      </c>
      <c r="S1041">
        <v>0.35</v>
      </c>
      <c r="T1041">
        <v>5</v>
      </c>
    </row>
    <row r="1042" spans="1:25" x14ac:dyDescent="0.2">
      <c r="O1042">
        <f>IF(O1044&gt;10000,HLOOKUP(O1044,N1040:$O1043,4,FALSE),IF(OR(AND(22500&lt;O1040,O1040&lt;25001),AND(50000&lt;O1040,O1040&lt;53501),AND(70000&lt;O1040,O1040&lt;72501)),$F1040,IF(OR(AND(25001&lt;O1040,O1040&lt;27501),AND(53500&lt;O1040,O1040&lt;57001),AND(72500&lt;O1040,O1040&lt;75001)),$G1040,IF(OR(AND(27500&lt;O1040,O1040&lt;30001),AND(57000&lt;O1040,O1040&lt;60001),AND(75000&lt;O1040,O1040&lt;77500)),$H1040,VLOOKUP(O1040,BDins,6,FALSE)))))</f>
        <v>24.97</v>
      </c>
      <c r="P1042">
        <f>IF(P1044&gt;10000,HLOOKUP(P1044,O1040:$O1043,4,FALSE),IF(OR(AND(22500&lt;P1040,P1040&lt;25001),AND(50000&lt;P1040,P1040&lt;53501),AND(70000&lt;P1040,P1040&lt;72501)),$F1040,IF(OR(AND(25001&lt;P1040,P1040&lt;27501),AND(53500&lt;P1040,P1040&lt;57001),AND(72500&lt;P1040,P1040&lt;75001)),$G1040,IF(OR(AND(27500&lt;P1040,P1040&lt;30001),AND(57000&lt;P1040,P1040&lt;60001),AND(75000&lt;P1040,P1040&lt;77500)),$H1040,VLOOKUP(P1040,BDins,6,FALSE)))))</f>
        <v>20.81</v>
      </c>
      <c r="Q1042">
        <f>IF(Q1044&gt;10000,HLOOKUP(Q1044,$O1040:P1043,4,FALSE),IF(OR(AND(22500&lt;Q1040,Q1040&lt;25001),AND(50000&lt;Q1040,Q1040&lt;53501),AND(70000&lt;Q1040,Q1040&lt;72501)),$F1040,IF(OR(AND(25001&lt;Q1040,Q1040&lt;27501),AND(53500&lt;Q1040,Q1040&lt;57001),AND(72500&lt;Q1040,Q1040&lt;75001)),$G1040,IF(OR(AND(27500&lt;Q1040,Q1040&lt;30001),AND(57000&lt;Q1040,Q1040&lt;60001),AND(75000&lt;Q1040,Q1040&lt;77500)),$H1040,VLOOKUP(Q1040,BDins,6,FALSE)))))</f>
        <v>15.36</v>
      </c>
      <c r="R1042">
        <f>IF(R1044&gt;10000,HLOOKUP(R1044,$O1040:Q1043,4,FALSE),IF(OR(AND(22500&lt;R1040,R1040&lt;25001),AND(50000&lt;R1040,R1040&lt;53501),AND(70000&lt;R1040,R1040&lt;72501)),$F1040,IF(OR(AND(25001&lt;R1040,R1040&lt;27501),AND(53500&lt;R1040,R1040&lt;57001),AND(72500&lt;R1040,R1040&lt;75001)),$G1040,IF(OR(AND(27500&lt;R1040,R1040&lt;30001),AND(57000&lt;R1040,R1040&lt;60001),AND(75000&lt;R1040,R1040&lt;77500)),$H1040,VLOOKUP(R1040,BDins,6,FALSE)))))</f>
        <v>30</v>
      </c>
      <c r="S1042">
        <f>IF(S1044&gt;10000,HLOOKUP(S1044,$O1040:R1043,4,FALSE),IF(OR(AND(22500&lt;S1040,S1040&lt;25001),AND(50000&lt;S1040,S1040&lt;53501),AND(70000&lt;S1040,S1040&lt;72501)),$F1040,IF(OR(AND(25001&lt;S1040,S1040&lt;27501),AND(53500&lt;S1040,S1040&lt;57001),AND(72500&lt;S1040,S1040&lt;75001)),$G1040,IF(OR(AND(27500&lt;S1040,S1040&lt;30001),AND(57000&lt;S1040,S1040&lt;60001),AND(75000&lt;S1040,S1040&lt;77500)),$H1040,VLOOKUP(S1040,BDins,6,FALSE)))))</f>
        <v>8.3000000000000007</v>
      </c>
      <c r="T1042">
        <f>IF(T1044&gt;10000,HLOOKUP(T1044,$O1040:S1043,4,FALSE),IF(OR(AND(22500&lt;T1040,T1040&lt;25001),AND(50000&lt;T1040,T1040&lt;53501),AND(70000&lt;T1040,T1040&lt;72501)),$F1040,IF(OR(AND(25001&lt;T1040,T1040&lt;27501),AND(53500&lt;T1040,T1040&lt;57001),AND(72500&lt;T1040,T1040&lt;75001)),$G1040,IF(OR(AND(27500&lt;T1040,T1040&lt;30001),AND(57000&lt;T1040,T1040&lt;60001),AND(75000&lt;T1040,T1040&lt;77500)),$H1040,VLOOKUP(T1040,BDins,6,FALSE)))))</f>
        <v>12.89</v>
      </c>
    </row>
    <row r="1043" spans="1:25" x14ac:dyDescent="0.2">
      <c r="O1043">
        <f t="shared" ref="O1043:T1043" si="147">IF($K1040&gt;0,ROUND(O1041*$E1040/100,DpCU),IF(O1044&gt;10000,ROUND(HLOOKUP(O1044,$O1040:$T1043,4,FALSE)/100*O1041,DpCU),IF(OR(O1040&lt;20001,O1040&gt;95000,AND(60000&lt;O1040,O1040&lt;70001)),ROUND(ROUND(O1041*JL/$C1040,DcCU)*O1042,DpCU),IF(OR(AND(20000&lt;O1040,O1040&lt;22501),AND(30000&lt;O1040,O1040&lt;50001),77500&lt;O1040),ROUND(O1042*O1041,DpCU),IF(OR(AND(22500&lt;O1040,O1040&lt;25001),AND(50000&lt;O1040,O1040&lt;53501),AND(70000&lt;O1040,O1040&lt;72501)),ROUND($F1040/100*O1041,DpCU),IF(OR(AND(25000&lt;O1040,O1040&lt;27501),AND(53500&lt;O1040,O1040&lt;57001),AND(72500&lt;O1040,O1040&lt;75001)),ROUND($G1040/100*O1041,DpCU),ROUND($H1040/100*O1041,DpCU)))))))</f>
        <v>0.83</v>
      </c>
      <c r="P1043">
        <f t="shared" si="147"/>
        <v>6.94</v>
      </c>
      <c r="Q1043">
        <f t="shared" si="147"/>
        <v>5.12</v>
      </c>
      <c r="R1043">
        <f t="shared" si="147"/>
        <v>0.6</v>
      </c>
      <c r="S1043">
        <f t="shared" si="147"/>
        <v>2.91</v>
      </c>
      <c r="T1043">
        <f t="shared" si="147"/>
        <v>0.64</v>
      </c>
    </row>
    <row r="1044" spans="1:25" x14ac:dyDescent="0.2">
      <c r="B1044" s="3" t="str">
        <f>A1040&amp;"r"</f>
        <v>10208r</v>
      </c>
    </row>
    <row r="1045" spans="1:25" x14ac:dyDescent="0.2">
      <c r="A1045">
        <v>10209</v>
      </c>
      <c r="B1045" s="3" t="s">
        <v>1090</v>
      </c>
      <c r="C1045" s="1">
        <f>ROUND(J1045*JL*Frto/8,4)</f>
        <v>6.25</v>
      </c>
      <c r="D1045" t="s">
        <v>914</v>
      </c>
      <c r="E1045">
        <f>SUM($O1048:$X1048)</f>
        <v>71.900000000000006</v>
      </c>
      <c r="F1045">
        <f>SUMIF($O1045:$X1045,"&lt;22501",$O1048:$X1048)</f>
        <v>49.5</v>
      </c>
      <c r="G1045">
        <f>SUMIFS($O1048:$X1048,$O1045:$X1045,"&gt;30000",$O1045:$X1045,"&lt;50001")</f>
        <v>19.920000000000002</v>
      </c>
      <c r="H1045">
        <f>SUMIFS($O1048:$X1048,$O1045:$X1045,"&gt;60000",$O1045:$X1045,"&lt;70001")</f>
        <v>0</v>
      </c>
      <c r="I1045">
        <v>10</v>
      </c>
      <c r="J1045">
        <v>6.25</v>
      </c>
      <c r="O1045">
        <v>10001</v>
      </c>
      <c r="P1045">
        <v>10002</v>
      </c>
      <c r="Q1045">
        <v>10003</v>
      </c>
      <c r="R1045">
        <v>30265</v>
      </c>
      <c r="S1045">
        <v>30272</v>
      </c>
      <c r="T1045">
        <v>30273</v>
      </c>
      <c r="U1045">
        <v>30274</v>
      </c>
      <c r="V1045">
        <v>30275</v>
      </c>
      <c r="W1045">
        <v>30276</v>
      </c>
      <c r="X1045">
        <v>70001</v>
      </c>
    </row>
    <row r="1046" spans="1:25" x14ac:dyDescent="0.2">
      <c r="B1046" s="3" t="str">
        <f>A1045&amp;"C"</f>
        <v>10209C</v>
      </c>
      <c r="O1046">
        <v>0.1</v>
      </c>
      <c r="P1046">
        <v>1</v>
      </c>
      <c r="Q1046">
        <v>1</v>
      </c>
      <c r="R1046">
        <v>0.03</v>
      </c>
      <c r="S1046">
        <v>1.3</v>
      </c>
      <c r="T1046">
        <v>0.25</v>
      </c>
      <c r="U1046">
        <v>0.5</v>
      </c>
      <c r="V1046">
        <v>0.5</v>
      </c>
      <c r="W1046">
        <v>0.5</v>
      </c>
      <c r="X1046">
        <v>5</v>
      </c>
    </row>
    <row r="1047" spans="1:25" x14ac:dyDescent="0.2">
      <c r="O1047">
        <f>IF(O1049&gt;10000,HLOOKUP(O1049,N1045:$O1048,4,FALSE),IF(OR(AND(22500&lt;O1045,O1045&lt;25001),AND(50000&lt;O1045,O1045&lt;53501),AND(70000&lt;O1045,O1045&lt;72501)),$F1045,IF(OR(AND(25001&lt;O1045,O1045&lt;27501),AND(53500&lt;O1045,O1045&lt;57001),AND(72500&lt;O1045,O1045&lt;75001)),$G1045,IF(OR(AND(27500&lt;O1045,O1045&lt;30001),AND(57000&lt;O1045,O1045&lt;60001),AND(75000&lt;O1045,O1045&lt;77500)),$H1045,VLOOKUP(O1045,BDins,6,FALSE)))))</f>
        <v>24.97</v>
      </c>
      <c r="P1047">
        <f>IF(P1049&gt;10000,HLOOKUP(P1049,O1045:$O1048,4,FALSE),IF(OR(AND(22500&lt;P1045,P1045&lt;25001),AND(50000&lt;P1045,P1045&lt;53501),AND(70000&lt;P1045,P1045&lt;72501)),$F1045,IF(OR(AND(25001&lt;P1045,P1045&lt;27501),AND(53500&lt;P1045,P1045&lt;57001),AND(72500&lt;P1045,P1045&lt;75001)),$G1045,IF(OR(AND(27500&lt;P1045,P1045&lt;30001),AND(57000&lt;P1045,P1045&lt;60001),AND(75000&lt;P1045,P1045&lt;77500)),$H1045,VLOOKUP(P1045,BDins,6,FALSE)))))</f>
        <v>20.81</v>
      </c>
      <c r="Q1047">
        <f>IF(Q1049&gt;10000,HLOOKUP(Q1049,$O1045:P1048,4,FALSE),IF(OR(AND(22500&lt;Q1045,Q1045&lt;25001),AND(50000&lt;Q1045,Q1045&lt;53501),AND(70000&lt;Q1045,Q1045&lt;72501)),$F1045,IF(OR(AND(25001&lt;Q1045,Q1045&lt;27501),AND(53500&lt;Q1045,Q1045&lt;57001),AND(72500&lt;Q1045,Q1045&lt;75001)),$G1045,IF(OR(AND(27500&lt;Q1045,Q1045&lt;30001),AND(57000&lt;Q1045,Q1045&lt;60001),AND(75000&lt;Q1045,Q1045&lt;77500)),$H1045,VLOOKUP(Q1045,BDins,6,FALSE)))))</f>
        <v>15.36</v>
      </c>
      <c r="R1047">
        <f>IF(R1049&gt;10000,HLOOKUP(R1049,$O1045:Q1048,4,FALSE),IF(OR(AND(22500&lt;R1045,R1045&lt;25001),AND(50000&lt;R1045,R1045&lt;53501),AND(70000&lt;R1045,R1045&lt;72501)),$F1045,IF(OR(AND(25001&lt;R1045,R1045&lt;27501),AND(53500&lt;R1045,R1045&lt;57001),AND(72500&lt;R1045,R1045&lt;75001)),$G1045,IF(OR(AND(27500&lt;R1045,R1045&lt;30001),AND(57000&lt;R1045,R1045&lt;60001),AND(75000&lt;R1045,R1045&lt;77500)),$H1045,VLOOKUP(R1045,BDins,6,FALSE)))))</f>
        <v>30</v>
      </c>
      <c r="S1047">
        <f>IF(S1049&gt;10000,HLOOKUP(S1049,$O1045:R1048,4,FALSE),IF(OR(AND(22500&lt;S1045,S1045&lt;25001),AND(50000&lt;S1045,S1045&lt;53501),AND(70000&lt;S1045,S1045&lt;72501)),$F1045,IF(OR(AND(25001&lt;S1045,S1045&lt;27501),AND(53500&lt;S1045,S1045&lt;57001),AND(72500&lt;S1045,S1045&lt;75001)),$G1045,IF(OR(AND(27500&lt;S1045,S1045&lt;30001),AND(57000&lt;S1045,S1045&lt;60001),AND(75000&lt;S1045,S1045&lt;77500)),$H1045,VLOOKUP(S1045,BDins,6,FALSE)))))</f>
        <v>5.95</v>
      </c>
      <c r="T1047">
        <f>IF(T1049&gt;10000,HLOOKUP(T1049,$O1045:S1048,4,FALSE),IF(OR(AND(22500&lt;T1045,T1045&lt;25001),AND(50000&lt;T1045,T1045&lt;53501),AND(70000&lt;T1045,T1045&lt;72501)),$F1045,IF(OR(AND(25001&lt;T1045,T1045&lt;27501),AND(53500&lt;T1045,T1045&lt;57001),AND(72500&lt;T1045,T1045&lt;75001)),$G1045,IF(OR(AND(27500&lt;T1045,T1045&lt;30001),AND(57000&lt;T1045,T1045&lt;60001),AND(75000&lt;T1045,T1045&lt;77500)),$H1045,VLOOKUP(T1045,BDins,6,FALSE)))))</f>
        <v>10.5</v>
      </c>
      <c r="U1047">
        <f>IF(U1049&gt;10000,HLOOKUP(U1049,$O1045:T1048,4,FALSE),IF(OR(AND(22500&lt;U1045,U1045&lt;25001),AND(50000&lt;U1045,U1045&lt;53501),AND(70000&lt;U1045,U1045&lt;72501)),$F1045,IF(OR(AND(25001&lt;U1045,U1045&lt;27501),AND(53500&lt;U1045,U1045&lt;57001),AND(72500&lt;U1045,U1045&lt;75001)),$G1045,IF(OR(AND(27500&lt;U1045,U1045&lt;30001),AND(57000&lt;U1045,U1045&lt;60001),AND(75000&lt;U1045,U1045&lt;77500)),$H1045,VLOOKUP(U1045,BDins,6,FALSE)))))</f>
        <v>5.5</v>
      </c>
      <c r="V1047">
        <f>IF(V1049&gt;10000,HLOOKUP(V1049,$O1045:U1048,4,FALSE),IF(OR(AND(22500&lt;V1045,V1045&lt;25001),AND(50000&lt;V1045,V1045&lt;53501),AND(70000&lt;V1045,V1045&lt;72501)),$F1045,IF(OR(AND(25001&lt;V1045,V1045&lt;27501),AND(53500&lt;V1045,V1045&lt;57001),AND(72500&lt;V1045,V1045&lt;75001)),$G1045,IF(OR(AND(27500&lt;V1045,V1045&lt;30001),AND(57000&lt;V1045,V1045&lt;60001),AND(75000&lt;V1045,V1045&lt;77500)),$H1045,VLOOKUP(V1045,BDins,6,FALSE)))))</f>
        <v>6.7</v>
      </c>
      <c r="W1047">
        <f>IF(W1049&gt;10000,HLOOKUP(W1049,$O1045:V1048,4,FALSE),IF(OR(AND(22500&lt;W1045,W1045&lt;25001),AND(50000&lt;W1045,W1045&lt;53501),AND(70000&lt;W1045,W1045&lt;72501)),$F1045,IF(OR(AND(25001&lt;W1045,W1045&lt;27501),AND(53500&lt;W1045,W1045&lt;57001),AND(72500&lt;W1045,W1045&lt;75001)),$G1045,IF(OR(AND(27500&lt;W1045,W1045&lt;30001),AND(57000&lt;W1045,W1045&lt;60001),AND(75000&lt;W1045,W1045&lt;77500)),$H1045,VLOOKUP(W1045,BDins,6,FALSE)))))</f>
        <v>5.0999999999999996</v>
      </c>
      <c r="X1047">
        <f>IF(X1049&gt;10000,HLOOKUP(X1049,$O1045:W1048,4,FALSE),IF(OR(AND(22500&lt;X1045,X1045&lt;25001),AND(50000&lt;X1045,X1045&lt;53501),AND(70000&lt;X1045,X1045&lt;72501)),$F1045,IF(OR(AND(25001&lt;X1045,X1045&lt;27501),AND(53500&lt;X1045,X1045&lt;57001),AND(72500&lt;X1045,X1045&lt;75001)),$G1045,IF(OR(AND(27500&lt;X1045,X1045&lt;30001),AND(57000&lt;X1045,X1045&lt;60001),AND(75000&lt;X1045,X1045&lt;77500)),$H1045,VLOOKUP(X1045,BDins,6,FALSE)))))</f>
        <v>49.5</v>
      </c>
    </row>
    <row r="1048" spans="1:25" x14ac:dyDescent="0.2">
      <c r="O1048">
        <f t="shared" ref="O1048:X1048" si="148">IF($K1045&gt;0,ROUND(O1046*$E1045/100,DpCU),IF(O1049&gt;10000,ROUND(HLOOKUP(O1049,$O1045:$X1048,4,FALSE)/100*O1046,DpCU),IF(OR(O1045&lt;20001,O1045&gt;95000,AND(60000&lt;O1045,O1045&lt;70001)),ROUND(ROUND(O1046*JL/$C1045,DcCU)*O1047,DpCU),IF(OR(AND(20000&lt;O1045,O1045&lt;22501),AND(30000&lt;O1045,O1045&lt;50001),77500&lt;O1045),ROUND(O1047*O1046,DpCU),IF(OR(AND(22500&lt;O1045,O1045&lt;25001),AND(50000&lt;O1045,O1045&lt;53501),AND(70000&lt;O1045,O1045&lt;72501)),ROUND($F1045/100*O1046,DpCU),IF(OR(AND(25000&lt;O1045,O1045&lt;27501),AND(53500&lt;O1045,O1045&lt;57001),AND(72500&lt;O1045,O1045&lt;75001)),ROUND($G1045/100*O1046,DpCU),ROUND($H1045/100*O1046,DpCU)))))))</f>
        <v>3.2</v>
      </c>
      <c r="P1048">
        <f t="shared" si="148"/>
        <v>26.64</v>
      </c>
      <c r="Q1048">
        <f t="shared" si="148"/>
        <v>19.66</v>
      </c>
      <c r="R1048">
        <f t="shared" si="148"/>
        <v>0.9</v>
      </c>
      <c r="S1048">
        <f t="shared" si="148"/>
        <v>7.74</v>
      </c>
      <c r="T1048">
        <f t="shared" si="148"/>
        <v>2.63</v>
      </c>
      <c r="U1048">
        <f t="shared" si="148"/>
        <v>2.75</v>
      </c>
      <c r="V1048">
        <f t="shared" si="148"/>
        <v>3.35</v>
      </c>
      <c r="W1048">
        <f t="shared" si="148"/>
        <v>2.5499999999999998</v>
      </c>
      <c r="X1048">
        <f t="shared" si="148"/>
        <v>2.48</v>
      </c>
    </row>
    <row r="1049" spans="1:25" x14ac:dyDescent="0.2">
      <c r="B1049" s="3" t="str">
        <f>A1045&amp;"r"</f>
        <v>10209r</v>
      </c>
    </row>
    <row r="1050" spans="1:25" x14ac:dyDescent="0.2">
      <c r="A1050">
        <v>10210</v>
      </c>
      <c r="B1050" s="3" t="s">
        <v>1097</v>
      </c>
      <c r="C1050" s="1">
        <f>ROUND(J1050*JL*Frto/8,4)</f>
        <v>6.25</v>
      </c>
      <c r="D1050" t="s">
        <v>914</v>
      </c>
      <c r="E1050">
        <f>SUM($O1053:$V1053)</f>
        <v>66.98</v>
      </c>
      <c r="F1050">
        <f>SUMIF($O1050:$V1050,"&lt;22501",$O1053:$V1053)</f>
        <v>49.5</v>
      </c>
      <c r="G1050">
        <f>SUMIFS($O1053:$V1053,$O1050:$V1050,"&gt;30000",$O1050:$V1050,"&lt;50001")</f>
        <v>15</v>
      </c>
      <c r="H1050">
        <f>SUMIFS($O1053:$V1053,$O1050:$V1050,"&gt;60000",$O1050:$V1050,"&lt;70001")</f>
        <v>0</v>
      </c>
      <c r="I1050">
        <v>8</v>
      </c>
      <c r="J1050">
        <v>6.25</v>
      </c>
      <c r="O1050">
        <v>10001</v>
      </c>
      <c r="P1050">
        <v>10002</v>
      </c>
      <c r="Q1050">
        <v>10003</v>
      </c>
      <c r="R1050">
        <v>30265</v>
      </c>
      <c r="S1050">
        <v>30277</v>
      </c>
      <c r="T1050">
        <v>30278</v>
      </c>
      <c r="U1050">
        <v>30279</v>
      </c>
      <c r="V1050">
        <v>70001</v>
      </c>
    </row>
    <row r="1051" spans="1:25" x14ac:dyDescent="0.2">
      <c r="B1051" s="3" t="str">
        <f>A1050&amp;"C"</f>
        <v>10210C</v>
      </c>
      <c r="O1051">
        <v>0.1</v>
      </c>
      <c r="P1051">
        <v>1</v>
      </c>
      <c r="Q1051">
        <v>1</v>
      </c>
      <c r="R1051">
        <v>0.03</v>
      </c>
      <c r="S1051">
        <v>1.6</v>
      </c>
      <c r="T1051">
        <v>1</v>
      </c>
      <c r="U1051">
        <v>1</v>
      </c>
      <c r="V1051">
        <v>5</v>
      </c>
    </row>
    <row r="1052" spans="1:25" x14ac:dyDescent="0.2">
      <c r="O1052">
        <f>IF(O1054&gt;10000,HLOOKUP(O1054,N1050:$O1053,4,FALSE),IF(OR(AND(22500&lt;O1050,O1050&lt;25001),AND(50000&lt;O1050,O1050&lt;53501),AND(70000&lt;O1050,O1050&lt;72501)),$F1050,IF(OR(AND(25001&lt;O1050,O1050&lt;27501),AND(53500&lt;O1050,O1050&lt;57001),AND(72500&lt;O1050,O1050&lt;75001)),$G1050,IF(OR(AND(27500&lt;O1050,O1050&lt;30001),AND(57000&lt;O1050,O1050&lt;60001),AND(75000&lt;O1050,O1050&lt;77500)),$H1050,VLOOKUP(O1050,BDins,6,FALSE)))))</f>
        <v>24.97</v>
      </c>
      <c r="P1052">
        <f>IF(P1054&gt;10000,HLOOKUP(P1054,O1050:$O1053,4,FALSE),IF(OR(AND(22500&lt;P1050,P1050&lt;25001),AND(50000&lt;P1050,P1050&lt;53501),AND(70000&lt;P1050,P1050&lt;72501)),$F1050,IF(OR(AND(25001&lt;P1050,P1050&lt;27501),AND(53500&lt;P1050,P1050&lt;57001),AND(72500&lt;P1050,P1050&lt;75001)),$G1050,IF(OR(AND(27500&lt;P1050,P1050&lt;30001),AND(57000&lt;P1050,P1050&lt;60001),AND(75000&lt;P1050,P1050&lt;77500)),$H1050,VLOOKUP(P1050,BDins,6,FALSE)))))</f>
        <v>20.81</v>
      </c>
      <c r="Q1052">
        <f>IF(Q1054&gt;10000,HLOOKUP(Q1054,$O1050:P1053,4,FALSE),IF(OR(AND(22500&lt;Q1050,Q1050&lt;25001),AND(50000&lt;Q1050,Q1050&lt;53501),AND(70000&lt;Q1050,Q1050&lt;72501)),$F1050,IF(OR(AND(25001&lt;Q1050,Q1050&lt;27501),AND(53500&lt;Q1050,Q1050&lt;57001),AND(72500&lt;Q1050,Q1050&lt;75001)),$G1050,IF(OR(AND(27500&lt;Q1050,Q1050&lt;30001),AND(57000&lt;Q1050,Q1050&lt;60001),AND(75000&lt;Q1050,Q1050&lt;77500)),$H1050,VLOOKUP(Q1050,BDins,6,FALSE)))))</f>
        <v>15.36</v>
      </c>
      <c r="R1052">
        <f>IF(R1054&gt;10000,HLOOKUP(R1054,$O1050:Q1053,4,FALSE),IF(OR(AND(22500&lt;R1050,R1050&lt;25001),AND(50000&lt;R1050,R1050&lt;53501),AND(70000&lt;R1050,R1050&lt;72501)),$F1050,IF(OR(AND(25001&lt;R1050,R1050&lt;27501),AND(53500&lt;R1050,R1050&lt;57001),AND(72500&lt;R1050,R1050&lt;75001)),$G1050,IF(OR(AND(27500&lt;R1050,R1050&lt;30001),AND(57000&lt;R1050,R1050&lt;60001),AND(75000&lt;R1050,R1050&lt;77500)),$H1050,VLOOKUP(R1050,BDins,6,FALSE)))))</f>
        <v>30</v>
      </c>
      <c r="S1052">
        <f>IF(S1054&gt;10000,HLOOKUP(S1054,$O1050:R1053,4,FALSE),IF(OR(AND(22500&lt;S1050,S1050&lt;25001),AND(50000&lt;S1050,S1050&lt;53501),AND(70000&lt;S1050,S1050&lt;72501)),$F1050,IF(OR(AND(25001&lt;S1050,S1050&lt;27501),AND(53500&lt;S1050,S1050&lt;57001),AND(72500&lt;S1050,S1050&lt;75001)),$G1050,IF(OR(AND(27500&lt;S1050,S1050&lt;30001),AND(57000&lt;S1050,S1050&lt;60001),AND(75000&lt;S1050,S1050&lt;77500)),$H1050,VLOOKUP(S1050,BDins,6,FALSE)))))</f>
        <v>4</v>
      </c>
      <c r="T1052">
        <f>IF(T1054&gt;10000,HLOOKUP(T1054,$O1050:S1053,4,FALSE),IF(OR(AND(22500&lt;T1050,T1050&lt;25001),AND(50000&lt;T1050,T1050&lt;53501),AND(70000&lt;T1050,T1050&lt;72501)),$F1050,IF(OR(AND(25001&lt;T1050,T1050&lt;27501),AND(53500&lt;T1050,T1050&lt;57001),AND(72500&lt;T1050,T1050&lt;75001)),$G1050,IF(OR(AND(27500&lt;T1050,T1050&lt;30001),AND(57000&lt;T1050,T1050&lt;60001),AND(75000&lt;T1050,T1050&lt;77500)),$H1050,VLOOKUP(T1050,BDins,6,FALSE)))))</f>
        <v>2.2000000000000002</v>
      </c>
      <c r="U1052">
        <f>IF(U1054&gt;10000,HLOOKUP(U1054,$O1050:T1053,4,FALSE),IF(OR(AND(22500&lt;U1050,U1050&lt;25001),AND(50000&lt;U1050,U1050&lt;53501),AND(70000&lt;U1050,U1050&lt;72501)),$F1050,IF(OR(AND(25001&lt;U1050,U1050&lt;27501),AND(53500&lt;U1050,U1050&lt;57001),AND(72500&lt;U1050,U1050&lt;75001)),$G1050,IF(OR(AND(27500&lt;U1050,U1050&lt;30001),AND(57000&lt;U1050,U1050&lt;60001),AND(75000&lt;U1050,U1050&lt;77500)),$H1050,VLOOKUP(U1050,BDins,6,FALSE)))))</f>
        <v>5.5</v>
      </c>
      <c r="V1052">
        <f>IF(V1054&gt;10000,HLOOKUP(V1054,$O1050:U1053,4,FALSE),IF(OR(AND(22500&lt;V1050,V1050&lt;25001),AND(50000&lt;V1050,V1050&lt;53501),AND(70000&lt;V1050,V1050&lt;72501)),$F1050,IF(OR(AND(25001&lt;V1050,V1050&lt;27501),AND(53500&lt;V1050,V1050&lt;57001),AND(72500&lt;V1050,V1050&lt;75001)),$G1050,IF(OR(AND(27500&lt;V1050,V1050&lt;30001),AND(57000&lt;V1050,V1050&lt;60001),AND(75000&lt;V1050,V1050&lt;77500)),$H1050,VLOOKUP(V1050,BDins,6,FALSE)))))</f>
        <v>49.5</v>
      </c>
    </row>
    <row r="1053" spans="1:25" x14ac:dyDescent="0.2">
      <c r="O1053">
        <f t="shared" ref="O1053:V1053" si="149">IF($K1050&gt;0,ROUND(O1051*$E1050/100,DpCU),IF(O1054&gt;10000,ROUND(HLOOKUP(O1054,$O1050:$V1053,4,FALSE)/100*O1051,DpCU),IF(OR(O1050&lt;20001,O1050&gt;95000,AND(60000&lt;O1050,O1050&lt;70001)),ROUND(ROUND(O1051*JL/$C1050,DcCU)*O1052,DpCU),IF(OR(AND(20000&lt;O1050,O1050&lt;22501),AND(30000&lt;O1050,O1050&lt;50001),77500&lt;O1050),ROUND(O1052*O1051,DpCU),IF(OR(AND(22500&lt;O1050,O1050&lt;25001),AND(50000&lt;O1050,O1050&lt;53501),AND(70000&lt;O1050,O1050&lt;72501)),ROUND($F1050/100*O1051,DpCU),IF(OR(AND(25000&lt;O1050,O1050&lt;27501),AND(53500&lt;O1050,O1050&lt;57001),AND(72500&lt;O1050,O1050&lt;75001)),ROUND($G1050/100*O1051,DpCU),ROUND($H1050/100*O1051,DpCU)))))))</f>
        <v>3.2</v>
      </c>
      <c r="P1053">
        <f t="shared" si="149"/>
        <v>26.64</v>
      </c>
      <c r="Q1053">
        <f t="shared" si="149"/>
        <v>19.66</v>
      </c>
      <c r="R1053">
        <f t="shared" si="149"/>
        <v>0.9</v>
      </c>
      <c r="S1053">
        <f t="shared" si="149"/>
        <v>6.4</v>
      </c>
      <c r="T1053">
        <f t="shared" si="149"/>
        <v>2.2000000000000002</v>
      </c>
      <c r="U1053">
        <f t="shared" si="149"/>
        <v>5.5</v>
      </c>
      <c r="V1053">
        <f t="shared" si="149"/>
        <v>2.48</v>
      </c>
    </row>
    <row r="1054" spans="1:25" x14ac:dyDescent="0.2">
      <c r="B1054" s="3" t="str">
        <f>A1050&amp;"r"</f>
        <v>10210r</v>
      </c>
    </row>
    <row r="1055" spans="1:25" x14ac:dyDescent="0.2">
      <c r="A1055">
        <v>10211</v>
      </c>
      <c r="B1055" s="3" t="s">
        <v>1102</v>
      </c>
      <c r="C1055" s="1">
        <f>ROUND(J1055*JL*Frto/8,4)</f>
        <v>6.25</v>
      </c>
      <c r="D1055" t="s">
        <v>914</v>
      </c>
      <c r="E1055">
        <f>SUM($O1058:$Y1058)</f>
        <v>68.510000000000005</v>
      </c>
      <c r="F1055">
        <f>SUMIF($O1055:$Y1055,"&lt;22501",$O1058:$Y1058)</f>
        <v>49.5</v>
      </c>
      <c r="G1055">
        <f>SUMIFS($O1058:$Y1058,$O1055:$Y1055,"&gt;30000",$O1055:$Y1055,"&lt;50001")</f>
        <v>16.53</v>
      </c>
      <c r="H1055">
        <f>SUMIFS($O1058:$Y1058,$O1055:$Y1055,"&gt;60000",$O1055:$Y1055,"&lt;70001")</f>
        <v>0</v>
      </c>
      <c r="I1055">
        <v>11</v>
      </c>
      <c r="J1055">
        <v>6.25</v>
      </c>
      <c r="O1055">
        <v>10001</v>
      </c>
      <c r="P1055">
        <v>10002</v>
      </c>
      <c r="Q1055">
        <v>10003</v>
      </c>
      <c r="R1055">
        <v>30197</v>
      </c>
      <c r="S1055">
        <v>30198</v>
      </c>
      <c r="T1055">
        <v>30267</v>
      </c>
      <c r="U1055">
        <v>30268</v>
      </c>
      <c r="V1055">
        <v>30276</v>
      </c>
      <c r="W1055">
        <v>30280</v>
      </c>
      <c r="X1055">
        <v>30281</v>
      </c>
      <c r="Y1055">
        <v>70001</v>
      </c>
    </row>
    <row r="1056" spans="1:25" x14ac:dyDescent="0.2">
      <c r="B1056" s="3" t="str">
        <f>A1055&amp;"C"</f>
        <v>10211C</v>
      </c>
      <c r="O1056">
        <v>0.1</v>
      </c>
      <c r="P1056">
        <v>1</v>
      </c>
      <c r="Q1056">
        <v>1</v>
      </c>
      <c r="R1056">
        <v>0.08</v>
      </c>
      <c r="S1056">
        <v>0.1</v>
      </c>
      <c r="T1056">
        <v>2</v>
      </c>
      <c r="U1056">
        <v>1.5</v>
      </c>
      <c r="V1056">
        <v>1</v>
      </c>
      <c r="W1056">
        <v>1</v>
      </c>
      <c r="X1056">
        <v>1</v>
      </c>
      <c r="Y1056">
        <v>5</v>
      </c>
    </row>
    <row r="1057" spans="1:25" x14ac:dyDescent="0.2">
      <c r="O1057">
        <f>IF(O1059&gt;10000,HLOOKUP(O1059,N1055:$O1058,4,FALSE),IF(OR(AND(22500&lt;O1055,O1055&lt;25001),AND(50000&lt;O1055,O1055&lt;53501),AND(70000&lt;O1055,O1055&lt;72501)),$F1055,IF(OR(AND(25001&lt;O1055,O1055&lt;27501),AND(53500&lt;O1055,O1055&lt;57001),AND(72500&lt;O1055,O1055&lt;75001)),$G1055,IF(OR(AND(27500&lt;O1055,O1055&lt;30001),AND(57000&lt;O1055,O1055&lt;60001),AND(75000&lt;O1055,O1055&lt;77500)),$H1055,VLOOKUP(O1055,BDins,6,FALSE)))))</f>
        <v>24.97</v>
      </c>
      <c r="P1057">
        <f>IF(P1059&gt;10000,HLOOKUP(P1059,O1055:$O1058,4,FALSE),IF(OR(AND(22500&lt;P1055,P1055&lt;25001),AND(50000&lt;P1055,P1055&lt;53501),AND(70000&lt;P1055,P1055&lt;72501)),$F1055,IF(OR(AND(25001&lt;P1055,P1055&lt;27501),AND(53500&lt;P1055,P1055&lt;57001),AND(72500&lt;P1055,P1055&lt;75001)),$G1055,IF(OR(AND(27500&lt;P1055,P1055&lt;30001),AND(57000&lt;P1055,P1055&lt;60001),AND(75000&lt;P1055,P1055&lt;77500)),$H1055,VLOOKUP(P1055,BDins,6,FALSE)))))</f>
        <v>20.81</v>
      </c>
      <c r="Q1057">
        <f>IF(Q1059&gt;10000,HLOOKUP(Q1059,$O1055:P1058,4,FALSE),IF(OR(AND(22500&lt;Q1055,Q1055&lt;25001),AND(50000&lt;Q1055,Q1055&lt;53501),AND(70000&lt;Q1055,Q1055&lt;72501)),$F1055,IF(OR(AND(25001&lt;Q1055,Q1055&lt;27501),AND(53500&lt;Q1055,Q1055&lt;57001),AND(72500&lt;Q1055,Q1055&lt;75001)),$G1055,IF(OR(AND(27500&lt;Q1055,Q1055&lt;30001),AND(57000&lt;Q1055,Q1055&lt;60001),AND(75000&lt;Q1055,Q1055&lt;77500)),$H1055,VLOOKUP(Q1055,BDins,6,FALSE)))))</f>
        <v>15.36</v>
      </c>
      <c r="R1057">
        <f>IF(R1059&gt;10000,HLOOKUP(R1059,$O1055:Q1058,4,FALSE),IF(OR(AND(22500&lt;R1055,R1055&lt;25001),AND(50000&lt;R1055,R1055&lt;53501),AND(70000&lt;R1055,R1055&lt;72501)),$F1055,IF(OR(AND(25001&lt;R1055,R1055&lt;27501),AND(53500&lt;R1055,R1055&lt;57001),AND(72500&lt;R1055,R1055&lt;75001)),$G1055,IF(OR(AND(27500&lt;R1055,R1055&lt;30001),AND(57000&lt;R1055,R1055&lt;60001),AND(75000&lt;R1055,R1055&lt;77500)),$H1055,VLOOKUP(R1055,BDins,6,FALSE)))))</f>
        <v>7.25</v>
      </c>
      <c r="S1057">
        <f>IF(S1059&gt;10000,HLOOKUP(S1059,$O1055:R1058,4,FALSE),IF(OR(AND(22500&lt;S1055,S1055&lt;25001),AND(50000&lt;S1055,S1055&lt;53501),AND(70000&lt;S1055,S1055&lt;72501)),$F1055,IF(OR(AND(25001&lt;S1055,S1055&lt;27501),AND(53500&lt;S1055,S1055&lt;57001),AND(72500&lt;S1055,S1055&lt;75001)),$G1055,IF(OR(AND(27500&lt;S1055,S1055&lt;30001),AND(57000&lt;S1055,S1055&lt;60001),AND(75000&lt;S1055,S1055&lt;77500)),$H1055,VLOOKUP(S1055,BDins,6,FALSE)))))</f>
        <v>5</v>
      </c>
      <c r="T1057">
        <f>IF(T1059&gt;10000,HLOOKUP(T1059,$O1055:S1058,4,FALSE),IF(OR(AND(22500&lt;T1055,T1055&lt;25001),AND(50000&lt;T1055,T1055&lt;53501),AND(70000&lt;T1055,T1055&lt;72501)),$F1055,IF(OR(AND(25001&lt;T1055,T1055&lt;27501),AND(53500&lt;T1055,T1055&lt;57001),AND(72500&lt;T1055,T1055&lt;75001)),$G1055,IF(OR(AND(27500&lt;T1055,T1055&lt;30001),AND(57000&lt;T1055,T1055&lt;60001),AND(75000&lt;T1055,T1055&lt;77500)),$H1055,VLOOKUP(T1055,BDins,6,FALSE)))))</f>
        <v>1.1499999999999999</v>
      </c>
      <c r="U1057">
        <f>IF(U1059&gt;10000,HLOOKUP(U1059,$O1055:T1058,4,FALSE),IF(OR(AND(22500&lt;U1055,U1055&lt;25001),AND(50000&lt;U1055,U1055&lt;53501),AND(70000&lt;U1055,U1055&lt;72501)),$F1055,IF(OR(AND(25001&lt;U1055,U1055&lt;27501),AND(53500&lt;U1055,U1055&lt;57001),AND(72500&lt;U1055,U1055&lt;75001)),$G1055,IF(OR(AND(27500&lt;U1055,U1055&lt;30001),AND(57000&lt;U1055,U1055&lt;60001),AND(75000&lt;U1055,U1055&lt;77500)),$H1055,VLOOKUP(U1055,BDins,6,FALSE)))))</f>
        <v>2.5</v>
      </c>
      <c r="V1057">
        <f>IF(V1059&gt;10000,HLOOKUP(V1059,$O1055:U1058,4,FALSE),IF(OR(AND(22500&lt;V1055,V1055&lt;25001),AND(50000&lt;V1055,V1055&lt;53501),AND(70000&lt;V1055,V1055&lt;72501)),$F1055,IF(OR(AND(25001&lt;V1055,V1055&lt;27501),AND(53500&lt;V1055,V1055&lt;57001),AND(72500&lt;V1055,V1055&lt;75001)),$G1055,IF(OR(AND(27500&lt;V1055,V1055&lt;30001),AND(57000&lt;V1055,V1055&lt;60001),AND(75000&lt;V1055,V1055&lt;77500)),$H1055,VLOOKUP(V1055,BDins,6,FALSE)))))</f>
        <v>5.0999999999999996</v>
      </c>
      <c r="W1057">
        <f>IF(W1059&gt;10000,HLOOKUP(W1059,$O1055:V1058,4,FALSE),IF(OR(AND(22500&lt;W1055,W1055&lt;25001),AND(50000&lt;W1055,W1055&lt;53501),AND(70000&lt;W1055,W1055&lt;72501)),$F1055,IF(OR(AND(25001&lt;W1055,W1055&lt;27501),AND(53500&lt;W1055,W1055&lt;57001),AND(72500&lt;W1055,W1055&lt;75001)),$G1055,IF(OR(AND(27500&lt;W1055,W1055&lt;30001),AND(57000&lt;W1055,W1055&lt;60001),AND(75000&lt;W1055,W1055&lt;77500)),$H1055,VLOOKUP(W1055,BDins,6,FALSE)))))</f>
        <v>1.3</v>
      </c>
      <c r="X1057">
        <f>IF(X1059&gt;10000,HLOOKUP(X1059,$O1055:W1058,4,FALSE),IF(OR(AND(22500&lt;X1055,X1055&lt;25001),AND(50000&lt;X1055,X1055&lt;53501),AND(70000&lt;X1055,X1055&lt;72501)),$F1055,IF(OR(AND(25001&lt;X1055,X1055&lt;27501),AND(53500&lt;X1055,X1055&lt;57001),AND(72500&lt;X1055,X1055&lt;75001)),$G1055,IF(OR(AND(27500&lt;X1055,X1055&lt;30001),AND(57000&lt;X1055,X1055&lt;60001),AND(75000&lt;X1055,X1055&lt;77500)),$H1055,VLOOKUP(X1055,BDins,6,FALSE)))))</f>
        <v>3</v>
      </c>
      <c r="Y1057">
        <f>IF(Y1059&gt;10000,HLOOKUP(Y1059,$O1055:X1058,4,FALSE),IF(OR(AND(22500&lt;Y1055,Y1055&lt;25001),AND(50000&lt;Y1055,Y1055&lt;53501),AND(70000&lt;Y1055,Y1055&lt;72501)),$F1055,IF(OR(AND(25001&lt;Y1055,Y1055&lt;27501),AND(53500&lt;Y1055,Y1055&lt;57001),AND(72500&lt;Y1055,Y1055&lt;75001)),$G1055,IF(OR(AND(27500&lt;Y1055,Y1055&lt;30001),AND(57000&lt;Y1055,Y1055&lt;60001),AND(75000&lt;Y1055,Y1055&lt;77500)),$H1055,VLOOKUP(Y1055,BDins,6,FALSE)))))</f>
        <v>49.5</v>
      </c>
    </row>
    <row r="1058" spans="1:25" x14ac:dyDescent="0.2">
      <c r="O1058">
        <f t="shared" ref="O1058:Y1058" si="150">IF($K1055&gt;0,ROUND(O1056*$E1055/100,DpCU),IF(O1059&gt;10000,ROUND(HLOOKUP(O1059,$O1055:$Y1058,4,FALSE)/100*O1056,DpCU),IF(OR(O1055&lt;20001,O1055&gt;95000,AND(60000&lt;O1055,O1055&lt;70001)),ROUND(ROUND(O1056*JL/$C1055,DcCU)*O1057,DpCU),IF(OR(AND(20000&lt;O1055,O1055&lt;22501),AND(30000&lt;O1055,O1055&lt;50001),77500&lt;O1055),ROUND(O1057*O1056,DpCU),IF(OR(AND(22500&lt;O1055,O1055&lt;25001),AND(50000&lt;O1055,O1055&lt;53501),AND(70000&lt;O1055,O1055&lt;72501)),ROUND($F1055/100*O1056,DpCU),IF(OR(AND(25000&lt;O1055,O1055&lt;27501),AND(53500&lt;O1055,O1055&lt;57001),AND(72500&lt;O1055,O1055&lt;75001)),ROUND($G1055/100*O1056,DpCU),ROUND($H1055/100*O1056,DpCU)))))))</f>
        <v>3.2</v>
      </c>
      <c r="P1058">
        <f t="shared" si="150"/>
        <v>26.64</v>
      </c>
      <c r="Q1058">
        <f t="shared" si="150"/>
        <v>19.66</v>
      </c>
      <c r="R1058">
        <f t="shared" si="150"/>
        <v>0.57999999999999996</v>
      </c>
      <c r="S1058">
        <f t="shared" si="150"/>
        <v>0.5</v>
      </c>
      <c r="T1058">
        <f t="shared" si="150"/>
        <v>2.2999999999999998</v>
      </c>
      <c r="U1058">
        <f t="shared" si="150"/>
        <v>3.75</v>
      </c>
      <c r="V1058">
        <f t="shared" si="150"/>
        <v>5.0999999999999996</v>
      </c>
      <c r="W1058">
        <f t="shared" si="150"/>
        <v>1.3</v>
      </c>
      <c r="X1058">
        <f t="shared" si="150"/>
        <v>3</v>
      </c>
      <c r="Y1058">
        <f t="shared" si="150"/>
        <v>2.48</v>
      </c>
    </row>
    <row r="1059" spans="1:25" x14ac:dyDescent="0.2">
      <c r="B1059" s="3" t="str">
        <f>A1055&amp;"r"</f>
        <v>10211r</v>
      </c>
    </row>
    <row r="1060" spans="1:25" x14ac:dyDescent="0.2">
      <c r="A1060">
        <v>10212</v>
      </c>
      <c r="B1060" s="3" t="s">
        <v>1108</v>
      </c>
      <c r="C1060" s="1">
        <f>ROUND(J1060*JL*Frto/8,4)</f>
        <v>24</v>
      </c>
      <c r="D1060" t="s">
        <v>194</v>
      </c>
      <c r="E1060">
        <f>SUM($O1063:$V1063)</f>
        <v>19.98</v>
      </c>
      <c r="F1060">
        <f>SUMIF($O1060:$V1060,"&lt;22501",$O1063:$V1063)</f>
        <v>12.89</v>
      </c>
      <c r="G1060">
        <f>SUMIFS($O1063:$V1063,$O1060:$V1060,"&gt;30000",$O1060:$V1060,"&lt;50001")</f>
        <v>6.45</v>
      </c>
      <c r="H1060">
        <f>SUMIFS($O1063:$V1063,$O1060:$V1060,"&gt;60000",$O1060:$V1060,"&lt;70001")</f>
        <v>0</v>
      </c>
      <c r="I1060">
        <v>8</v>
      </c>
      <c r="J1060">
        <v>24</v>
      </c>
      <c r="O1060">
        <v>10001</v>
      </c>
      <c r="P1060">
        <v>10002</v>
      </c>
      <c r="Q1060">
        <v>10003</v>
      </c>
      <c r="R1060">
        <v>30197</v>
      </c>
      <c r="S1060">
        <v>30198</v>
      </c>
      <c r="T1060">
        <v>30282</v>
      </c>
      <c r="U1060">
        <v>30283</v>
      </c>
      <c r="V1060">
        <v>70001</v>
      </c>
    </row>
    <row r="1061" spans="1:25" x14ac:dyDescent="0.2">
      <c r="B1061" s="3" t="str">
        <f>A1060&amp;"C"</f>
        <v>10212C</v>
      </c>
      <c r="O1061">
        <v>0.1</v>
      </c>
      <c r="P1061">
        <v>1</v>
      </c>
      <c r="Q1061">
        <v>1</v>
      </c>
      <c r="R1061">
        <v>0.05</v>
      </c>
      <c r="S1061">
        <v>0.05</v>
      </c>
      <c r="T1061">
        <v>0.05</v>
      </c>
      <c r="U1061">
        <v>1.05</v>
      </c>
      <c r="V1061">
        <v>5</v>
      </c>
    </row>
    <row r="1062" spans="1:25" x14ac:dyDescent="0.2">
      <c r="O1062">
        <f>IF(O1064&gt;10000,HLOOKUP(O1064,N1060:$O1063,4,FALSE),IF(OR(AND(22500&lt;O1060,O1060&lt;25001),AND(50000&lt;O1060,O1060&lt;53501),AND(70000&lt;O1060,O1060&lt;72501)),$F1060,IF(OR(AND(25001&lt;O1060,O1060&lt;27501),AND(53500&lt;O1060,O1060&lt;57001),AND(72500&lt;O1060,O1060&lt;75001)),$G1060,IF(OR(AND(27500&lt;O1060,O1060&lt;30001),AND(57000&lt;O1060,O1060&lt;60001),AND(75000&lt;O1060,O1060&lt;77500)),$H1060,VLOOKUP(O1060,BDins,6,FALSE)))))</f>
        <v>24.97</v>
      </c>
      <c r="P1062">
        <f>IF(P1064&gt;10000,HLOOKUP(P1064,O1060:$O1063,4,FALSE),IF(OR(AND(22500&lt;P1060,P1060&lt;25001),AND(50000&lt;P1060,P1060&lt;53501),AND(70000&lt;P1060,P1060&lt;72501)),$F1060,IF(OR(AND(25001&lt;P1060,P1060&lt;27501),AND(53500&lt;P1060,P1060&lt;57001),AND(72500&lt;P1060,P1060&lt;75001)),$G1060,IF(OR(AND(27500&lt;P1060,P1060&lt;30001),AND(57000&lt;P1060,P1060&lt;60001),AND(75000&lt;P1060,P1060&lt;77500)),$H1060,VLOOKUP(P1060,BDins,6,FALSE)))))</f>
        <v>20.81</v>
      </c>
      <c r="Q1062">
        <f>IF(Q1064&gt;10000,HLOOKUP(Q1064,$O1060:P1063,4,FALSE),IF(OR(AND(22500&lt;Q1060,Q1060&lt;25001),AND(50000&lt;Q1060,Q1060&lt;53501),AND(70000&lt;Q1060,Q1060&lt;72501)),$F1060,IF(OR(AND(25001&lt;Q1060,Q1060&lt;27501),AND(53500&lt;Q1060,Q1060&lt;57001),AND(72500&lt;Q1060,Q1060&lt;75001)),$G1060,IF(OR(AND(27500&lt;Q1060,Q1060&lt;30001),AND(57000&lt;Q1060,Q1060&lt;60001),AND(75000&lt;Q1060,Q1060&lt;77500)),$H1060,VLOOKUP(Q1060,BDins,6,FALSE)))))</f>
        <v>15.36</v>
      </c>
      <c r="R1062">
        <f>IF(R1064&gt;10000,HLOOKUP(R1064,$O1060:Q1063,4,FALSE),IF(OR(AND(22500&lt;R1060,R1060&lt;25001),AND(50000&lt;R1060,R1060&lt;53501),AND(70000&lt;R1060,R1060&lt;72501)),$F1060,IF(OR(AND(25001&lt;R1060,R1060&lt;27501),AND(53500&lt;R1060,R1060&lt;57001),AND(72500&lt;R1060,R1060&lt;75001)),$G1060,IF(OR(AND(27500&lt;R1060,R1060&lt;30001),AND(57000&lt;R1060,R1060&lt;60001),AND(75000&lt;R1060,R1060&lt;77500)),$H1060,VLOOKUP(R1060,BDins,6,FALSE)))))</f>
        <v>7.25</v>
      </c>
      <c r="S1062">
        <f>IF(S1064&gt;10000,HLOOKUP(S1064,$O1060:R1063,4,FALSE),IF(OR(AND(22500&lt;S1060,S1060&lt;25001),AND(50000&lt;S1060,S1060&lt;53501),AND(70000&lt;S1060,S1060&lt;72501)),$F1060,IF(OR(AND(25001&lt;S1060,S1060&lt;27501),AND(53500&lt;S1060,S1060&lt;57001),AND(72500&lt;S1060,S1060&lt;75001)),$G1060,IF(OR(AND(27500&lt;S1060,S1060&lt;30001),AND(57000&lt;S1060,S1060&lt;60001),AND(75000&lt;S1060,S1060&lt;77500)),$H1060,VLOOKUP(S1060,BDins,6,FALSE)))))</f>
        <v>5</v>
      </c>
      <c r="T1062">
        <f>IF(T1064&gt;10000,HLOOKUP(T1064,$O1060:S1063,4,FALSE),IF(OR(AND(22500&lt;T1060,T1060&lt;25001),AND(50000&lt;T1060,T1060&lt;53501),AND(70000&lt;T1060,T1060&lt;72501)),$F1060,IF(OR(AND(25001&lt;T1060,T1060&lt;27501),AND(53500&lt;T1060,T1060&lt;57001),AND(72500&lt;T1060,T1060&lt;75001)),$G1060,IF(OR(AND(27500&lt;T1060,T1060&lt;30001),AND(57000&lt;T1060,T1060&lt;60001),AND(75000&lt;T1060,T1060&lt;77500)),$H1060,VLOOKUP(T1060,BDins,6,FALSE)))))</f>
        <v>7.6</v>
      </c>
      <c r="U1062">
        <f>IF(U1064&gt;10000,HLOOKUP(U1064,$O1060:T1063,4,FALSE),IF(OR(AND(22500&lt;U1060,U1060&lt;25001),AND(50000&lt;U1060,U1060&lt;53501),AND(70000&lt;U1060,U1060&lt;72501)),$F1060,IF(OR(AND(25001&lt;U1060,U1060&lt;27501),AND(53500&lt;U1060,U1060&lt;57001),AND(72500&lt;U1060,U1060&lt;75001)),$G1060,IF(OR(AND(27500&lt;U1060,U1060&lt;30001),AND(57000&lt;U1060,U1060&lt;60001),AND(75000&lt;U1060,U1060&lt;77500)),$H1060,VLOOKUP(U1060,BDins,6,FALSE)))))</f>
        <v>5.2</v>
      </c>
      <c r="V1062">
        <f>IF(V1064&gt;10000,HLOOKUP(V1064,$O1060:U1063,4,FALSE),IF(OR(AND(22500&lt;V1060,V1060&lt;25001),AND(50000&lt;V1060,V1060&lt;53501),AND(70000&lt;V1060,V1060&lt;72501)),$F1060,IF(OR(AND(25001&lt;V1060,V1060&lt;27501),AND(53500&lt;V1060,V1060&lt;57001),AND(72500&lt;V1060,V1060&lt;75001)),$G1060,IF(OR(AND(27500&lt;V1060,V1060&lt;30001),AND(57000&lt;V1060,V1060&lt;60001),AND(75000&lt;V1060,V1060&lt;77500)),$H1060,VLOOKUP(V1060,BDins,6,FALSE)))))</f>
        <v>12.89</v>
      </c>
    </row>
    <row r="1063" spans="1:25" x14ac:dyDescent="0.2">
      <c r="O1063">
        <f t="shared" ref="O1063:V1063" si="151">IF($K1060&gt;0,ROUND(O1061*$E1060/100,DpCU),IF(O1064&gt;10000,ROUND(HLOOKUP(O1064,$O1060:$V1063,4,FALSE)/100*O1061,DpCU),IF(OR(O1060&lt;20001,O1060&gt;95000,AND(60000&lt;O1060,O1060&lt;70001)),ROUND(ROUND(O1061*JL/$C1060,DcCU)*O1062,DpCU),IF(OR(AND(20000&lt;O1060,O1060&lt;22501),AND(30000&lt;O1060,O1060&lt;50001),77500&lt;O1060),ROUND(O1062*O1061,DpCU),IF(OR(AND(22500&lt;O1060,O1060&lt;25001),AND(50000&lt;O1060,O1060&lt;53501),AND(70000&lt;O1060,O1060&lt;72501)),ROUND($F1060/100*O1061,DpCU),IF(OR(AND(25000&lt;O1060,O1060&lt;27501),AND(53500&lt;O1060,O1060&lt;57001),AND(72500&lt;O1060,O1060&lt;75001)),ROUND($G1060/100*O1061,DpCU),ROUND($H1060/100*O1061,DpCU)))))))</f>
        <v>0.83</v>
      </c>
      <c r="P1063">
        <f t="shared" si="151"/>
        <v>6.94</v>
      </c>
      <c r="Q1063">
        <f t="shared" si="151"/>
        <v>5.12</v>
      </c>
      <c r="R1063">
        <f t="shared" si="151"/>
        <v>0.36</v>
      </c>
      <c r="S1063">
        <f t="shared" si="151"/>
        <v>0.25</v>
      </c>
      <c r="T1063">
        <f t="shared" si="151"/>
        <v>0.38</v>
      </c>
      <c r="U1063">
        <f t="shared" si="151"/>
        <v>5.46</v>
      </c>
      <c r="V1063">
        <f t="shared" si="151"/>
        <v>0.64</v>
      </c>
    </row>
    <row r="1064" spans="1:25" x14ac:dyDescent="0.2">
      <c r="B1064" s="3" t="str">
        <f>A1060&amp;"r"</f>
        <v>10212r</v>
      </c>
    </row>
    <row r="1065" spans="1:25" x14ac:dyDescent="0.2">
      <c r="A1065">
        <v>10213</v>
      </c>
      <c r="B1065" s="3" t="s">
        <v>1112</v>
      </c>
      <c r="C1065" s="1">
        <f>ROUND(J1065*JL*Frto/8,4)</f>
        <v>24</v>
      </c>
      <c r="D1065" t="s">
        <v>194</v>
      </c>
      <c r="E1065">
        <f>SUM($O1068:$T1068)</f>
        <v>18.72</v>
      </c>
      <c r="F1065">
        <f>SUMIF($O1065:$T1065,"&lt;22501",$O1068:$T1068)</f>
        <v>12.89</v>
      </c>
      <c r="G1065">
        <f>SUMIFS($O1068:$T1068,$O1065:$T1065,"&gt;30000",$O1065:$T1065,"&lt;50001")</f>
        <v>5.7</v>
      </c>
      <c r="H1065">
        <f>SUMIFS($O1068:$T1068,$O1065:$T1065,"&gt;60000",$O1065:$T1065,"&lt;70001")</f>
        <v>0</v>
      </c>
      <c r="I1065">
        <v>6</v>
      </c>
      <c r="J1065">
        <v>24</v>
      </c>
      <c r="O1065">
        <v>10001</v>
      </c>
      <c r="P1065">
        <v>10002</v>
      </c>
      <c r="Q1065">
        <v>10003</v>
      </c>
      <c r="R1065">
        <v>30265</v>
      </c>
      <c r="S1065">
        <v>30277</v>
      </c>
      <c r="T1065">
        <v>70001</v>
      </c>
    </row>
    <row r="1066" spans="1:25" x14ac:dyDescent="0.2">
      <c r="B1066" s="3" t="str">
        <f>A1065&amp;"C"</f>
        <v>10213C</v>
      </c>
      <c r="O1066">
        <v>0.1</v>
      </c>
      <c r="P1066">
        <v>1</v>
      </c>
      <c r="Q1066">
        <v>1</v>
      </c>
      <c r="R1066">
        <v>0.05</v>
      </c>
      <c r="S1066">
        <v>1.05</v>
      </c>
      <c r="T1066">
        <v>1</v>
      </c>
    </row>
    <row r="1067" spans="1:25" x14ac:dyDescent="0.2">
      <c r="O1067">
        <f>IF(O1069&gt;10000,HLOOKUP(O1069,N1065:$O1068,4,FALSE),IF(OR(AND(22500&lt;O1065,O1065&lt;25001),AND(50000&lt;O1065,O1065&lt;53501),AND(70000&lt;O1065,O1065&lt;72501)),$F1065,IF(OR(AND(25001&lt;O1065,O1065&lt;27501),AND(53500&lt;O1065,O1065&lt;57001),AND(72500&lt;O1065,O1065&lt;75001)),$G1065,IF(OR(AND(27500&lt;O1065,O1065&lt;30001),AND(57000&lt;O1065,O1065&lt;60001),AND(75000&lt;O1065,O1065&lt;77500)),$H1065,VLOOKUP(O1065,BDins,6,FALSE)))))</f>
        <v>24.97</v>
      </c>
      <c r="P1067">
        <f>IF(P1069&gt;10000,HLOOKUP(P1069,O1065:$O1068,4,FALSE),IF(OR(AND(22500&lt;P1065,P1065&lt;25001),AND(50000&lt;P1065,P1065&lt;53501),AND(70000&lt;P1065,P1065&lt;72501)),$F1065,IF(OR(AND(25001&lt;P1065,P1065&lt;27501),AND(53500&lt;P1065,P1065&lt;57001),AND(72500&lt;P1065,P1065&lt;75001)),$G1065,IF(OR(AND(27500&lt;P1065,P1065&lt;30001),AND(57000&lt;P1065,P1065&lt;60001),AND(75000&lt;P1065,P1065&lt;77500)),$H1065,VLOOKUP(P1065,BDins,6,FALSE)))))</f>
        <v>20.81</v>
      </c>
      <c r="Q1067">
        <f>IF(Q1069&gt;10000,HLOOKUP(Q1069,$O1065:P1068,4,FALSE),IF(OR(AND(22500&lt;Q1065,Q1065&lt;25001),AND(50000&lt;Q1065,Q1065&lt;53501),AND(70000&lt;Q1065,Q1065&lt;72501)),$F1065,IF(OR(AND(25001&lt;Q1065,Q1065&lt;27501),AND(53500&lt;Q1065,Q1065&lt;57001),AND(72500&lt;Q1065,Q1065&lt;75001)),$G1065,IF(OR(AND(27500&lt;Q1065,Q1065&lt;30001),AND(57000&lt;Q1065,Q1065&lt;60001),AND(75000&lt;Q1065,Q1065&lt;77500)),$H1065,VLOOKUP(Q1065,BDins,6,FALSE)))))</f>
        <v>15.36</v>
      </c>
      <c r="R1067">
        <f>IF(R1069&gt;10000,HLOOKUP(R1069,$O1065:Q1068,4,FALSE),IF(OR(AND(22500&lt;R1065,R1065&lt;25001),AND(50000&lt;R1065,R1065&lt;53501),AND(70000&lt;R1065,R1065&lt;72501)),$F1065,IF(OR(AND(25001&lt;R1065,R1065&lt;27501),AND(53500&lt;R1065,R1065&lt;57001),AND(72500&lt;R1065,R1065&lt;75001)),$G1065,IF(OR(AND(27500&lt;R1065,R1065&lt;30001),AND(57000&lt;R1065,R1065&lt;60001),AND(75000&lt;R1065,R1065&lt;77500)),$H1065,VLOOKUP(R1065,BDins,6,FALSE)))))</f>
        <v>30</v>
      </c>
      <c r="S1067">
        <f>IF(S1069&gt;10000,HLOOKUP(S1069,$O1065:R1068,4,FALSE),IF(OR(AND(22500&lt;S1065,S1065&lt;25001),AND(50000&lt;S1065,S1065&lt;53501),AND(70000&lt;S1065,S1065&lt;72501)),$F1065,IF(OR(AND(25001&lt;S1065,S1065&lt;27501),AND(53500&lt;S1065,S1065&lt;57001),AND(72500&lt;S1065,S1065&lt;75001)),$G1065,IF(OR(AND(27500&lt;S1065,S1065&lt;30001),AND(57000&lt;S1065,S1065&lt;60001),AND(75000&lt;S1065,S1065&lt;77500)),$H1065,VLOOKUP(S1065,BDins,6,FALSE)))))</f>
        <v>4</v>
      </c>
      <c r="T1067">
        <f>IF(T1069&gt;10000,HLOOKUP(T1069,$O1065:S1068,4,FALSE),IF(OR(AND(22500&lt;T1065,T1065&lt;25001),AND(50000&lt;T1065,T1065&lt;53501),AND(70000&lt;T1065,T1065&lt;72501)),$F1065,IF(OR(AND(25001&lt;T1065,T1065&lt;27501),AND(53500&lt;T1065,T1065&lt;57001),AND(72500&lt;T1065,T1065&lt;75001)),$G1065,IF(OR(AND(27500&lt;T1065,T1065&lt;30001),AND(57000&lt;T1065,T1065&lt;60001),AND(75000&lt;T1065,T1065&lt;77500)),$H1065,VLOOKUP(T1065,BDins,6,FALSE)))))</f>
        <v>12.89</v>
      </c>
    </row>
    <row r="1068" spans="1:25" x14ac:dyDescent="0.2">
      <c r="O1068">
        <f t="shared" ref="O1068:T1068" si="152">IF($K1065&gt;0,ROUND(O1066*$E1065/100,DpCU),IF(O1069&gt;10000,ROUND(HLOOKUP(O1069,$O1065:$T1068,4,FALSE)/100*O1066,DpCU),IF(OR(O1065&lt;20001,O1065&gt;95000,AND(60000&lt;O1065,O1065&lt;70001)),ROUND(ROUND(O1066*JL/$C1065,DcCU)*O1067,DpCU),IF(OR(AND(20000&lt;O1065,O1065&lt;22501),AND(30000&lt;O1065,O1065&lt;50001),77500&lt;O1065),ROUND(O1067*O1066,DpCU),IF(OR(AND(22500&lt;O1065,O1065&lt;25001),AND(50000&lt;O1065,O1065&lt;53501),AND(70000&lt;O1065,O1065&lt;72501)),ROUND($F1065/100*O1066,DpCU),IF(OR(AND(25000&lt;O1065,O1065&lt;27501),AND(53500&lt;O1065,O1065&lt;57001),AND(72500&lt;O1065,O1065&lt;75001)),ROUND($G1065/100*O1066,DpCU),ROUND($H1065/100*O1066,DpCU)))))))</f>
        <v>0.83</v>
      </c>
      <c r="P1068">
        <f t="shared" si="152"/>
        <v>6.94</v>
      </c>
      <c r="Q1068">
        <f t="shared" si="152"/>
        <v>5.12</v>
      </c>
      <c r="R1068">
        <f t="shared" si="152"/>
        <v>1.5</v>
      </c>
      <c r="S1068">
        <f t="shared" si="152"/>
        <v>4.2</v>
      </c>
      <c r="T1068">
        <f t="shared" si="152"/>
        <v>0.13</v>
      </c>
    </row>
    <row r="1069" spans="1:25" x14ac:dyDescent="0.2">
      <c r="B1069" s="3" t="str">
        <f>A1065&amp;"r"</f>
        <v>10213r</v>
      </c>
    </row>
    <row r="1070" spans="1:25" x14ac:dyDescent="0.2">
      <c r="A1070">
        <v>10214</v>
      </c>
      <c r="B1070" s="3" t="s">
        <v>1114</v>
      </c>
      <c r="C1070" s="1">
        <f>ROUND(J1070*JL*Frto/8,4)</f>
        <v>26</v>
      </c>
      <c r="D1070" t="s">
        <v>194</v>
      </c>
      <c r="E1070">
        <f>SUM($O1073:$T1073)</f>
        <v>16.150000000000002</v>
      </c>
      <c r="F1070">
        <f>SUMIF($O1070:$T1070,"&lt;22501",$O1073:$T1073)</f>
        <v>11.9</v>
      </c>
      <c r="G1070">
        <f>SUMIFS($O1073:$T1073,$O1070:$T1070,"&gt;30000",$O1070:$T1070,"&lt;50001")</f>
        <v>4.13</v>
      </c>
      <c r="H1070">
        <f>SUMIFS($O1073:$T1073,$O1070:$T1070,"&gt;60000",$O1070:$T1070,"&lt;70001")</f>
        <v>0</v>
      </c>
      <c r="I1070">
        <v>6</v>
      </c>
      <c r="J1070">
        <v>26</v>
      </c>
      <c r="O1070">
        <v>10001</v>
      </c>
      <c r="P1070">
        <v>10002</v>
      </c>
      <c r="Q1070">
        <v>10003</v>
      </c>
      <c r="R1070">
        <v>30265</v>
      </c>
      <c r="S1070">
        <v>30266</v>
      </c>
      <c r="T1070">
        <v>70001</v>
      </c>
    </row>
    <row r="1071" spans="1:25" x14ac:dyDescent="0.2">
      <c r="B1071" s="3" t="str">
        <f>A1070&amp;"C"</f>
        <v>10214C</v>
      </c>
      <c r="O1071">
        <v>0.1</v>
      </c>
      <c r="P1071">
        <v>1</v>
      </c>
      <c r="Q1071">
        <v>1</v>
      </c>
      <c r="R1071">
        <v>0.05</v>
      </c>
      <c r="S1071">
        <v>1.05</v>
      </c>
      <c r="T1071">
        <v>1</v>
      </c>
    </row>
    <row r="1072" spans="1:25" x14ac:dyDescent="0.2">
      <c r="O1072">
        <f>IF(O1074&gt;10000,HLOOKUP(O1074,N1070:$O1073,4,FALSE),IF(OR(AND(22500&lt;O1070,O1070&lt;25001),AND(50000&lt;O1070,O1070&lt;53501),AND(70000&lt;O1070,O1070&lt;72501)),$F1070,IF(OR(AND(25001&lt;O1070,O1070&lt;27501),AND(53500&lt;O1070,O1070&lt;57001),AND(72500&lt;O1070,O1070&lt;75001)),$G1070,IF(OR(AND(27500&lt;O1070,O1070&lt;30001),AND(57000&lt;O1070,O1070&lt;60001),AND(75000&lt;O1070,O1070&lt;77500)),$H1070,VLOOKUP(O1070,BDins,6,FALSE)))))</f>
        <v>24.97</v>
      </c>
      <c r="P1072">
        <f>IF(P1074&gt;10000,HLOOKUP(P1074,O1070:$O1073,4,FALSE),IF(OR(AND(22500&lt;P1070,P1070&lt;25001),AND(50000&lt;P1070,P1070&lt;53501),AND(70000&lt;P1070,P1070&lt;72501)),$F1070,IF(OR(AND(25001&lt;P1070,P1070&lt;27501),AND(53500&lt;P1070,P1070&lt;57001),AND(72500&lt;P1070,P1070&lt;75001)),$G1070,IF(OR(AND(27500&lt;P1070,P1070&lt;30001),AND(57000&lt;P1070,P1070&lt;60001),AND(75000&lt;P1070,P1070&lt;77500)),$H1070,VLOOKUP(P1070,BDins,6,FALSE)))))</f>
        <v>20.81</v>
      </c>
      <c r="Q1072">
        <f>IF(Q1074&gt;10000,HLOOKUP(Q1074,$O1070:P1073,4,FALSE),IF(OR(AND(22500&lt;Q1070,Q1070&lt;25001),AND(50000&lt;Q1070,Q1070&lt;53501),AND(70000&lt;Q1070,Q1070&lt;72501)),$F1070,IF(OR(AND(25001&lt;Q1070,Q1070&lt;27501),AND(53500&lt;Q1070,Q1070&lt;57001),AND(72500&lt;Q1070,Q1070&lt;75001)),$G1070,IF(OR(AND(27500&lt;Q1070,Q1070&lt;30001),AND(57000&lt;Q1070,Q1070&lt;60001),AND(75000&lt;Q1070,Q1070&lt;77500)),$H1070,VLOOKUP(Q1070,BDins,6,FALSE)))))</f>
        <v>15.36</v>
      </c>
      <c r="R1072">
        <f>IF(R1074&gt;10000,HLOOKUP(R1074,$O1070:Q1073,4,FALSE),IF(OR(AND(22500&lt;R1070,R1070&lt;25001),AND(50000&lt;R1070,R1070&lt;53501),AND(70000&lt;R1070,R1070&lt;72501)),$F1070,IF(OR(AND(25001&lt;R1070,R1070&lt;27501),AND(53500&lt;R1070,R1070&lt;57001),AND(72500&lt;R1070,R1070&lt;75001)),$G1070,IF(OR(AND(27500&lt;R1070,R1070&lt;30001),AND(57000&lt;R1070,R1070&lt;60001),AND(75000&lt;R1070,R1070&lt;77500)),$H1070,VLOOKUP(R1070,BDins,6,FALSE)))))</f>
        <v>30</v>
      </c>
      <c r="S1072">
        <f>IF(S1074&gt;10000,HLOOKUP(S1074,$O1070:R1073,4,FALSE),IF(OR(AND(22500&lt;S1070,S1070&lt;25001),AND(50000&lt;S1070,S1070&lt;53501),AND(70000&lt;S1070,S1070&lt;72501)),$F1070,IF(OR(AND(25001&lt;S1070,S1070&lt;27501),AND(53500&lt;S1070,S1070&lt;57001),AND(72500&lt;S1070,S1070&lt;75001)),$G1070,IF(OR(AND(27500&lt;S1070,S1070&lt;30001),AND(57000&lt;S1070,S1070&lt;60001),AND(75000&lt;S1070,S1070&lt;77500)),$H1070,VLOOKUP(S1070,BDins,6,FALSE)))))</f>
        <v>2.5</v>
      </c>
      <c r="T1072">
        <f>IF(T1074&gt;10000,HLOOKUP(T1074,$O1070:S1073,4,FALSE),IF(OR(AND(22500&lt;T1070,T1070&lt;25001),AND(50000&lt;T1070,T1070&lt;53501),AND(70000&lt;T1070,T1070&lt;72501)),$F1070,IF(OR(AND(25001&lt;T1070,T1070&lt;27501),AND(53500&lt;T1070,T1070&lt;57001),AND(72500&lt;T1070,T1070&lt;75001)),$G1070,IF(OR(AND(27500&lt;T1070,T1070&lt;30001),AND(57000&lt;T1070,T1070&lt;60001),AND(75000&lt;T1070,T1070&lt;77500)),$H1070,VLOOKUP(T1070,BDins,6,FALSE)))))</f>
        <v>11.9</v>
      </c>
    </row>
    <row r="1073" spans="1:20" x14ac:dyDescent="0.2">
      <c r="O1073">
        <f t="shared" ref="O1073:T1073" si="153">IF($K1070&gt;0,ROUND(O1071*$E1070/100,DpCU),IF(O1074&gt;10000,ROUND(HLOOKUP(O1074,$O1070:$T1073,4,FALSE)/100*O1071,DpCU),IF(OR(O1070&lt;20001,O1070&gt;95000,AND(60000&lt;O1070,O1070&lt;70001)),ROUND(ROUND(O1071*JL/$C1070,DcCU)*O1072,DpCU),IF(OR(AND(20000&lt;O1070,O1070&lt;22501),AND(30000&lt;O1070,O1070&lt;50001),77500&lt;O1070),ROUND(O1072*O1071,DpCU),IF(OR(AND(22500&lt;O1070,O1070&lt;25001),AND(50000&lt;O1070,O1070&lt;53501),AND(70000&lt;O1070,O1070&lt;72501)),ROUND($F1070/100*O1071,DpCU),IF(OR(AND(25000&lt;O1070,O1070&lt;27501),AND(53500&lt;O1070,O1070&lt;57001),AND(72500&lt;O1070,O1070&lt;75001)),ROUND($G1070/100*O1071,DpCU),ROUND($H1070/100*O1071,DpCU)))))))</f>
        <v>0.77</v>
      </c>
      <c r="P1073">
        <f t="shared" si="153"/>
        <v>6.4</v>
      </c>
      <c r="Q1073">
        <f t="shared" si="153"/>
        <v>4.7300000000000004</v>
      </c>
      <c r="R1073">
        <f t="shared" si="153"/>
        <v>1.5</v>
      </c>
      <c r="S1073">
        <f t="shared" si="153"/>
        <v>2.63</v>
      </c>
      <c r="T1073">
        <f t="shared" si="153"/>
        <v>0.12</v>
      </c>
    </row>
    <row r="1074" spans="1:20" x14ac:dyDescent="0.2">
      <c r="B1074" s="3" t="str">
        <f>A1070&amp;"r"</f>
        <v>10214r</v>
      </c>
    </row>
    <row r="1075" spans="1:20" x14ac:dyDescent="0.2">
      <c r="A1075">
        <v>10215</v>
      </c>
      <c r="B1075" s="3" t="s">
        <v>1117</v>
      </c>
      <c r="C1075" s="1">
        <f>ROUND(J1075*JL*Frto/8,4)</f>
        <v>4.5</v>
      </c>
      <c r="D1075" t="s">
        <v>194</v>
      </c>
      <c r="E1075">
        <f>SUM($O1078:$Q1078)</f>
        <v>33.340000000000003</v>
      </c>
      <c r="F1075">
        <f>SUMIF($O1075:$Q1075,"&lt;22501",$O1078:$Q1078)</f>
        <v>31.75</v>
      </c>
      <c r="G1075">
        <f>SUMIFS($O1078:$Q1078,$O1075:$Q1075,"&gt;30000",$O1075:$Q1075,"&lt;50001")</f>
        <v>0</v>
      </c>
      <c r="H1075">
        <f>SUMIFS($O1078:$Q1078,$O1075:$Q1075,"&gt;60000",$O1075:$Q1075,"&lt;70001")</f>
        <v>0</v>
      </c>
      <c r="I1075">
        <v>3</v>
      </c>
      <c r="J1075">
        <v>4.5</v>
      </c>
      <c r="O1075">
        <v>10001</v>
      </c>
      <c r="P1075">
        <v>10003</v>
      </c>
      <c r="Q1075">
        <v>70001</v>
      </c>
    </row>
    <row r="1076" spans="1:20" x14ac:dyDescent="0.2">
      <c r="B1076" s="3" t="str">
        <f>A1075&amp;"C"</f>
        <v>10215C</v>
      </c>
      <c r="O1076">
        <v>0.1</v>
      </c>
      <c r="P1076">
        <v>1</v>
      </c>
      <c r="Q1076">
        <v>5</v>
      </c>
    </row>
    <row r="1077" spans="1:20" x14ac:dyDescent="0.2">
      <c r="O1077">
        <f>IF(O1079&gt;10000,HLOOKUP(O1079,N1075:$O1078,4,FALSE),IF(OR(AND(22500&lt;O1075,O1075&lt;25001),AND(50000&lt;O1075,O1075&lt;53501),AND(70000&lt;O1075,O1075&lt;72501)),$F1075,IF(OR(AND(25001&lt;O1075,O1075&lt;27501),AND(53500&lt;O1075,O1075&lt;57001),AND(72500&lt;O1075,O1075&lt;75001)),$G1075,IF(OR(AND(27500&lt;O1075,O1075&lt;30001),AND(57000&lt;O1075,O1075&lt;60001),AND(75000&lt;O1075,O1075&lt;77500)),$H1075,VLOOKUP(O1075,BDins,6,FALSE)))))</f>
        <v>24.97</v>
      </c>
      <c r="P1077">
        <f>IF(P1079&gt;10000,HLOOKUP(P1079,O1075:$O1078,4,FALSE),IF(OR(AND(22500&lt;P1075,P1075&lt;25001),AND(50000&lt;P1075,P1075&lt;53501),AND(70000&lt;P1075,P1075&lt;72501)),$F1075,IF(OR(AND(25001&lt;P1075,P1075&lt;27501),AND(53500&lt;P1075,P1075&lt;57001),AND(72500&lt;P1075,P1075&lt;75001)),$G1075,IF(OR(AND(27500&lt;P1075,P1075&lt;30001),AND(57000&lt;P1075,P1075&lt;60001),AND(75000&lt;P1075,P1075&lt;77500)),$H1075,VLOOKUP(P1075,BDins,6,FALSE)))))</f>
        <v>15.36</v>
      </c>
      <c r="Q1077">
        <f>IF(Q1079&gt;10000,HLOOKUP(Q1079,$O1075:P1078,4,FALSE),IF(OR(AND(22500&lt;Q1075,Q1075&lt;25001),AND(50000&lt;Q1075,Q1075&lt;53501),AND(70000&lt;Q1075,Q1075&lt;72501)),$F1075,IF(OR(AND(25001&lt;Q1075,Q1075&lt;27501),AND(53500&lt;Q1075,Q1075&lt;57001),AND(72500&lt;Q1075,Q1075&lt;75001)),$G1075,IF(OR(AND(27500&lt;Q1075,Q1075&lt;30001),AND(57000&lt;Q1075,Q1075&lt;60001),AND(75000&lt;Q1075,Q1075&lt;77500)),$H1075,VLOOKUP(Q1075,BDins,6,FALSE)))))</f>
        <v>31.75</v>
      </c>
    </row>
    <row r="1078" spans="1:20" x14ac:dyDescent="0.2">
      <c r="O1078">
        <f>IF($K1075&gt;0,ROUND(O1076*$E1075/100,DpCU),IF(O1079&gt;10000,ROUND(HLOOKUP(O1079,$O1075:$Q1078,4,FALSE)/100*O1076,DpCU),IF(OR(O1075&lt;20001,O1075&gt;95000,AND(60000&lt;O1075,O1075&lt;70001)),ROUND(ROUND(O1076*JL/$C1075,DcCU)*O1077,DpCU),IF(OR(AND(20000&lt;O1075,O1075&lt;22501),AND(30000&lt;O1075,O1075&lt;50001),77500&lt;O1075),ROUND(O1077*O1076,DpCU),IF(OR(AND(22500&lt;O1075,O1075&lt;25001),AND(50000&lt;O1075,O1075&lt;53501),AND(70000&lt;O1075,O1075&lt;72501)),ROUND($F1075/100*O1076,DpCU),IF(OR(AND(25000&lt;O1075,O1075&lt;27501),AND(53500&lt;O1075,O1075&lt;57001),AND(72500&lt;O1075,O1075&lt;75001)),ROUND($G1075/100*O1076,DpCU),ROUND($H1075/100*O1076,DpCU)))))))</f>
        <v>4.4400000000000004</v>
      </c>
      <c r="P1078">
        <f>IF($K1075&gt;0,ROUND(P1076*$E1075/100,DpCU),IF(P1079&gt;10000,ROUND(HLOOKUP(P1079,$O1075:$Q1078,4,FALSE)/100*P1076,DpCU),IF(OR(P1075&lt;20001,P1075&gt;95000,AND(60000&lt;P1075,P1075&lt;70001)),ROUND(ROUND(P1076*JL/$C1075,DcCU)*P1077,DpCU),IF(OR(AND(20000&lt;P1075,P1075&lt;22501),AND(30000&lt;P1075,P1075&lt;50001),77500&lt;P1075),ROUND(P1077*P1076,DpCU),IF(OR(AND(22500&lt;P1075,P1075&lt;25001),AND(50000&lt;P1075,P1075&lt;53501),AND(70000&lt;P1075,P1075&lt;72501)),ROUND($F1075/100*P1076,DpCU),IF(OR(AND(25000&lt;P1075,P1075&lt;27501),AND(53500&lt;P1075,P1075&lt;57001),AND(72500&lt;P1075,P1075&lt;75001)),ROUND($G1075/100*P1076,DpCU),ROUND($H1075/100*P1076,DpCU)))))))</f>
        <v>27.31</v>
      </c>
      <c r="Q1078">
        <f>IF($K1075&gt;0,ROUND(Q1076*$E1075/100,DpCU),IF(Q1079&gt;10000,ROUND(HLOOKUP(Q1079,$O1075:$Q1078,4,FALSE)/100*Q1076,DpCU),IF(OR(Q1075&lt;20001,Q1075&gt;95000,AND(60000&lt;Q1075,Q1075&lt;70001)),ROUND(ROUND(Q1076*JL/$C1075,DcCU)*Q1077,DpCU),IF(OR(AND(20000&lt;Q1075,Q1075&lt;22501),AND(30000&lt;Q1075,Q1075&lt;50001),77500&lt;Q1075),ROUND(Q1077*Q1076,DpCU),IF(OR(AND(22500&lt;Q1075,Q1075&lt;25001),AND(50000&lt;Q1075,Q1075&lt;53501),AND(70000&lt;Q1075,Q1075&lt;72501)),ROUND($F1075/100*Q1076,DpCU),IF(OR(AND(25000&lt;Q1075,Q1075&lt;27501),AND(53500&lt;Q1075,Q1075&lt;57001),AND(72500&lt;Q1075,Q1075&lt;75001)),ROUND($G1075/100*Q1076,DpCU),ROUND($H1075/100*Q1076,DpCU)))))))</f>
        <v>1.59</v>
      </c>
    </row>
    <row r="1079" spans="1:20" x14ac:dyDescent="0.2">
      <c r="B1079" s="3" t="str">
        <f>A1075&amp;"r"</f>
        <v>10215r</v>
      </c>
    </row>
    <row r="1080" spans="1:20" x14ac:dyDescent="0.2">
      <c r="A1080">
        <v>10216</v>
      </c>
      <c r="B1080" s="3" t="s">
        <v>1119</v>
      </c>
      <c r="C1080" s="1">
        <f>ROUND(J1080*JL*Frto/8,4)</f>
        <v>6</v>
      </c>
      <c r="D1080" t="s">
        <v>194</v>
      </c>
      <c r="E1080">
        <f>SUM($O1083:$T1083)</f>
        <v>41.53</v>
      </c>
      <c r="F1080">
        <f>SUMIF($O1080:$T1080,"&lt;22501",$O1083:$T1083)</f>
        <v>29.36</v>
      </c>
      <c r="G1080">
        <f>SUMIFS($O1083:$T1083,$O1080:$T1080,"&gt;30000",$O1080:$T1080,"&lt;50001")</f>
        <v>5.5</v>
      </c>
      <c r="H1080">
        <f>SUMIFS($O1083:$T1083,$O1080:$T1080,"&gt;60000",$O1080:$T1080,"&lt;70001")</f>
        <v>6.67</v>
      </c>
      <c r="I1080">
        <v>6</v>
      </c>
      <c r="J1080">
        <v>6</v>
      </c>
      <c r="O1080">
        <v>10001</v>
      </c>
      <c r="P1080">
        <v>10002</v>
      </c>
      <c r="Q1080">
        <v>10003</v>
      </c>
      <c r="R1080">
        <v>30056</v>
      </c>
      <c r="S1080">
        <v>30094</v>
      </c>
      <c r="T1080">
        <v>60016</v>
      </c>
    </row>
    <row r="1081" spans="1:20" x14ac:dyDescent="0.2">
      <c r="B1081" s="3" t="str">
        <f>A1080&amp;"C"</f>
        <v>10216C</v>
      </c>
      <c r="O1081">
        <v>0.1</v>
      </c>
      <c r="P1081">
        <v>0.2</v>
      </c>
      <c r="Q1081">
        <v>1</v>
      </c>
      <c r="R1081">
        <v>0.12</v>
      </c>
      <c r="S1081">
        <v>0.02</v>
      </c>
      <c r="T1081">
        <v>0.5</v>
      </c>
    </row>
    <row r="1082" spans="1:20" x14ac:dyDescent="0.2">
      <c r="O1082">
        <f>IF(O1084&gt;10000,HLOOKUP(O1084,N1080:$O1083,4,FALSE),IF(OR(AND(22500&lt;O1080,O1080&lt;25001),AND(50000&lt;O1080,O1080&lt;53501),AND(70000&lt;O1080,O1080&lt;72501)),$F1080,IF(OR(AND(25001&lt;O1080,O1080&lt;27501),AND(53500&lt;O1080,O1080&lt;57001),AND(72500&lt;O1080,O1080&lt;75001)),$G1080,IF(OR(AND(27500&lt;O1080,O1080&lt;30001),AND(57000&lt;O1080,O1080&lt;60001),AND(75000&lt;O1080,O1080&lt;77500)),$H1080,VLOOKUP(O1080,BDins,6,FALSE)))))</f>
        <v>24.97</v>
      </c>
      <c r="P1082">
        <f>IF(P1084&gt;10000,HLOOKUP(P1084,O1080:$O1083,4,FALSE),IF(OR(AND(22500&lt;P1080,P1080&lt;25001),AND(50000&lt;P1080,P1080&lt;53501),AND(70000&lt;P1080,P1080&lt;72501)),$F1080,IF(OR(AND(25001&lt;P1080,P1080&lt;27501),AND(53500&lt;P1080,P1080&lt;57001),AND(72500&lt;P1080,P1080&lt;75001)),$G1080,IF(OR(AND(27500&lt;P1080,P1080&lt;30001),AND(57000&lt;P1080,P1080&lt;60001),AND(75000&lt;P1080,P1080&lt;77500)),$H1080,VLOOKUP(P1080,BDins,6,FALSE)))))</f>
        <v>20.81</v>
      </c>
      <c r="Q1082">
        <f>IF(Q1084&gt;10000,HLOOKUP(Q1084,$O1080:P1083,4,FALSE),IF(OR(AND(22500&lt;Q1080,Q1080&lt;25001),AND(50000&lt;Q1080,Q1080&lt;53501),AND(70000&lt;Q1080,Q1080&lt;72501)),$F1080,IF(OR(AND(25001&lt;Q1080,Q1080&lt;27501),AND(53500&lt;Q1080,Q1080&lt;57001),AND(72500&lt;Q1080,Q1080&lt;75001)),$G1080,IF(OR(AND(27500&lt;Q1080,Q1080&lt;30001),AND(57000&lt;Q1080,Q1080&lt;60001),AND(75000&lt;Q1080,Q1080&lt;77500)),$H1080,VLOOKUP(Q1080,BDins,6,FALSE)))))</f>
        <v>15.36</v>
      </c>
      <c r="R1082">
        <f>IF(R1084&gt;10000,HLOOKUP(R1084,$O1080:Q1083,4,FALSE),IF(OR(AND(22500&lt;R1080,R1080&lt;25001),AND(50000&lt;R1080,R1080&lt;53501),AND(70000&lt;R1080,R1080&lt;72501)),$F1080,IF(OR(AND(25001&lt;R1080,R1080&lt;27501),AND(53500&lt;R1080,R1080&lt;57001),AND(72500&lt;R1080,R1080&lt;75001)),$G1080,IF(OR(AND(27500&lt;R1080,R1080&lt;30001),AND(57000&lt;R1080,R1080&lt;60001),AND(75000&lt;R1080,R1080&lt;77500)),$H1080,VLOOKUP(R1080,BDins,6,FALSE)))))</f>
        <v>45</v>
      </c>
      <c r="S1082">
        <f>IF(S1084&gt;10000,HLOOKUP(S1084,$O1080:R1083,4,FALSE),IF(OR(AND(22500&lt;S1080,S1080&lt;25001),AND(50000&lt;S1080,S1080&lt;53501),AND(70000&lt;S1080,S1080&lt;72501)),$F1080,IF(OR(AND(25001&lt;S1080,S1080&lt;27501),AND(53500&lt;S1080,S1080&lt;57001),AND(72500&lt;S1080,S1080&lt;75001)),$G1080,IF(OR(AND(27500&lt;S1080,S1080&lt;30001),AND(57000&lt;S1080,S1080&lt;60001),AND(75000&lt;S1080,S1080&lt;77500)),$H1080,VLOOKUP(S1080,BDins,6,FALSE)))))</f>
        <v>5</v>
      </c>
      <c r="T1082">
        <f>IF(T1084&gt;10000,HLOOKUP(T1084,$O1080:S1083,4,FALSE),IF(OR(AND(22500&lt;T1080,T1080&lt;25001),AND(50000&lt;T1080,T1080&lt;53501),AND(70000&lt;T1080,T1080&lt;72501)),$F1080,IF(OR(AND(25001&lt;T1080,T1080&lt;27501),AND(53500&lt;T1080,T1080&lt;57001),AND(72500&lt;T1080,T1080&lt;75001)),$G1080,IF(OR(AND(27500&lt;T1080,T1080&lt;30001),AND(57000&lt;T1080,T1080&lt;60001),AND(75000&lt;T1080,T1080&lt;77500)),$H1080,VLOOKUP(T1080,BDins,6,FALSE)))))</f>
        <v>10</v>
      </c>
    </row>
    <row r="1083" spans="1:20" x14ac:dyDescent="0.2">
      <c r="O1083">
        <f t="shared" ref="O1083:T1083" si="154">IF($K1080&gt;0,ROUND(O1081*$E1080/100,DpCU),IF(O1084&gt;10000,ROUND(HLOOKUP(O1084,$O1080:$T1083,4,FALSE)/100*O1081,DpCU),IF(OR(O1080&lt;20001,O1080&gt;95000,AND(60000&lt;O1080,O1080&lt;70001)),ROUND(ROUND(O1081*JL/$C1080,DcCU)*O1082,DpCU),IF(OR(AND(20000&lt;O1080,O1080&lt;22501),AND(30000&lt;O1080,O1080&lt;50001),77500&lt;O1080),ROUND(O1082*O1081,DpCU),IF(OR(AND(22500&lt;O1080,O1080&lt;25001),AND(50000&lt;O1080,O1080&lt;53501),AND(70000&lt;O1080,O1080&lt;72501)),ROUND($F1080/100*O1081,DpCU),IF(OR(AND(25000&lt;O1080,O1080&lt;27501),AND(53500&lt;O1080,O1080&lt;57001),AND(72500&lt;O1080,O1080&lt;75001)),ROUND($G1080/100*O1081,DpCU),ROUND($H1080/100*O1081,DpCU)))))))</f>
        <v>3.33</v>
      </c>
      <c r="P1083">
        <f t="shared" si="154"/>
        <v>5.55</v>
      </c>
      <c r="Q1083">
        <f t="shared" si="154"/>
        <v>20.48</v>
      </c>
      <c r="R1083">
        <f t="shared" si="154"/>
        <v>5.4</v>
      </c>
      <c r="S1083">
        <f t="shared" si="154"/>
        <v>0.1</v>
      </c>
      <c r="T1083">
        <f t="shared" si="154"/>
        <v>6.67</v>
      </c>
    </row>
    <row r="1084" spans="1:20" x14ac:dyDescent="0.2">
      <c r="B1084" s="3" t="str">
        <f>A1080&amp;"r"</f>
        <v>10216r</v>
      </c>
    </row>
    <row r="1085" spans="1:20" x14ac:dyDescent="0.2">
      <c r="A1085">
        <v>10217</v>
      </c>
      <c r="B1085" s="3" t="s">
        <v>1121</v>
      </c>
      <c r="C1085" s="1">
        <f>ROUND(J1085*JL*Frto/8,4)</f>
        <v>60</v>
      </c>
      <c r="D1085" t="s">
        <v>194</v>
      </c>
      <c r="E1085">
        <f>SUM($O1088:$T1088)</f>
        <v>12.39</v>
      </c>
      <c r="F1085">
        <f>SUMIF($O1085:$T1085,"&lt;22501",$O1088:$T1088)</f>
        <v>5.15</v>
      </c>
      <c r="G1085">
        <f>SUMIFS($O1088:$T1088,$O1085:$T1085,"&gt;30000",$O1085:$T1085,"&lt;50001")</f>
        <v>6.98</v>
      </c>
      <c r="H1085">
        <f>SUMIFS($O1088:$T1088,$O1085:$T1085,"&gt;60000",$O1085:$T1085,"&lt;70001")</f>
        <v>0</v>
      </c>
      <c r="I1085">
        <v>6</v>
      </c>
      <c r="J1085">
        <v>60</v>
      </c>
      <c r="O1085">
        <v>10001</v>
      </c>
      <c r="P1085">
        <v>10002</v>
      </c>
      <c r="Q1085">
        <v>10003</v>
      </c>
      <c r="R1085">
        <v>30265</v>
      </c>
      <c r="S1085">
        <v>30284</v>
      </c>
      <c r="T1085">
        <v>70001</v>
      </c>
    </row>
    <row r="1086" spans="1:20" x14ac:dyDescent="0.2">
      <c r="B1086" s="3" t="str">
        <f>A1085&amp;"C"</f>
        <v>10217C</v>
      </c>
      <c r="O1086">
        <v>0.1</v>
      </c>
      <c r="P1086">
        <v>1</v>
      </c>
      <c r="Q1086">
        <v>1</v>
      </c>
      <c r="R1086">
        <v>5.0000000000000001E-3</v>
      </c>
      <c r="S1086">
        <v>0.35</v>
      </c>
      <c r="T1086">
        <v>5</v>
      </c>
    </row>
    <row r="1087" spans="1:20" x14ac:dyDescent="0.2">
      <c r="O1087">
        <f>IF(O1089&gt;10000,HLOOKUP(O1089,N1085:$O1088,4,FALSE),IF(OR(AND(22500&lt;O1085,O1085&lt;25001),AND(50000&lt;O1085,O1085&lt;53501),AND(70000&lt;O1085,O1085&lt;72501)),$F1085,IF(OR(AND(25001&lt;O1085,O1085&lt;27501),AND(53500&lt;O1085,O1085&lt;57001),AND(72500&lt;O1085,O1085&lt;75001)),$G1085,IF(OR(AND(27500&lt;O1085,O1085&lt;30001),AND(57000&lt;O1085,O1085&lt;60001),AND(75000&lt;O1085,O1085&lt;77500)),$H1085,VLOOKUP(O1085,BDins,6,FALSE)))))</f>
        <v>24.97</v>
      </c>
      <c r="P1087">
        <f>IF(P1089&gt;10000,HLOOKUP(P1089,O1085:$O1088,4,FALSE),IF(OR(AND(22500&lt;P1085,P1085&lt;25001),AND(50000&lt;P1085,P1085&lt;53501),AND(70000&lt;P1085,P1085&lt;72501)),$F1085,IF(OR(AND(25001&lt;P1085,P1085&lt;27501),AND(53500&lt;P1085,P1085&lt;57001),AND(72500&lt;P1085,P1085&lt;75001)),$G1085,IF(OR(AND(27500&lt;P1085,P1085&lt;30001),AND(57000&lt;P1085,P1085&lt;60001),AND(75000&lt;P1085,P1085&lt;77500)),$H1085,VLOOKUP(P1085,BDins,6,FALSE)))))</f>
        <v>20.81</v>
      </c>
      <c r="Q1087">
        <f>IF(Q1089&gt;10000,HLOOKUP(Q1089,$O1085:P1088,4,FALSE),IF(OR(AND(22500&lt;Q1085,Q1085&lt;25001),AND(50000&lt;Q1085,Q1085&lt;53501),AND(70000&lt;Q1085,Q1085&lt;72501)),$F1085,IF(OR(AND(25001&lt;Q1085,Q1085&lt;27501),AND(53500&lt;Q1085,Q1085&lt;57001),AND(72500&lt;Q1085,Q1085&lt;75001)),$G1085,IF(OR(AND(27500&lt;Q1085,Q1085&lt;30001),AND(57000&lt;Q1085,Q1085&lt;60001),AND(75000&lt;Q1085,Q1085&lt;77500)),$H1085,VLOOKUP(Q1085,BDins,6,FALSE)))))</f>
        <v>15.36</v>
      </c>
      <c r="R1087">
        <f>IF(R1089&gt;10000,HLOOKUP(R1089,$O1085:Q1088,4,FALSE),IF(OR(AND(22500&lt;R1085,R1085&lt;25001),AND(50000&lt;R1085,R1085&lt;53501),AND(70000&lt;R1085,R1085&lt;72501)),$F1085,IF(OR(AND(25001&lt;R1085,R1085&lt;27501),AND(53500&lt;R1085,R1085&lt;57001),AND(72500&lt;R1085,R1085&lt;75001)),$G1085,IF(OR(AND(27500&lt;R1085,R1085&lt;30001),AND(57000&lt;R1085,R1085&lt;60001),AND(75000&lt;R1085,R1085&lt;77500)),$H1085,VLOOKUP(R1085,BDins,6,FALSE)))))</f>
        <v>30</v>
      </c>
      <c r="S1087">
        <f>IF(S1089&gt;10000,HLOOKUP(S1089,$O1085:R1088,4,FALSE),IF(OR(AND(22500&lt;S1085,S1085&lt;25001),AND(50000&lt;S1085,S1085&lt;53501),AND(70000&lt;S1085,S1085&lt;72501)),$F1085,IF(OR(AND(25001&lt;S1085,S1085&lt;27501),AND(53500&lt;S1085,S1085&lt;57001),AND(72500&lt;S1085,S1085&lt;75001)),$G1085,IF(OR(AND(27500&lt;S1085,S1085&lt;30001),AND(57000&lt;S1085,S1085&lt;60001),AND(75000&lt;S1085,S1085&lt;77500)),$H1085,VLOOKUP(S1085,BDins,6,FALSE)))))</f>
        <v>19.5</v>
      </c>
      <c r="T1087">
        <f>IF(T1089&gt;10000,HLOOKUP(T1089,$O1085:S1088,4,FALSE),IF(OR(AND(22500&lt;T1085,T1085&lt;25001),AND(50000&lt;T1085,T1085&lt;53501),AND(70000&lt;T1085,T1085&lt;72501)),$F1085,IF(OR(AND(25001&lt;T1085,T1085&lt;27501),AND(53500&lt;T1085,T1085&lt;57001),AND(72500&lt;T1085,T1085&lt;75001)),$G1085,IF(OR(AND(27500&lt;T1085,T1085&lt;30001),AND(57000&lt;T1085,T1085&lt;60001),AND(75000&lt;T1085,T1085&lt;77500)),$H1085,VLOOKUP(T1085,BDins,6,FALSE)))))</f>
        <v>5.15</v>
      </c>
    </row>
    <row r="1088" spans="1:20" x14ac:dyDescent="0.2">
      <c r="O1088">
        <f t="shared" ref="O1088:T1088" si="155">IF($K1085&gt;0,ROUND(O1086*$E1085/100,DpCU),IF(O1089&gt;10000,ROUND(HLOOKUP(O1089,$O1085:$T1088,4,FALSE)/100*O1086,DpCU),IF(OR(O1085&lt;20001,O1085&gt;95000,AND(60000&lt;O1085,O1085&lt;70001)),ROUND(ROUND(O1086*JL/$C1085,DcCU)*O1087,DpCU),IF(OR(AND(20000&lt;O1085,O1085&lt;22501),AND(30000&lt;O1085,O1085&lt;50001),77500&lt;O1085),ROUND(O1087*O1086,DpCU),IF(OR(AND(22500&lt;O1085,O1085&lt;25001),AND(50000&lt;O1085,O1085&lt;53501),AND(70000&lt;O1085,O1085&lt;72501)),ROUND($F1085/100*O1086,DpCU),IF(OR(AND(25000&lt;O1085,O1085&lt;27501),AND(53500&lt;O1085,O1085&lt;57001),AND(72500&lt;O1085,O1085&lt;75001)),ROUND($G1085/100*O1086,DpCU),ROUND($H1085/100*O1086,DpCU)))))))</f>
        <v>0.33</v>
      </c>
      <c r="P1088">
        <f t="shared" si="155"/>
        <v>2.77</v>
      </c>
      <c r="Q1088">
        <f t="shared" si="155"/>
        <v>2.0499999999999998</v>
      </c>
      <c r="R1088">
        <f t="shared" si="155"/>
        <v>0.15</v>
      </c>
      <c r="S1088">
        <f t="shared" si="155"/>
        <v>6.83</v>
      </c>
      <c r="T1088">
        <f t="shared" si="155"/>
        <v>0.26</v>
      </c>
    </row>
    <row r="1089" spans="1:22" x14ac:dyDescent="0.2">
      <c r="B1089" s="3" t="str">
        <f>A1085&amp;"r"</f>
        <v>10217r</v>
      </c>
    </row>
    <row r="1090" spans="1:22" x14ac:dyDescent="0.2">
      <c r="A1090">
        <v>10218</v>
      </c>
      <c r="B1090" s="3" t="s">
        <v>1078</v>
      </c>
      <c r="C1090" s="1">
        <f>ROUND(J1090*JL*Frto/8,4)</f>
        <v>60</v>
      </c>
      <c r="D1090" t="s">
        <v>194</v>
      </c>
      <c r="E1090">
        <f>SUM($O1093:$U1093)</f>
        <v>16.59</v>
      </c>
      <c r="F1090">
        <f>SUMIF($O1090:$U1090,"&lt;22501",$O1093:$U1093)</f>
        <v>5.15</v>
      </c>
      <c r="G1090">
        <f>SUMIFS($O1093:$U1093,$O1090:$U1090,"&gt;30000",$O1090:$U1090,"&lt;50001")</f>
        <v>11.18</v>
      </c>
      <c r="H1090">
        <f>SUMIFS($O1093:$U1093,$O1090:$U1090,"&gt;60000",$O1090:$U1090,"&lt;70001")</f>
        <v>0</v>
      </c>
      <c r="I1090">
        <v>7</v>
      </c>
      <c r="J1090">
        <v>60</v>
      </c>
      <c r="O1090">
        <v>10001</v>
      </c>
      <c r="P1090">
        <v>10002</v>
      </c>
      <c r="Q1090">
        <v>10003</v>
      </c>
      <c r="R1090">
        <v>30265</v>
      </c>
      <c r="S1090">
        <v>30270</v>
      </c>
      <c r="T1090">
        <v>30284</v>
      </c>
      <c r="U1090">
        <v>70001</v>
      </c>
    </row>
    <row r="1091" spans="1:22" x14ac:dyDescent="0.2">
      <c r="B1091" s="3" t="str">
        <f>A1090&amp;"C"</f>
        <v>10218C</v>
      </c>
      <c r="O1091">
        <v>0.1</v>
      </c>
      <c r="P1091">
        <v>1</v>
      </c>
      <c r="Q1091">
        <v>1</v>
      </c>
      <c r="R1091">
        <v>5.0000000000000001E-3</v>
      </c>
      <c r="S1091">
        <v>0.35</v>
      </c>
      <c r="T1091">
        <v>0.35</v>
      </c>
      <c r="U1091">
        <v>5</v>
      </c>
    </row>
    <row r="1092" spans="1:22" x14ac:dyDescent="0.2">
      <c r="O1092">
        <f>IF(O1094&gt;10000,HLOOKUP(O1094,N1090:$O1093,4,FALSE),IF(OR(AND(22500&lt;O1090,O1090&lt;25001),AND(50000&lt;O1090,O1090&lt;53501),AND(70000&lt;O1090,O1090&lt;72501)),$F1090,IF(OR(AND(25001&lt;O1090,O1090&lt;27501),AND(53500&lt;O1090,O1090&lt;57001),AND(72500&lt;O1090,O1090&lt;75001)),$G1090,IF(OR(AND(27500&lt;O1090,O1090&lt;30001),AND(57000&lt;O1090,O1090&lt;60001),AND(75000&lt;O1090,O1090&lt;77500)),$H1090,VLOOKUP(O1090,BDins,6,FALSE)))))</f>
        <v>24.97</v>
      </c>
      <c r="P1092">
        <f>IF(P1094&gt;10000,HLOOKUP(P1094,O1090:$O1093,4,FALSE),IF(OR(AND(22500&lt;P1090,P1090&lt;25001),AND(50000&lt;P1090,P1090&lt;53501),AND(70000&lt;P1090,P1090&lt;72501)),$F1090,IF(OR(AND(25001&lt;P1090,P1090&lt;27501),AND(53500&lt;P1090,P1090&lt;57001),AND(72500&lt;P1090,P1090&lt;75001)),$G1090,IF(OR(AND(27500&lt;P1090,P1090&lt;30001),AND(57000&lt;P1090,P1090&lt;60001),AND(75000&lt;P1090,P1090&lt;77500)),$H1090,VLOOKUP(P1090,BDins,6,FALSE)))))</f>
        <v>20.81</v>
      </c>
      <c r="Q1092">
        <f>IF(Q1094&gt;10000,HLOOKUP(Q1094,$O1090:P1093,4,FALSE),IF(OR(AND(22500&lt;Q1090,Q1090&lt;25001),AND(50000&lt;Q1090,Q1090&lt;53501),AND(70000&lt;Q1090,Q1090&lt;72501)),$F1090,IF(OR(AND(25001&lt;Q1090,Q1090&lt;27501),AND(53500&lt;Q1090,Q1090&lt;57001),AND(72500&lt;Q1090,Q1090&lt;75001)),$G1090,IF(OR(AND(27500&lt;Q1090,Q1090&lt;30001),AND(57000&lt;Q1090,Q1090&lt;60001),AND(75000&lt;Q1090,Q1090&lt;77500)),$H1090,VLOOKUP(Q1090,BDins,6,FALSE)))))</f>
        <v>15.36</v>
      </c>
      <c r="R1092">
        <f>IF(R1094&gt;10000,HLOOKUP(R1094,$O1090:Q1093,4,FALSE),IF(OR(AND(22500&lt;R1090,R1090&lt;25001),AND(50000&lt;R1090,R1090&lt;53501),AND(70000&lt;R1090,R1090&lt;72501)),$F1090,IF(OR(AND(25001&lt;R1090,R1090&lt;27501),AND(53500&lt;R1090,R1090&lt;57001),AND(72500&lt;R1090,R1090&lt;75001)),$G1090,IF(OR(AND(27500&lt;R1090,R1090&lt;30001),AND(57000&lt;R1090,R1090&lt;60001),AND(75000&lt;R1090,R1090&lt;77500)),$H1090,VLOOKUP(R1090,BDins,6,FALSE)))))</f>
        <v>30</v>
      </c>
      <c r="S1092">
        <f>IF(S1094&gt;10000,HLOOKUP(S1094,$O1090:R1093,4,FALSE),IF(OR(AND(22500&lt;S1090,S1090&lt;25001),AND(50000&lt;S1090,S1090&lt;53501),AND(70000&lt;S1090,S1090&lt;72501)),$F1090,IF(OR(AND(25001&lt;S1090,S1090&lt;27501),AND(53500&lt;S1090,S1090&lt;57001),AND(72500&lt;S1090,S1090&lt;75001)),$G1090,IF(OR(AND(27500&lt;S1090,S1090&lt;30001),AND(57000&lt;S1090,S1090&lt;60001),AND(75000&lt;S1090,S1090&lt;77500)),$H1090,VLOOKUP(S1090,BDins,6,FALSE)))))</f>
        <v>12</v>
      </c>
      <c r="T1092">
        <f>IF(T1094&gt;10000,HLOOKUP(T1094,$O1090:S1093,4,FALSE),IF(OR(AND(22500&lt;T1090,T1090&lt;25001),AND(50000&lt;T1090,T1090&lt;53501),AND(70000&lt;T1090,T1090&lt;72501)),$F1090,IF(OR(AND(25001&lt;T1090,T1090&lt;27501),AND(53500&lt;T1090,T1090&lt;57001),AND(72500&lt;T1090,T1090&lt;75001)),$G1090,IF(OR(AND(27500&lt;T1090,T1090&lt;30001),AND(57000&lt;T1090,T1090&lt;60001),AND(75000&lt;T1090,T1090&lt;77500)),$H1090,VLOOKUP(T1090,BDins,6,FALSE)))))</f>
        <v>19.5</v>
      </c>
      <c r="U1092">
        <f>IF(U1094&gt;10000,HLOOKUP(U1094,$O1090:T1093,4,FALSE),IF(OR(AND(22500&lt;U1090,U1090&lt;25001),AND(50000&lt;U1090,U1090&lt;53501),AND(70000&lt;U1090,U1090&lt;72501)),$F1090,IF(OR(AND(25001&lt;U1090,U1090&lt;27501),AND(53500&lt;U1090,U1090&lt;57001),AND(72500&lt;U1090,U1090&lt;75001)),$G1090,IF(OR(AND(27500&lt;U1090,U1090&lt;30001),AND(57000&lt;U1090,U1090&lt;60001),AND(75000&lt;U1090,U1090&lt;77500)),$H1090,VLOOKUP(U1090,BDins,6,FALSE)))))</f>
        <v>5.15</v>
      </c>
    </row>
    <row r="1093" spans="1:22" x14ac:dyDescent="0.2">
      <c r="O1093">
        <f t="shared" ref="O1093:U1093" si="156">IF($K1090&gt;0,ROUND(O1091*$E1090/100,DpCU),IF(O1094&gt;10000,ROUND(HLOOKUP(O1094,$O1090:$U1093,4,FALSE)/100*O1091,DpCU),IF(OR(O1090&lt;20001,O1090&gt;95000,AND(60000&lt;O1090,O1090&lt;70001)),ROUND(ROUND(O1091*JL/$C1090,DcCU)*O1092,DpCU),IF(OR(AND(20000&lt;O1090,O1090&lt;22501),AND(30000&lt;O1090,O1090&lt;50001),77500&lt;O1090),ROUND(O1092*O1091,DpCU),IF(OR(AND(22500&lt;O1090,O1090&lt;25001),AND(50000&lt;O1090,O1090&lt;53501),AND(70000&lt;O1090,O1090&lt;72501)),ROUND($F1090/100*O1091,DpCU),IF(OR(AND(25000&lt;O1090,O1090&lt;27501),AND(53500&lt;O1090,O1090&lt;57001),AND(72500&lt;O1090,O1090&lt;75001)),ROUND($G1090/100*O1091,DpCU),ROUND($H1090/100*O1091,DpCU)))))))</f>
        <v>0.33</v>
      </c>
      <c r="P1093">
        <f t="shared" si="156"/>
        <v>2.77</v>
      </c>
      <c r="Q1093">
        <f t="shared" si="156"/>
        <v>2.0499999999999998</v>
      </c>
      <c r="R1093">
        <f t="shared" si="156"/>
        <v>0.15</v>
      </c>
      <c r="S1093">
        <f t="shared" si="156"/>
        <v>4.2</v>
      </c>
      <c r="T1093">
        <f t="shared" si="156"/>
        <v>6.83</v>
      </c>
      <c r="U1093">
        <f t="shared" si="156"/>
        <v>0.26</v>
      </c>
    </row>
    <row r="1094" spans="1:22" x14ac:dyDescent="0.2">
      <c r="B1094" s="3" t="str">
        <f>A1090&amp;"r"</f>
        <v>10218r</v>
      </c>
    </row>
    <row r="1095" spans="1:22" x14ac:dyDescent="0.2">
      <c r="A1095">
        <v>10219</v>
      </c>
      <c r="B1095" s="3" t="s">
        <v>1125</v>
      </c>
      <c r="C1095" s="1">
        <f>ROUND(J1095*JL*Frto/8,4)</f>
        <v>60</v>
      </c>
      <c r="D1095" t="s">
        <v>194</v>
      </c>
      <c r="E1095">
        <f>SUM($O1098:$T1098)</f>
        <v>8.4700000000000006</v>
      </c>
      <c r="F1095">
        <f>SUMIF($O1095:$T1095,"&lt;22501",$O1098:$T1098)</f>
        <v>5.15</v>
      </c>
      <c r="G1095">
        <f>SUMIFS($O1098:$T1098,$O1095:$T1095,"&gt;30000",$O1095:$T1095,"&lt;50001")</f>
        <v>3.06</v>
      </c>
      <c r="H1095">
        <f>SUMIFS($O1098:$T1098,$O1095:$T1095,"&gt;60000",$O1095:$T1095,"&lt;70001")</f>
        <v>0</v>
      </c>
      <c r="I1095">
        <v>6</v>
      </c>
      <c r="J1095">
        <v>60</v>
      </c>
      <c r="O1095">
        <v>10001</v>
      </c>
      <c r="P1095">
        <v>10002</v>
      </c>
      <c r="Q1095">
        <v>10003</v>
      </c>
      <c r="R1095">
        <v>30265</v>
      </c>
      <c r="S1095">
        <v>30271</v>
      </c>
      <c r="T1095">
        <v>70001</v>
      </c>
    </row>
    <row r="1096" spans="1:22" x14ac:dyDescent="0.2">
      <c r="B1096" s="3" t="str">
        <f>A1095&amp;"C"</f>
        <v>10219C</v>
      </c>
      <c r="O1096">
        <v>0.1</v>
      </c>
      <c r="P1096">
        <v>1</v>
      </c>
      <c r="Q1096">
        <v>1</v>
      </c>
      <c r="R1096">
        <v>5.0000000000000001E-3</v>
      </c>
      <c r="S1096">
        <v>0.35</v>
      </c>
      <c r="T1096">
        <v>5</v>
      </c>
    </row>
    <row r="1097" spans="1:22" x14ac:dyDescent="0.2">
      <c r="O1097">
        <f>IF(O1099&gt;10000,HLOOKUP(O1099,N1095:$O1098,4,FALSE),IF(OR(AND(22500&lt;O1095,O1095&lt;25001),AND(50000&lt;O1095,O1095&lt;53501),AND(70000&lt;O1095,O1095&lt;72501)),$F1095,IF(OR(AND(25001&lt;O1095,O1095&lt;27501),AND(53500&lt;O1095,O1095&lt;57001),AND(72500&lt;O1095,O1095&lt;75001)),$G1095,IF(OR(AND(27500&lt;O1095,O1095&lt;30001),AND(57000&lt;O1095,O1095&lt;60001),AND(75000&lt;O1095,O1095&lt;77500)),$H1095,VLOOKUP(O1095,BDins,6,FALSE)))))</f>
        <v>24.97</v>
      </c>
      <c r="P1097">
        <f>IF(P1099&gt;10000,HLOOKUP(P1099,O1095:$O1098,4,FALSE),IF(OR(AND(22500&lt;P1095,P1095&lt;25001),AND(50000&lt;P1095,P1095&lt;53501),AND(70000&lt;P1095,P1095&lt;72501)),$F1095,IF(OR(AND(25001&lt;P1095,P1095&lt;27501),AND(53500&lt;P1095,P1095&lt;57001),AND(72500&lt;P1095,P1095&lt;75001)),$G1095,IF(OR(AND(27500&lt;P1095,P1095&lt;30001),AND(57000&lt;P1095,P1095&lt;60001),AND(75000&lt;P1095,P1095&lt;77500)),$H1095,VLOOKUP(P1095,BDins,6,FALSE)))))</f>
        <v>20.81</v>
      </c>
      <c r="Q1097">
        <f>IF(Q1099&gt;10000,HLOOKUP(Q1099,$O1095:P1098,4,FALSE),IF(OR(AND(22500&lt;Q1095,Q1095&lt;25001),AND(50000&lt;Q1095,Q1095&lt;53501),AND(70000&lt;Q1095,Q1095&lt;72501)),$F1095,IF(OR(AND(25001&lt;Q1095,Q1095&lt;27501),AND(53500&lt;Q1095,Q1095&lt;57001),AND(72500&lt;Q1095,Q1095&lt;75001)),$G1095,IF(OR(AND(27500&lt;Q1095,Q1095&lt;30001),AND(57000&lt;Q1095,Q1095&lt;60001),AND(75000&lt;Q1095,Q1095&lt;77500)),$H1095,VLOOKUP(Q1095,BDins,6,FALSE)))))</f>
        <v>15.36</v>
      </c>
      <c r="R1097">
        <f>IF(R1099&gt;10000,HLOOKUP(R1099,$O1095:Q1098,4,FALSE),IF(OR(AND(22500&lt;R1095,R1095&lt;25001),AND(50000&lt;R1095,R1095&lt;53501),AND(70000&lt;R1095,R1095&lt;72501)),$F1095,IF(OR(AND(25001&lt;R1095,R1095&lt;27501),AND(53500&lt;R1095,R1095&lt;57001),AND(72500&lt;R1095,R1095&lt;75001)),$G1095,IF(OR(AND(27500&lt;R1095,R1095&lt;30001),AND(57000&lt;R1095,R1095&lt;60001),AND(75000&lt;R1095,R1095&lt;77500)),$H1095,VLOOKUP(R1095,BDins,6,FALSE)))))</f>
        <v>30</v>
      </c>
      <c r="S1097">
        <f>IF(S1099&gt;10000,HLOOKUP(S1099,$O1095:R1098,4,FALSE),IF(OR(AND(22500&lt;S1095,S1095&lt;25001),AND(50000&lt;S1095,S1095&lt;53501),AND(70000&lt;S1095,S1095&lt;72501)),$F1095,IF(OR(AND(25001&lt;S1095,S1095&lt;27501),AND(53500&lt;S1095,S1095&lt;57001),AND(72500&lt;S1095,S1095&lt;75001)),$G1095,IF(OR(AND(27500&lt;S1095,S1095&lt;30001),AND(57000&lt;S1095,S1095&lt;60001),AND(75000&lt;S1095,S1095&lt;77500)),$H1095,VLOOKUP(S1095,BDins,6,FALSE)))))</f>
        <v>8.3000000000000007</v>
      </c>
      <c r="T1097">
        <f>IF(T1099&gt;10000,HLOOKUP(T1099,$O1095:S1098,4,FALSE),IF(OR(AND(22500&lt;T1095,T1095&lt;25001),AND(50000&lt;T1095,T1095&lt;53501),AND(70000&lt;T1095,T1095&lt;72501)),$F1095,IF(OR(AND(25001&lt;T1095,T1095&lt;27501),AND(53500&lt;T1095,T1095&lt;57001),AND(72500&lt;T1095,T1095&lt;75001)),$G1095,IF(OR(AND(27500&lt;T1095,T1095&lt;30001),AND(57000&lt;T1095,T1095&lt;60001),AND(75000&lt;T1095,T1095&lt;77500)),$H1095,VLOOKUP(T1095,BDins,6,FALSE)))))</f>
        <v>5.15</v>
      </c>
    </row>
    <row r="1098" spans="1:22" x14ac:dyDescent="0.2">
      <c r="O1098">
        <f t="shared" ref="O1098:T1098" si="157">IF($K1095&gt;0,ROUND(O1096*$E1095/100,DpCU),IF(O1099&gt;10000,ROUND(HLOOKUP(O1099,$O1095:$T1098,4,FALSE)/100*O1096,DpCU),IF(OR(O1095&lt;20001,O1095&gt;95000,AND(60000&lt;O1095,O1095&lt;70001)),ROUND(ROUND(O1096*JL/$C1095,DcCU)*O1097,DpCU),IF(OR(AND(20000&lt;O1095,O1095&lt;22501),AND(30000&lt;O1095,O1095&lt;50001),77500&lt;O1095),ROUND(O1097*O1096,DpCU),IF(OR(AND(22500&lt;O1095,O1095&lt;25001),AND(50000&lt;O1095,O1095&lt;53501),AND(70000&lt;O1095,O1095&lt;72501)),ROUND($F1095/100*O1096,DpCU),IF(OR(AND(25000&lt;O1095,O1095&lt;27501),AND(53500&lt;O1095,O1095&lt;57001),AND(72500&lt;O1095,O1095&lt;75001)),ROUND($G1095/100*O1096,DpCU),ROUND($H1095/100*O1096,DpCU)))))))</f>
        <v>0.33</v>
      </c>
      <c r="P1098">
        <f t="shared" si="157"/>
        <v>2.77</v>
      </c>
      <c r="Q1098">
        <f t="shared" si="157"/>
        <v>2.0499999999999998</v>
      </c>
      <c r="R1098">
        <f t="shared" si="157"/>
        <v>0.15</v>
      </c>
      <c r="S1098">
        <f t="shared" si="157"/>
        <v>2.91</v>
      </c>
      <c r="T1098">
        <f t="shared" si="157"/>
        <v>0.26</v>
      </c>
    </row>
    <row r="1099" spans="1:22" x14ac:dyDescent="0.2">
      <c r="B1099" s="3" t="str">
        <f>A1095&amp;"r"</f>
        <v>10219r</v>
      </c>
    </row>
    <row r="1100" spans="1:22" x14ac:dyDescent="0.2">
      <c r="A1100">
        <v>10220</v>
      </c>
      <c r="B1100" s="3" t="s">
        <v>1127</v>
      </c>
      <c r="C1100" s="1">
        <f>ROUND(J1100*JL*Frto/8,4)</f>
        <v>15</v>
      </c>
      <c r="D1100" t="s">
        <v>194</v>
      </c>
      <c r="E1100">
        <f>SUM($O1103:$V1103)</f>
        <v>56.8</v>
      </c>
      <c r="F1100">
        <f>SUMIF($O1100:$V1100,"&lt;22501",$O1103:$V1103)</f>
        <v>20.619999999999997</v>
      </c>
      <c r="G1100">
        <f>SUMIFS($O1103:$V1103,$O1100:$V1100,"&gt;30000",$O1100:$V1100,"&lt;50001")</f>
        <v>35.150000000000006</v>
      </c>
      <c r="H1100">
        <f>SUMIFS($O1103:$V1103,$O1100:$V1100,"&gt;60000",$O1100:$V1100,"&lt;70001")</f>
        <v>0</v>
      </c>
      <c r="I1100">
        <v>8</v>
      </c>
      <c r="J1100">
        <v>15</v>
      </c>
      <c r="O1100">
        <v>10001</v>
      </c>
      <c r="P1100">
        <v>10002</v>
      </c>
      <c r="Q1100">
        <v>10003</v>
      </c>
      <c r="R1100">
        <v>30265</v>
      </c>
      <c r="S1100">
        <v>30285</v>
      </c>
      <c r="T1100">
        <v>30286</v>
      </c>
      <c r="U1100">
        <v>30287</v>
      </c>
      <c r="V1100">
        <v>70001</v>
      </c>
    </row>
    <row r="1101" spans="1:22" x14ac:dyDescent="0.2">
      <c r="B1101" s="3" t="str">
        <f>A1100&amp;"C"</f>
        <v>10220C</v>
      </c>
      <c r="O1101">
        <v>0.1</v>
      </c>
      <c r="P1101">
        <v>1</v>
      </c>
      <c r="Q1101">
        <v>1</v>
      </c>
      <c r="R1101">
        <v>0.02</v>
      </c>
      <c r="S1101">
        <v>0.75</v>
      </c>
      <c r="T1101">
        <v>0.75</v>
      </c>
      <c r="U1101">
        <v>0.35</v>
      </c>
      <c r="V1101">
        <v>5</v>
      </c>
    </row>
    <row r="1102" spans="1:22" x14ac:dyDescent="0.2">
      <c r="O1102">
        <f>IF(O1104&gt;10000,HLOOKUP(O1104,N1100:$O1103,4,FALSE),IF(OR(AND(22500&lt;O1100,O1100&lt;25001),AND(50000&lt;O1100,O1100&lt;53501),AND(70000&lt;O1100,O1100&lt;72501)),$F1100,IF(OR(AND(25001&lt;O1100,O1100&lt;27501),AND(53500&lt;O1100,O1100&lt;57001),AND(72500&lt;O1100,O1100&lt;75001)),$G1100,IF(OR(AND(27500&lt;O1100,O1100&lt;30001),AND(57000&lt;O1100,O1100&lt;60001),AND(75000&lt;O1100,O1100&lt;77500)),$H1100,VLOOKUP(O1100,BDins,6,FALSE)))))</f>
        <v>24.97</v>
      </c>
      <c r="P1102">
        <f>IF(P1104&gt;10000,HLOOKUP(P1104,O1100:$O1103,4,FALSE),IF(OR(AND(22500&lt;P1100,P1100&lt;25001),AND(50000&lt;P1100,P1100&lt;53501),AND(70000&lt;P1100,P1100&lt;72501)),$F1100,IF(OR(AND(25001&lt;P1100,P1100&lt;27501),AND(53500&lt;P1100,P1100&lt;57001),AND(72500&lt;P1100,P1100&lt;75001)),$G1100,IF(OR(AND(27500&lt;P1100,P1100&lt;30001),AND(57000&lt;P1100,P1100&lt;60001),AND(75000&lt;P1100,P1100&lt;77500)),$H1100,VLOOKUP(P1100,BDins,6,FALSE)))))</f>
        <v>20.81</v>
      </c>
      <c r="Q1102">
        <f>IF(Q1104&gt;10000,HLOOKUP(Q1104,$O1100:P1103,4,FALSE),IF(OR(AND(22500&lt;Q1100,Q1100&lt;25001),AND(50000&lt;Q1100,Q1100&lt;53501),AND(70000&lt;Q1100,Q1100&lt;72501)),$F1100,IF(OR(AND(25001&lt;Q1100,Q1100&lt;27501),AND(53500&lt;Q1100,Q1100&lt;57001),AND(72500&lt;Q1100,Q1100&lt;75001)),$G1100,IF(OR(AND(27500&lt;Q1100,Q1100&lt;30001),AND(57000&lt;Q1100,Q1100&lt;60001),AND(75000&lt;Q1100,Q1100&lt;77500)),$H1100,VLOOKUP(Q1100,BDins,6,FALSE)))))</f>
        <v>15.36</v>
      </c>
      <c r="R1102">
        <f>IF(R1104&gt;10000,HLOOKUP(R1104,$O1100:Q1103,4,FALSE),IF(OR(AND(22500&lt;R1100,R1100&lt;25001),AND(50000&lt;R1100,R1100&lt;53501),AND(70000&lt;R1100,R1100&lt;72501)),$F1100,IF(OR(AND(25001&lt;R1100,R1100&lt;27501),AND(53500&lt;R1100,R1100&lt;57001),AND(72500&lt;R1100,R1100&lt;75001)),$G1100,IF(OR(AND(27500&lt;R1100,R1100&lt;30001),AND(57000&lt;R1100,R1100&lt;60001),AND(75000&lt;R1100,R1100&lt;77500)),$H1100,VLOOKUP(R1100,BDins,6,FALSE)))))</f>
        <v>30</v>
      </c>
      <c r="S1102">
        <f>IF(S1104&gt;10000,HLOOKUP(S1104,$O1100:R1103,4,FALSE),IF(OR(AND(22500&lt;S1100,S1100&lt;25001),AND(50000&lt;S1100,S1100&lt;53501),AND(70000&lt;S1100,S1100&lt;72501)),$F1100,IF(OR(AND(25001&lt;S1100,S1100&lt;27501),AND(53500&lt;S1100,S1100&lt;57001),AND(72500&lt;S1100,S1100&lt;75001)),$G1100,IF(OR(AND(27500&lt;S1100,S1100&lt;30001),AND(57000&lt;S1100,S1100&lt;60001),AND(75000&lt;S1100,S1100&lt;77500)),$H1100,VLOOKUP(S1100,BDins,6,FALSE)))))</f>
        <v>3</v>
      </c>
      <c r="T1102">
        <f>IF(T1104&gt;10000,HLOOKUP(T1104,$O1100:S1103,4,FALSE),IF(OR(AND(22500&lt;T1100,T1100&lt;25001),AND(50000&lt;T1100,T1100&lt;53501),AND(70000&lt;T1100,T1100&lt;72501)),$F1100,IF(OR(AND(25001&lt;T1100,T1100&lt;27501),AND(53500&lt;T1100,T1100&lt;57001),AND(72500&lt;T1100,T1100&lt;75001)),$G1100,IF(OR(AND(27500&lt;T1100,T1100&lt;30001),AND(57000&lt;T1100,T1100&lt;60001),AND(75000&lt;T1100,T1100&lt;77500)),$H1100,VLOOKUP(T1100,BDins,6,FALSE)))))</f>
        <v>30</v>
      </c>
      <c r="U1102">
        <f>IF(U1104&gt;10000,HLOOKUP(U1104,$O1100:T1103,4,FALSE),IF(OR(AND(22500&lt;U1100,U1100&lt;25001),AND(50000&lt;U1100,U1100&lt;53501),AND(70000&lt;U1100,U1100&lt;72501)),$F1100,IF(OR(AND(25001&lt;U1100,U1100&lt;27501),AND(53500&lt;U1100,U1100&lt;57001),AND(72500&lt;U1100,U1100&lt;75001)),$G1100,IF(OR(AND(27500&lt;U1100,U1100&lt;30001),AND(57000&lt;U1100,U1100&lt;60001),AND(75000&lt;U1100,U1100&lt;77500)),$H1100,VLOOKUP(U1100,BDins,6,FALSE)))))</f>
        <v>28</v>
      </c>
      <c r="V1102">
        <f>IF(V1104&gt;10000,HLOOKUP(V1104,$O1100:U1103,4,FALSE),IF(OR(AND(22500&lt;V1100,V1100&lt;25001),AND(50000&lt;V1100,V1100&lt;53501),AND(70000&lt;V1100,V1100&lt;72501)),$F1100,IF(OR(AND(25001&lt;V1100,V1100&lt;27501),AND(53500&lt;V1100,V1100&lt;57001),AND(72500&lt;V1100,V1100&lt;75001)),$G1100,IF(OR(AND(27500&lt;V1100,V1100&lt;30001),AND(57000&lt;V1100,V1100&lt;60001),AND(75000&lt;V1100,V1100&lt;77500)),$H1100,VLOOKUP(V1100,BDins,6,FALSE)))))</f>
        <v>20.619999999999997</v>
      </c>
    </row>
    <row r="1103" spans="1:22" x14ac:dyDescent="0.2">
      <c r="O1103">
        <f t="shared" ref="O1103:V1103" si="158">IF($K1100&gt;0,ROUND(O1101*$E1100/100,DpCU),IF(O1104&gt;10000,ROUND(HLOOKUP(O1104,$O1100:$V1103,4,FALSE)/100*O1101,DpCU),IF(OR(O1100&lt;20001,O1100&gt;95000,AND(60000&lt;O1100,O1100&lt;70001)),ROUND(ROUND(O1101*JL/$C1100,DcCU)*O1102,DpCU),IF(OR(AND(20000&lt;O1100,O1100&lt;22501),AND(30000&lt;O1100,O1100&lt;50001),77500&lt;O1100),ROUND(O1102*O1101,DpCU),IF(OR(AND(22500&lt;O1100,O1100&lt;25001),AND(50000&lt;O1100,O1100&lt;53501),AND(70000&lt;O1100,O1100&lt;72501)),ROUND($F1100/100*O1101,DpCU),IF(OR(AND(25000&lt;O1100,O1100&lt;27501),AND(53500&lt;O1100,O1100&lt;57001),AND(72500&lt;O1100,O1100&lt;75001)),ROUND($G1100/100*O1101,DpCU),ROUND($H1100/100*O1101,DpCU)))))))</f>
        <v>1.33</v>
      </c>
      <c r="P1103">
        <f t="shared" si="158"/>
        <v>11.1</v>
      </c>
      <c r="Q1103">
        <f t="shared" si="158"/>
        <v>8.19</v>
      </c>
      <c r="R1103">
        <f t="shared" si="158"/>
        <v>0.6</v>
      </c>
      <c r="S1103">
        <f t="shared" si="158"/>
        <v>2.25</v>
      </c>
      <c r="T1103">
        <f t="shared" si="158"/>
        <v>22.5</v>
      </c>
      <c r="U1103">
        <f t="shared" si="158"/>
        <v>9.8000000000000007</v>
      </c>
      <c r="V1103">
        <f t="shared" si="158"/>
        <v>1.03</v>
      </c>
    </row>
    <row r="1104" spans="1:22" x14ac:dyDescent="0.2">
      <c r="B1104" s="3" t="str">
        <f>A1100&amp;"r"</f>
        <v>10220r</v>
      </c>
    </row>
    <row r="1105" spans="1:22" x14ac:dyDescent="0.2">
      <c r="A1105">
        <v>10221</v>
      </c>
      <c r="B1105" s="3" t="s">
        <v>1132</v>
      </c>
      <c r="C1105" s="1">
        <f>ROUND(J1105*JL*Frto/8,4)</f>
        <v>15</v>
      </c>
      <c r="D1105" t="s">
        <v>194</v>
      </c>
      <c r="E1105">
        <f>SUM($O1108:$V1108)</f>
        <v>50.25</v>
      </c>
      <c r="F1105">
        <f>SUMIF($O1105:$V1105,"&lt;22501",$O1108:$V1108)</f>
        <v>20.619999999999997</v>
      </c>
      <c r="G1105">
        <f>SUMIFS($O1108:$V1108,$O1105:$V1105,"&gt;30000",$O1105:$V1105,"&lt;50001")</f>
        <v>28.6</v>
      </c>
      <c r="H1105">
        <f>SUMIFS($O1108:$V1108,$O1105:$V1105,"&gt;60000",$O1105:$V1105,"&lt;70001")</f>
        <v>0</v>
      </c>
      <c r="I1105">
        <v>8</v>
      </c>
      <c r="J1105">
        <v>15</v>
      </c>
      <c r="O1105">
        <v>10001</v>
      </c>
      <c r="P1105">
        <v>10002</v>
      </c>
      <c r="Q1105">
        <v>10003</v>
      </c>
      <c r="R1105">
        <v>30265</v>
      </c>
      <c r="S1105">
        <v>30285</v>
      </c>
      <c r="T1105">
        <v>30288</v>
      </c>
      <c r="U1105">
        <v>30289</v>
      </c>
      <c r="V1105">
        <v>70001</v>
      </c>
    </row>
    <row r="1106" spans="1:22" x14ac:dyDescent="0.2">
      <c r="B1106" s="3" t="str">
        <f>A1105&amp;"C"</f>
        <v>10221C</v>
      </c>
      <c r="O1106">
        <v>0.1</v>
      </c>
      <c r="P1106">
        <v>1</v>
      </c>
      <c r="Q1106">
        <v>1</v>
      </c>
      <c r="R1106">
        <v>0.02</v>
      </c>
      <c r="S1106">
        <v>0.75</v>
      </c>
      <c r="T1106">
        <v>0.75</v>
      </c>
      <c r="U1106">
        <v>0.35</v>
      </c>
      <c r="V1106">
        <v>5</v>
      </c>
    </row>
    <row r="1107" spans="1:22" x14ac:dyDescent="0.2">
      <c r="O1107">
        <f>IF(O1109&gt;10000,HLOOKUP(O1109,N1105:$O1108,4,FALSE),IF(OR(AND(22500&lt;O1105,O1105&lt;25001),AND(50000&lt;O1105,O1105&lt;53501),AND(70000&lt;O1105,O1105&lt;72501)),$F1105,IF(OR(AND(25001&lt;O1105,O1105&lt;27501),AND(53500&lt;O1105,O1105&lt;57001),AND(72500&lt;O1105,O1105&lt;75001)),$G1105,IF(OR(AND(27500&lt;O1105,O1105&lt;30001),AND(57000&lt;O1105,O1105&lt;60001),AND(75000&lt;O1105,O1105&lt;77500)),$H1105,VLOOKUP(O1105,BDins,6,FALSE)))))</f>
        <v>24.97</v>
      </c>
      <c r="P1107">
        <f>IF(P1109&gt;10000,HLOOKUP(P1109,O1105:$O1108,4,FALSE),IF(OR(AND(22500&lt;P1105,P1105&lt;25001),AND(50000&lt;P1105,P1105&lt;53501),AND(70000&lt;P1105,P1105&lt;72501)),$F1105,IF(OR(AND(25001&lt;P1105,P1105&lt;27501),AND(53500&lt;P1105,P1105&lt;57001),AND(72500&lt;P1105,P1105&lt;75001)),$G1105,IF(OR(AND(27500&lt;P1105,P1105&lt;30001),AND(57000&lt;P1105,P1105&lt;60001),AND(75000&lt;P1105,P1105&lt;77500)),$H1105,VLOOKUP(P1105,BDins,6,FALSE)))))</f>
        <v>20.81</v>
      </c>
      <c r="Q1107">
        <f>IF(Q1109&gt;10000,HLOOKUP(Q1109,$O1105:P1108,4,FALSE),IF(OR(AND(22500&lt;Q1105,Q1105&lt;25001),AND(50000&lt;Q1105,Q1105&lt;53501),AND(70000&lt;Q1105,Q1105&lt;72501)),$F1105,IF(OR(AND(25001&lt;Q1105,Q1105&lt;27501),AND(53500&lt;Q1105,Q1105&lt;57001),AND(72500&lt;Q1105,Q1105&lt;75001)),$G1105,IF(OR(AND(27500&lt;Q1105,Q1105&lt;30001),AND(57000&lt;Q1105,Q1105&lt;60001),AND(75000&lt;Q1105,Q1105&lt;77500)),$H1105,VLOOKUP(Q1105,BDins,6,FALSE)))))</f>
        <v>15.36</v>
      </c>
      <c r="R1107">
        <f>IF(R1109&gt;10000,HLOOKUP(R1109,$O1105:Q1108,4,FALSE),IF(OR(AND(22500&lt;R1105,R1105&lt;25001),AND(50000&lt;R1105,R1105&lt;53501),AND(70000&lt;R1105,R1105&lt;72501)),$F1105,IF(OR(AND(25001&lt;R1105,R1105&lt;27501),AND(53500&lt;R1105,R1105&lt;57001),AND(72500&lt;R1105,R1105&lt;75001)),$G1105,IF(OR(AND(27500&lt;R1105,R1105&lt;30001),AND(57000&lt;R1105,R1105&lt;60001),AND(75000&lt;R1105,R1105&lt;77500)),$H1105,VLOOKUP(R1105,BDins,6,FALSE)))))</f>
        <v>30</v>
      </c>
      <c r="S1107">
        <f>IF(S1109&gt;10000,HLOOKUP(S1109,$O1105:R1108,4,FALSE),IF(OR(AND(22500&lt;S1105,S1105&lt;25001),AND(50000&lt;S1105,S1105&lt;53501),AND(70000&lt;S1105,S1105&lt;72501)),$F1105,IF(OR(AND(25001&lt;S1105,S1105&lt;27501),AND(53500&lt;S1105,S1105&lt;57001),AND(72500&lt;S1105,S1105&lt;75001)),$G1105,IF(OR(AND(27500&lt;S1105,S1105&lt;30001),AND(57000&lt;S1105,S1105&lt;60001),AND(75000&lt;S1105,S1105&lt;77500)),$H1105,VLOOKUP(S1105,BDins,6,FALSE)))))</f>
        <v>3</v>
      </c>
      <c r="T1107">
        <f>IF(T1109&gt;10000,HLOOKUP(T1109,$O1105:S1108,4,FALSE),IF(OR(AND(22500&lt;T1105,T1105&lt;25001),AND(50000&lt;T1105,T1105&lt;53501),AND(70000&lt;T1105,T1105&lt;72501)),$F1105,IF(OR(AND(25001&lt;T1105,T1105&lt;27501),AND(53500&lt;T1105,T1105&lt;57001),AND(72500&lt;T1105,T1105&lt;75001)),$G1105,IF(OR(AND(27500&lt;T1105,T1105&lt;30001),AND(57000&lt;T1105,T1105&lt;60001),AND(75000&lt;T1105,T1105&lt;77500)),$H1105,VLOOKUP(T1105,BDins,6,FALSE)))))</f>
        <v>25</v>
      </c>
      <c r="U1107">
        <f>IF(U1109&gt;10000,HLOOKUP(U1109,$O1105:T1108,4,FALSE),IF(OR(AND(22500&lt;U1105,U1105&lt;25001),AND(50000&lt;U1105,U1105&lt;53501),AND(70000&lt;U1105,U1105&lt;72501)),$F1105,IF(OR(AND(25001&lt;U1105,U1105&lt;27501),AND(53500&lt;U1105,U1105&lt;57001),AND(72500&lt;U1105,U1105&lt;75001)),$G1105,IF(OR(AND(27500&lt;U1105,U1105&lt;30001),AND(57000&lt;U1105,U1105&lt;60001),AND(75000&lt;U1105,U1105&lt;77500)),$H1105,VLOOKUP(U1105,BDins,6,FALSE)))))</f>
        <v>20</v>
      </c>
      <c r="V1107">
        <f>IF(V1109&gt;10000,HLOOKUP(V1109,$O1105:U1108,4,FALSE),IF(OR(AND(22500&lt;V1105,V1105&lt;25001),AND(50000&lt;V1105,V1105&lt;53501),AND(70000&lt;V1105,V1105&lt;72501)),$F1105,IF(OR(AND(25001&lt;V1105,V1105&lt;27501),AND(53500&lt;V1105,V1105&lt;57001),AND(72500&lt;V1105,V1105&lt;75001)),$G1105,IF(OR(AND(27500&lt;V1105,V1105&lt;30001),AND(57000&lt;V1105,V1105&lt;60001),AND(75000&lt;V1105,V1105&lt;77500)),$H1105,VLOOKUP(V1105,BDins,6,FALSE)))))</f>
        <v>20.619999999999997</v>
      </c>
    </row>
    <row r="1108" spans="1:22" x14ac:dyDescent="0.2">
      <c r="O1108">
        <f t="shared" ref="O1108:V1108" si="159">IF($K1105&gt;0,ROUND(O1106*$E1105/100,DpCU),IF(O1109&gt;10000,ROUND(HLOOKUP(O1109,$O1105:$V1108,4,FALSE)/100*O1106,DpCU),IF(OR(O1105&lt;20001,O1105&gt;95000,AND(60000&lt;O1105,O1105&lt;70001)),ROUND(ROUND(O1106*JL/$C1105,DcCU)*O1107,DpCU),IF(OR(AND(20000&lt;O1105,O1105&lt;22501),AND(30000&lt;O1105,O1105&lt;50001),77500&lt;O1105),ROUND(O1107*O1106,DpCU),IF(OR(AND(22500&lt;O1105,O1105&lt;25001),AND(50000&lt;O1105,O1105&lt;53501),AND(70000&lt;O1105,O1105&lt;72501)),ROUND($F1105/100*O1106,DpCU),IF(OR(AND(25000&lt;O1105,O1105&lt;27501),AND(53500&lt;O1105,O1105&lt;57001),AND(72500&lt;O1105,O1105&lt;75001)),ROUND($G1105/100*O1106,DpCU),ROUND($H1105/100*O1106,DpCU)))))))</f>
        <v>1.33</v>
      </c>
      <c r="P1108">
        <f t="shared" si="159"/>
        <v>11.1</v>
      </c>
      <c r="Q1108">
        <f t="shared" si="159"/>
        <v>8.19</v>
      </c>
      <c r="R1108">
        <f t="shared" si="159"/>
        <v>0.6</v>
      </c>
      <c r="S1108">
        <f t="shared" si="159"/>
        <v>2.25</v>
      </c>
      <c r="T1108">
        <f t="shared" si="159"/>
        <v>18.75</v>
      </c>
      <c r="U1108">
        <f t="shared" si="159"/>
        <v>7</v>
      </c>
      <c r="V1108">
        <f t="shared" si="159"/>
        <v>1.03</v>
      </c>
    </row>
    <row r="1109" spans="1:22" x14ac:dyDescent="0.2">
      <c r="B1109" s="3" t="str">
        <f>A1105&amp;"r"</f>
        <v>10221r</v>
      </c>
    </row>
    <row r="1110" spans="1:22" x14ac:dyDescent="0.2">
      <c r="A1110">
        <v>10222</v>
      </c>
      <c r="B1110" s="3" t="s">
        <v>1136</v>
      </c>
      <c r="C1110" s="1">
        <f>ROUND(J1110*JL*Frto/8,4)</f>
        <v>15</v>
      </c>
      <c r="D1110" t="s">
        <v>194</v>
      </c>
      <c r="E1110">
        <f>SUM($O1113:$V1113)</f>
        <v>48.5</v>
      </c>
      <c r="F1110">
        <f>SUMIF($O1110:$V1110,"&lt;22501",$O1113:$V1113)</f>
        <v>20.619999999999997</v>
      </c>
      <c r="G1110">
        <f>SUMIFS($O1113:$V1113,$O1110:$V1110,"&gt;30000",$O1110:$V1110,"&lt;50001")</f>
        <v>26.85</v>
      </c>
      <c r="H1110">
        <f>SUMIFS($O1113:$V1113,$O1110:$V1110,"&gt;60000",$O1110:$V1110,"&lt;70001")</f>
        <v>0</v>
      </c>
      <c r="I1110">
        <v>8</v>
      </c>
      <c r="J1110">
        <v>15</v>
      </c>
      <c r="O1110">
        <v>10001</v>
      </c>
      <c r="P1110">
        <v>10002</v>
      </c>
      <c r="Q1110">
        <v>10003</v>
      </c>
      <c r="R1110">
        <v>30265</v>
      </c>
      <c r="S1110">
        <v>30285</v>
      </c>
      <c r="T1110">
        <v>30290</v>
      </c>
      <c r="U1110">
        <v>30291</v>
      </c>
      <c r="V1110">
        <v>70001</v>
      </c>
    </row>
    <row r="1111" spans="1:22" x14ac:dyDescent="0.2">
      <c r="B1111" s="3" t="str">
        <f>A1110&amp;"C"</f>
        <v>10222C</v>
      </c>
      <c r="O1111">
        <v>0.1</v>
      </c>
      <c r="P1111">
        <v>1</v>
      </c>
      <c r="Q1111">
        <v>1</v>
      </c>
      <c r="R1111">
        <v>0.02</v>
      </c>
      <c r="S1111">
        <v>0.75</v>
      </c>
      <c r="T1111">
        <v>0.75</v>
      </c>
      <c r="U1111">
        <v>0.35</v>
      </c>
      <c r="V1111">
        <v>5</v>
      </c>
    </row>
    <row r="1112" spans="1:22" x14ac:dyDescent="0.2">
      <c r="O1112">
        <f>IF(O1114&gt;10000,HLOOKUP(O1114,N1110:$O1113,4,FALSE),IF(OR(AND(22500&lt;O1110,O1110&lt;25001),AND(50000&lt;O1110,O1110&lt;53501),AND(70000&lt;O1110,O1110&lt;72501)),$F1110,IF(OR(AND(25001&lt;O1110,O1110&lt;27501),AND(53500&lt;O1110,O1110&lt;57001),AND(72500&lt;O1110,O1110&lt;75001)),$G1110,IF(OR(AND(27500&lt;O1110,O1110&lt;30001),AND(57000&lt;O1110,O1110&lt;60001),AND(75000&lt;O1110,O1110&lt;77500)),$H1110,VLOOKUP(O1110,BDins,6,FALSE)))))</f>
        <v>24.97</v>
      </c>
      <c r="P1112">
        <f>IF(P1114&gt;10000,HLOOKUP(P1114,O1110:$O1113,4,FALSE),IF(OR(AND(22500&lt;P1110,P1110&lt;25001),AND(50000&lt;P1110,P1110&lt;53501),AND(70000&lt;P1110,P1110&lt;72501)),$F1110,IF(OR(AND(25001&lt;P1110,P1110&lt;27501),AND(53500&lt;P1110,P1110&lt;57001),AND(72500&lt;P1110,P1110&lt;75001)),$G1110,IF(OR(AND(27500&lt;P1110,P1110&lt;30001),AND(57000&lt;P1110,P1110&lt;60001),AND(75000&lt;P1110,P1110&lt;77500)),$H1110,VLOOKUP(P1110,BDins,6,FALSE)))))</f>
        <v>20.81</v>
      </c>
      <c r="Q1112">
        <f>IF(Q1114&gt;10000,HLOOKUP(Q1114,$O1110:P1113,4,FALSE),IF(OR(AND(22500&lt;Q1110,Q1110&lt;25001),AND(50000&lt;Q1110,Q1110&lt;53501),AND(70000&lt;Q1110,Q1110&lt;72501)),$F1110,IF(OR(AND(25001&lt;Q1110,Q1110&lt;27501),AND(53500&lt;Q1110,Q1110&lt;57001),AND(72500&lt;Q1110,Q1110&lt;75001)),$G1110,IF(OR(AND(27500&lt;Q1110,Q1110&lt;30001),AND(57000&lt;Q1110,Q1110&lt;60001),AND(75000&lt;Q1110,Q1110&lt;77500)),$H1110,VLOOKUP(Q1110,BDins,6,FALSE)))))</f>
        <v>15.36</v>
      </c>
      <c r="R1112">
        <f>IF(R1114&gt;10000,HLOOKUP(R1114,$O1110:Q1113,4,FALSE),IF(OR(AND(22500&lt;R1110,R1110&lt;25001),AND(50000&lt;R1110,R1110&lt;53501),AND(70000&lt;R1110,R1110&lt;72501)),$F1110,IF(OR(AND(25001&lt;R1110,R1110&lt;27501),AND(53500&lt;R1110,R1110&lt;57001),AND(72500&lt;R1110,R1110&lt;75001)),$G1110,IF(OR(AND(27500&lt;R1110,R1110&lt;30001),AND(57000&lt;R1110,R1110&lt;60001),AND(75000&lt;R1110,R1110&lt;77500)),$H1110,VLOOKUP(R1110,BDins,6,FALSE)))))</f>
        <v>30</v>
      </c>
      <c r="S1112">
        <f>IF(S1114&gt;10000,HLOOKUP(S1114,$O1110:R1113,4,FALSE),IF(OR(AND(22500&lt;S1110,S1110&lt;25001),AND(50000&lt;S1110,S1110&lt;53501),AND(70000&lt;S1110,S1110&lt;72501)),$F1110,IF(OR(AND(25001&lt;S1110,S1110&lt;27501),AND(53500&lt;S1110,S1110&lt;57001),AND(72500&lt;S1110,S1110&lt;75001)),$G1110,IF(OR(AND(27500&lt;S1110,S1110&lt;30001),AND(57000&lt;S1110,S1110&lt;60001),AND(75000&lt;S1110,S1110&lt;77500)),$H1110,VLOOKUP(S1110,BDins,6,FALSE)))))</f>
        <v>3</v>
      </c>
      <c r="T1112">
        <f>IF(T1114&gt;10000,HLOOKUP(T1114,$O1110:S1113,4,FALSE),IF(OR(AND(22500&lt;T1110,T1110&lt;25001),AND(50000&lt;T1110,T1110&lt;53501),AND(70000&lt;T1110,T1110&lt;72501)),$F1110,IF(OR(AND(25001&lt;T1110,T1110&lt;27501),AND(53500&lt;T1110,T1110&lt;57001),AND(72500&lt;T1110,T1110&lt;75001)),$G1110,IF(OR(AND(27500&lt;T1110,T1110&lt;30001),AND(57000&lt;T1110,T1110&lt;60001),AND(75000&lt;T1110,T1110&lt;77500)),$H1110,VLOOKUP(T1110,BDins,6,FALSE)))))</f>
        <v>25</v>
      </c>
      <c r="U1112">
        <f>IF(U1114&gt;10000,HLOOKUP(U1114,$O1110:T1113,4,FALSE),IF(OR(AND(22500&lt;U1110,U1110&lt;25001),AND(50000&lt;U1110,U1110&lt;53501),AND(70000&lt;U1110,U1110&lt;72501)),$F1110,IF(OR(AND(25001&lt;U1110,U1110&lt;27501),AND(53500&lt;U1110,U1110&lt;57001),AND(72500&lt;U1110,U1110&lt;75001)),$G1110,IF(OR(AND(27500&lt;U1110,U1110&lt;30001),AND(57000&lt;U1110,U1110&lt;60001),AND(75000&lt;U1110,U1110&lt;77500)),$H1110,VLOOKUP(U1110,BDins,6,FALSE)))))</f>
        <v>15</v>
      </c>
      <c r="V1112">
        <f>IF(V1114&gt;10000,HLOOKUP(V1114,$O1110:U1113,4,FALSE),IF(OR(AND(22500&lt;V1110,V1110&lt;25001),AND(50000&lt;V1110,V1110&lt;53501),AND(70000&lt;V1110,V1110&lt;72501)),$F1110,IF(OR(AND(25001&lt;V1110,V1110&lt;27501),AND(53500&lt;V1110,V1110&lt;57001),AND(72500&lt;V1110,V1110&lt;75001)),$G1110,IF(OR(AND(27500&lt;V1110,V1110&lt;30001),AND(57000&lt;V1110,V1110&lt;60001),AND(75000&lt;V1110,V1110&lt;77500)),$H1110,VLOOKUP(V1110,BDins,6,FALSE)))))</f>
        <v>20.619999999999997</v>
      </c>
    </row>
    <row r="1113" spans="1:22" x14ac:dyDescent="0.2">
      <c r="O1113">
        <f t="shared" ref="O1113:V1113" si="160">IF($K1110&gt;0,ROUND(O1111*$E1110/100,DpCU),IF(O1114&gt;10000,ROUND(HLOOKUP(O1114,$O1110:$V1113,4,FALSE)/100*O1111,DpCU),IF(OR(O1110&lt;20001,O1110&gt;95000,AND(60000&lt;O1110,O1110&lt;70001)),ROUND(ROUND(O1111*JL/$C1110,DcCU)*O1112,DpCU),IF(OR(AND(20000&lt;O1110,O1110&lt;22501),AND(30000&lt;O1110,O1110&lt;50001),77500&lt;O1110),ROUND(O1112*O1111,DpCU),IF(OR(AND(22500&lt;O1110,O1110&lt;25001),AND(50000&lt;O1110,O1110&lt;53501),AND(70000&lt;O1110,O1110&lt;72501)),ROUND($F1110/100*O1111,DpCU),IF(OR(AND(25000&lt;O1110,O1110&lt;27501),AND(53500&lt;O1110,O1110&lt;57001),AND(72500&lt;O1110,O1110&lt;75001)),ROUND($G1110/100*O1111,DpCU),ROUND($H1110/100*O1111,DpCU)))))))</f>
        <v>1.33</v>
      </c>
      <c r="P1113">
        <f t="shared" si="160"/>
        <v>11.1</v>
      </c>
      <c r="Q1113">
        <f t="shared" si="160"/>
        <v>8.19</v>
      </c>
      <c r="R1113">
        <f t="shared" si="160"/>
        <v>0.6</v>
      </c>
      <c r="S1113">
        <f t="shared" si="160"/>
        <v>2.25</v>
      </c>
      <c r="T1113">
        <f t="shared" si="160"/>
        <v>18.75</v>
      </c>
      <c r="U1113">
        <f t="shared" si="160"/>
        <v>5.25</v>
      </c>
      <c r="V1113">
        <f t="shared" si="160"/>
        <v>1.03</v>
      </c>
    </row>
    <row r="1114" spans="1:22" x14ac:dyDescent="0.2">
      <c r="B1114" s="3" t="str">
        <f>A1110&amp;"r"</f>
        <v>10222r</v>
      </c>
    </row>
    <row r="1115" spans="1:22" x14ac:dyDescent="0.2">
      <c r="A1115">
        <v>10223</v>
      </c>
      <c r="B1115" s="3" t="s">
        <v>1140</v>
      </c>
      <c r="C1115" s="1">
        <f>ROUND(J1115*JL*Frto/8,4)</f>
        <v>15</v>
      </c>
      <c r="D1115" t="s">
        <v>194</v>
      </c>
      <c r="E1115">
        <f>SUM($O1118:$T1118)</f>
        <v>27.959999999999997</v>
      </c>
      <c r="F1115">
        <f>SUMIF($O1115:$T1115,"&lt;22501",$O1118:$T1118)</f>
        <v>20.619999999999997</v>
      </c>
      <c r="G1115">
        <f>SUMIFS($O1118:$T1118,$O1115:$T1115,"&gt;30000",$O1115:$T1115,"&lt;50001")</f>
        <v>6.31</v>
      </c>
      <c r="H1115">
        <f>SUMIFS($O1118:$T1118,$O1115:$T1115,"&gt;60000",$O1115:$T1115,"&lt;70001")</f>
        <v>0</v>
      </c>
      <c r="I1115">
        <v>6</v>
      </c>
      <c r="J1115">
        <v>15</v>
      </c>
      <c r="O1115">
        <v>10001</v>
      </c>
      <c r="P1115">
        <v>10002</v>
      </c>
      <c r="Q1115">
        <v>10003</v>
      </c>
      <c r="R1115">
        <v>30265</v>
      </c>
      <c r="S1115">
        <v>30272</v>
      </c>
      <c r="T1115">
        <v>70001</v>
      </c>
    </row>
    <row r="1116" spans="1:22" x14ac:dyDescent="0.2">
      <c r="B1116" s="3" t="str">
        <f>A1115&amp;"C"</f>
        <v>10223C</v>
      </c>
      <c r="O1116">
        <v>0.1</v>
      </c>
      <c r="P1116">
        <v>1</v>
      </c>
      <c r="Q1116">
        <v>1</v>
      </c>
      <c r="R1116">
        <v>6.0000000000000001E-3</v>
      </c>
      <c r="S1116">
        <v>1.03</v>
      </c>
      <c r="T1116">
        <v>5</v>
      </c>
    </row>
    <row r="1117" spans="1:22" x14ac:dyDescent="0.2">
      <c r="O1117">
        <f>IF(O1119&gt;10000,HLOOKUP(O1119,N1115:$O1118,4,FALSE),IF(OR(AND(22500&lt;O1115,O1115&lt;25001),AND(50000&lt;O1115,O1115&lt;53501),AND(70000&lt;O1115,O1115&lt;72501)),$F1115,IF(OR(AND(25001&lt;O1115,O1115&lt;27501),AND(53500&lt;O1115,O1115&lt;57001),AND(72500&lt;O1115,O1115&lt;75001)),$G1115,IF(OR(AND(27500&lt;O1115,O1115&lt;30001),AND(57000&lt;O1115,O1115&lt;60001),AND(75000&lt;O1115,O1115&lt;77500)),$H1115,VLOOKUP(O1115,BDins,6,FALSE)))))</f>
        <v>24.97</v>
      </c>
      <c r="P1117">
        <f>IF(P1119&gt;10000,HLOOKUP(P1119,O1115:$O1118,4,FALSE),IF(OR(AND(22500&lt;P1115,P1115&lt;25001),AND(50000&lt;P1115,P1115&lt;53501),AND(70000&lt;P1115,P1115&lt;72501)),$F1115,IF(OR(AND(25001&lt;P1115,P1115&lt;27501),AND(53500&lt;P1115,P1115&lt;57001),AND(72500&lt;P1115,P1115&lt;75001)),$G1115,IF(OR(AND(27500&lt;P1115,P1115&lt;30001),AND(57000&lt;P1115,P1115&lt;60001),AND(75000&lt;P1115,P1115&lt;77500)),$H1115,VLOOKUP(P1115,BDins,6,FALSE)))))</f>
        <v>20.81</v>
      </c>
      <c r="Q1117">
        <f>IF(Q1119&gt;10000,HLOOKUP(Q1119,$O1115:P1118,4,FALSE),IF(OR(AND(22500&lt;Q1115,Q1115&lt;25001),AND(50000&lt;Q1115,Q1115&lt;53501),AND(70000&lt;Q1115,Q1115&lt;72501)),$F1115,IF(OR(AND(25001&lt;Q1115,Q1115&lt;27501),AND(53500&lt;Q1115,Q1115&lt;57001),AND(72500&lt;Q1115,Q1115&lt;75001)),$G1115,IF(OR(AND(27500&lt;Q1115,Q1115&lt;30001),AND(57000&lt;Q1115,Q1115&lt;60001),AND(75000&lt;Q1115,Q1115&lt;77500)),$H1115,VLOOKUP(Q1115,BDins,6,FALSE)))))</f>
        <v>15.36</v>
      </c>
      <c r="R1117">
        <f>IF(R1119&gt;10000,HLOOKUP(R1119,$O1115:Q1118,4,FALSE),IF(OR(AND(22500&lt;R1115,R1115&lt;25001),AND(50000&lt;R1115,R1115&lt;53501),AND(70000&lt;R1115,R1115&lt;72501)),$F1115,IF(OR(AND(25001&lt;R1115,R1115&lt;27501),AND(53500&lt;R1115,R1115&lt;57001),AND(72500&lt;R1115,R1115&lt;75001)),$G1115,IF(OR(AND(27500&lt;R1115,R1115&lt;30001),AND(57000&lt;R1115,R1115&lt;60001),AND(75000&lt;R1115,R1115&lt;77500)),$H1115,VLOOKUP(R1115,BDins,6,FALSE)))))</f>
        <v>30</v>
      </c>
      <c r="S1117">
        <f>IF(S1119&gt;10000,HLOOKUP(S1119,$O1115:R1118,4,FALSE),IF(OR(AND(22500&lt;S1115,S1115&lt;25001),AND(50000&lt;S1115,S1115&lt;53501),AND(70000&lt;S1115,S1115&lt;72501)),$F1115,IF(OR(AND(25001&lt;S1115,S1115&lt;27501),AND(53500&lt;S1115,S1115&lt;57001),AND(72500&lt;S1115,S1115&lt;75001)),$G1115,IF(OR(AND(27500&lt;S1115,S1115&lt;30001),AND(57000&lt;S1115,S1115&lt;60001),AND(75000&lt;S1115,S1115&lt;77500)),$H1115,VLOOKUP(S1115,BDins,6,FALSE)))))</f>
        <v>5.95</v>
      </c>
      <c r="T1117">
        <f>IF(T1119&gt;10000,HLOOKUP(T1119,$O1115:S1118,4,FALSE),IF(OR(AND(22500&lt;T1115,T1115&lt;25001),AND(50000&lt;T1115,T1115&lt;53501),AND(70000&lt;T1115,T1115&lt;72501)),$F1115,IF(OR(AND(25001&lt;T1115,T1115&lt;27501),AND(53500&lt;T1115,T1115&lt;57001),AND(72500&lt;T1115,T1115&lt;75001)),$G1115,IF(OR(AND(27500&lt;T1115,T1115&lt;30001),AND(57000&lt;T1115,T1115&lt;60001),AND(75000&lt;T1115,T1115&lt;77500)),$H1115,VLOOKUP(T1115,BDins,6,FALSE)))))</f>
        <v>20.619999999999997</v>
      </c>
    </row>
    <row r="1118" spans="1:22" x14ac:dyDescent="0.2">
      <c r="O1118">
        <f t="shared" ref="O1118:T1118" si="161">IF($K1115&gt;0,ROUND(O1116*$E1115/100,DpCU),IF(O1119&gt;10000,ROUND(HLOOKUP(O1119,$O1115:$T1118,4,FALSE)/100*O1116,DpCU),IF(OR(O1115&lt;20001,O1115&gt;95000,AND(60000&lt;O1115,O1115&lt;70001)),ROUND(ROUND(O1116*JL/$C1115,DcCU)*O1117,DpCU),IF(OR(AND(20000&lt;O1115,O1115&lt;22501),AND(30000&lt;O1115,O1115&lt;50001),77500&lt;O1115),ROUND(O1117*O1116,DpCU),IF(OR(AND(22500&lt;O1115,O1115&lt;25001),AND(50000&lt;O1115,O1115&lt;53501),AND(70000&lt;O1115,O1115&lt;72501)),ROUND($F1115/100*O1116,DpCU),IF(OR(AND(25000&lt;O1115,O1115&lt;27501),AND(53500&lt;O1115,O1115&lt;57001),AND(72500&lt;O1115,O1115&lt;75001)),ROUND($G1115/100*O1116,DpCU),ROUND($H1115/100*O1116,DpCU)))))))</f>
        <v>1.33</v>
      </c>
      <c r="P1118">
        <f t="shared" si="161"/>
        <v>11.1</v>
      </c>
      <c r="Q1118">
        <f t="shared" si="161"/>
        <v>8.19</v>
      </c>
      <c r="R1118">
        <f t="shared" si="161"/>
        <v>0.18</v>
      </c>
      <c r="S1118">
        <f t="shared" si="161"/>
        <v>6.13</v>
      </c>
      <c r="T1118">
        <f t="shared" si="161"/>
        <v>1.03</v>
      </c>
    </row>
    <row r="1119" spans="1:22" x14ac:dyDescent="0.2">
      <c r="B1119" s="3" t="str">
        <f>A1115&amp;"r"</f>
        <v>10223r</v>
      </c>
    </row>
    <row r="1120" spans="1:22" x14ac:dyDescent="0.2">
      <c r="A1120">
        <v>10224</v>
      </c>
      <c r="B1120" s="3" t="s">
        <v>1142</v>
      </c>
      <c r="C1120" s="1">
        <f>ROUND(J1120*JL*Frto/8,4)</f>
        <v>15</v>
      </c>
      <c r="D1120" t="s">
        <v>194</v>
      </c>
      <c r="E1120">
        <f>SUM($O1123:$T1123)</f>
        <v>25.63</v>
      </c>
      <c r="F1120">
        <f>SUMIF($O1120:$T1120,"&lt;22501",$O1123:$T1123)</f>
        <v>20.619999999999997</v>
      </c>
      <c r="G1120">
        <f>SUMIFS($O1123:$T1123,$O1120:$T1120,"&gt;30000",$O1120:$T1120,"&lt;50001")</f>
        <v>4.8</v>
      </c>
      <c r="H1120">
        <f>SUMIFS($O1123:$T1123,$O1120:$T1120,"&gt;60000",$O1120:$T1120,"&lt;70001")</f>
        <v>0</v>
      </c>
      <c r="I1120">
        <v>6</v>
      </c>
      <c r="J1120">
        <v>15</v>
      </c>
      <c r="O1120">
        <v>10001</v>
      </c>
      <c r="P1120">
        <v>10002</v>
      </c>
      <c r="Q1120">
        <v>10003</v>
      </c>
      <c r="R1120">
        <v>30265</v>
      </c>
      <c r="S1120">
        <v>30277</v>
      </c>
      <c r="T1120">
        <v>70001</v>
      </c>
    </row>
    <row r="1121" spans="1:21" x14ac:dyDescent="0.2">
      <c r="B1121" s="3" t="str">
        <f>A1120&amp;"C"</f>
        <v>10224C</v>
      </c>
      <c r="O1121">
        <v>0.1</v>
      </c>
      <c r="P1121">
        <v>1</v>
      </c>
      <c r="Q1121">
        <v>1</v>
      </c>
      <c r="R1121">
        <v>0.02</v>
      </c>
      <c r="S1121">
        <v>1.05</v>
      </c>
      <c r="T1121">
        <v>1</v>
      </c>
    </row>
    <row r="1122" spans="1:21" x14ac:dyDescent="0.2">
      <c r="O1122">
        <f>IF(O1124&gt;10000,HLOOKUP(O1124,N1120:$O1123,4,FALSE),IF(OR(AND(22500&lt;O1120,O1120&lt;25001),AND(50000&lt;O1120,O1120&lt;53501),AND(70000&lt;O1120,O1120&lt;72501)),$F1120,IF(OR(AND(25001&lt;O1120,O1120&lt;27501),AND(53500&lt;O1120,O1120&lt;57001),AND(72500&lt;O1120,O1120&lt;75001)),$G1120,IF(OR(AND(27500&lt;O1120,O1120&lt;30001),AND(57000&lt;O1120,O1120&lt;60001),AND(75000&lt;O1120,O1120&lt;77500)),$H1120,VLOOKUP(O1120,BDins,6,FALSE)))))</f>
        <v>24.97</v>
      </c>
      <c r="P1122">
        <f>IF(P1124&gt;10000,HLOOKUP(P1124,O1120:$O1123,4,FALSE),IF(OR(AND(22500&lt;P1120,P1120&lt;25001),AND(50000&lt;P1120,P1120&lt;53501),AND(70000&lt;P1120,P1120&lt;72501)),$F1120,IF(OR(AND(25001&lt;P1120,P1120&lt;27501),AND(53500&lt;P1120,P1120&lt;57001),AND(72500&lt;P1120,P1120&lt;75001)),$G1120,IF(OR(AND(27500&lt;P1120,P1120&lt;30001),AND(57000&lt;P1120,P1120&lt;60001),AND(75000&lt;P1120,P1120&lt;77500)),$H1120,VLOOKUP(P1120,BDins,6,FALSE)))))</f>
        <v>20.81</v>
      </c>
      <c r="Q1122">
        <f>IF(Q1124&gt;10000,HLOOKUP(Q1124,$O1120:P1123,4,FALSE),IF(OR(AND(22500&lt;Q1120,Q1120&lt;25001),AND(50000&lt;Q1120,Q1120&lt;53501),AND(70000&lt;Q1120,Q1120&lt;72501)),$F1120,IF(OR(AND(25001&lt;Q1120,Q1120&lt;27501),AND(53500&lt;Q1120,Q1120&lt;57001),AND(72500&lt;Q1120,Q1120&lt;75001)),$G1120,IF(OR(AND(27500&lt;Q1120,Q1120&lt;30001),AND(57000&lt;Q1120,Q1120&lt;60001),AND(75000&lt;Q1120,Q1120&lt;77500)),$H1120,VLOOKUP(Q1120,BDins,6,FALSE)))))</f>
        <v>15.36</v>
      </c>
      <c r="R1122">
        <f>IF(R1124&gt;10000,HLOOKUP(R1124,$O1120:Q1123,4,FALSE),IF(OR(AND(22500&lt;R1120,R1120&lt;25001),AND(50000&lt;R1120,R1120&lt;53501),AND(70000&lt;R1120,R1120&lt;72501)),$F1120,IF(OR(AND(25001&lt;R1120,R1120&lt;27501),AND(53500&lt;R1120,R1120&lt;57001),AND(72500&lt;R1120,R1120&lt;75001)),$G1120,IF(OR(AND(27500&lt;R1120,R1120&lt;30001),AND(57000&lt;R1120,R1120&lt;60001),AND(75000&lt;R1120,R1120&lt;77500)),$H1120,VLOOKUP(R1120,BDins,6,FALSE)))))</f>
        <v>30</v>
      </c>
      <c r="S1122">
        <f>IF(S1124&gt;10000,HLOOKUP(S1124,$O1120:R1123,4,FALSE),IF(OR(AND(22500&lt;S1120,S1120&lt;25001),AND(50000&lt;S1120,S1120&lt;53501),AND(70000&lt;S1120,S1120&lt;72501)),$F1120,IF(OR(AND(25001&lt;S1120,S1120&lt;27501),AND(53500&lt;S1120,S1120&lt;57001),AND(72500&lt;S1120,S1120&lt;75001)),$G1120,IF(OR(AND(27500&lt;S1120,S1120&lt;30001),AND(57000&lt;S1120,S1120&lt;60001),AND(75000&lt;S1120,S1120&lt;77500)),$H1120,VLOOKUP(S1120,BDins,6,FALSE)))))</f>
        <v>4</v>
      </c>
      <c r="T1122">
        <f>IF(T1124&gt;10000,HLOOKUP(T1124,$O1120:S1123,4,FALSE),IF(OR(AND(22500&lt;T1120,T1120&lt;25001),AND(50000&lt;T1120,T1120&lt;53501),AND(70000&lt;T1120,T1120&lt;72501)),$F1120,IF(OR(AND(25001&lt;T1120,T1120&lt;27501),AND(53500&lt;T1120,T1120&lt;57001),AND(72500&lt;T1120,T1120&lt;75001)),$G1120,IF(OR(AND(27500&lt;T1120,T1120&lt;30001),AND(57000&lt;T1120,T1120&lt;60001),AND(75000&lt;T1120,T1120&lt;77500)),$H1120,VLOOKUP(T1120,BDins,6,FALSE)))))</f>
        <v>20.619999999999997</v>
      </c>
    </row>
    <row r="1123" spans="1:21" x14ac:dyDescent="0.2">
      <c r="O1123">
        <f t="shared" ref="O1123:T1123" si="162">IF($K1120&gt;0,ROUND(O1121*$E1120/100,DpCU),IF(O1124&gt;10000,ROUND(HLOOKUP(O1124,$O1120:$T1123,4,FALSE)/100*O1121,DpCU),IF(OR(O1120&lt;20001,O1120&gt;95000,AND(60000&lt;O1120,O1120&lt;70001)),ROUND(ROUND(O1121*JL/$C1120,DcCU)*O1122,DpCU),IF(OR(AND(20000&lt;O1120,O1120&lt;22501),AND(30000&lt;O1120,O1120&lt;50001),77500&lt;O1120),ROUND(O1122*O1121,DpCU),IF(OR(AND(22500&lt;O1120,O1120&lt;25001),AND(50000&lt;O1120,O1120&lt;53501),AND(70000&lt;O1120,O1120&lt;72501)),ROUND($F1120/100*O1121,DpCU),IF(OR(AND(25000&lt;O1120,O1120&lt;27501),AND(53500&lt;O1120,O1120&lt;57001),AND(72500&lt;O1120,O1120&lt;75001)),ROUND($G1120/100*O1121,DpCU),ROUND($H1120/100*O1121,DpCU)))))))</f>
        <v>1.33</v>
      </c>
      <c r="P1123">
        <f t="shared" si="162"/>
        <v>11.1</v>
      </c>
      <c r="Q1123">
        <f t="shared" si="162"/>
        <v>8.19</v>
      </c>
      <c r="R1123">
        <f t="shared" si="162"/>
        <v>0.6</v>
      </c>
      <c r="S1123">
        <f t="shared" si="162"/>
        <v>4.2</v>
      </c>
      <c r="T1123">
        <f t="shared" si="162"/>
        <v>0.21</v>
      </c>
    </row>
    <row r="1124" spans="1:21" x14ac:dyDescent="0.2">
      <c r="B1124" s="3" t="str">
        <f>A1120&amp;"r"</f>
        <v>10224r</v>
      </c>
    </row>
    <row r="1125" spans="1:21" x14ac:dyDescent="0.2">
      <c r="A1125">
        <v>10225</v>
      </c>
      <c r="B1125" s="3" t="s">
        <v>1144</v>
      </c>
      <c r="C1125" s="1">
        <f>ROUND(J1125*JL*Frto/8,4)</f>
        <v>55</v>
      </c>
      <c r="D1125" t="s">
        <v>194</v>
      </c>
      <c r="E1125">
        <f>SUM($O1128:$U1128)</f>
        <v>4.97</v>
      </c>
      <c r="F1125">
        <f>SUMIF($O1125:$U1125,"&lt;22501",$O1128:$U1128)</f>
        <v>4.0999999999999996</v>
      </c>
      <c r="G1125">
        <f>SUMIFS($O1128:$U1128,$O1125:$U1125,"&gt;30000",$O1125:$U1125,"&lt;50001")</f>
        <v>0.66</v>
      </c>
      <c r="H1125">
        <f>SUMIFS($O1128:$U1128,$O1125:$U1125,"&gt;60000",$O1125:$U1125,"&lt;70001")</f>
        <v>0</v>
      </c>
      <c r="I1125">
        <v>7</v>
      </c>
      <c r="J1125">
        <v>55</v>
      </c>
      <c r="O1125">
        <v>10001</v>
      </c>
      <c r="P1125">
        <v>10002</v>
      </c>
      <c r="Q1125">
        <v>10003</v>
      </c>
      <c r="R1125">
        <v>30023</v>
      </c>
      <c r="S1125">
        <v>30282</v>
      </c>
      <c r="T1125">
        <v>30292</v>
      </c>
      <c r="U1125">
        <v>70001</v>
      </c>
    </row>
    <row r="1126" spans="1:21" x14ac:dyDescent="0.2">
      <c r="B1126" s="3" t="str">
        <f>A1125&amp;"C"</f>
        <v>10225C</v>
      </c>
      <c r="O1126">
        <v>0.1</v>
      </c>
      <c r="P1126">
        <v>0.5</v>
      </c>
      <c r="Q1126">
        <v>1</v>
      </c>
      <c r="R1126">
        <v>1E-3</v>
      </c>
      <c r="S1126">
        <v>0.05</v>
      </c>
      <c r="T1126">
        <v>0.05</v>
      </c>
      <c r="U1126">
        <v>5</v>
      </c>
    </row>
    <row r="1127" spans="1:21" x14ac:dyDescent="0.2">
      <c r="O1127">
        <f>IF(O1129&gt;10000,HLOOKUP(O1129,N1125:$O1128,4,FALSE),IF(OR(AND(22500&lt;O1125,O1125&lt;25001),AND(50000&lt;O1125,O1125&lt;53501),AND(70000&lt;O1125,O1125&lt;72501)),$F1125,IF(OR(AND(25001&lt;O1125,O1125&lt;27501),AND(53500&lt;O1125,O1125&lt;57001),AND(72500&lt;O1125,O1125&lt;75001)),$G1125,IF(OR(AND(27500&lt;O1125,O1125&lt;30001),AND(57000&lt;O1125,O1125&lt;60001),AND(75000&lt;O1125,O1125&lt;77500)),$H1125,VLOOKUP(O1125,BDins,6,FALSE)))))</f>
        <v>24.97</v>
      </c>
      <c r="P1127">
        <f>IF(P1129&gt;10000,HLOOKUP(P1129,O1125:$O1128,4,FALSE),IF(OR(AND(22500&lt;P1125,P1125&lt;25001),AND(50000&lt;P1125,P1125&lt;53501),AND(70000&lt;P1125,P1125&lt;72501)),$F1125,IF(OR(AND(25001&lt;P1125,P1125&lt;27501),AND(53500&lt;P1125,P1125&lt;57001),AND(72500&lt;P1125,P1125&lt;75001)),$G1125,IF(OR(AND(27500&lt;P1125,P1125&lt;30001),AND(57000&lt;P1125,P1125&lt;60001),AND(75000&lt;P1125,P1125&lt;77500)),$H1125,VLOOKUP(P1125,BDins,6,FALSE)))))</f>
        <v>20.81</v>
      </c>
      <c r="Q1127">
        <f>IF(Q1129&gt;10000,HLOOKUP(Q1129,$O1125:P1128,4,FALSE),IF(OR(AND(22500&lt;Q1125,Q1125&lt;25001),AND(50000&lt;Q1125,Q1125&lt;53501),AND(70000&lt;Q1125,Q1125&lt;72501)),$F1125,IF(OR(AND(25001&lt;Q1125,Q1125&lt;27501),AND(53500&lt;Q1125,Q1125&lt;57001),AND(72500&lt;Q1125,Q1125&lt;75001)),$G1125,IF(OR(AND(27500&lt;Q1125,Q1125&lt;30001),AND(57000&lt;Q1125,Q1125&lt;60001),AND(75000&lt;Q1125,Q1125&lt;77500)),$H1125,VLOOKUP(Q1125,BDins,6,FALSE)))))</f>
        <v>15.36</v>
      </c>
      <c r="R1127">
        <f>IF(R1129&gt;10000,HLOOKUP(R1129,$O1125:Q1128,4,FALSE),IF(OR(AND(22500&lt;R1125,R1125&lt;25001),AND(50000&lt;R1125,R1125&lt;53501),AND(70000&lt;R1125,R1125&lt;72501)),$F1125,IF(OR(AND(25001&lt;R1125,R1125&lt;27501),AND(53500&lt;R1125,R1125&lt;57001),AND(72500&lt;R1125,R1125&lt;75001)),$G1125,IF(OR(AND(27500&lt;R1125,R1125&lt;30001),AND(57000&lt;R1125,R1125&lt;60001),AND(75000&lt;R1125,R1125&lt;77500)),$H1125,VLOOKUP(R1125,BDins,6,FALSE)))))</f>
        <v>150</v>
      </c>
      <c r="S1127">
        <f>IF(S1129&gt;10000,HLOOKUP(S1129,$O1125:R1128,4,FALSE),IF(OR(AND(22500&lt;S1125,S1125&lt;25001),AND(50000&lt;S1125,S1125&lt;53501),AND(70000&lt;S1125,S1125&lt;72501)),$F1125,IF(OR(AND(25001&lt;S1125,S1125&lt;27501),AND(53500&lt;S1125,S1125&lt;57001),AND(72500&lt;S1125,S1125&lt;75001)),$G1125,IF(OR(AND(27500&lt;S1125,S1125&lt;30001),AND(57000&lt;S1125,S1125&lt;60001),AND(75000&lt;S1125,S1125&lt;77500)),$H1125,VLOOKUP(S1125,BDins,6,FALSE)))))</f>
        <v>7.6</v>
      </c>
      <c r="T1127">
        <f>IF(T1129&gt;10000,HLOOKUP(T1129,$O1125:S1128,4,FALSE),IF(OR(AND(22500&lt;T1125,T1125&lt;25001),AND(50000&lt;T1125,T1125&lt;53501),AND(70000&lt;T1125,T1125&lt;72501)),$F1125,IF(OR(AND(25001&lt;T1125,T1125&lt;27501),AND(53500&lt;T1125,T1125&lt;57001),AND(72500&lt;T1125,T1125&lt;75001)),$G1125,IF(OR(AND(27500&lt;T1125,T1125&lt;30001),AND(57000&lt;T1125,T1125&lt;60001),AND(75000&lt;T1125,T1125&lt;77500)),$H1125,VLOOKUP(T1125,BDins,6,FALSE)))))</f>
        <v>2.5</v>
      </c>
      <c r="U1127">
        <f>IF(U1129&gt;10000,HLOOKUP(U1129,$O1125:T1128,4,FALSE),IF(OR(AND(22500&lt;U1125,U1125&lt;25001),AND(50000&lt;U1125,U1125&lt;53501),AND(70000&lt;U1125,U1125&lt;72501)),$F1125,IF(OR(AND(25001&lt;U1125,U1125&lt;27501),AND(53500&lt;U1125,U1125&lt;57001),AND(72500&lt;U1125,U1125&lt;75001)),$G1125,IF(OR(AND(27500&lt;U1125,U1125&lt;30001),AND(57000&lt;U1125,U1125&lt;60001),AND(75000&lt;U1125,U1125&lt;77500)),$H1125,VLOOKUP(U1125,BDins,6,FALSE)))))</f>
        <v>4.0999999999999996</v>
      </c>
    </row>
    <row r="1128" spans="1:21" x14ac:dyDescent="0.2">
      <c r="O1128">
        <f t="shared" ref="O1128:U1128" si="163">IF($K1125&gt;0,ROUND(O1126*$E1125/100,DpCU),IF(O1129&gt;10000,ROUND(HLOOKUP(O1129,$O1125:$U1128,4,FALSE)/100*O1126,DpCU),IF(OR(O1125&lt;20001,O1125&gt;95000,AND(60000&lt;O1125,O1125&lt;70001)),ROUND(ROUND(O1126*JL/$C1125,DcCU)*O1127,DpCU),IF(OR(AND(20000&lt;O1125,O1125&lt;22501),AND(30000&lt;O1125,O1125&lt;50001),77500&lt;O1125),ROUND(O1127*O1126,DpCU),IF(OR(AND(22500&lt;O1125,O1125&lt;25001),AND(50000&lt;O1125,O1125&lt;53501),AND(70000&lt;O1125,O1125&lt;72501)),ROUND($F1125/100*O1126,DpCU),IF(OR(AND(25000&lt;O1125,O1125&lt;27501),AND(53500&lt;O1125,O1125&lt;57001),AND(72500&lt;O1125,O1125&lt;75001)),ROUND($G1125/100*O1126,DpCU),ROUND($H1125/100*O1126,DpCU)))))))</f>
        <v>0.36</v>
      </c>
      <c r="P1128">
        <f t="shared" si="163"/>
        <v>1.51</v>
      </c>
      <c r="Q1128">
        <f t="shared" si="163"/>
        <v>2.23</v>
      </c>
      <c r="R1128">
        <f t="shared" si="163"/>
        <v>0.15</v>
      </c>
      <c r="S1128">
        <f t="shared" si="163"/>
        <v>0.38</v>
      </c>
      <c r="T1128">
        <f t="shared" si="163"/>
        <v>0.13</v>
      </c>
      <c r="U1128">
        <f t="shared" si="163"/>
        <v>0.21</v>
      </c>
    </row>
    <row r="1129" spans="1:21" x14ac:dyDescent="0.2">
      <c r="B1129" s="3" t="str">
        <f>A1125&amp;"r"</f>
        <v>10225r</v>
      </c>
    </row>
    <row r="1130" spans="1:21" x14ac:dyDescent="0.2">
      <c r="A1130">
        <v>10226</v>
      </c>
      <c r="B1130" s="3" t="s">
        <v>1148</v>
      </c>
      <c r="C1130" s="1">
        <f>ROUND(J1130*JL*Frto/8,4)</f>
        <v>15</v>
      </c>
      <c r="D1130" t="s">
        <v>7</v>
      </c>
      <c r="E1130">
        <f>SUM($O1133:$S1133)</f>
        <v>30.86</v>
      </c>
      <c r="F1130">
        <f>SUMIF($O1130:$S1130,"&lt;22501",$O1133:$S1133)</f>
        <v>16.53</v>
      </c>
      <c r="G1130">
        <f>SUMIFS($O1133:$S1133,$O1130:$S1130,"&gt;30000",$O1130:$S1130,"&lt;50001")</f>
        <v>13.5</v>
      </c>
      <c r="H1130">
        <f>SUMIFS($O1133:$S1133,$O1130:$S1130,"&gt;60000",$O1130:$S1130,"&lt;70001")</f>
        <v>0</v>
      </c>
      <c r="I1130">
        <v>5</v>
      </c>
      <c r="J1130">
        <v>15</v>
      </c>
      <c r="O1130">
        <v>10001</v>
      </c>
      <c r="P1130">
        <v>10002</v>
      </c>
      <c r="Q1130">
        <v>10003</v>
      </c>
      <c r="R1130">
        <v>30293</v>
      </c>
      <c r="S1130">
        <v>70001</v>
      </c>
    </row>
    <row r="1131" spans="1:21" x14ac:dyDescent="0.2">
      <c r="B1131" s="3" t="str">
        <f>A1130&amp;"C"</f>
        <v>10226C</v>
      </c>
      <c r="O1131">
        <v>0.1</v>
      </c>
      <c r="P1131">
        <v>1</v>
      </c>
      <c r="Q1131">
        <v>0.5</v>
      </c>
      <c r="R1131">
        <v>1</v>
      </c>
      <c r="S1131">
        <v>5</v>
      </c>
    </row>
    <row r="1132" spans="1:21" x14ac:dyDescent="0.2">
      <c r="O1132">
        <f>IF(O1134&gt;10000,HLOOKUP(O1134,N1130:$O1133,4,FALSE),IF(OR(AND(22500&lt;O1130,O1130&lt;25001),AND(50000&lt;O1130,O1130&lt;53501),AND(70000&lt;O1130,O1130&lt;72501)),$F1130,IF(OR(AND(25001&lt;O1130,O1130&lt;27501),AND(53500&lt;O1130,O1130&lt;57001),AND(72500&lt;O1130,O1130&lt;75001)),$G1130,IF(OR(AND(27500&lt;O1130,O1130&lt;30001),AND(57000&lt;O1130,O1130&lt;60001),AND(75000&lt;O1130,O1130&lt;77500)),$H1130,VLOOKUP(O1130,BDins,6,FALSE)))))</f>
        <v>24.97</v>
      </c>
      <c r="P1132">
        <f>IF(P1134&gt;10000,HLOOKUP(P1134,O1130:$O1133,4,FALSE),IF(OR(AND(22500&lt;P1130,P1130&lt;25001),AND(50000&lt;P1130,P1130&lt;53501),AND(70000&lt;P1130,P1130&lt;72501)),$F1130,IF(OR(AND(25001&lt;P1130,P1130&lt;27501),AND(53500&lt;P1130,P1130&lt;57001),AND(72500&lt;P1130,P1130&lt;75001)),$G1130,IF(OR(AND(27500&lt;P1130,P1130&lt;30001),AND(57000&lt;P1130,P1130&lt;60001),AND(75000&lt;P1130,P1130&lt;77500)),$H1130,VLOOKUP(P1130,BDins,6,FALSE)))))</f>
        <v>20.81</v>
      </c>
      <c r="Q1132">
        <f>IF(Q1134&gt;10000,HLOOKUP(Q1134,$O1130:P1133,4,FALSE),IF(OR(AND(22500&lt;Q1130,Q1130&lt;25001),AND(50000&lt;Q1130,Q1130&lt;53501),AND(70000&lt;Q1130,Q1130&lt;72501)),$F1130,IF(OR(AND(25001&lt;Q1130,Q1130&lt;27501),AND(53500&lt;Q1130,Q1130&lt;57001),AND(72500&lt;Q1130,Q1130&lt;75001)),$G1130,IF(OR(AND(27500&lt;Q1130,Q1130&lt;30001),AND(57000&lt;Q1130,Q1130&lt;60001),AND(75000&lt;Q1130,Q1130&lt;77500)),$H1130,VLOOKUP(Q1130,BDins,6,FALSE)))))</f>
        <v>15.36</v>
      </c>
      <c r="R1132">
        <f>IF(R1134&gt;10000,HLOOKUP(R1134,$O1130:Q1133,4,FALSE),IF(OR(AND(22500&lt;R1130,R1130&lt;25001),AND(50000&lt;R1130,R1130&lt;53501),AND(70000&lt;R1130,R1130&lt;72501)),$F1130,IF(OR(AND(25001&lt;R1130,R1130&lt;27501),AND(53500&lt;R1130,R1130&lt;57001),AND(72500&lt;R1130,R1130&lt;75001)),$G1130,IF(OR(AND(27500&lt;R1130,R1130&lt;30001),AND(57000&lt;R1130,R1130&lt;60001),AND(75000&lt;R1130,R1130&lt;77500)),$H1130,VLOOKUP(R1130,BDins,6,FALSE)))))</f>
        <v>13.5</v>
      </c>
      <c r="S1132">
        <f>IF(S1134&gt;10000,HLOOKUP(S1134,$O1130:R1133,4,FALSE),IF(OR(AND(22500&lt;S1130,S1130&lt;25001),AND(50000&lt;S1130,S1130&lt;53501),AND(70000&lt;S1130,S1130&lt;72501)),$F1130,IF(OR(AND(25001&lt;S1130,S1130&lt;27501),AND(53500&lt;S1130,S1130&lt;57001),AND(72500&lt;S1130,S1130&lt;75001)),$G1130,IF(OR(AND(27500&lt;S1130,S1130&lt;30001),AND(57000&lt;S1130,S1130&lt;60001),AND(75000&lt;S1130,S1130&lt;77500)),$H1130,VLOOKUP(S1130,BDins,6,FALSE)))))</f>
        <v>16.53</v>
      </c>
    </row>
    <row r="1133" spans="1:21" x14ac:dyDescent="0.2">
      <c r="O1133">
        <f>IF($K1130&gt;0,ROUND(O1131*$E1130/100,DpCU),IF(O1134&gt;10000,ROUND(HLOOKUP(O1134,$O1130:$S1133,4,FALSE)/100*O1131,DpCU),IF(OR(O1130&lt;20001,O1130&gt;95000,AND(60000&lt;O1130,O1130&lt;70001)),ROUND(ROUND(O1131*JL/$C1130,DcCU)*O1132,DpCU),IF(OR(AND(20000&lt;O1130,O1130&lt;22501),AND(30000&lt;O1130,O1130&lt;50001),77500&lt;O1130),ROUND(O1132*O1131,DpCU),IF(OR(AND(22500&lt;O1130,O1130&lt;25001),AND(50000&lt;O1130,O1130&lt;53501),AND(70000&lt;O1130,O1130&lt;72501)),ROUND($F1130/100*O1131,DpCU),IF(OR(AND(25000&lt;O1130,O1130&lt;27501),AND(53500&lt;O1130,O1130&lt;57001),AND(72500&lt;O1130,O1130&lt;75001)),ROUND($G1130/100*O1131,DpCU),ROUND($H1130/100*O1131,DpCU)))))))</f>
        <v>1.33</v>
      </c>
      <c r="P1133">
        <f>IF($K1130&gt;0,ROUND(P1131*$E1130/100,DpCU),IF(P1134&gt;10000,ROUND(HLOOKUP(P1134,$O1130:$S1133,4,FALSE)/100*P1131,DpCU),IF(OR(P1130&lt;20001,P1130&gt;95000,AND(60000&lt;P1130,P1130&lt;70001)),ROUND(ROUND(P1131*JL/$C1130,DcCU)*P1132,DpCU),IF(OR(AND(20000&lt;P1130,P1130&lt;22501),AND(30000&lt;P1130,P1130&lt;50001),77500&lt;P1130),ROUND(P1132*P1131,DpCU),IF(OR(AND(22500&lt;P1130,P1130&lt;25001),AND(50000&lt;P1130,P1130&lt;53501),AND(70000&lt;P1130,P1130&lt;72501)),ROUND($F1130/100*P1131,DpCU),IF(OR(AND(25000&lt;P1130,P1130&lt;27501),AND(53500&lt;P1130,P1130&lt;57001),AND(72500&lt;P1130,P1130&lt;75001)),ROUND($G1130/100*P1131,DpCU),ROUND($H1130/100*P1131,DpCU)))))))</f>
        <v>11.1</v>
      </c>
      <c r="Q1133">
        <f>IF($K1130&gt;0,ROUND(Q1131*$E1130/100,DpCU),IF(Q1134&gt;10000,ROUND(HLOOKUP(Q1134,$O1130:$S1133,4,FALSE)/100*Q1131,DpCU),IF(OR(Q1130&lt;20001,Q1130&gt;95000,AND(60000&lt;Q1130,Q1130&lt;70001)),ROUND(ROUND(Q1131*JL/$C1130,DcCU)*Q1132,DpCU),IF(OR(AND(20000&lt;Q1130,Q1130&lt;22501),AND(30000&lt;Q1130,Q1130&lt;50001),77500&lt;Q1130),ROUND(Q1132*Q1131,DpCU),IF(OR(AND(22500&lt;Q1130,Q1130&lt;25001),AND(50000&lt;Q1130,Q1130&lt;53501),AND(70000&lt;Q1130,Q1130&lt;72501)),ROUND($F1130/100*Q1131,DpCU),IF(OR(AND(25000&lt;Q1130,Q1130&lt;27501),AND(53500&lt;Q1130,Q1130&lt;57001),AND(72500&lt;Q1130,Q1130&lt;75001)),ROUND($G1130/100*Q1131,DpCU),ROUND($H1130/100*Q1131,DpCU)))))))</f>
        <v>4.0999999999999996</v>
      </c>
      <c r="R1133">
        <f>IF($K1130&gt;0,ROUND(R1131*$E1130/100,DpCU),IF(R1134&gt;10000,ROUND(HLOOKUP(R1134,$O1130:$S1133,4,FALSE)/100*R1131,DpCU),IF(OR(R1130&lt;20001,R1130&gt;95000,AND(60000&lt;R1130,R1130&lt;70001)),ROUND(ROUND(R1131*JL/$C1130,DcCU)*R1132,DpCU),IF(OR(AND(20000&lt;R1130,R1130&lt;22501),AND(30000&lt;R1130,R1130&lt;50001),77500&lt;R1130),ROUND(R1132*R1131,DpCU),IF(OR(AND(22500&lt;R1130,R1130&lt;25001),AND(50000&lt;R1130,R1130&lt;53501),AND(70000&lt;R1130,R1130&lt;72501)),ROUND($F1130/100*R1131,DpCU),IF(OR(AND(25000&lt;R1130,R1130&lt;27501),AND(53500&lt;R1130,R1130&lt;57001),AND(72500&lt;R1130,R1130&lt;75001)),ROUND($G1130/100*R1131,DpCU),ROUND($H1130/100*R1131,DpCU)))))))</f>
        <v>13.5</v>
      </c>
      <c r="S1133">
        <f>IF($K1130&gt;0,ROUND(S1131*$E1130/100,DpCU),IF(S1134&gt;10000,ROUND(HLOOKUP(S1134,$O1130:$S1133,4,FALSE)/100*S1131,DpCU),IF(OR(S1130&lt;20001,S1130&gt;95000,AND(60000&lt;S1130,S1130&lt;70001)),ROUND(ROUND(S1131*JL/$C1130,DcCU)*S1132,DpCU),IF(OR(AND(20000&lt;S1130,S1130&lt;22501),AND(30000&lt;S1130,S1130&lt;50001),77500&lt;S1130),ROUND(S1132*S1131,DpCU),IF(OR(AND(22500&lt;S1130,S1130&lt;25001),AND(50000&lt;S1130,S1130&lt;53501),AND(70000&lt;S1130,S1130&lt;72501)),ROUND($F1130/100*S1131,DpCU),IF(OR(AND(25000&lt;S1130,S1130&lt;27501),AND(53500&lt;S1130,S1130&lt;57001),AND(72500&lt;S1130,S1130&lt;75001)),ROUND($G1130/100*S1131,DpCU),ROUND($H1130/100*S1131,DpCU)))))))</f>
        <v>0.83</v>
      </c>
    </row>
    <row r="1134" spans="1:21" x14ac:dyDescent="0.2">
      <c r="B1134" s="3" t="str">
        <f>A1130&amp;"r"</f>
        <v>10226r</v>
      </c>
    </row>
    <row r="1135" spans="1:21" x14ac:dyDescent="0.2">
      <c r="A1135">
        <v>10227</v>
      </c>
      <c r="B1135" s="3" t="s">
        <v>1150</v>
      </c>
      <c r="C1135" s="1">
        <f>ROUND(J1135*JL*Frto/8,4)</f>
        <v>15</v>
      </c>
      <c r="D1135" t="s">
        <v>7</v>
      </c>
      <c r="E1135">
        <f>SUM($O1138:$T1138)</f>
        <v>24.48</v>
      </c>
      <c r="F1135">
        <f>SUMIF($O1135:$T1135,"&lt;22501",$O1138:$T1138)</f>
        <v>16.53</v>
      </c>
      <c r="G1135">
        <f>SUMIFS($O1138:$T1138,$O1135:$T1135,"&gt;30000",$O1135:$T1135,"&lt;50001")</f>
        <v>7.12</v>
      </c>
      <c r="H1135">
        <f>SUMIFS($O1138:$T1138,$O1135:$T1135,"&gt;60000",$O1135:$T1135,"&lt;70001")</f>
        <v>0</v>
      </c>
      <c r="I1135">
        <v>6</v>
      </c>
      <c r="J1135">
        <v>15</v>
      </c>
      <c r="O1135">
        <v>10001</v>
      </c>
      <c r="P1135">
        <v>10002</v>
      </c>
      <c r="Q1135">
        <v>10003</v>
      </c>
      <c r="R1135">
        <v>30265</v>
      </c>
      <c r="S1135">
        <v>30294</v>
      </c>
      <c r="T1135">
        <v>70001</v>
      </c>
    </row>
    <row r="1136" spans="1:21" x14ac:dyDescent="0.2">
      <c r="B1136" s="3" t="str">
        <f>A1135&amp;"C"</f>
        <v>10227C</v>
      </c>
      <c r="O1136">
        <v>0.1</v>
      </c>
      <c r="P1136">
        <v>1</v>
      </c>
      <c r="Q1136">
        <v>0.5</v>
      </c>
      <c r="R1136">
        <v>4.0000000000000001E-3</v>
      </c>
      <c r="S1136">
        <v>1</v>
      </c>
      <c r="T1136">
        <v>5</v>
      </c>
    </row>
    <row r="1137" spans="1:20" x14ac:dyDescent="0.2">
      <c r="O1137">
        <f>IF(O1139&gt;10000,HLOOKUP(O1139,N1135:$O1138,4,FALSE),IF(OR(AND(22500&lt;O1135,O1135&lt;25001),AND(50000&lt;O1135,O1135&lt;53501),AND(70000&lt;O1135,O1135&lt;72501)),$F1135,IF(OR(AND(25001&lt;O1135,O1135&lt;27501),AND(53500&lt;O1135,O1135&lt;57001),AND(72500&lt;O1135,O1135&lt;75001)),$G1135,IF(OR(AND(27500&lt;O1135,O1135&lt;30001),AND(57000&lt;O1135,O1135&lt;60001),AND(75000&lt;O1135,O1135&lt;77500)),$H1135,VLOOKUP(O1135,BDins,6,FALSE)))))</f>
        <v>24.97</v>
      </c>
      <c r="P1137">
        <f>IF(P1139&gt;10000,HLOOKUP(P1139,O1135:$O1138,4,FALSE),IF(OR(AND(22500&lt;P1135,P1135&lt;25001),AND(50000&lt;P1135,P1135&lt;53501),AND(70000&lt;P1135,P1135&lt;72501)),$F1135,IF(OR(AND(25001&lt;P1135,P1135&lt;27501),AND(53500&lt;P1135,P1135&lt;57001),AND(72500&lt;P1135,P1135&lt;75001)),$G1135,IF(OR(AND(27500&lt;P1135,P1135&lt;30001),AND(57000&lt;P1135,P1135&lt;60001),AND(75000&lt;P1135,P1135&lt;77500)),$H1135,VLOOKUP(P1135,BDins,6,FALSE)))))</f>
        <v>20.81</v>
      </c>
      <c r="Q1137">
        <f>IF(Q1139&gt;10000,HLOOKUP(Q1139,$O1135:P1138,4,FALSE),IF(OR(AND(22500&lt;Q1135,Q1135&lt;25001),AND(50000&lt;Q1135,Q1135&lt;53501),AND(70000&lt;Q1135,Q1135&lt;72501)),$F1135,IF(OR(AND(25001&lt;Q1135,Q1135&lt;27501),AND(53500&lt;Q1135,Q1135&lt;57001),AND(72500&lt;Q1135,Q1135&lt;75001)),$G1135,IF(OR(AND(27500&lt;Q1135,Q1135&lt;30001),AND(57000&lt;Q1135,Q1135&lt;60001),AND(75000&lt;Q1135,Q1135&lt;77500)),$H1135,VLOOKUP(Q1135,BDins,6,FALSE)))))</f>
        <v>15.36</v>
      </c>
      <c r="R1137">
        <f>IF(R1139&gt;10000,HLOOKUP(R1139,$O1135:Q1138,4,FALSE),IF(OR(AND(22500&lt;R1135,R1135&lt;25001),AND(50000&lt;R1135,R1135&lt;53501),AND(70000&lt;R1135,R1135&lt;72501)),$F1135,IF(OR(AND(25001&lt;R1135,R1135&lt;27501),AND(53500&lt;R1135,R1135&lt;57001),AND(72500&lt;R1135,R1135&lt;75001)),$G1135,IF(OR(AND(27500&lt;R1135,R1135&lt;30001),AND(57000&lt;R1135,R1135&lt;60001),AND(75000&lt;R1135,R1135&lt;77500)),$H1135,VLOOKUP(R1135,BDins,6,FALSE)))))</f>
        <v>30</v>
      </c>
      <c r="S1137">
        <f>IF(S1139&gt;10000,HLOOKUP(S1139,$O1135:R1138,4,FALSE),IF(OR(AND(22500&lt;S1135,S1135&lt;25001),AND(50000&lt;S1135,S1135&lt;53501),AND(70000&lt;S1135,S1135&lt;72501)),$F1135,IF(OR(AND(25001&lt;S1135,S1135&lt;27501),AND(53500&lt;S1135,S1135&lt;57001),AND(72500&lt;S1135,S1135&lt;75001)),$G1135,IF(OR(AND(27500&lt;S1135,S1135&lt;30001),AND(57000&lt;S1135,S1135&lt;60001),AND(75000&lt;S1135,S1135&lt;77500)),$H1135,VLOOKUP(S1135,BDins,6,FALSE)))))</f>
        <v>7</v>
      </c>
      <c r="T1137">
        <f>IF(T1139&gt;10000,HLOOKUP(T1139,$O1135:S1138,4,FALSE),IF(OR(AND(22500&lt;T1135,T1135&lt;25001),AND(50000&lt;T1135,T1135&lt;53501),AND(70000&lt;T1135,T1135&lt;72501)),$F1135,IF(OR(AND(25001&lt;T1135,T1135&lt;27501),AND(53500&lt;T1135,T1135&lt;57001),AND(72500&lt;T1135,T1135&lt;75001)),$G1135,IF(OR(AND(27500&lt;T1135,T1135&lt;30001),AND(57000&lt;T1135,T1135&lt;60001),AND(75000&lt;T1135,T1135&lt;77500)),$H1135,VLOOKUP(T1135,BDins,6,FALSE)))))</f>
        <v>16.53</v>
      </c>
    </row>
    <row r="1138" spans="1:20" x14ac:dyDescent="0.2">
      <c r="O1138">
        <f t="shared" ref="O1138:T1138" si="164">IF($K1135&gt;0,ROUND(O1136*$E1135/100,DpCU),IF(O1139&gt;10000,ROUND(HLOOKUP(O1139,$O1135:$T1138,4,FALSE)/100*O1136,DpCU),IF(OR(O1135&lt;20001,O1135&gt;95000,AND(60000&lt;O1135,O1135&lt;70001)),ROUND(ROUND(O1136*JL/$C1135,DcCU)*O1137,DpCU),IF(OR(AND(20000&lt;O1135,O1135&lt;22501),AND(30000&lt;O1135,O1135&lt;50001),77500&lt;O1135),ROUND(O1137*O1136,DpCU),IF(OR(AND(22500&lt;O1135,O1135&lt;25001),AND(50000&lt;O1135,O1135&lt;53501),AND(70000&lt;O1135,O1135&lt;72501)),ROUND($F1135/100*O1136,DpCU),IF(OR(AND(25000&lt;O1135,O1135&lt;27501),AND(53500&lt;O1135,O1135&lt;57001),AND(72500&lt;O1135,O1135&lt;75001)),ROUND($G1135/100*O1136,DpCU),ROUND($H1135/100*O1136,DpCU)))))))</f>
        <v>1.33</v>
      </c>
      <c r="P1138">
        <f t="shared" si="164"/>
        <v>11.1</v>
      </c>
      <c r="Q1138">
        <f t="shared" si="164"/>
        <v>4.0999999999999996</v>
      </c>
      <c r="R1138">
        <f t="shared" si="164"/>
        <v>0.12</v>
      </c>
      <c r="S1138">
        <f t="shared" si="164"/>
        <v>7</v>
      </c>
      <c r="T1138">
        <f t="shared" si="164"/>
        <v>0.83</v>
      </c>
    </row>
    <row r="1139" spans="1:20" x14ac:dyDescent="0.2">
      <c r="B1139" s="3" t="str">
        <f>A1135&amp;"r"</f>
        <v>10227r</v>
      </c>
    </row>
    <row r="1140" spans="1:20" x14ac:dyDescent="0.2">
      <c r="A1140">
        <v>10228</v>
      </c>
      <c r="B1140" s="3" t="s">
        <v>1152</v>
      </c>
      <c r="C1140" s="1">
        <f>ROUND(J1140*JL*Frto/8,4)</f>
        <v>15</v>
      </c>
      <c r="D1140" t="s">
        <v>7</v>
      </c>
      <c r="E1140">
        <f>SUM($O1143:$T1143)</f>
        <v>21.48</v>
      </c>
      <c r="F1140">
        <f>SUMIF($O1140:$T1140,"&lt;22501",$O1143:$T1143)</f>
        <v>16.53</v>
      </c>
      <c r="G1140">
        <f>SUMIFS($O1143:$T1143,$O1140:$T1140,"&gt;30000",$O1140:$T1140,"&lt;50001")</f>
        <v>4.12</v>
      </c>
      <c r="H1140">
        <f>SUMIFS($O1143:$T1143,$O1140:$T1140,"&gt;60000",$O1140:$T1140,"&lt;70001")</f>
        <v>0</v>
      </c>
      <c r="I1140">
        <v>6</v>
      </c>
      <c r="J1140">
        <v>15</v>
      </c>
      <c r="O1140">
        <v>10001</v>
      </c>
      <c r="P1140">
        <v>10002</v>
      </c>
      <c r="Q1140">
        <v>10003</v>
      </c>
      <c r="R1140">
        <v>30265</v>
      </c>
      <c r="S1140">
        <v>30295</v>
      </c>
      <c r="T1140">
        <v>70001</v>
      </c>
    </row>
    <row r="1141" spans="1:20" x14ac:dyDescent="0.2">
      <c r="B1141" s="3" t="str">
        <f>A1140&amp;"C"</f>
        <v>10228C</v>
      </c>
      <c r="O1141">
        <v>0.1</v>
      </c>
      <c r="P1141">
        <v>1</v>
      </c>
      <c r="Q1141">
        <v>0.5</v>
      </c>
      <c r="R1141">
        <v>4.0000000000000001E-3</v>
      </c>
      <c r="S1141">
        <v>1</v>
      </c>
      <c r="T1141">
        <v>5</v>
      </c>
    </row>
    <row r="1142" spans="1:20" x14ac:dyDescent="0.2">
      <c r="O1142">
        <f>IF(O1144&gt;10000,HLOOKUP(O1144,N1140:$O1143,4,FALSE),IF(OR(AND(22500&lt;O1140,O1140&lt;25001),AND(50000&lt;O1140,O1140&lt;53501),AND(70000&lt;O1140,O1140&lt;72501)),$F1140,IF(OR(AND(25001&lt;O1140,O1140&lt;27501),AND(53500&lt;O1140,O1140&lt;57001),AND(72500&lt;O1140,O1140&lt;75001)),$G1140,IF(OR(AND(27500&lt;O1140,O1140&lt;30001),AND(57000&lt;O1140,O1140&lt;60001),AND(75000&lt;O1140,O1140&lt;77500)),$H1140,VLOOKUP(O1140,BDins,6,FALSE)))))</f>
        <v>24.97</v>
      </c>
      <c r="P1142">
        <f>IF(P1144&gt;10000,HLOOKUP(P1144,O1140:$O1143,4,FALSE),IF(OR(AND(22500&lt;P1140,P1140&lt;25001),AND(50000&lt;P1140,P1140&lt;53501),AND(70000&lt;P1140,P1140&lt;72501)),$F1140,IF(OR(AND(25001&lt;P1140,P1140&lt;27501),AND(53500&lt;P1140,P1140&lt;57001),AND(72500&lt;P1140,P1140&lt;75001)),$G1140,IF(OR(AND(27500&lt;P1140,P1140&lt;30001),AND(57000&lt;P1140,P1140&lt;60001),AND(75000&lt;P1140,P1140&lt;77500)),$H1140,VLOOKUP(P1140,BDins,6,FALSE)))))</f>
        <v>20.81</v>
      </c>
      <c r="Q1142">
        <f>IF(Q1144&gt;10000,HLOOKUP(Q1144,$O1140:P1143,4,FALSE),IF(OR(AND(22500&lt;Q1140,Q1140&lt;25001),AND(50000&lt;Q1140,Q1140&lt;53501),AND(70000&lt;Q1140,Q1140&lt;72501)),$F1140,IF(OR(AND(25001&lt;Q1140,Q1140&lt;27501),AND(53500&lt;Q1140,Q1140&lt;57001),AND(72500&lt;Q1140,Q1140&lt;75001)),$G1140,IF(OR(AND(27500&lt;Q1140,Q1140&lt;30001),AND(57000&lt;Q1140,Q1140&lt;60001),AND(75000&lt;Q1140,Q1140&lt;77500)),$H1140,VLOOKUP(Q1140,BDins,6,FALSE)))))</f>
        <v>15.36</v>
      </c>
      <c r="R1142">
        <f>IF(R1144&gt;10000,HLOOKUP(R1144,$O1140:Q1143,4,FALSE),IF(OR(AND(22500&lt;R1140,R1140&lt;25001),AND(50000&lt;R1140,R1140&lt;53501),AND(70000&lt;R1140,R1140&lt;72501)),$F1140,IF(OR(AND(25001&lt;R1140,R1140&lt;27501),AND(53500&lt;R1140,R1140&lt;57001),AND(72500&lt;R1140,R1140&lt;75001)),$G1140,IF(OR(AND(27500&lt;R1140,R1140&lt;30001),AND(57000&lt;R1140,R1140&lt;60001),AND(75000&lt;R1140,R1140&lt;77500)),$H1140,VLOOKUP(R1140,BDins,6,FALSE)))))</f>
        <v>30</v>
      </c>
      <c r="S1142">
        <f>IF(S1144&gt;10000,HLOOKUP(S1144,$O1140:R1143,4,FALSE),IF(OR(AND(22500&lt;S1140,S1140&lt;25001),AND(50000&lt;S1140,S1140&lt;53501),AND(70000&lt;S1140,S1140&lt;72501)),$F1140,IF(OR(AND(25001&lt;S1140,S1140&lt;27501),AND(53500&lt;S1140,S1140&lt;57001),AND(72500&lt;S1140,S1140&lt;75001)),$G1140,IF(OR(AND(27500&lt;S1140,S1140&lt;30001),AND(57000&lt;S1140,S1140&lt;60001),AND(75000&lt;S1140,S1140&lt;77500)),$H1140,VLOOKUP(S1140,BDins,6,FALSE)))))</f>
        <v>4</v>
      </c>
      <c r="T1142">
        <f>IF(T1144&gt;10000,HLOOKUP(T1144,$O1140:S1143,4,FALSE),IF(OR(AND(22500&lt;T1140,T1140&lt;25001),AND(50000&lt;T1140,T1140&lt;53501),AND(70000&lt;T1140,T1140&lt;72501)),$F1140,IF(OR(AND(25001&lt;T1140,T1140&lt;27501),AND(53500&lt;T1140,T1140&lt;57001),AND(72500&lt;T1140,T1140&lt;75001)),$G1140,IF(OR(AND(27500&lt;T1140,T1140&lt;30001),AND(57000&lt;T1140,T1140&lt;60001),AND(75000&lt;T1140,T1140&lt;77500)),$H1140,VLOOKUP(T1140,BDins,6,FALSE)))))</f>
        <v>16.53</v>
      </c>
    </row>
    <row r="1143" spans="1:20" x14ac:dyDescent="0.2">
      <c r="O1143">
        <f t="shared" ref="O1143:T1143" si="165">IF($K1140&gt;0,ROUND(O1141*$E1140/100,DpCU),IF(O1144&gt;10000,ROUND(HLOOKUP(O1144,$O1140:$T1143,4,FALSE)/100*O1141,DpCU),IF(OR(O1140&lt;20001,O1140&gt;95000,AND(60000&lt;O1140,O1140&lt;70001)),ROUND(ROUND(O1141*JL/$C1140,DcCU)*O1142,DpCU),IF(OR(AND(20000&lt;O1140,O1140&lt;22501),AND(30000&lt;O1140,O1140&lt;50001),77500&lt;O1140),ROUND(O1142*O1141,DpCU),IF(OR(AND(22500&lt;O1140,O1140&lt;25001),AND(50000&lt;O1140,O1140&lt;53501),AND(70000&lt;O1140,O1140&lt;72501)),ROUND($F1140/100*O1141,DpCU),IF(OR(AND(25000&lt;O1140,O1140&lt;27501),AND(53500&lt;O1140,O1140&lt;57001),AND(72500&lt;O1140,O1140&lt;75001)),ROUND($G1140/100*O1141,DpCU),ROUND($H1140/100*O1141,DpCU)))))))</f>
        <v>1.33</v>
      </c>
      <c r="P1143">
        <f t="shared" si="165"/>
        <v>11.1</v>
      </c>
      <c r="Q1143">
        <f t="shared" si="165"/>
        <v>4.0999999999999996</v>
      </c>
      <c r="R1143">
        <f t="shared" si="165"/>
        <v>0.12</v>
      </c>
      <c r="S1143">
        <f t="shared" si="165"/>
        <v>4</v>
      </c>
      <c r="T1143">
        <f t="shared" si="165"/>
        <v>0.83</v>
      </c>
    </row>
    <row r="1144" spans="1:20" x14ac:dyDescent="0.2">
      <c r="B1144" s="3" t="str">
        <f>A1140&amp;"r"</f>
        <v>10228r</v>
      </c>
    </row>
    <row r="1145" spans="1:20" x14ac:dyDescent="0.2">
      <c r="A1145">
        <v>10229</v>
      </c>
      <c r="B1145" s="3" t="s">
        <v>1154</v>
      </c>
      <c r="C1145" s="1">
        <f>ROUND(J1145*JL*Frto/8,4)</f>
        <v>15</v>
      </c>
      <c r="D1145" t="s">
        <v>7</v>
      </c>
      <c r="E1145">
        <f>SUM($O1148:$S1148)</f>
        <v>24.36</v>
      </c>
      <c r="F1145">
        <f>SUMIF($O1145:$S1145,"&lt;22501",$O1148:$S1148)</f>
        <v>16.53</v>
      </c>
      <c r="G1145">
        <f>SUMIFS($O1148:$S1148,$O1145:$S1145,"&gt;30000",$O1145:$S1145,"&lt;50001")</f>
        <v>7</v>
      </c>
      <c r="H1145">
        <f>SUMIFS($O1148:$S1148,$O1145:$S1145,"&gt;60000",$O1145:$S1145,"&lt;70001")</f>
        <v>0</v>
      </c>
      <c r="I1145">
        <v>5</v>
      </c>
      <c r="J1145">
        <v>15</v>
      </c>
      <c r="O1145">
        <v>10001</v>
      </c>
      <c r="P1145">
        <v>10002</v>
      </c>
      <c r="Q1145">
        <v>10003</v>
      </c>
      <c r="R1145">
        <v>30296</v>
      </c>
      <c r="S1145">
        <v>70001</v>
      </c>
    </row>
    <row r="1146" spans="1:20" x14ac:dyDescent="0.2">
      <c r="B1146" s="3" t="str">
        <f>A1145&amp;"C"</f>
        <v>10229C</v>
      </c>
      <c r="O1146">
        <v>0.1</v>
      </c>
      <c r="P1146">
        <v>1</v>
      </c>
      <c r="Q1146">
        <v>0.5</v>
      </c>
      <c r="R1146">
        <v>1</v>
      </c>
      <c r="S1146">
        <v>5</v>
      </c>
    </row>
    <row r="1147" spans="1:20" x14ac:dyDescent="0.2">
      <c r="O1147">
        <f>IF(O1149&gt;10000,HLOOKUP(O1149,N1145:$O1148,4,FALSE),IF(OR(AND(22500&lt;O1145,O1145&lt;25001),AND(50000&lt;O1145,O1145&lt;53501),AND(70000&lt;O1145,O1145&lt;72501)),$F1145,IF(OR(AND(25001&lt;O1145,O1145&lt;27501),AND(53500&lt;O1145,O1145&lt;57001),AND(72500&lt;O1145,O1145&lt;75001)),$G1145,IF(OR(AND(27500&lt;O1145,O1145&lt;30001),AND(57000&lt;O1145,O1145&lt;60001),AND(75000&lt;O1145,O1145&lt;77500)),$H1145,VLOOKUP(O1145,BDins,6,FALSE)))))</f>
        <v>24.97</v>
      </c>
      <c r="P1147">
        <f>IF(P1149&gt;10000,HLOOKUP(P1149,O1145:$O1148,4,FALSE),IF(OR(AND(22500&lt;P1145,P1145&lt;25001),AND(50000&lt;P1145,P1145&lt;53501),AND(70000&lt;P1145,P1145&lt;72501)),$F1145,IF(OR(AND(25001&lt;P1145,P1145&lt;27501),AND(53500&lt;P1145,P1145&lt;57001),AND(72500&lt;P1145,P1145&lt;75001)),$G1145,IF(OR(AND(27500&lt;P1145,P1145&lt;30001),AND(57000&lt;P1145,P1145&lt;60001),AND(75000&lt;P1145,P1145&lt;77500)),$H1145,VLOOKUP(P1145,BDins,6,FALSE)))))</f>
        <v>20.81</v>
      </c>
      <c r="Q1147">
        <f>IF(Q1149&gt;10000,HLOOKUP(Q1149,$O1145:P1148,4,FALSE),IF(OR(AND(22500&lt;Q1145,Q1145&lt;25001),AND(50000&lt;Q1145,Q1145&lt;53501),AND(70000&lt;Q1145,Q1145&lt;72501)),$F1145,IF(OR(AND(25001&lt;Q1145,Q1145&lt;27501),AND(53500&lt;Q1145,Q1145&lt;57001),AND(72500&lt;Q1145,Q1145&lt;75001)),$G1145,IF(OR(AND(27500&lt;Q1145,Q1145&lt;30001),AND(57000&lt;Q1145,Q1145&lt;60001),AND(75000&lt;Q1145,Q1145&lt;77500)),$H1145,VLOOKUP(Q1145,BDins,6,FALSE)))))</f>
        <v>15.36</v>
      </c>
      <c r="R1147">
        <f>IF(R1149&gt;10000,HLOOKUP(R1149,$O1145:Q1148,4,FALSE),IF(OR(AND(22500&lt;R1145,R1145&lt;25001),AND(50000&lt;R1145,R1145&lt;53501),AND(70000&lt;R1145,R1145&lt;72501)),$F1145,IF(OR(AND(25001&lt;R1145,R1145&lt;27501),AND(53500&lt;R1145,R1145&lt;57001),AND(72500&lt;R1145,R1145&lt;75001)),$G1145,IF(OR(AND(27500&lt;R1145,R1145&lt;30001),AND(57000&lt;R1145,R1145&lt;60001),AND(75000&lt;R1145,R1145&lt;77500)),$H1145,VLOOKUP(R1145,BDins,6,FALSE)))))</f>
        <v>7</v>
      </c>
      <c r="S1147">
        <f>IF(S1149&gt;10000,HLOOKUP(S1149,$O1145:R1148,4,FALSE),IF(OR(AND(22500&lt;S1145,S1145&lt;25001),AND(50000&lt;S1145,S1145&lt;53501),AND(70000&lt;S1145,S1145&lt;72501)),$F1145,IF(OR(AND(25001&lt;S1145,S1145&lt;27501),AND(53500&lt;S1145,S1145&lt;57001),AND(72500&lt;S1145,S1145&lt;75001)),$G1145,IF(OR(AND(27500&lt;S1145,S1145&lt;30001),AND(57000&lt;S1145,S1145&lt;60001),AND(75000&lt;S1145,S1145&lt;77500)),$H1145,VLOOKUP(S1145,BDins,6,FALSE)))))</f>
        <v>16.53</v>
      </c>
    </row>
    <row r="1148" spans="1:20" x14ac:dyDescent="0.2">
      <c r="O1148">
        <f>IF($K1145&gt;0,ROUND(O1146*$E1145/100,DpCU),IF(O1149&gt;10000,ROUND(HLOOKUP(O1149,$O1145:$S1148,4,FALSE)/100*O1146,DpCU),IF(OR(O1145&lt;20001,O1145&gt;95000,AND(60000&lt;O1145,O1145&lt;70001)),ROUND(ROUND(O1146*JL/$C1145,DcCU)*O1147,DpCU),IF(OR(AND(20000&lt;O1145,O1145&lt;22501),AND(30000&lt;O1145,O1145&lt;50001),77500&lt;O1145),ROUND(O1147*O1146,DpCU),IF(OR(AND(22500&lt;O1145,O1145&lt;25001),AND(50000&lt;O1145,O1145&lt;53501),AND(70000&lt;O1145,O1145&lt;72501)),ROUND($F1145/100*O1146,DpCU),IF(OR(AND(25000&lt;O1145,O1145&lt;27501),AND(53500&lt;O1145,O1145&lt;57001),AND(72500&lt;O1145,O1145&lt;75001)),ROUND($G1145/100*O1146,DpCU),ROUND($H1145/100*O1146,DpCU)))))))</f>
        <v>1.33</v>
      </c>
      <c r="P1148">
        <f>IF($K1145&gt;0,ROUND(P1146*$E1145/100,DpCU),IF(P1149&gt;10000,ROUND(HLOOKUP(P1149,$O1145:$S1148,4,FALSE)/100*P1146,DpCU),IF(OR(P1145&lt;20001,P1145&gt;95000,AND(60000&lt;P1145,P1145&lt;70001)),ROUND(ROUND(P1146*JL/$C1145,DcCU)*P1147,DpCU),IF(OR(AND(20000&lt;P1145,P1145&lt;22501),AND(30000&lt;P1145,P1145&lt;50001),77500&lt;P1145),ROUND(P1147*P1146,DpCU),IF(OR(AND(22500&lt;P1145,P1145&lt;25001),AND(50000&lt;P1145,P1145&lt;53501),AND(70000&lt;P1145,P1145&lt;72501)),ROUND($F1145/100*P1146,DpCU),IF(OR(AND(25000&lt;P1145,P1145&lt;27501),AND(53500&lt;P1145,P1145&lt;57001),AND(72500&lt;P1145,P1145&lt;75001)),ROUND($G1145/100*P1146,DpCU),ROUND($H1145/100*P1146,DpCU)))))))</f>
        <v>11.1</v>
      </c>
      <c r="Q1148">
        <f>IF($K1145&gt;0,ROUND(Q1146*$E1145/100,DpCU),IF(Q1149&gt;10000,ROUND(HLOOKUP(Q1149,$O1145:$S1148,4,FALSE)/100*Q1146,DpCU),IF(OR(Q1145&lt;20001,Q1145&gt;95000,AND(60000&lt;Q1145,Q1145&lt;70001)),ROUND(ROUND(Q1146*JL/$C1145,DcCU)*Q1147,DpCU),IF(OR(AND(20000&lt;Q1145,Q1145&lt;22501),AND(30000&lt;Q1145,Q1145&lt;50001),77500&lt;Q1145),ROUND(Q1147*Q1146,DpCU),IF(OR(AND(22500&lt;Q1145,Q1145&lt;25001),AND(50000&lt;Q1145,Q1145&lt;53501),AND(70000&lt;Q1145,Q1145&lt;72501)),ROUND($F1145/100*Q1146,DpCU),IF(OR(AND(25000&lt;Q1145,Q1145&lt;27501),AND(53500&lt;Q1145,Q1145&lt;57001),AND(72500&lt;Q1145,Q1145&lt;75001)),ROUND($G1145/100*Q1146,DpCU),ROUND($H1145/100*Q1146,DpCU)))))))</f>
        <v>4.0999999999999996</v>
      </c>
      <c r="R1148">
        <f>IF($K1145&gt;0,ROUND(R1146*$E1145/100,DpCU),IF(R1149&gt;10000,ROUND(HLOOKUP(R1149,$O1145:$S1148,4,FALSE)/100*R1146,DpCU),IF(OR(R1145&lt;20001,R1145&gt;95000,AND(60000&lt;R1145,R1145&lt;70001)),ROUND(ROUND(R1146*JL/$C1145,DcCU)*R1147,DpCU),IF(OR(AND(20000&lt;R1145,R1145&lt;22501),AND(30000&lt;R1145,R1145&lt;50001),77500&lt;R1145),ROUND(R1147*R1146,DpCU),IF(OR(AND(22500&lt;R1145,R1145&lt;25001),AND(50000&lt;R1145,R1145&lt;53501),AND(70000&lt;R1145,R1145&lt;72501)),ROUND($F1145/100*R1146,DpCU),IF(OR(AND(25000&lt;R1145,R1145&lt;27501),AND(53500&lt;R1145,R1145&lt;57001),AND(72500&lt;R1145,R1145&lt;75001)),ROUND($G1145/100*R1146,DpCU),ROUND($H1145/100*R1146,DpCU)))))))</f>
        <v>7</v>
      </c>
      <c r="S1148">
        <f>IF($K1145&gt;0,ROUND(S1146*$E1145/100,DpCU),IF(S1149&gt;10000,ROUND(HLOOKUP(S1149,$O1145:$S1148,4,FALSE)/100*S1146,DpCU),IF(OR(S1145&lt;20001,S1145&gt;95000,AND(60000&lt;S1145,S1145&lt;70001)),ROUND(ROUND(S1146*JL/$C1145,DcCU)*S1147,DpCU),IF(OR(AND(20000&lt;S1145,S1145&lt;22501),AND(30000&lt;S1145,S1145&lt;50001),77500&lt;S1145),ROUND(S1147*S1146,DpCU),IF(OR(AND(22500&lt;S1145,S1145&lt;25001),AND(50000&lt;S1145,S1145&lt;53501),AND(70000&lt;S1145,S1145&lt;72501)),ROUND($F1145/100*S1146,DpCU),IF(OR(AND(25000&lt;S1145,S1145&lt;27501),AND(53500&lt;S1145,S1145&lt;57001),AND(72500&lt;S1145,S1145&lt;75001)),ROUND($G1145/100*S1146,DpCU),ROUND($H1145/100*S1146,DpCU)))))))</f>
        <v>0.83</v>
      </c>
    </row>
    <row r="1149" spans="1:20" x14ac:dyDescent="0.2">
      <c r="B1149" s="3" t="str">
        <f>A1145&amp;"r"</f>
        <v>10229r</v>
      </c>
    </row>
    <row r="1150" spans="1:20" x14ac:dyDescent="0.2">
      <c r="A1150">
        <v>10230</v>
      </c>
      <c r="B1150" s="3" t="s">
        <v>1157</v>
      </c>
      <c r="C1150" s="1">
        <f>ROUND(J1150*JL*Frto/8,4)</f>
        <v>15</v>
      </c>
      <c r="D1150" t="s">
        <v>7</v>
      </c>
      <c r="E1150">
        <f>SUM($O1153:$S1153)</f>
        <v>21.36</v>
      </c>
      <c r="F1150">
        <f>SUMIF($O1150:$S1150,"&lt;22501",$O1153:$S1153)</f>
        <v>16.53</v>
      </c>
      <c r="G1150">
        <f>SUMIFS($O1153:$S1153,$O1150:$S1150,"&gt;30000",$O1150:$S1150,"&lt;50001")</f>
        <v>4</v>
      </c>
      <c r="H1150">
        <f>SUMIFS($O1153:$S1153,$O1150:$S1150,"&gt;60000",$O1150:$S1150,"&lt;70001")</f>
        <v>0</v>
      </c>
      <c r="I1150">
        <v>5</v>
      </c>
      <c r="J1150">
        <v>15</v>
      </c>
      <c r="O1150">
        <v>10001</v>
      </c>
      <c r="P1150">
        <v>10002</v>
      </c>
      <c r="Q1150">
        <v>10003</v>
      </c>
      <c r="R1150">
        <v>30297</v>
      </c>
      <c r="S1150">
        <v>70001</v>
      </c>
    </row>
    <row r="1151" spans="1:20" x14ac:dyDescent="0.2">
      <c r="B1151" s="3" t="str">
        <f>A1150&amp;"C"</f>
        <v>10230C</v>
      </c>
      <c r="O1151">
        <v>0.1</v>
      </c>
      <c r="P1151">
        <v>1</v>
      </c>
      <c r="Q1151">
        <v>0.5</v>
      </c>
      <c r="R1151">
        <v>1</v>
      </c>
      <c r="S1151">
        <v>5</v>
      </c>
    </row>
    <row r="1152" spans="1:20" x14ac:dyDescent="0.2">
      <c r="O1152">
        <f>IF(O1154&gt;10000,HLOOKUP(O1154,N1150:$O1153,4,FALSE),IF(OR(AND(22500&lt;O1150,O1150&lt;25001),AND(50000&lt;O1150,O1150&lt;53501),AND(70000&lt;O1150,O1150&lt;72501)),$F1150,IF(OR(AND(25001&lt;O1150,O1150&lt;27501),AND(53500&lt;O1150,O1150&lt;57001),AND(72500&lt;O1150,O1150&lt;75001)),$G1150,IF(OR(AND(27500&lt;O1150,O1150&lt;30001),AND(57000&lt;O1150,O1150&lt;60001),AND(75000&lt;O1150,O1150&lt;77500)),$H1150,VLOOKUP(O1150,BDins,6,FALSE)))))</f>
        <v>24.97</v>
      </c>
      <c r="P1152">
        <f>IF(P1154&gt;10000,HLOOKUP(P1154,O1150:$O1153,4,FALSE),IF(OR(AND(22500&lt;P1150,P1150&lt;25001),AND(50000&lt;P1150,P1150&lt;53501),AND(70000&lt;P1150,P1150&lt;72501)),$F1150,IF(OR(AND(25001&lt;P1150,P1150&lt;27501),AND(53500&lt;P1150,P1150&lt;57001),AND(72500&lt;P1150,P1150&lt;75001)),$G1150,IF(OR(AND(27500&lt;P1150,P1150&lt;30001),AND(57000&lt;P1150,P1150&lt;60001),AND(75000&lt;P1150,P1150&lt;77500)),$H1150,VLOOKUP(P1150,BDins,6,FALSE)))))</f>
        <v>20.81</v>
      </c>
      <c r="Q1152">
        <f>IF(Q1154&gt;10000,HLOOKUP(Q1154,$O1150:P1153,4,FALSE),IF(OR(AND(22500&lt;Q1150,Q1150&lt;25001),AND(50000&lt;Q1150,Q1150&lt;53501),AND(70000&lt;Q1150,Q1150&lt;72501)),$F1150,IF(OR(AND(25001&lt;Q1150,Q1150&lt;27501),AND(53500&lt;Q1150,Q1150&lt;57001),AND(72500&lt;Q1150,Q1150&lt;75001)),$G1150,IF(OR(AND(27500&lt;Q1150,Q1150&lt;30001),AND(57000&lt;Q1150,Q1150&lt;60001),AND(75000&lt;Q1150,Q1150&lt;77500)),$H1150,VLOOKUP(Q1150,BDins,6,FALSE)))))</f>
        <v>15.36</v>
      </c>
      <c r="R1152">
        <f>IF(R1154&gt;10000,HLOOKUP(R1154,$O1150:Q1153,4,FALSE),IF(OR(AND(22500&lt;R1150,R1150&lt;25001),AND(50000&lt;R1150,R1150&lt;53501),AND(70000&lt;R1150,R1150&lt;72501)),$F1150,IF(OR(AND(25001&lt;R1150,R1150&lt;27501),AND(53500&lt;R1150,R1150&lt;57001),AND(72500&lt;R1150,R1150&lt;75001)),$G1150,IF(OR(AND(27500&lt;R1150,R1150&lt;30001),AND(57000&lt;R1150,R1150&lt;60001),AND(75000&lt;R1150,R1150&lt;77500)),$H1150,VLOOKUP(R1150,BDins,6,FALSE)))))</f>
        <v>4</v>
      </c>
      <c r="S1152">
        <f>IF(S1154&gt;10000,HLOOKUP(S1154,$O1150:R1153,4,FALSE),IF(OR(AND(22500&lt;S1150,S1150&lt;25001),AND(50000&lt;S1150,S1150&lt;53501),AND(70000&lt;S1150,S1150&lt;72501)),$F1150,IF(OR(AND(25001&lt;S1150,S1150&lt;27501),AND(53500&lt;S1150,S1150&lt;57001),AND(72500&lt;S1150,S1150&lt;75001)),$G1150,IF(OR(AND(27500&lt;S1150,S1150&lt;30001),AND(57000&lt;S1150,S1150&lt;60001),AND(75000&lt;S1150,S1150&lt;77500)),$H1150,VLOOKUP(S1150,BDins,6,FALSE)))))</f>
        <v>16.53</v>
      </c>
    </row>
    <row r="1153" spans="1:26" x14ac:dyDescent="0.2">
      <c r="O1153">
        <f>IF($K1150&gt;0,ROUND(O1151*$E1150/100,DpCU),IF(O1154&gt;10000,ROUND(HLOOKUP(O1154,$O1150:$S1153,4,FALSE)/100*O1151,DpCU),IF(OR(O1150&lt;20001,O1150&gt;95000,AND(60000&lt;O1150,O1150&lt;70001)),ROUND(ROUND(O1151*JL/$C1150,DcCU)*O1152,DpCU),IF(OR(AND(20000&lt;O1150,O1150&lt;22501),AND(30000&lt;O1150,O1150&lt;50001),77500&lt;O1150),ROUND(O1152*O1151,DpCU),IF(OR(AND(22500&lt;O1150,O1150&lt;25001),AND(50000&lt;O1150,O1150&lt;53501),AND(70000&lt;O1150,O1150&lt;72501)),ROUND($F1150/100*O1151,DpCU),IF(OR(AND(25000&lt;O1150,O1150&lt;27501),AND(53500&lt;O1150,O1150&lt;57001),AND(72500&lt;O1150,O1150&lt;75001)),ROUND($G1150/100*O1151,DpCU),ROUND($H1150/100*O1151,DpCU)))))))</f>
        <v>1.33</v>
      </c>
      <c r="P1153">
        <f>IF($K1150&gt;0,ROUND(P1151*$E1150/100,DpCU),IF(P1154&gt;10000,ROUND(HLOOKUP(P1154,$O1150:$S1153,4,FALSE)/100*P1151,DpCU),IF(OR(P1150&lt;20001,P1150&gt;95000,AND(60000&lt;P1150,P1150&lt;70001)),ROUND(ROUND(P1151*JL/$C1150,DcCU)*P1152,DpCU),IF(OR(AND(20000&lt;P1150,P1150&lt;22501),AND(30000&lt;P1150,P1150&lt;50001),77500&lt;P1150),ROUND(P1152*P1151,DpCU),IF(OR(AND(22500&lt;P1150,P1150&lt;25001),AND(50000&lt;P1150,P1150&lt;53501),AND(70000&lt;P1150,P1150&lt;72501)),ROUND($F1150/100*P1151,DpCU),IF(OR(AND(25000&lt;P1150,P1150&lt;27501),AND(53500&lt;P1150,P1150&lt;57001),AND(72500&lt;P1150,P1150&lt;75001)),ROUND($G1150/100*P1151,DpCU),ROUND($H1150/100*P1151,DpCU)))))))</f>
        <v>11.1</v>
      </c>
      <c r="Q1153">
        <f>IF($K1150&gt;0,ROUND(Q1151*$E1150/100,DpCU),IF(Q1154&gt;10000,ROUND(HLOOKUP(Q1154,$O1150:$S1153,4,FALSE)/100*Q1151,DpCU),IF(OR(Q1150&lt;20001,Q1150&gt;95000,AND(60000&lt;Q1150,Q1150&lt;70001)),ROUND(ROUND(Q1151*JL/$C1150,DcCU)*Q1152,DpCU),IF(OR(AND(20000&lt;Q1150,Q1150&lt;22501),AND(30000&lt;Q1150,Q1150&lt;50001),77500&lt;Q1150),ROUND(Q1152*Q1151,DpCU),IF(OR(AND(22500&lt;Q1150,Q1150&lt;25001),AND(50000&lt;Q1150,Q1150&lt;53501),AND(70000&lt;Q1150,Q1150&lt;72501)),ROUND($F1150/100*Q1151,DpCU),IF(OR(AND(25000&lt;Q1150,Q1150&lt;27501),AND(53500&lt;Q1150,Q1150&lt;57001),AND(72500&lt;Q1150,Q1150&lt;75001)),ROUND($G1150/100*Q1151,DpCU),ROUND($H1150/100*Q1151,DpCU)))))))</f>
        <v>4.0999999999999996</v>
      </c>
      <c r="R1153">
        <f>IF($K1150&gt;0,ROUND(R1151*$E1150/100,DpCU),IF(R1154&gt;10000,ROUND(HLOOKUP(R1154,$O1150:$S1153,4,FALSE)/100*R1151,DpCU),IF(OR(R1150&lt;20001,R1150&gt;95000,AND(60000&lt;R1150,R1150&lt;70001)),ROUND(ROUND(R1151*JL/$C1150,DcCU)*R1152,DpCU),IF(OR(AND(20000&lt;R1150,R1150&lt;22501),AND(30000&lt;R1150,R1150&lt;50001),77500&lt;R1150),ROUND(R1152*R1151,DpCU),IF(OR(AND(22500&lt;R1150,R1150&lt;25001),AND(50000&lt;R1150,R1150&lt;53501),AND(70000&lt;R1150,R1150&lt;72501)),ROUND($F1150/100*R1151,DpCU),IF(OR(AND(25000&lt;R1150,R1150&lt;27501),AND(53500&lt;R1150,R1150&lt;57001),AND(72500&lt;R1150,R1150&lt;75001)),ROUND($G1150/100*R1151,DpCU),ROUND($H1150/100*R1151,DpCU)))))))</f>
        <v>4</v>
      </c>
      <c r="S1153">
        <f>IF($K1150&gt;0,ROUND(S1151*$E1150/100,DpCU),IF(S1154&gt;10000,ROUND(HLOOKUP(S1154,$O1150:$S1153,4,FALSE)/100*S1151,DpCU),IF(OR(S1150&lt;20001,S1150&gt;95000,AND(60000&lt;S1150,S1150&lt;70001)),ROUND(ROUND(S1151*JL/$C1150,DcCU)*S1152,DpCU),IF(OR(AND(20000&lt;S1150,S1150&lt;22501),AND(30000&lt;S1150,S1150&lt;50001),77500&lt;S1150),ROUND(S1152*S1151,DpCU),IF(OR(AND(22500&lt;S1150,S1150&lt;25001),AND(50000&lt;S1150,S1150&lt;53501),AND(70000&lt;S1150,S1150&lt;72501)),ROUND($F1150/100*S1151,DpCU),IF(OR(AND(25000&lt;S1150,S1150&lt;27501),AND(53500&lt;S1150,S1150&lt;57001),AND(72500&lt;S1150,S1150&lt;75001)),ROUND($G1150/100*S1151,DpCU),ROUND($H1150/100*S1151,DpCU)))))))</f>
        <v>0.83</v>
      </c>
    </row>
    <row r="1154" spans="1:26" x14ac:dyDescent="0.2">
      <c r="B1154" s="3" t="str">
        <f>A1150&amp;"r"</f>
        <v>10230r</v>
      </c>
    </row>
    <row r="1155" spans="1:26" x14ac:dyDescent="0.2">
      <c r="A1155">
        <v>10231</v>
      </c>
      <c r="B1155" s="3" t="s">
        <v>1161</v>
      </c>
      <c r="C1155" s="1">
        <f>ROUND(J1155*JL*Frto/8,4)</f>
        <v>4</v>
      </c>
      <c r="D1155" t="s">
        <v>7</v>
      </c>
      <c r="E1155">
        <f>SUM($O1158:$T1158)</f>
        <v>212.6</v>
      </c>
      <c r="F1155">
        <f>SUMIF($O1155:$T1155,"&lt;22501",$O1158:$T1158)</f>
        <v>88.22999999999999</v>
      </c>
      <c r="G1155">
        <f>SUMIFS($O1158:$T1158,$O1155:$T1155,"&gt;30000",$O1155:$T1155,"&lt;50001")</f>
        <v>97.9</v>
      </c>
      <c r="H1155">
        <f>SUMIFS($O1158:$T1158,$O1155:$T1155,"&gt;60000",$O1155:$T1155,"&lt;70001")</f>
        <v>0</v>
      </c>
      <c r="I1155">
        <v>6</v>
      </c>
      <c r="J1155">
        <v>4</v>
      </c>
      <c r="O1155">
        <v>10001</v>
      </c>
      <c r="P1155">
        <v>10002</v>
      </c>
      <c r="Q1155">
        <v>30126</v>
      </c>
      <c r="R1155">
        <v>30298</v>
      </c>
      <c r="S1155">
        <v>30299</v>
      </c>
      <c r="T1155">
        <v>70001</v>
      </c>
    </row>
    <row r="1156" spans="1:26" x14ac:dyDescent="0.2">
      <c r="B1156" s="3" t="str">
        <f>A1155&amp;"C"</f>
        <v>10231C</v>
      </c>
      <c r="O1156">
        <v>0.1</v>
      </c>
      <c r="P1156">
        <v>2</v>
      </c>
      <c r="Q1156">
        <v>0.05</v>
      </c>
      <c r="R1156">
        <v>0.35</v>
      </c>
      <c r="S1156">
        <v>1</v>
      </c>
      <c r="T1156">
        <v>30</v>
      </c>
    </row>
    <row r="1157" spans="1:26" x14ac:dyDescent="0.2">
      <c r="O1157">
        <f>IF(O1159&gt;10000,HLOOKUP(O1159,N1155:$O1158,4,FALSE),IF(OR(AND(22500&lt;O1155,O1155&lt;25001),AND(50000&lt;O1155,O1155&lt;53501),AND(70000&lt;O1155,O1155&lt;72501)),$F1155,IF(OR(AND(25001&lt;O1155,O1155&lt;27501),AND(53500&lt;O1155,O1155&lt;57001),AND(72500&lt;O1155,O1155&lt;75001)),$G1155,IF(OR(AND(27500&lt;O1155,O1155&lt;30001),AND(57000&lt;O1155,O1155&lt;60001),AND(75000&lt;O1155,O1155&lt;77500)),$H1155,VLOOKUP(O1155,BDins,6,FALSE)))))</f>
        <v>24.97</v>
      </c>
      <c r="P1157">
        <f>IF(P1159&gt;10000,HLOOKUP(P1159,O1155:$O1158,4,FALSE),IF(OR(AND(22500&lt;P1155,P1155&lt;25001),AND(50000&lt;P1155,P1155&lt;53501),AND(70000&lt;P1155,P1155&lt;72501)),$F1155,IF(OR(AND(25001&lt;P1155,P1155&lt;27501),AND(53500&lt;P1155,P1155&lt;57001),AND(72500&lt;P1155,P1155&lt;75001)),$G1155,IF(OR(AND(27500&lt;P1155,P1155&lt;30001),AND(57000&lt;P1155,P1155&lt;60001),AND(75000&lt;P1155,P1155&lt;77500)),$H1155,VLOOKUP(P1155,BDins,6,FALSE)))))</f>
        <v>20.81</v>
      </c>
      <c r="Q1157">
        <f>IF(Q1159&gt;10000,HLOOKUP(Q1159,$O1155:P1158,4,FALSE),IF(OR(AND(22500&lt;Q1155,Q1155&lt;25001),AND(50000&lt;Q1155,Q1155&lt;53501),AND(70000&lt;Q1155,Q1155&lt;72501)),$F1155,IF(OR(AND(25001&lt;Q1155,Q1155&lt;27501),AND(53500&lt;Q1155,Q1155&lt;57001),AND(72500&lt;Q1155,Q1155&lt;75001)),$G1155,IF(OR(AND(27500&lt;Q1155,Q1155&lt;30001),AND(57000&lt;Q1155,Q1155&lt;60001),AND(75000&lt;Q1155,Q1155&lt;77500)),$H1155,VLOOKUP(Q1155,BDins,6,FALSE)))))</f>
        <v>8</v>
      </c>
      <c r="R1157">
        <f>IF(R1159&gt;10000,HLOOKUP(R1159,$O1155:Q1158,4,FALSE),IF(OR(AND(22500&lt;R1155,R1155&lt;25001),AND(50000&lt;R1155,R1155&lt;53501),AND(70000&lt;R1155,R1155&lt;72501)),$F1155,IF(OR(AND(25001&lt;R1155,R1155&lt;27501),AND(53500&lt;R1155,R1155&lt;57001),AND(72500&lt;R1155,R1155&lt;75001)),$G1155,IF(OR(AND(27500&lt;R1155,R1155&lt;30001),AND(57000&lt;R1155,R1155&lt;60001),AND(75000&lt;R1155,R1155&lt;77500)),$H1155,VLOOKUP(R1155,BDins,6,FALSE)))))</f>
        <v>150</v>
      </c>
      <c r="S1157">
        <f>IF(S1159&gt;10000,HLOOKUP(S1159,$O1155:R1158,4,FALSE),IF(OR(AND(22500&lt;S1155,S1155&lt;25001),AND(50000&lt;S1155,S1155&lt;53501),AND(70000&lt;S1155,S1155&lt;72501)),$F1155,IF(OR(AND(25001&lt;S1155,S1155&lt;27501),AND(53500&lt;S1155,S1155&lt;57001),AND(72500&lt;S1155,S1155&lt;75001)),$G1155,IF(OR(AND(27500&lt;S1155,S1155&lt;30001),AND(57000&lt;S1155,S1155&lt;60001),AND(75000&lt;S1155,S1155&lt;77500)),$H1155,VLOOKUP(S1155,BDins,6,FALSE)))))</f>
        <v>45</v>
      </c>
      <c r="T1157">
        <f>IF(T1159&gt;10000,HLOOKUP(T1159,$O1155:S1158,4,FALSE),IF(OR(AND(22500&lt;T1155,T1155&lt;25001),AND(50000&lt;T1155,T1155&lt;53501),AND(70000&lt;T1155,T1155&lt;72501)),$F1155,IF(OR(AND(25001&lt;T1155,T1155&lt;27501),AND(53500&lt;T1155,T1155&lt;57001),AND(72500&lt;T1155,T1155&lt;75001)),$G1155,IF(OR(AND(27500&lt;T1155,T1155&lt;30001),AND(57000&lt;T1155,T1155&lt;60001),AND(75000&lt;T1155,T1155&lt;77500)),$H1155,VLOOKUP(T1155,BDins,6,FALSE)))))</f>
        <v>88.22999999999999</v>
      </c>
    </row>
    <row r="1158" spans="1:26" x14ac:dyDescent="0.2">
      <c r="O1158">
        <f t="shared" ref="O1158:T1158" si="166">IF($K1155&gt;0,ROUND(O1156*$E1155/100,DpCU),IF(O1159&gt;10000,ROUND(HLOOKUP(O1159,$O1155:$T1158,4,FALSE)/100*O1156,DpCU),IF(OR(O1155&lt;20001,O1155&gt;95000,AND(60000&lt;O1155,O1155&lt;70001)),ROUND(ROUND(O1156*JL/$C1155,DcCU)*O1157,DpCU),IF(OR(AND(20000&lt;O1155,O1155&lt;22501),AND(30000&lt;O1155,O1155&lt;50001),77500&lt;O1155),ROUND(O1157*O1156,DpCU),IF(OR(AND(22500&lt;O1155,O1155&lt;25001),AND(50000&lt;O1155,O1155&lt;53501),AND(70000&lt;O1155,O1155&lt;72501)),ROUND($F1155/100*O1156,DpCU),IF(OR(AND(25000&lt;O1155,O1155&lt;27501),AND(53500&lt;O1155,O1155&lt;57001),AND(72500&lt;O1155,O1155&lt;75001)),ROUND($G1155/100*O1156,DpCU),ROUND($H1155/100*O1156,DpCU)))))))</f>
        <v>4.99</v>
      </c>
      <c r="P1158">
        <f t="shared" si="166"/>
        <v>83.24</v>
      </c>
      <c r="Q1158">
        <f t="shared" si="166"/>
        <v>0.4</v>
      </c>
      <c r="R1158">
        <f t="shared" si="166"/>
        <v>52.5</v>
      </c>
      <c r="S1158">
        <f t="shared" si="166"/>
        <v>45</v>
      </c>
      <c r="T1158">
        <f t="shared" si="166"/>
        <v>26.47</v>
      </c>
    </row>
    <row r="1159" spans="1:26" x14ac:dyDescent="0.2">
      <c r="B1159" s="3" t="str">
        <f>A1155&amp;"r"</f>
        <v>10231r</v>
      </c>
    </row>
    <row r="1160" spans="1:26" x14ac:dyDescent="0.2">
      <c r="A1160">
        <v>10232</v>
      </c>
      <c r="B1160" s="3" t="s">
        <v>1169</v>
      </c>
      <c r="C1160" s="1">
        <f>ROUND(J1160*JL*Frto/8,4)</f>
        <v>1.5</v>
      </c>
      <c r="D1160" t="s">
        <v>7</v>
      </c>
      <c r="E1160">
        <f>SUM($O1163:$Z1163)</f>
        <v>269.99</v>
      </c>
      <c r="F1160">
        <f>SUMIF($O1160:$Z1160,"&lt;22501",$O1163:$Z1163)</f>
        <v>206.23000000000002</v>
      </c>
      <c r="G1160">
        <f>SUMIFS($O1163:$Z1163,$O1160:$Z1160,"&gt;30000",$O1160:$Z1160,"&lt;50001")</f>
        <v>53.45</v>
      </c>
      <c r="H1160">
        <f>SUMIFS($O1163:$Z1163,$O1160:$Z1160,"&gt;60000",$O1160:$Z1160,"&lt;70001")</f>
        <v>0</v>
      </c>
      <c r="I1160">
        <v>12</v>
      </c>
      <c r="J1160">
        <v>1.5</v>
      </c>
      <c r="O1160">
        <v>10001</v>
      </c>
      <c r="P1160">
        <v>10002</v>
      </c>
      <c r="Q1160">
        <v>10003</v>
      </c>
      <c r="R1160">
        <v>30002</v>
      </c>
      <c r="S1160">
        <v>30004</v>
      </c>
      <c r="T1160">
        <v>30023</v>
      </c>
      <c r="U1160">
        <v>30051</v>
      </c>
      <c r="V1160">
        <v>30052</v>
      </c>
      <c r="W1160">
        <v>30053</v>
      </c>
      <c r="X1160">
        <v>30093</v>
      </c>
      <c r="Y1160">
        <v>30300</v>
      </c>
      <c r="Z1160">
        <v>70001</v>
      </c>
    </row>
    <row r="1161" spans="1:26" x14ac:dyDescent="0.2">
      <c r="B1161" s="3" t="str">
        <f>A1160&amp;"C"</f>
        <v>10232C</v>
      </c>
      <c r="O1161">
        <v>0.1</v>
      </c>
      <c r="P1161">
        <v>1</v>
      </c>
      <c r="Q1161">
        <v>1</v>
      </c>
      <c r="R1161">
        <v>1.5</v>
      </c>
      <c r="S1161">
        <v>0.15</v>
      </c>
      <c r="T1161">
        <v>0.01</v>
      </c>
      <c r="U1161">
        <v>0.1</v>
      </c>
      <c r="V1161">
        <v>0.2</v>
      </c>
      <c r="W1161">
        <v>1</v>
      </c>
      <c r="X1161">
        <v>0.03</v>
      </c>
      <c r="Y1161">
        <v>5</v>
      </c>
      <c r="Z1161">
        <v>5</v>
      </c>
    </row>
    <row r="1162" spans="1:26" x14ac:dyDescent="0.2">
      <c r="O1162">
        <f>IF(O1164&gt;10000,HLOOKUP(O1164,N1160:$O1163,4,FALSE),IF(OR(AND(22500&lt;O1160,O1160&lt;25001),AND(50000&lt;O1160,O1160&lt;53501),AND(70000&lt;O1160,O1160&lt;72501)),$F1160,IF(OR(AND(25001&lt;O1160,O1160&lt;27501),AND(53500&lt;O1160,O1160&lt;57001),AND(72500&lt;O1160,O1160&lt;75001)),$G1160,IF(OR(AND(27500&lt;O1160,O1160&lt;30001),AND(57000&lt;O1160,O1160&lt;60001),AND(75000&lt;O1160,O1160&lt;77500)),$H1160,VLOOKUP(O1160,BDins,6,FALSE)))))</f>
        <v>24.97</v>
      </c>
      <c r="P1162">
        <f>IF(P1164&gt;10000,HLOOKUP(P1164,O1160:$O1163,4,FALSE),IF(OR(AND(22500&lt;P1160,P1160&lt;25001),AND(50000&lt;P1160,P1160&lt;53501),AND(70000&lt;P1160,P1160&lt;72501)),$F1160,IF(OR(AND(25001&lt;P1160,P1160&lt;27501),AND(53500&lt;P1160,P1160&lt;57001),AND(72500&lt;P1160,P1160&lt;75001)),$G1160,IF(OR(AND(27500&lt;P1160,P1160&lt;30001),AND(57000&lt;P1160,P1160&lt;60001),AND(75000&lt;P1160,P1160&lt;77500)),$H1160,VLOOKUP(P1160,BDins,6,FALSE)))))</f>
        <v>20.81</v>
      </c>
      <c r="Q1162">
        <f>IF(Q1164&gt;10000,HLOOKUP(Q1164,$O1160:P1163,4,FALSE),IF(OR(AND(22500&lt;Q1160,Q1160&lt;25001),AND(50000&lt;Q1160,Q1160&lt;53501),AND(70000&lt;Q1160,Q1160&lt;72501)),$F1160,IF(OR(AND(25001&lt;Q1160,Q1160&lt;27501),AND(53500&lt;Q1160,Q1160&lt;57001),AND(72500&lt;Q1160,Q1160&lt;75001)),$G1160,IF(OR(AND(27500&lt;Q1160,Q1160&lt;30001),AND(57000&lt;Q1160,Q1160&lt;60001),AND(75000&lt;Q1160,Q1160&lt;77500)),$H1160,VLOOKUP(Q1160,BDins,6,FALSE)))))</f>
        <v>15.36</v>
      </c>
      <c r="R1162">
        <f>IF(R1164&gt;10000,HLOOKUP(R1164,$O1160:Q1163,4,FALSE),IF(OR(AND(22500&lt;R1160,R1160&lt;25001),AND(50000&lt;R1160,R1160&lt;53501),AND(70000&lt;R1160,R1160&lt;72501)),$F1160,IF(OR(AND(25001&lt;R1160,R1160&lt;27501),AND(53500&lt;R1160,R1160&lt;57001),AND(72500&lt;R1160,R1160&lt;75001)),$G1160,IF(OR(AND(27500&lt;R1160,R1160&lt;30001),AND(57000&lt;R1160,R1160&lt;60001),AND(75000&lt;R1160,R1160&lt;77500)),$H1160,VLOOKUP(R1160,BDins,6,FALSE)))))</f>
        <v>18.5</v>
      </c>
      <c r="S1162">
        <f>IF(S1164&gt;10000,HLOOKUP(S1164,$O1160:R1163,4,FALSE),IF(OR(AND(22500&lt;S1160,S1160&lt;25001),AND(50000&lt;S1160,S1160&lt;53501),AND(70000&lt;S1160,S1160&lt;72501)),$F1160,IF(OR(AND(25001&lt;S1160,S1160&lt;27501),AND(53500&lt;S1160,S1160&lt;57001),AND(72500&lt;S1160,S1160&lt;75001)),$G1160,IF(OR(AND(27500&lt;S1160,S1160&lt;30001),AND(57000&lt;S1160,S1160&lt;60001),AND(75000&lt;S1160,S1160&lt;77500)),$H1160,VLOOKUP(S1160,BDins,6,FALSE)))))</f>
        <v>40</v>
      </c>
      <c r="T1162">
        <f>IF(T1164&gt;10000,HLOOKUP(T1164,$O1160:S1163,4,FALSE),IF(OR(AND(22500&lt;T1160,T1160&lt;25001),AND(50000&lt;T1160,T1160&lt;53501),AND(70000&lt;T1160,T1160&lt;72501)),$F1160,IF(OR(AND(25001&lt;T1160,T1160&lt;27501),AND(53500&lt;T1160,T1160&lt;57001),AND(72500&lt;T1160,T1160&lt;75001)),$G1160,IF(OR(AND(27500&lt;T1160,T1160&lt;30001),AND(57000&lt;T1160,T1160&lt;60001),AND(75000&lt;T1160,T1160&lt;77500)),$H1160,VLOOKUP(T1160,BDins,6,FALSE)))))</f>
        <v>150</v>
      </c>
      <c r="U1162">
        <f>IF(U1164&gt;10000,HLOOKUP(U1164,$O1160:T1163,4,FALSE),IF(OR(AND(22500&lt;U1160,U1160&lt;25001),AND(50000&lt;U1160,U1160&lt;53501),AND(70000&lt;U1160,U1160&lt;72501)),$F1160,IF(OR(AND(25001&lt;U1160,U1160&lt;27501),AND(53500&lt;U1160,U1160&lt;57001),AND(72500&lt;U1160,U1160&lt;75001)),$G1160,IF(OR(AND(27500&lt;U1160,U1160&lt;30001),AND(57000&lt;U1160,U1160&lt;60001),AND(75000&lt;U1160,U1160&lt;77500)),$H1160,VLOOKUP(U1160,BDins,6,FALSE)))))</f>
        <v>3.5</v>
      </c>
      <c r="V1162">
        <f>IF(V1164&gt;10000,HLOOKUP(V1164,$O1160:U1163,4,FALSE),IF(OR(AND(22500&lt;V1160,V1160&lt;25001),AND(50000&lt;V1160,V1160&lt;53501),AND(70000&lt;V1160,V1160&lt;72501)),$F1160,IF(OR(AND(25001&lt;V1160,V1160&lt;27501),AND(53500&lt;V1160,V1160&lt;57001),AND(72500&lt;V1160,V1160&lt;75001)),$G1160,IF(OR(AND(27500&lt;V1160,V1160&lt;30001),AND(57000&lt;V1160,V1160&lt;60001),AND(75000&lt;V1160,V1160&lt;77500)),$H1160,VLOOKUP(V1160,BDins,6,FALSE)))))</f>
        <v>3.5</v>
      </c>
      <c r="W1162">
        <f>IF(W1164&gt;10000,HLOOKUP(W1164,$O1160:V1163,4,FALSE),IF(OR(AND(22500&lt;W1160,W1160&lt;25001),AND(50000&lt;W1160,W1160&lt;53501),AND(70000&lt;W1160,W1160&lt;72501)),$F1160,IF(OR(AND(25001&lt;W1160,W1160&lt;27501),AND(53500&lt;W1160,W1160&lt;57001),AND(72500&lt;W1160,W1160&lt;75001)),$G1160,IF(OR(AND(27500&lt;W1160,W1160&lt;30001),AND(57000&lt;W1160,W1160&lt;60001),AND(75000&lt;W1160,W1160&lt;77500)),$H1160,VLOOKUP(W1160,BDins,6,FALSE)))))</f>
        <v>3.9</v>
      </c>
      <c r="X1162">
        <f>IF(X1164&gt;10000,HLOOKUP(X1164,$O1160:W1163,4,FALSE),IF(OR(AND(22500&lt;X1160,X1160&lt;25001),AND(50000&lt;X1160,X1160&lt;53501),AND(70000&lt;X1160,X1160&lt;72501)),$F1160,IF(OR(AND(25001&lt;X1160,X1160&lt;27501),AND(53500&lt;X1160,X1160&lt;57001),AND(72500&lt;X1160,X1160&lt;75001)),$G1160,IF(OR(AND(27500&lt;X1160,X1160&lt;30001),AND(57000&lt;X1160,X1160&lt;60001),AND(75000&lt;X1160,X1160&lt;77500)),$H1160,VLOOKUP(X1160,BDins,6,FALSE)))))</f>
        <v>45</v>
      </c>
      <c r="Y1162">
        <f>IF(Y1164&gt;10000,HLOOKUP(Y1164,$O1160:X1163,4,FALSE),IF(OR(AND(22500&lt;Y1160,Y1160&lt;25001),AND(50000&lt;Y1160,Y1160&lt;53501),AND(70000&lt;Y1160,Y1160&lt;72501)),$F1160,IF(OR(AND(25001&lt;Y1160,Y1160&lt;27501),AND(53500&lt;Y1160,Y1160&lt;57001),AND(72500&lt;Y1160,Y1160&lt;75001)),$G1160,IF(OR(AND(27500&lt;Y1160,Y1160&lt;30001),AND(57000&lt;Y1160,Y1160&lt;60001),AND(75000&lt;Y1160,Y1160&lt;77500)),$H1160,VLOOKUP(Y1160,BDins,6,FALSE)))))</f>
        <v>2.38</v>
      </c>
      <c r="Z1162">
        <f>IF(Z1164&gt;10000,HLOOKUP(Z1164,$O1160:Y1163,4,FALSE),IF(OR(AND(22500&lt;Z1160,Z1160&lt;25001),AND(50000&lt;Z1160,Z1160&lt;53501),AND(70000&lt;Z1160,Z1160&lt;72501)),$F1160,IF(OR(AND(25001&lt;Z1160,Z1160&lt;27501),AND(53500&lt;Z1160,Z1160&lt;57001),AND(72500&lt;Z1160,Z1160&lt;75001)),$G1160,IF(OR(AND(27500&lt;Z1160,Z1160&lt;30001),AND(57000&lt;Z1160,Z1160&lt;60001),AND(75000&lt;Z1160,Z1160&lt;77500)),$H1160,VLOOKUP(Z1160,BDins,6,FALSE)))))</f>
        <v>206.23000000000002</v>
      </c>
    </row>
    <row r="1163" spans="1:26" x14ac:dyDescent="0.2">
      <c r="O1163">
        <f t="shared" ref="O1163:Z1163" si="167">IF($K1160&gt;0,ROUND(O1161*$E1160/100,DpCU),IF(O1164&gt;10000,ROUND(HLOOKUP(O1164,$O1160:$Z1163,4,FALSE)/100*O1161,DpCU),IF(OR(O1160&lt;20001,O1160&gt;95000,AND(60000&lt;O1160,O1160&lt;70001)),ROUND(ROUND(O1161*JL/$C1160,DcCU)*O1162,DpCU),IF(OR(AND(20000&lt;O1160,O1160&lt;22501),AND(30000&lt;O1160,O1160&lt;50001),77500&lt;O1160),ROUND(O1162*O1161,DpCU),IF(OR(AND(22500&lt;O1160,O1160&lt;25001),AND(50000&lt;O1160,O1160&lt;53501),AND(70000&lt;O1160,O1160&lt;72501)),ROUND($F1160/100*O1161,DpCU),IF(OR(AND(25000&lt;O1160,O1160&lt;27501),AND(53500&lt;O1160,O1160&lt;57001),AND(72500&lt;O1160,O1160&lt;75001)),ROUND($G1160/100*O1161,DpCU),ROUND($H1160/100*O1161,DpCU)))))))</f>
        <v>13.32</v>
      </c>
      <c r="P1163">
        <f t="shared" si="167"/>
        <v>110.99</v>
      </c>
      <c r="Q1163">
        <f t="shared" si="167"/>
        <v>81.92</v>
      </c>
      <c r="R1163">
        <f t="shared" si="167"/>
        <v>27.75</v>
      </c>
      <c r="S1163">
        <f t="shared" si="167"/>
        <v>6</v>
      </c>
      <c r="T1163">
        <f t="shared" si="167"/>
        <v>1.5</v>
      </c>
      <c r="U1163">
        <f t="shared" si="167"/>
        <v>0.35</v>
      </c>
      <c r="V1163">
        <f t="shared" si="167"/>
        <v>0.7</v>
      </c>
      <c r="W1163">
        <f t="shared" si="167"/>
        <v>3.9</v>
      </c>
      <c r="X1163">
        <f t="shared" si="167"/>
        <v>1.35</v>
      </c>
      <c r="Y1163">
        <f t="shared" si="167"/>
        <v>11.9</v>
      </c>
      <c r="Z1163">
        <f t="shared" si="167"/>
        <v>10.31</v>
      </c>
    </row>
    <row r="1164" spans="1:26" x14ac:dyDescent="0.2">
      <c r="B1164" s="3" t="str">
        <f>A1160&amp;"r"</f>
        <v>10232r</v>
      </c>
    </row>
    <row r="1165" spans="1:26" x14ac:dyDescent="0.2">
      <c r="A1165">
        <v>10233</v>
      </c>
      <c r="B1165" s="3" t="s">
        <v>1172</v>
      </c>
      <c r="C1165" s="1">
        <f>ROUND(J1165*JL*Frto/8,4)</f>
        <v>1</v>
      </c>
      <c r="D1165" t="s">
        <v>7</v>
      </c>
      <c r="E1165">
        <f>SUM($O1168:$Z1168)</f>
        <v>410.61000000000007</v>
      </c>
      <c r="F1165">
        <f>SUMIF($O1165:$Z1165,"&lt;22501",$O1168:$Z1168)</f>
        <v>309.33999999999997</v>
      </c>
      <c r="G1165">
        <f>SUMIFS($O1168:$Z1168,$O1165:$Z1165,"&gt;30000",$O1165:$Z1165,"&lt;50001")</f>
        <v>85.8</v>
      </c>
      <c r="H1165">
        <f>SUMIFS($O1168:$Z1168,$O1165:$Z1165,"&gt;60000",$O1165:$Z1165,"&lt;70001")</f>
        <v>0</v>
      </c>
      <c r="I1165">
        <v>12</v>
      </c>
      <c r="J1165">
        <v>1</v>
      </c>
      <c r="O1165">
        <v>10001</v>
      </c>
      <c r="P1165">
        <v>10002</v>
      </c>
      <c r="Q1165">
        <v>10003</v>
      </c>
      <c r="R1165">
        <v>30002</v>
      </c>
      <c r="S1165">
        <v>30004</v>
      </c>
      <c r="T1165">
        <v>30023</v>
      </c>
      <c r="U1165">
        <v>30051</v>
      </c>
      <c r="V1165">
        <v>30052</v>
      </c>
      <c r="W1165">
        <v>30053</v>
      </c>
      <c r="X1165">
        <v>30093</v>
      </c>
      <c r="Y1165">
        <v>30300</v>
      </c>
      <c r="Z1165">
        <v>70001</v>
      </c>
    </row>
    <row r="1166" spans="1:26" x14ac:dyDescent="0.2">
      <c r="B1166" s="3" t="str">
        <f>A1165&amp;"C"</f>
        <v>10233C</v>
      </c>
      <c r="O1166">
        <v>0.1</v>
      </c>
      <c r="P1166">
        <v>1</v>
      </c>
      <c r="Q1166">
        <v>1</v>
      </c>
      <c r="R1166">
        <v>2.2999999999999998</v>
      </c>
      <c r="S1166">
        <v>0.2</v>
      </c>
      <c r="T1166">
        <v>0.01</v>
      </c>
      <c r="U1166">
        <v>0.1</v>
      </c>
      <c r="V1166">
        <v>0.3</v>
      </c>
      <c r="W1166">
        <v>1.5</v>
      </c>
      <c r="X1166">
        <v>0.06</v>
      </c>
      <c r="Y1166">
        <v>10</v>
      </c>
      <c r="Z1166">
        <v>5</v>
      </c>
    </row>
    <row r="1167" spans="1:26" x14ac:dyDescent="0.2">
      <c r="O1167">
        <f>IF(O1169&gt;10000,HLOOKUP(O1169,N1165:$O1168,4,FALSE),IF(OR(AND(22500&lt;O1165,O1165&lt;25001),AND(50000&lt;O1165,O1165&lt;53501),AND(70000&lt;O1165,O1165&lt;72501)),$F1165,IF(OR(AND(25001&lt;O1165,O1165&lt;27501),AND(53500&lt;O1165,O1165&lt;57001),AND(72500&lt;O1165,O1165&lt;75001)),$G1165,IF(OR(AND(27500&lt;O1165,O1165&lt;30001),AND(57000&lt;O1165,O1165&lt;60001),AND(75000&lt;O1165,O1165&lt;77500)),$H1165,VLOOKUP(O1165,BDins,6,FALSE)))))</f>
        <v>24.97</v>
      </c>
      <c r="P1167">
        <f>IF(P1169&gt;10000,HLOOKUP(P1169,O1165:$O1168,4,FALSE),IF(OR(AND(22500&lt;P1165,P1165&lt;25001),AND(50000&lt;P1165,P1165&lt;53501),AND(70000&lt;P1165,P1165&lt;72501)),$F1165,IF(OR(AND(25001&lt;P1165,P1165&lt;27501),AND(53500&lt;P1165,P1165&lt;57001),AND(72500&lt;P1165,P1165&lt;75001)),$G1165,IF(OR(AND(27500&lt;P1165,P1165&lt;30001),AND(57000&lt;P1165,P1165&lt;60001),AND(75000&lt;P1165,P1165&lt;77500)),$H1165,VLOOKUP(P1165,BDins,6,FALSE)))))</f>
        <v>20.81</v>
      </c>
      <c r="Q1167">
        <f>IF(Q1169&gt;10000,HLOOKUP(Q1169,$O1165:P1168,4,FALSE),IF(OR(AND(22500&lt;Q1165,Q1165&lt;25001),AND(50000&lt;Q1165,Q1165&lt;53501),AND(70000&lt;Q1165,Q1165&lt;72501)),$F1165,IF(OR(AND(25001&lt;Q1165,Q1165&lt;27501),AND(53500&lt;Q1165,Q1165&lt;57001),AND(72500&lt;Q1165,Q1165&lt;75001)),$G1165,IF(OR(AND(27500&lt;Q1165,Q1165&lt;30001),AND(57000&lt;Q1165,Q1165&lt;60001),AND(75000&lt;Q1165,Q1165&lt;77500)),$H1165,VLOOKUP(Q1165,BDins,6,FALSE)))))</f>
        <v>15.36</v>
      </c>
      <c r="R1167">
        <f>IF(R1169&gt;10000,HLOOKUP(R1169,$O1165:Q1168,4,FALSE),IF(OR(AND(22500&lt;R1165,R1165&lt;25001),AND(50000&lt;R1165,R1165&lt;53501),AND(70000&lt;R1165,R1165&lt;72501)),$F1165,IF(OR(AND(25001&lt;R1165,R1165&lt;27501),AND(53500&lt;R1165,R1165&lt;57001),AND(72500&lt;R1165,R1165&lt;75001)),$G1165,IF(OR(AND(27500&lt;R1165,R1165&lt;30001),AND(57000&lt;R1165,R1165&lt;60001),AND(75000&lt;R1165,R1165&lt;77500)),$H1165,VLOOKUP(R1165,BDins,6,FALSE)))))</f>
        <v>18.5</v>
      </c>
      <c r="S1167">
        <f>IF(S1169&gt;10000,HLOOKUP(S1169,$O1165:R1168,4,FALSE),IF(OR(AND(22500&lt;S1165,S1165&lt;25001),AND(50000&lt;S1165,S1165&lt;53501),AND(70000&lt;S1165,S1165&lt;72501)),$F1165,IF(OR(AND(25001&lt;S1165,S1165&lt;27501),AND(53500&lt;S1165,S1165&lt;57001),AND(72500&lt;S1165,S1165&lt;75001)),$G1165,IF(OR(AND(27500&lt;S1165,S1165&lt;30001),AND(57000&lt;S1165,S1165&lt;60001),AND(75000&lt;S1165,S1165&lt;77500)),$H1165,VLOOKUP(S1165,BDins,6,FALSE)))))</f>
        <v>40</v>
      </c>
      <c r="T1167">
        <f>IF(T1169&gt;10000,HLOOKUP(T1169,$O1165:S1168,4,FALSE),IF(OR(AND(22500&lt;T1165,T1165&lt;25001),AND(50000&lt;T1165,T1165&lt;53501),AND(70000&lt;T1165,T1165&lt;72501)),$F1165,IF(OR(AND(25001&lt;T1165,T1165&lt;27501),AND(53500&lt;T1165,T1165&lt;57001),AND(72500&lt;T1165,T1165&lt;75001)),$G1165,IF(OR(AND(27500&lt;T1165,T1165&lt;30001),AND(57000&lt;T1165,T1165&lt;60001),AND(75000&lt;T1165,T1165&lt;77500)),$H1165,VLOOKUP(T1165,BDins,6,FALSE)))))</f>
        <v>150</v>
      </c>
      <c r="U1167">
        <f>IF(U1169&gt;10000,HLOOKUP(U1169,$O1165:T1168,4,FALSE),IF(OR(AND(22500&lt;U1165,U1165&lt;25001),AND(50000&lt;U1165,U1165&lt;53501),AND(70000&lt;U1165,U1165&lt;72501)),$F1165,IF(OR(AND(25001&lt;U1165,U1165&lt;27501),AND(53500&lt;U1165,U1165&lt;57001),AND(72500&lt;U1165,U1165&lt;75001)),$G1165,IF(OR(AND(27500&lt;U1165,U1165&lt;30001),AND(57000&lt;U1165,U1165&lt;60001),AND(75000&lt;U1165,U1165&lt;77500)),$H1165,VLOOKUP(U1165,BDins,6,FALSE)))))</f>
        <v>3.5</v>
      </c>
      <c r="V1167">
        <f>IF(V1169&gt;10000,HLOOKUP(V1169,$O1165:U1168,4,FALSE),IF(OR(AND(22500&lt;V1165,V1165&lt;25001),AND(50000&lt;V1165,V1165&lt;53501),AND(70000&lt;V1165,V1165&lt;72501)),$F1165,IF(OR(AND(25001&lt;V1165,V1165&lt;27501),AND(53500&lt;V1165,V1165&lt;57001),AND(72500&lt;V1165,V1165&lt;75001)),$G1165,IF(OR(AND(27500&lt;V1165,V1165&lt;30001),AND(57000&lt;V1165,V1165&lt;60001),AND(75000&lt;V1165,V1165&lt;77500)),$H1165,VLOOKUP(V1165,BDins,6,FALSE)))))</f>
        <v>3.5</v>
      </c>
      <c r="W1167">
        <f>IF(W1169&gt;10000,HLOOKUP(W1169,$O1165:V1168,4,FALSE),IF(OR(AND(22500&lt;W1165,W1165&lt;25001),AND(50000&lt;W1165,W1165&lt;53501),AND(70000&lt;W1165,W1165&lt;72501)),$F1165,IF(OR(AND(25001&lt;W1165,W1165&lt;27501),AND(53500&lt;W1165,W1165&lt;57001),AND(72500&lt;W1165,W1165&lt;75001)),$G1165,IF(OR(AND(27500&lt;W1165,W1165&lt;30001),AND(57000&lt;W1165,W1165&lt;60001),AND(75000&lt;W1165,W1165&lt;77500)),$H1165,VLOOKUP(W1165,BDins,6,FALSE)))))</f>
        <v>3.9</v>
      </c>
      <c r="X1167">
        <f>IF(X1169&gt;10000,HLOOKUP(X1169,$O1165:W1168,4,FALSE),IF(OR(AND(22500&lt;X1165,X1165&lt;25001),AND(50000&lt;X1165,X1165&lt;53501),AND(70000&lt;X1165,X1165&lt;72501)),$F1165,IF(OR(AND(25001&lt;X1165,X1165&lt;27501),AND(53500&lt;X1165,X1165&lt;57001),AND(72500&lt;X1165,X1165&lt;75001)),$G1165,IF(OR(AND(27500&lt;X1165,X1165&lt;30001),AND(57000&lt;X1165,X1165&lt;60001),AND(75000&lt;X1165,X1165&lt;77500)),$H1165,VLOOKUP(X1165,BDins,6,FALSE)))))</f>
        <v>45</v>
      </c>
      <c r="Y1167">
        <f>IF(Y1169&gt;10000,HLOOKUP(Y1169,$O1165:X1168,4,FALSE),IF(OR(AND(22500&lt;Y1165,Y1165&lt;25001),AND(50000&lt;Y1165,Y1165&lt;53501),AND(70000&lt;Y1165,Y1165&lt;72501)),$F1165,IF(OR(AND(25001&lt;Y1165,Y1165&lt;27501),AND(53500&lt;Y1165,Y1165&lt;57001),AND(72500&lt;Y1165,Y1165&lt;75001)),$G1165,IF(OR(AND(27500&lt;Y1165,Y1165&lt;30001),AND(57000&lt;Y1165,Y1165&lt;60001),AND(75000&lt;Y1165,Y1165&lt;77500)),$H1165,VLOOKUP(Y1165,BDins,6,FALSE)))))</f>
        <v>2.38</v>
      </c>
      <c r="Z1167">
        <f>IF(Z1169&gt;10000,HLOOKUP(Z1169,$O1165:Y1168,4,FALSE),IF(OR(AND(22500&lt;Z1165,Z1165&lt;25001),AND(50000&lt;Z1165,Z1165&lt;53501),AND(70000&lt;Z1165,Z1165&lt;72501)),$F1165,IF(OR(AND(25001&lt;Z1165,Z1165&lt;27501),AND(53500&lt;Z1165,Z1165&lt;57001),AND(72500&lt;Z1165,Z1165&lt;75001)),$G1165,IF(OR(AND(27500&lt;Z1165,Z1165&lt;30001),AND(57000&lt;Z1165,Z1165&lt;60001),AND(75000&lt;Z1165,Z1165&lt;77500)),$H1165,VLOOKUP(Z1165,BDins,6,FALSE)))))</f>
        <v>309.33999999999997</v>
      </c>
    </row>
    <row r="1168" spans="1:26" x14ac:dyDescent="0.2">
      <c r="O1168">
        <f t="shared" ref="O1168:Z1168" si="168">IF($K1165&gt;0,ROUND(O1166*$E1165/100,DpCU),IF(O1169&gt;10000,ROUND(HLOOKUP(O1169,$O1165:$Z1168,4,FALSE)/100*O1166,DpCU),IF(OR(O1165&lt;20001,O1165&gt;95000,AND(60000&lt;O1165,O1165&lt;70001)),ROUND(ROUND(O1166*JL/$C1165,DcCU)*O1167,DpCU),IF(OR(AND(20000&lt;O1165,O1165&lt;22501),AND(30000&lt;O1165,O1165&lt;50001),77500&lt;O1165),ROUND(O1167*O1166,DpCU),IF(OR(AND(22500&lt;O1165,O1165&lt;25001),AND(50000&lt;O1165,O1165&lt;53501),AND(70000&lt;O1165,O1165&lt;72501)),ROUND($F1165/100*O1166,DpCU),IF(OR(AND(25000&lt;O1165,O1165&lt;27501),AND(53500&lt;O1165,O1165&lt;57001),AND(72500&lt;O1165,O1165&lt;75001)),ROUND($G1165/100*O1166,DpCU),ROUND($H1165/100*O1166,DpCU)))))))</f>
        <v>19.98</v>
      </c>
      <c r="P1168">
        <f t="shared" si="168"/>
        <v>166.48</v>
      </c>
      <c r="Q1168">
        <f t="shared" si="168"/>
        <v>122.88</v>
      </c>
      <c r="R1168">
        <f t="shared" si="168"/>
        <v>42.55</v>
      </c>
      <c r="S1168">
        <f t="shared" si="168"/>
        <v>8</v>
      </c>
      <c r="T1168">
        <f t="shared" si="168"/>
        <v>1.5</v>
      </c>
      <c r="U1168">
        <f t="shared" si="168"/>
        <v>0.35</v>
      </c>
      <c r="V1168">
        <f t="shared" si="168"/>
        <v>1.05</v>
      </c>
      <c r="W1168">
        <f t="shared" si="168"/>
        <v>5.85</v>
      </c>
      <c r="X1168">
        <f t="shared" si="168"/>
        <v>2.7</v>
      </c>
      <c r="Y1168">
        <f t="shared" si="168"/>
        <v>23.8</v>
      </c>
      <c r="Z1168">
        <f t="shared" si="168"/>
        <v>15.47</v>
      </c>
    </row>
    <row r="1169" spans="1:22" x14ac:dyDescent="0.2">
      <c r="B1169" s="3" t="str">
        <f>A1165&amp;"r"</f>
        <v>10233r</v>
      </c>
    </row>
    <row r="1170" spans="1:22" x14ac:dyDescent="0.2">
      <c r="A1170">
        <v>10234</v>
      </c>
      <c r="B1170" s="3" t="s">
        <v>1178</v>
      </c>
      <c r="C1170" s="1">
        <f>ROUND(J1170*JL*Frto/8,4)</f>
        <v>6.25</v>
      </c>
      <c r="D1170" t="s">
        <v>914</v>
      </c>
      <c r="E1170">
        <f>SUM($O1173:$V1173)</f>
        <v>57.58</v>
      </c>
      <c r="F1170">
        <f>SUMIF($O1170:$V1170,"&lt;22501",$O1173:$V1173)</f>
        <v>49.5</v>
      </c>
      <c r="G1170">
        <f>SUMIFS($O1173:$V1173,$O1170:$V1170,"&gt;30000",$O1170:$V1170,"&lt;50001")</f>
        <v>5.6</v>
      </c>
      <c r="H1170">
        <f>SUMIFS($O1173:$V1173,$O1170:$V1170,"&gt;60000",$O1170:$V1170,"&lt;70001")</f>
        <v>0</v>
      </c>
      <c r="I1170">
        <v>8</v>
      </c>
      <c r="J1170">
        <v>6.25</v>
      </c>
      <c r="O1170">
        <v>10001</v>
      </c>
      <c r="P1170">
        <v>10002</v>
      </c>
      <c r="Q1170">
        <v>10003</v>
      </c>
      <c r="R1170">
        <v>30197</v>
      </c>
      <c r="S1170">
        <v>30198</v>
      </c>
      <c r="T1170">
        <v>30267</v>
      </c>
      <c r="U1170">
        <v>30268</v>
      </c>
      <c r="V1170">
        <v>70001</v>
      </c>
    </row>
    <row r="1171" spans="1:22" x14ac:dyDescent="0.2">
      <c r="B1171" s="3" t="str">
        <f>A1170&amp;"C"</f>
        <v>10234C</v>
      </c>
      <c r="O1171">
        <v>0.1</v>
      </c>
      <c r="P1171">
        <v>1</v>
      </c>
      <c r="Q1171">
        <v>1</v>
      </c>
      <c r="R1171">
        <v>0.2</v>
      </c>
      <c r="S1171">
        <v>0.1</v>
      </c>
      <c r="T1171">
        <v>1</v>
      </c>
      <c r="U1171">
        <v>1</v>
      </c>
      <c r="V1171">
        <v>5</v>
      </c>
    </row>
    <row r="1172" spans="1:22" x14ac:dyDescent="0.2">
      <c r="O1172">
        <f>IF(O1174&gt;10000,HLOOKUP(O1174,N1170:$O1173,4,FALSE),IF(OR(AND(22500&lt;O1170,O1170&lt;25001),AND(50000&lt;O1170,O1170&lt;53501),AND(70000&lt;O1170,O1170&lt;72501)),$F1170,IF(OR(AND(25001&lt;O1170,O1170&lt;27501),AND(53500&lt;O1170,O1170&lt;57001),AND(72500&lt;O1170,O1170&lt;75001)),$G1170,IF(OR(AND(27500&lt;O1170,O1170&lt;30001),AND(57000&lt;O1170,O1170&lt;60001),AND(75000&lt;O1170,O1170&lt;77500)),$H1170,VLOOKUP(O1170,BDins,6,FALSE)))))</f>
        <v>24.97</v>
      </c>
      <c r="P1172">
        <f>IF(P1174&gt;10000,HLOOKUP(P1174,O1170:$O1173,4,FALSE),IF(OR(AND(22500&lt;P1170,P1170&lt;25001),AND(50000&lt;P1170,P1170&lt;53501),AND(70000&lt;P1170,P1170&lt;72501)),$F1170,IF(OR(AND(25001&lt;P1170,P1170&lt;27501),AND(53500&lt;P1170,P1170&lt;57001),AND(72500&lt;P1170,P1170&lt;75001)),$G1170,IF(OR(AND(27500&lt;P1170,P1170&lt;30001),AND(57000&lt;P1170,P1170&lt;60001),AND(75000&lt;P1170,P1170&lt;77500)),$H1170,VLOOKUP(P1170,BDins,6,FALSE)))))</f>
        <v>20.81</v>
      </c>
      <c r="Q1172">
        <f>IF(Q1174&gt;10000,HLOOKUP(Q1174,$O1170:P1173,4,FALSE),IF(OR(AND(22500&lt;Q1170,Q1170&lt;25001),AND(50000&lt;Q1170,Q1170&lt;53501),AND(70000&lt;Q1170,Q1170&lt;72501)),$F1170,IF(OR(AND(25001&lt;Q1170,Q1170&lt;27501),AND(53500&lt;Q1170,Q1170&lt;57001),AND(72500&lt;Q1170,Q1170&lt;75001)),$G1170,IF(OR(AND(27500&lt;Q1170,Q1170&lt;30001),AND(57000&lt;Q1170,Q1170&lt;60001),AND(75000&lt;Q1170,Q1170&lt;77500)),$H1170,VLOOKUP(Q1170,BDins,6,FALSE)))))</f>
        <v>15.36</v>
      </c>
      <c r="R1172">
        <f>IF(R1174&gt;10000,HLOOKUP(R1174,$O1170:Q1173,4,FALSE),IF(OR(AND(22500&lt;R1170,R1170&lt;25001),AND(50000&lt;R1170,R1170&lt;53501),AND(70000&lt;R1170,R1170&lt;72501)),$F1170,IF(OR(AND(25001&lt;R1170,R1170&lt;27501),AND(53500&lt;R1170,R1170&lt;57001),AND(72500&lt;R1170,R1170&lt;75001)),$G1170,IF(OR(AND(27500&lt;R1170,R1170&lt;30001),AND(57000&lt;R1170,R1170&lt;60001),AND(75000&lt;R1170,R1170&lt;77500)),$H1170,VLOOKUP(R1170,BDins,6,FALSE)))))</f>
        <v>7.25</v>
      </c>
      <c r="S1172">
        <f>IF(S1174&gt;10000,HLOOKUP(S1174,$O1170:R1173,4,FALSE),IF(OR(AND(22500&lt;S1170,S1170&lt;25001),AND(50000&lt;S1170,S1170&lt;53501),AND(70000&lt;S1170,S1170&lt;72501)),$F1170,IF(OR(AND(25001&lt;S1170,S1170&lt;27501),AND(53500&lt;S1170,S1170&lt;57001),AND(72500&lt;S1170,S1170&lt;75001)),$G1170,IF(OR(AND(27500&lt;S1170,S1170&lt;30001),AND(57000&lt;S1170,S1170&lt;60001),AND(75000&lt;S1170,S1170&lt;77500)),$H1170,VLOOKUP(S1170,BDins,6,FALSE)))))</f>
        <v>5</v>
      </c>
      <c r="T1172">
        <f>IF(T1174&gt;10000,HLOOKUP(T1174,$O1170:S1173,4,FALSE),IF(OR(AND(22500&lt;T1170,T1170&lt;25001),AND(50000&lt;T1170,T1170&lt;53501),AND(70000&lt;T1170,T1170&lt;72501)),$F1170,IF(OR(AND(25001&lt;T1170,T1170&lt;27501),AND(53500&lt;T1170,T1170&lt;57001),AND(72500&lt;T1170,T1170&lt;75001)),$G1170,IF(OR(AND(27500&lt;T1170,T1170&lt;30001),AND(57000&lt;T1170,T1170&lt;60001),AND(75000&lt;T1170,T1170&lt;77500)),$H1170,VLOOKUP(T1170,BDins,6,FALSE)))))</f>
        <v>1.1499999999999999</v>
      </c>
      <c r="U1172">
        <f>IF(U1174&gt;10000,HLOOKUP(U1174,$O1170:T1173,4,FALSE),IF(OR(AND(22500&lt;U1170,U1170&lt;25001),AND(50000&lt;U1170,U1170&lt;53501),AND(70000&lt;U1170,U1170&lt;72501)),$F1170,IF(OR(AND(25001&lt;U1170,U1170&lt;27501),AND(53500&lt;U1170,U1170&lt;57001),AND(72500&lt;U1170,U1170&lt;75001)),$G1170,IF(OR(AND(27500&lt;U1170,U1170&lt;30001),AND(57000&lt;U1170,U1170&lt;60001),AND(75000&lt;U1170,U1170&lt;77500)),$H1170,VLOOKUP(U1170,BDins,6,FALSE)))))</f>
        <v>2.5</v>
      </c>
      <c r="V1172">
        <f>IF(V1174&gt;10000,HLOOKUP(V1174,$O1170:U1173,4,FALSE),IF(OR(AND(22500&lt;V1170,V1170&lt;25001),AND(50000&lt;V1170,V1170&lt;53501),AND(70000&lt;V1170,V1170&lt;72501)),$F1170,IF(OR(AND(25001&lt;V1170,V1170&lt;27501),AND(53500&lt;V1170,V1170&lt;57001),AND(72500&lt;V1170,V1170&lt;75001)),$G1170,IF(OR(AND(27500&lt;V1170,V1170&lt;30001),AND(57000&lt;V1170,V1170&lt;60001),AND(75000&lt;V1170,V1170&lt;77500)),$H1170,VLOOKUP(V1170,BDins,6,FALSE)))))</f>
        <v>49.5</v>
      </c>
    </row>
    <row r="1173" spans="1:22" x14ac:dyDescent="0.2">
      <c r="O1173">
        <f t="shared" ref="O1173:V1173" si="169">IF($K1170&gt;0,ROUND(O1171*$E1170/100,DpCU),IF(O1174&gt;10000,ROUND(HLOOKUP(O1174,$O1170:$V1173,4,FALSE)/100*O1171,DpCU),IF(OR(O1170&lt;20001,O1170&gt;95000,AND(60000&lt;O1170,O1170&lt;70001)),ROUND(ROUND(O1171*JL/$C1170,DcCU)*O1172,DpCU),IF(OR(AND(20000&lt;O1170,O1170&lt;22501),AND(30000&lt;O1170,O1170&lt;50001),77500&lt;O1170),ROUND(O1172*O1171,DpCU),IF(OR(AND(22500&lt;O1170,O1170&lt;25001),AND(50000&lt;O1170,O1170&lt;53501),AND(70000&lt;O1170,O1170&lt;72501)),ROUND($F1170/100*O1171,DpCU),IF(OR(AND(25000&lt;O1170,O1170&lt;27501),AND(53500&lt;O1170,O1170&lt;57001),AND(72500&lt;O1170,O1170&lt;75001)),ROUND($G1170/100*O1171,DpCU),ROUND($H1170/100*O1171,DpCU)))))))</f>
        <v>3.2</v>
      </c>
      <c r="P1173">
        <f t="shared" si="169"/>
        <v>26.64</v>
      </c>
      <c r="Q1173">
        <f t="shared" si="169"/>
        <v>19.66</v>
      </c>
      <c r="R1173">
        <f t="shared" si="169"/>
        <v>1.45</v>
      </c>
      <c r="S1173">
        <f t="shared" si="169"/>
        <v>0.5</v>
      </c>
      <c r="T1173">
        <f t="shared" si="169"/>
        <v>1.1499999999999999</v>
      </c>
      <c r="U1173">
        <f t="shared" si="169"/>
        <v>2.5</v>
      </c>
      <c r="V1173">
        <f t="shared" si="169"/>
        <v>2.48</v>
      </c>
    </row>
    <row r="1174" spans="1:22" x14ac:dyDescent="0.2">
      <c r="B1174" s="3" t="str">
        <f>A1170&amp;"r"</f>
        <v>10234r</v>
      </c>
    </row>
    <row r="1175" spans="1:22" x14ac:dyDescent="0.2">
      <c r="A1175">
        <v>10235</v>
      </c>
      <c r="B1175" s="3" t="s">
        <v>1182</v>
      </c>
      <c r="C1175" s="1">
        <f>ROUND(J1175*JL*Frto/8,4)</f>
        <v>24</v>
      </c>
      <c r="D1175" t="s">
        <v>194</v>
      </c>
      <c r="E1175">
        <f>SUM($O1178:$T1178)</f>
        <v>16.23</v>
      </c>
      <c r="F1175">
        <f>SUMIF($O1175:$T1175,"&lt;22501",$O1178:$T1178)</f>
        <v>12.89</v>
      </c>
      <c r="G1175">
        <f>SUMIFS($O1178:$T1178,$O1175:$T1175,"&gt;30000",$O1175:$T1175,"&lt;50001")</f>
        <v>2.7</v>
      </c>
      <c r="H1175">
        <f>SUMIFS($O1178:$T1178,$O1175:$T1175,"&gt;60000",$O1175:$T1175,"&lt;70001")</f>
        <v>0</v>
      </c>
      <c r="I1175">
        <v>6</v>
      </c>
      <c r="J1175">
        <v>24</v>
      </c>
      <c r="O1175">
        <v>10001</v>
      </c>
      <c r="P1175">
        <v>10002</v>
      </c>
      <c r="Q1175">
        <v>10003</v>
      </c>
      <c r="R1175">
        <v>30265</v>
      </c>
      <c r="S1175">
        <v>30266</v>
      </c>
      <c r="T1175">
        <v>70001</v>
      </c>
    </row>
    <row r="1176" spans="1:22" x14ac:dyDescent="0.2">
      <c r="B1176" s="3" t="str">
        <f>A1175&amp;"C"</f>
        <v>10235C</v>
      </c>
      <c r="O1176">
        <v>0.1</v>
      </c>
      <c r="P1176">
        <v>1</v>
      </c>
      <c r="Q1176">
        <v>1</v>
      </c>
      <c r="R1176">
        <v>4.0000000000000001E-3</v>
      </c>
      <c r="S1176">
        <v>1.03</v>
      </c>
      <c r="T1176">
        <v>5</v>
      </c>
    </row>
    <row r="1177" spans="1:22" x14ac:dyDescent="0.2">
      <c r="O1177">
        <f>IF(O1179&gt;10000,HLOOKUP(O1179,N1175:$O1178,4,FALSE),IF(OR(AND(22500&lt;O1175,O1175&lt;25001),AND(50000&lt;O1175,O1175&lt;53501),AND(70000&lt;O1175,O1175&lt;72501)),$F1175,IF(OR(AND(25001&lt;O1175,O1175&lt;27501),AND(53500&lt;O1175,O1175&lt;57001),AND(72500&lt;O1175,O1175&lt;75001)),$G1175,IF(OR(AND(27500&lt;O1175,O1175&lt;30001),AND(57000&lt;O1175,O1175&lt;60001),AND(75000&lt;O1175,O1175&lt;77500)),$H1175,VLOOKUP(O1175,BDins,6,FALSE)))))</f>
        <v>24.97</v>
      </c>
      <c r="P1177">
        <f>IF(P1179&gt;10000,HLOOKUP(P1179,O1175:$O1178,4,FALSE),IF(OR(AND(22500&lt;P1175,P1175&lt;25001),AND(50000&lt;P1175,P1175&lt;53501),AND(70000&lt;P1175,P1175&lt;72501)),$F1175,IF(OR(AND(25001&lt;P1175,P1175&lt;27501),AND(53500&lt;P1175,P1175&lt;57001),AND(72500&lt;P1175,P1175&lt;75001)),$G1175,IF(OR(AND(27500&lt;P1175,P1175&lt;30001),AND(57000&lt;P1175,P1175&lt;60001),AND(75000&lt;P1175,P1175&lt;77500)),$H1175,VLOOKUP(P1175,BDins,6,FALSE)))))</f>
        <v>20.81</v>
      </c>
      <c r="Q1177">
        <f>IF(Q1179&gt;10000,HLOOKUP(Q1179,$O1175:P1178,4,FALSE),IF(OR(AND(22500&lt;Q1175,Q1175&lt;25001),AND(50000&lt;Q1175,Q1175&lt;53501),AND(70000&lt;Q1175,Q1175&lt;72501)),$F1175,IF(OR(AND(25001&lt;Q1175,Q1175&lt;27501),AND(53500&lt;Q1175,Q1175&lt;57001),AND(72500&lt;Q1175,Q1175&lt;75001)),$G1175,IF(OR(AND(27500&lt;Q1175,Q1175&lt;30001),AND(57000&lt;Q1175,Q1175&lt;60001),AND(75000&lt;Q1175,Q1175&lt;77500)),$H1175,VLOOKUP(Q1175,BDins,6,FALSE)))))</f>
        <v>15.36</v>
      </c>
      <c r="R1177">
        <f>IF(R1179&gt;10000,HLOOKUP(R1179,$O1175:Q1178,4,FALSE),IF(OR(AND(22500&lt;R1175,R1175&lt;25001),AND(50000&lt;R1175,R1175&lt;53501),AND(70000&lt;R1175,R1175&lt;72501)),$F1175,IF(OR(AND(25001&lt;R1175,R1175&lt;27501),AND(53500&lt;R1175,R1175&lt;57001),AND(72500&lt;R1175,R1175&lt;75001)),$G1175,IF(OR(AND(27500&lt;R1175,R1175&lt;30001),AND(57000&lt;R1175,R1175&lt;60001),AND(75000&lt;R1175,R1175&lt;77500)),$H1175,VLOOKUP(R1175,BDins,6,FALSE)))))</f>
        <v>30</v>
      </c>
      <c r="S1177">
        <f>IF(S1179&gt;10000,HLOOKUP(S1179,$O1175:R1178,4,FALSE),IF(OR(AND(22500&lt;S1175,S1175&lt;25001),AND(50000&lt;S1175,S1175&lt;53501),AND(70000&lt;S1175,S1175&lt;72501)),$F1175,IF(OR(AND(25001&lt;S1175,S1175&lt;27501),AND(53500&lt;S1175,S1175&lt;57001),AND(72500&lt;S1175,S1175&lt;75001)),$G1175,IF(OR(AND(27500&lt;S1175,S1175&lt;30001),AND(57000&lt;S1175,S1175&lt;60001),AND(75000&lt;S1175,S1175&lt;77500)),$H1175,VLOOKUP(S1175,BDins,6,FALSE)))))</f>
        <v>2.5</v>
      </c>
      <c r="T1177">
        <f>IF(T1179&gt;10000,HLOOKUP(T1179,$O1175:S1178,4,FALSE),IF(OR(AND(22500&lt;T1175,T1175&lt;25001),AND(50000&lt;T1175,T1175&lt;53501),AND(70000&lt;T1175,T1175&lt;72501)),$F1175,IF(OR(AND(25001&lt;T1175,T1175&lt;27501),AND(53500&lt;T1175,T1175&lt;57001),AND(72500&lt;T1175,T1175&lt;75001)),$G1175,IF(OR(AND(27500&lt;T1175,T1175&lt;30001),AND(57000&lt;T1175,T1175&lt;60001),AND(75000&lt;T1175,T1175&lt;77500)),$H1175,VLOOKUP(T1175,BDins,6,FALSE)))))</f>
        <v>12.89</v>
      </c>
    </row>
    <row r="1178" spans="1:22" x14ac:dyDescent="0.2">
      <c r="O1178">
        <f t="shared" ref="O1178:T1178" si="170">IF($K1175&gt;0,ROUND(O1176*$E1175/100,DpCU),IF(O1179&gt;10000,ROUND(HLOOKUP(O1179,$O1175:$T1178,4,FALSE)/100*O1176,DpCU),IF(OR(O1175&lt;20001,O1175&gt;95000,AND(60000&lt;O1175,O1175&lt;70001)),ROUND(ROUND(O1176*JL/$C1175,DcCU)*O1177,DpCU),IF(OR(AND(20000&lt;O1175,O1175&lt;22501),AND(30000&lt;O1175,O1175&lt;50001),77500&lt;O1175),ROUND(O1177*O1176,DpCU),IF(OR(AND(22500&lt;O1175,O1175&lt;25001),AND(50000&lt;O1175,O1175&lt;53501),AND(70000&lt;O1175,O1175&lt;72501)),ROUND($F1175/100*O1176,DpCU),IF(OR(AND(25000&lt;O1175,O1175&lt;27501),AND(53500&lt;O1175,O1175&lt;57001),AND(72500&lt;O1175,O1175&lt;75001)),ROUND($G1175/100*O1176,DpCU),ROUND($H1175/100*O1176,DpCU)))))))</f>
        <v>0.83</v>
      </c>
      <c r="P1178">
        <f t="shared" si="170"/>
        <v>6.94</v>
      </c>
      <c r="Q1178">
        <f t="shared" si="170"/>
        <v>5.12</v>
      </c>
      <c r="R1178">
        <f t="shared" si="170"/>
        <v>0.12</v>
      </c>
      <c r="S1178">
        <f t="shared" si="170"/>
        <v>2.58</v>
      </c>
      <c r="T1178">
        <f t="shared" si="170"/>
        <v>0.64</v>
      </c>
    </row>
    <row r="1179" spans="1:22" x14ac:dyDescent="0.2">
      <c r="B1179" s="3" t="str">
        <f>A1175&amp;"r"</f>
        <v>10235r</v>
      </c>
    </row>
    <row r="1180" spans="1:22" x14ac:dyDescent="0.2">
      <c r="A1180">
        <v>10236</v>
      </c>
      <c r="B1180" s="3" t="s">
        <v>1185</v>
      </c>
      <c r="C1180" s="1">
        <f>ROUND(J1180*JL*Frto/8,4)</f>
        <v>1</v>
      </c>
      <c r="D1180" t="s">
        <v>7</v>
      </c>
      <c r="E1180">
        <f>SUM($O1183:$O1183)</f>
        <v>4.25</v>
      </c>
      <c r="F1180">
        <f>SUMIF($O1180:$O1180,"&lt;22501",$O1183:$O1183)</f>
        <v>0</v>
      </c>
      <c r="G1180">
        <f>SUMIFS($O1183:$O1183,$O1180:$O1180,"&gt;30000",$O1180:$O1180,"&lt;50001")</f>
        <v>4.25</v>
      </c>
      <c r="H1180">
        <f>SUMIFS($O1183:$O1183,$O1180:$O1180,"&gt;60000",$O1180:$O1180,"&lt;70001")</f>
        <v>0</v>
      </c>
      <c r="I1180">
        <v>1</v>
      </c>
      <c r="J1180">
        <v>1</v>
      </c>
      <c r="O1180">
        <v>30301</v>
      </c>
    </row>
    <row r="1181" spans="1:22" x14ac:dyDescent="0.2">
      <c r="B1181" s="3" t="str">
        <f>A1180&amp;"C"</f>
        <v>10236C</v>
      </c>
      <c r="O1181">
        <v>1</v>
      </c>
    </row>
    <row r="1182" spans="1:22" x14ac:dyDescent="0.2">
      <c r="O1182">
        <f>IF(O1184&gt;10000,HLOOKUP(O1184,N1180:$O1183,4,FALSE),IF(OR(AND(22500&lt;O1180,O1180&lt;25001),AND(50000&lt;O1180,O1180&lt;53501),AND(70000&lt;O1180,O1180&lt;72501)),$F1180,IF(OR(AND(25001&lt;O1180,O1180&lt;27501),AND(53500&lt;O1180,O1180&lt;57001),AND(72500&lt;O1180,O1180&lt;75001)),$G1180,IF(OR(AND(27500&lt;O1180,O1180&lt;30001),AND(57000&lt;O1180,O1180&lt;60001),AND(75000&lt;O1180,O1180&lt;77500)),$H1180,VLOOKUP(O1180,BDins,6,FALSE)))))</f>
        <v>4.25</v>
      </c>
    </row>
    <row r="1183" spans="1:22" x14ac:dyDescent="0.2">
      <c r="O1183">
        <f>IF($K1180&gt;0,ROUND(O1181*$E1180/100,DpCU),IF(O1184&gt;10000,ROUND(HLOOKUP(O1184,$O1180:$O1183,4,FALSE)/100*O1181,DpCU),IF(OR(O1180&lt;20001,O1180&gt;95000,AND(60000&lt;O1180,O1180&lt;70001)),ROUND(ROUND(O1181*JL/$C1180,DcCU)*O1182,DpCU),IF(OR(AND(20000&lt;O1180,O1180&lt;22501),AND(30000&lt;O1180,O1180&lt;50001),77500&lt;O1180),ROUND(O1182*O1181,DpCU),IF(OR(AND(22500&lt;O1180,O1180&lt;25001),AND(50000&lt;O1180,O1180&lt;53501),AND(70000&lt;O1180,O1180&lt;72501)),ROUND($F1180/100*O1181,DpCU),IF(OR(AND(25000&lt;O1180,O1180&lt;27501),AND(53500&lt;O1180,O1180&lt;57001),AND(72500&lt;O1180,O1180&lt;75001)),ROUND($G1180/100*O1181,DpCU),ROUND($H1180/100*O1181,DpCU)))))))</f>
        <v>4.25</v>
      </c>
    </row>
    <row r="1184" spans="1:22" x14ac:dyDescent="0.2">
      <c r="B1184" s="3" t="str">
        <f>A1180&amp;"r"</f>
        <v>10236r</v>
      </c>
    </row>
    <row r="1185" spans="1:21" x14ac:dyDescent="0.2">
      <c r="A1185">
        <v>10237</v>
      </c>
      <c r="B1185" s="3" t="s">
        <v>1188</v>
      </c>
      <c r="C1185" s="1">
        <f>ROUND(J1185*JL*Frto/8,4)</f>
        <v>1</v>
      </c>
      <c r="D1185" t="s">
        <v>7</v>
      </c>
      <c r="E1185">
        <f>SUM($O1188:$O1188)</f>
        <v>7.5</v>
      </c>
      <c r="F1185">
        <f>SUMIF($O1185:$O1185,"&lt;22501",$O1188:$O1188)</f>
        <v>0</v>
      </c>
      <c r="G1185">
        <f>SUMIFS($O1188:$O1188,$O1185:$O1185,"&gt;30000",$O1185:$O1185,"&lt;50001")</f>
        <v>7.5</v>
      </c>
      <c r="H1185">
        <f>SUMIFS($O1188:$O1188,$O1185:$O1185,"&gt;60000",$O1185:$O1185,"&lt;70001")</f>
        <v>0</v>
      </c>
      <c r="I1185">
        <v>1</v>
      </c>
      <c r="J1185">
        <v>1</v>
      </c>
      <c r="O1185">
        <v>30302</v>
      </c>
    </row>
    <row r="1186" spans="1:21" x14ac:dyDescent="0.2">
      <c r="B1186" s="3" t="str">
        <f>A1185&amp;"C"</f>
        <v>10237C</v>
      </c>
      <c r="O1186">
        <v>1</v>
      </c>
    </row>
    <row r="1187" spans="1:21" x14ac:dyDescent="0.2">
      <c r="O1187">
        <f>IF(O1189&gt;10000,HLOOKUP(O1189,N1185:$O1188,4,FALSE),IF(OR(AND(22500&lt;O1185,O1185&lt;25001),AND(50000&lt;O1185,O1185&lt;53501),AND(70000&lt;O1185,O1185&lt;72501)),$F1185,IF(OR(AND(25001&lt;O1185,O1185&lt;27501),AND(53500&lt;O1185,O1185&lt;57001),AND(72500&lt;O1185,O1185&lt;75001)),$G1185,IF(OR(AND(27500&lt;O1185,O1185&lt;30001),AND(57000&lt;O1185,O1185&lt;60001),AND(75000&lt;O1185,O1185&lt;77500)),$H1185,VLOOKUP(O1185,BDins,6,FALSE)))))</f>
        <v>7.5</v>
      </c>
    </row>
    <row r="1188" spans="1:21" x14ac:dyDescent="0.2">
      <c r="O1188">
        <f>IF($K1185&gt;0,ROUND(O1186*$E1185/100,DpCU),IF(O1189&gt;10000,ROUND(HLOOKUP(O1189,$O1185:$O1188,4,FALSE)/100*O1186,DpCU),IF(OR(O1185&lt;20001,O1185&gt;95000,AND(60000&lt;O1185,O1185&lt;70001)),ROUND(ROUND(O1186*JL/$C1185,DcCU)*O1187,DpCU),IF(OR(AND(20000&lt;O1185,O1185&lt;22501),AND(30000&lt;O1185,O1185&lt;50001),77500&lt;O1185),ROUND(O1187*O1186,DpCU),IF(OR(AND(22500&lt;O1185,O1185&lt;25001),AND(50000&lt;O1185,O1185&lt;53501),AND(70000&lt;O1185,O1185&lt;72501)),ROUND($F1185/100*O1186,DpCU),IF(OR(AND(25000&lt;O1185,O1185&lt;27501),AND(53500&lt;O1185,O1185&lt;57001),AND(72500&lt;O1185,O1185&lt;75001)),ROUND($G1185/100*O1186,DpCU),ROUND($H1185/100*O1186,DpCU)))))))</f>
        <v>7.5</v>
      </c>
    </row>
    <row r="1189" spans="1:21" x14ac:dyDescent="0.2">
      <c r="B1189" s="3" t="str">
        <f>A1185&amp;"r"</f>
        <v>10237r</v>
      </c>
    </row>
    <row r="1190" spans="1:21" x14ac:dyDescent="0.2">
      <c r="A1190">
        <v>10238</v>
      </c>
      <c r="B1190" s="3" t="s">
        <v>1191</v>
      </c>
      <c r="C1190" s="1">
        <f>ROUND(J1190*JL*Frto/8,4)</f>
        <v>1</v>
      </c>
      <c r="D1190" t="s">
        <v>7</v>
      </c>
      <c r="E1190">
        <f>SUM($O1193:$O1193)</f>
        <v>3.4</v>
      </c>
      <c r="F1190">
        <f>SUMIF($O1190:$O1190,"&lt;22501",$O1193:$O1193)</f>
        <v>0</v>
      </c>
      <c r="G1190">
        <f>SUMIFS($O1193:$O1193,$O1190:$O1190,"&gt;30000",$O1190:$O1190,"&lt;50001")</f>
        <v>3.4</v>
      </c>
      <c r="H1190">
        <f>SUMIFS($O1193:$O1193,$O1190:$O1190,"&gt;60000",$O1190:$O1190,"&lt;70001")</f>
        <v>0</v>
      </c>
      <c r="I1190">
        <v>1</v>
      </c>
      <c r="J1190">
        <v>1</v>
      </c>
      <c r="O1190">
        <v>30303</v>
      </c>
    </row>
    <row r="1191" spans="1:21" x14ac:dyDescent="0.2">
      <c r="B1191" s="3" t="str">
        <f>A1190&amp;"C"</f>
        <v>10238C</v>
      </c>
      <c r="O1191">
        <v>1</v>
      </c>
    </row>
    <row r="1192" spans="1:21" x14ac:dyDescent="0.2">
      <c r="O1192">
        <f>IF(O1194&gt;10000,HLOOKUP(O1194,N1190:$O1193,4,FALSE),IF(OR(AND(22500&lt;O1190,O1190&lt;25001),AND(50000&lt;O1190,O1190&lt;53501),AND(70000&lt;O1190,O1190&lt;72501)),$F1190,IF(OR(AND(25001&lt;O1190,O1190&lt;27501),AND(53500&lt;O1190,O1190&lt;57001),AND(72500&lt;O1190,O1190&lt;75001)),$G1190,IF(OR(AND(27500&lt;O1190,O1190&lt;30001),AND(57000&lt;O1190,O1190&lt;60001),AND(75000&lt;O1190,O1190&lt;77500)),$H1190,VLOOKUP(O1190,BDins,6,FALSE)))))</f>
        <v>3.4</v>
      </c>
    </row>
    <row r="1193" spans="1:21" x14ac:dyDescent="0.2">
      <c r="O1193">
        <f>IF($K1190&gt;0,ROUND(O1191*$E1190/100,DpCU),IF(O1194&gt;10000,ROUND(HLOOKUP(O1194,$O1190:$O1193,4,FALSE)/100*O1191,DpCU),IF(OR(O1190&lt;20001,O1190&gt;95000,AND(60000&lt;O1190,O1190&lt;70001)),ROUND(ROUND(O1191*JL/$C1190,DcCU)*O1192,DpCU),IF(OR(AND(20000&lt;O1190,O1190&lt;22501),AND(30000&lt;O1190,O1190&lt;50001),77500&lt;O1190),ROUND(O1192*O1191,DpCU),IF(OR(AND(22500&lt;O1190,O1190&lt;25001),AND(50000&lt;O1190,O1190&lt;53501),AND(70000&lt;O1190,O1190&lt;72501)),ROUND($F1190/100*O1191,DpCU),IF(OR(AND(25000&lt;O1190,O1190&lt;27501),AND(53500&lt;O1190,O1190&lt;57001),AND(72500&lt;O1190,O1190&lt;75001)),ROUND($G1190/100*O1191,DpCU),ROUND($H1190/100*O1191,DpCU)))))))</f>
        <v>3.4</v>
      </c>
    </row>
    <row r="1194" spans="1:21" x14ac:dyDescent="0.2">
      <c r="B1194" s="3" t="str">
        <f>A1190&amp;"r"</f>
        <v>10238r</v>
      </c>
    </row>
    <row r="1195" spans="1:21" x14ac:dyDescent="0.2">
      <c r="A1195">
        <v>10239</v>
      </c>
      <c r="B1195" s="3" t="s">
        <v>1200</v>
      </c>
      <c r="C1195" s="1">
        <f>ROUND(J1195*JL*Frto/8,4)</f>
        <v>80</v>
      </c>
      <c r="D1195" t="s">
        <v>194</v>
      </c>
      <c r="E1195">
        <f>SUM($O1198:$T1198)</f>
        <v>11.25</v>
      </c>
      <c r="F1195">
        <f>SUMIF($O1195:$T1195,"&lt;22501",$O1198:$T1198)</f>
        <v>3.87</v>
      </c>
      <c r="G1195">
        <f>SUMIFS($O1198:$T1198,$O1195:$T1195,"&gt;30000",$O1195:$T1195,"&lt;50001")</f>
        <v>7.19</v>
      </c>
      <c r="H1195">
        <f>SUMIFS($O1198:$T1198,$O1195:$T1195,"&gt;60000",$O1195:$T1195,"&lt;70001")</f>
        <v>0</v>
      </c>
      <c r="I1195">
        <v>6</v>
      </c>
      <c r="J1195">
        <v>80</v>
      </c>
      <c r="O1195">
        <v>10001</v>
      </c>
      <c r="P1195">
        <v>10002</v>
      </c>
      <c r="Q1195">
        <v>10003</v>
      </c>
      <c r="R1195">
        <v>30304</v>
      </c>
      <c r="S1195">
        <v>30305</v>
      </c>
      <c r="T1195">
        <v>70001</v>
      </c>
    </row>
    <row r="1196" spans="1:21" x14ac:dyDescent="0.2">
      <c r="B1196" s="3" t="str">
        <f>A1195&amp;"C"</f>
        <v>10239C</v>
      </c>
      <c r="O1196">
        <v>0.1</v>
      </c>
      <c r="P1196">
        <v>1</v>
      </c>
      <c r="Q1196">
        <v>1</v>
      </c>
      <c r="R1196">
        <v>3.05</v>
      </c>
      <c r="S1196">
        <v>0.01</v>
      </c>
      <c r="T1196">
        <v>5</v>
      </c>
    </row>
    <row r="1197" spans="1:21" x14ac:dyDescent="0.2">
      <c r="O1197">
        <f>IF(O1199&gt;10000,HLOOKUP(O1199,N1195:$O1198,4,FALSE),IF(OR(AND(22500&lt;O1195,O1195&lt;25001),AND(50000&lt;O1195,O1195&lt;53501),AND(70000&lt;O1195,O1195&lt;72501)),$F1195,IF(OR(AND(25001&lt;O1195,O1195&lt;27501),AND(53500&lt;O1195,O1195&lt;57001),AND(72500&lt;O1195,O1195&lt;75001)),$G1195,IF(OR(AND(27500&lt;O1195,O1195&lt;30001),AND(57000&lt;O1195,O1195&lt;60001),AND(75000&lt;O1195,O1195&lt;77500)),$H1195,VLOOKUP(O1195,BDins,6,FALSE)))))</f>
        <v>24.97</v>
      </c>
      <c r="P1197">
        <f>IF(P1199&gt;10000,HLOOKUP(P1199,O1195:$O1198,4,FALSE),IF(OR(AND(22500&lt;P1195,P1195&lt;25001),AND(50000&lt;P1195,P1195&lt;53501),AND(70000&lt;P1195,P1195&lt;72501)),$F1195,IF(OR(AND(25001&lt;P1195,P1195&lt;27501),AND(53500&lt;P1195,P1195&lt;57001),AND(72500&lt;P1195,P1195&lt;75001)),$G1195,IF(OR(AND(27500&lt;P1195,P1195&lt;30001),AND(57000&lt;P1195,P1195&lt;60001),AND(75000&lt;P1195,P1195&lt;77500)),$H1195,VLOOKUP(P1195,BDins,6,FALSE)))))</f>
        <v>20.81</v>
      </c>
      <c r="Q1197">
        <f>IF(Q1199&gt;10000,HLOOKUP(Q1199,$O1195:P1198,4,FALSE),IF(OR(AND(22500&lt;Q1195,Q1195&lt;25001),AND(50000&lt;Q1195,Q1195&lt;53501),AND(70000&lt;Q1195,Q1195&lt;72501)),$F1195,IF(OR(AND(25001&lt;Q1195,Q1195&lt;27501),AND(53500&lt;Q1195,Q1195&lt;57001),AND(72500&lt;Q1195,Q1195&lt;75001)),$G1195,IF(OR(AND(27500&lt;Q1195,Q1195&lt;30001),AND(57000&lt;Q1195,Q1195&lt;60001),AND(75000&lt;Q1195,Q1195&lt;77500)),$H1195,VLOOKUP(Q1195,BDins,6,FALSE)))))</f>
        <v>15.36</v>
      </c>
      <c r="R1197">
        <f>IF(R1199&gt;10000,HLOOKUP(R1199,$O1195:Q1198,4,FALSE),IF(OR(AND(22500&lt;R1195,R1195&lt;25001),AND(50000&lt;R1195,R1195&lt;53501),AND(70000&lt;R1195,R1195&lt;72501)),$F1195,IF(OR(AND(25001&lt;R1195,R1195&lt;27501),AND(53500&lt;R1195,R1195&lt;57001),AND(72500&lt;R1195,R1195&lt;75001)),$G1195,IF(OR(AND(27500&lt;R1195,R1195&lt;30001),AND(57000&lt;R1195,R1195&lt;60001),AND(75000&lt;R1195,R1195&lt;77500)),$H1195,VLOOKUP(R1195,BDins,6,FALSE)))))</f>
        <v>2.33</v>
      </c>
      <c r="S1197">
        <f>IF(S1199&gt;10000,HLOOKUP(S1199,$O1195:R1198,4,FALSE),IF(OR(AND(22500&lt;S1195,S1195&lt;25001),AND(50000&lt;S1195,S1195&lt;53501),AND(70000&lt;S1195,S1195&lt;72501)),$F1195,IF(OR(AND(25001&lt;S1195,S1195&lt;27501),AND(53500&lt;S1195,S1195&lt;57001),AND(72500&lt;S1195,S1195&lt;75001)),$G1195,IF(OR(AND(27500&lt;S1195,S1195&lt;30001),AND(57000&lt;S1195,S1195&lt;60001),AND(75000&lt;S1195,S1195&lt;77500)),$H1195,VLOOKUP(S1195,BDins,6,FALSE)))))</f>
        <v>8</v>
      </c>
      <c r="T1197">
        <f>IF(T1199&gt;10000,HLOOKUP(T1199,$O1195:S1198,4,FALSE),IF(OR(AND(22500&lt;T1195,T1195&lt;25001),AND(50000&lt;T1195,T1195&lt;53501),AND(70000&lt;T1195,T1195&lt;72501)),$F1195,IF(OR(AND(25001&lt;T1195,T1195&lt;27501),AND(53500&lt;T1195,T1195&lt;57001),AND(72500&lt;T1195,T1195&lt;75001)),$G1195,IF(OR(AND(27500&lt;T1195,T1195&lt;30001),AND(57000&lt;T1195,T1195&lt;60001),AND(75000&lt;T1195,T1195&lt;77500)),$H1195,VLOOKUP(T1195,BDins,6,FALSE)))))</f>
        <v>3.87</v>
      </c>
    </row>
    <row r="1198" spans="1:21" x14ac:dyDescent="0.2">
      <c r="O1198">
        <f t="shared" ref="O1198:T1198" si="171">IF($K1195&gt;0,ROUND(O1196*$E1195/100,DpCU),IF(O1199&gt;10000,ROUND(HLOOKUP(O1199,$O1195:$T1198,4,FALSE)/100*O1196,DpCU),IF(OR(O1195&lt;20001,O1195&gt;95000,AND(60000&lt;O1195,O1195&lt;70001)),ROUND(ROUND(O1196*JL/$C1195,DcCU)*O1197,DpCU),IF(OR(AND(20000&lt;O1195,O1195&lt;22501),AND(30000&lt;O1195,O1195&lt;50001),77500&lt;O1195),ROUND(O1197*O1196,DpCU),IF(OR(AND(22500&lt;O1195,O1195&lt;25001),AND(50000&lt;O1195,O1195&lt;53501),AND(70000&lt;O1195,O1195&lt;72501)),ROUND($F1195/100*O1196,DpCU),IF(OR(AND(25000&lt;O1195,O1195&lt;27501),AND(53500&lt;O1195,O1195&lt;57001),AND(72500&lt;O1195,O1195&lt;75001)),ROUND($G1195/100*O1196,DpCU),ROUND($H1195/100*O1196,DpCU)))))))</f>
        <v>0.25</v>
      </c>
      <c r="P1198">
        <f t="shared" si="171"/>
        <v>2.08</v>
      </c>
      <c r="Q1198">
        <f t="shared" si="171"/>
        <v>1.54</v>
      </c>
      <c r="R1198">
        <f t="shared" si="171"/>
        <v>7.11</v>
      </c>
      <c r="S1198">
        <f t="shared" si="171"/>
        <v>0.08</v>
      </c>
      <c r="T1198">
        <f t="shared" si="171"/>
        <v>0.19</v>
      </c>
    </row>
    <row r="1199" spans="1:21" x14ac:dyDescent="0.2">
      <c r="B1199" s="3" t="str">
        <f>A1195&amp;"r"</f>
        <v>10239r</v>
      </c>
    </row>
    <row r="1200" spans="1:21" x14ac:dyDescent="0.2">
      <c r="A1200">
        <v>10240</v>
      </c>
      <c r="B1200" s="3" t="s">
        <v>1204</v>
      </c>
      <c r="C1200" s="1">
        <f>ROUND(J1200*JL*Frto/8,4)</f>
        <v>100</v>
      </c>
      <c r="D1200" t="s">
        <v>194</v>
      </c>
      <c r="E1200">
        <f>SUM($O1203:$U1203)</f>
        <v>36.269999999999996</v>
      </c>
      <c r="F1200">
        <f>SUMIF($O1200:$U1200,"&lt;22501",$O1203:$U1203)</f>
        <v>3.09</v>
      </c>
      <c r="G1200">
        <f>SUMIFS($O1203:$U1203,$O1200:$U1200,"&gt;30000",$O1200:$U1200,"&lt;50001")</f>
        <v>33.03</v>
      </c>
      <c r="H1200">
        <f>SUMIFS($O1203:$U1203,$O1200:$U1200,"&gt;60000",$O1200:$U1200,"&lt;70001")</f>
        <v>0</v>
      </c>
      <c r="I1200">
        <v>7</v>
      </c>
      <c r="J1200">
        <v>100</v>
      </c>
      <c r="O1200">
        <v>10001</v>
      </c>
      <c r="P1200">
        <v>10002</v>
      </c>
      <c r="Q1200">
        <v>10003</v>
      </c>
      <c r="R1200">
        <v>30305</v>
      </c>
      <c r="S1200">
        <v>30306</v>
      </c>
      <c r="T1200">
        <v>30307</v>
      </c>
      <c r="U1200">
        <v>70001</v>
      </c>
    </row>
    <row r="1201" spans="1:21" x14ac:dyDescent="0.2">
      <c r="B1201" s="3" t="str">
        <f>A1200&amp;"C"</f>
        <v>10240C</v>
      </c>
      <c r="O1201">
        <v>0.1</v>
      </c>
      <c r="P1201">
        <v>1</v>
      </c>
      <c r="Q1201">
        <v>1</v>
      </c>
      <c r="R1201">
        <v>0.01</v>
      </c>
      <c r="S1201">
        <v>1.05</v>
      </c>
      <c r="T1201">
        <v>3.05</v>
      </c>
      <c r="U1201">
        <v>5</v>
      </c>
    </row>
    <row r="1202" spans="1:21" x14ac:dyDescent="0.2">
      <c r="O1202">
        <f>IF(O1204&gt;10000,HLOOKUP(O1204,N1200:$O1203,4,FALSE),IF(OR(AND(22500&lt;O1200,O1200&lt;25001),AND(50000&lt;O1200,O1200&lt;53501),AND(70000&lt;O1200,O1200&lt;72501)),$F1200,IF(OR(AND(25001&lt;O1200,O1200&lt;27501),AND(53500&lt;O1200,O1200&lt;57001),AND(72500&lt;O1200,O1200&lt;75001)),$G1200,IF(OR(AND(27500&lt;O1200,O1200&lt;30001),AND(57000&lt;O1200,O1200&lt;60001),AND(75000&lt;O1200,O1200&lt;77500)),$H1200,VLOOKUP(O1200,BDins,6,FALSE)))))</f>
        <v>24.97</v>
      </c>
      <c r="P1202">
        <f>IF(P1204&gt;10000,HLOOKUP(P1204,O1200:$O1203,4,FALSE),IF(OR(AND(22500&lt;P1200,P1200&lt;25001),AND(50000&lt;P1200,P1200&lt;53501),AND(70000&lt;P1200,P1200&lt;72501)),$F1200,IF(OR(AND(25001&lt;P1200,P1200&lt;27501),AND(53500&lt;P1200,P1200&lt;57001),AND(72500&lt;P1200,P1200&lt;75001)),$G1200,IF(OR(AND(27500&lt;P1200,P1200&lt;30001),AND(57000&lt;P1200,P1200&lt;60001),AND(75000&lt;P1200,P1200&lt;77500)),$H1200,VLOOKUP(P1200,BDins,6,FALSE)))))</f>
        <v>20.81</v>
      </c>
      <c r="Q1202">
        <f>IF(Q1204&gt;10000,HLOOKUP(Q1204,$O1200:P1203,4,FALSE),IF(OR(AND(22500&lt;Q1200,Q1200&lt;25001),AND(50000&lt;Q1200,Q1200&lt;53501),AND(70000&lt;Q1200,Q1200&lt;72501)),$F1200,IF(OR(AND(25001&lt;Q1200,Q1200&lt;27501),AND(53500&lt;Q1200,Q1200&lt;57001),AND(72500&lt;Q1200,Q1200&lt;75001)),$G1200,IF(OR(AND(27500&lt;Q1200,Q1200&lt;30001),AND(57000&lt;Q1200,Q1200&lt;60001),AND(75000&lt;Q1200,Q1200&lt;77500)),$H1200,VLOOKUP(Q1200,BDins,6,FALSE)))))</f>
        <v>15.36</v>
      </c>
      <c r="R1202">
        <f>IF(R1204&gt;10000,HLOOKUP(R1204,$O1200:Q1203,4,FALSE),IF(OR(AND(22500&lt;R1200,R1200&lt;25001),AND(50000&lt;R1200,R1200&lt;53501),AND(70000&lt;R1200,R1200&lt;72501)),$F1200,IF(OR(AND(25001&lt;R1200,R1200&lt;27501),AND(53500&lt;R1200,R1200&lt;57001),AND(72500&lt;R1200,R1200&lt;75001)),$G1200,IF(OR(AND(27500&lt;R1200,R1200&lt;30001),AND(57000&lt;R1200,R1200&lt;60001),AND(75000&lt;R1200,R1200&lt;77500)),$H1200,VLOOKUP(R1200,BDins,6,FALSE)))))</f>
        <v>8</v>
      </c>
      <c r="S1202">
        <f>IF(S1204&gt;10000,HLOOKUP(S1204,$O1200:R1203,4,FALSE),IF(OR(AND(22500&lt;S1200,S1200&lt;25001),AND(50000&lt;S1200,S1200&lt;53501),AND(70000&lt;S1200,S1200&lt;72501)),$F1200,IF(OR(AND(25001&lt;S1200,S1200&lt;27501),AND(53500&lt;S1200,S1200&lt;57001),AND(72500&lt;S1200,S1200&lt;75001)),$G1200,IF(OR(AND(27500&lt;S1200,S1200&lt;30001),AND(57000&lt;S1200,S1200&lt;60001),AND(75000&lt;S1200,S1200&lt;77500)),$H1200,VLOOKUP(S1200,BDins,6,FALSE)))))</f>
        <v>5.68</v>
      </c>
      <c r="T1202">
        <f>IF(T1204&gt;10000,HLOOKUP(T1204,$O1200:S1203,4,FALSE),IF(OR(AND(22500&lt;T1200,T1200&lt;25001),AND(50000&lt;T1200,T1200&lt;53501),AND(70000&lt;T1200,T1200&lt;72501)),$F1200,IF(OR(AND(25001&lt;T1200,T1200&lt;27501),AND(53500&lt;T1200,T1200&lt;57001),AND(72500&lt;T1200,T1200&lt;75001)),$G1200,IF(OR(AND(27500&lt;T1200,T1200&lt;30001),AND(57000&lt;T1200,T1200&lt;60001),AND(75000&lt;T1200,T1200&lt;77500)),$H1200,VLOOKUP(T1200,BDins,6,FALSE)))))</f>
        <v>8.85</v>
      </c>
      <c r="U1202">
        <f>IF(U1204&gt;10000,HLOOKUP(U1204,$O1200:T1203,4,FALSE),IF(OR(AND(22500&lt;U1200,U1200&lt;25001),AND(50000&lt;U1200,U1200&lt;53501),AND(70000&lt;U1200,U1200&lt;72501)),$F1200,IF(OR(AND(25001&lt;U1200,U1200&lt;27501),AND(53500&lt;U1200,U1200&lt;57001),AND(72500&lt;U1200,U1200&lt;75001)),$G1200,IF(OR(AND(27500&lt;U1200,U1200&lt;30001),AND(57000&lt;U1200,U1200&lt;60001),AND(75000&lt;U1200,U1200&lt;77500)),$H1200,VLOOKUP(U1200,BDins,6,FALSE)))))</f>
        <v>3.09</v>
      </c>
    </row>
    <row r="1203" spans="1:21" x14ac:dyDescent="0.2">
      <c r="O1203">
        <f t="shared" ref="O1203:U1203" si="172">IF($K1200&gt;0,ROUND(O1201*$E1200/100,DpCU),IF(O1204&gt;10000,ROUND(HLOOKUP(O1204,$O1200:$U1203,4,FALSE)/100*O1201,DpCU),IF(OR(O1200&lt;20001,O1200&gt;95000,AND(60000&lt;O1200,O1200&lt;70001)),ROUND(ROUND(O1201*JL/$C1200,DcCU)*O1202,DpCU),IF(OR(AND(20000&lt;O1200,O1200&lt;22501),AND(30000&lt;O1200,O1200&lt;50001),77500&lt;O1200),ROUND(O1202*O1201,DpCU),IF(OR(AND(22500&lt;O1200,O1200&lt;25001),AND(50000&lt;O1200,O1200&lt;53501),AND(70000&lt;O1200,O1200&lt;72501)),ROUND($F1200/100*O1201,DpCU),IF(OR(AND(25000&lt;O1200,O1200&lt;27501),AND(53500&lt;O1200,O1200&lt;57001),AND(72500&lt;O1200,O1200&lt;75001)),ROUND($G1200/100*O1201,DpCU),ROUND($H1200/100*O1201,DpCU)))))))</f>
        <v>0.2</v>
      </c>
      <c r="P1203">
        <f t="shared" si="172"/>
        <v>1.66</v>
      </c>
      <c r="Q1203">
        <f t="shared" si="172"/>
        <v>1.23</v>
      </c>
      <c r="R1203">
        <f t="shared" si="172"/>
        <v>0.08</v>
      </c>
      <c r="S1203">
        <f t="shared" si="172"/>
        <v>5.96</v>
      </c>
      <c r="T1203">
        <f t="shared" si="172"/>
        <v>26.99</v>
      </c>
      <c r="U1203">
        <f t="shared" si="172"/>
        <v>0.15</v>
      </c>
    </row>
    <row r="1204" spans="1:21" x14ac:dyDescent="0.2">
      <c r="B1204" s="3" t="str">
        <f>A1200&amp;"r"</f>
        <v>10240r</v>
      </c>
    </row>
    <row r="1205" spans="1:21" x14ac:dyDescent="0.2">
      <c r="A1205">
        <v>10241</v>
      </c>
      <c r="B1205" s="3" t="s">
        <v>1210</v>
      </c>
      <c r="C1205" s="1">
        <f>ROUND(J1205*JL*Frto/8,4)</f>
        <v>80</v>
      </c>
      <c r="D1205" t="s">
        <v>194</v>
      </c>
      <c r="E1205">
        <f>SUM($O1208:$T1208)</f>
        <v>8.84</v>
      </c>
      <c r="F1205">
        <f>SUMIF($O1205:$T1205,"&lt;22501",$O1208:$T1208)</f>
        <v>3.87</v>
      </c>
      <c r="G1205">
        <f>SUMIFS($O1208:$T1208,$O1205:$T1205,"&gt;30000",$O1205:$T1205,"&lt;50001")</f>
        <v>4.78</v>
      </c>
      <c r="H1205">
        <f>SUMIFS($O1208:$T1208,$O1205:$T1205,"&gt;60000",$O1205:$T1205,"&lt;70001")</f>
        <v>0</v>
      </c>
      <c r="I1205">
        <v>6</v>
      </c>
      <c r="J1205">
        <v>80</v>
      </c>
      <c r="O1205">
        <v>10001</v>
      </c>
      <c r="P1205">
        <v>10002</v>
      </c>
      <c r="Q1205">
        <v>10003</v>
      </c>
      <c r="R1205">
        <v>30305</v>
      </c>
      <c r="S1205">
        <v>30308</v>
      </c>
      <c r="T1205">
        <v>70001</v>
      </c>
    </row>
    <row r="1206" spans="1:21" x14ac:dyDescent="0.2">
      <c r="B1206" s="3" t="str">
        <f>A1205&amp;"C"</f>
        <v>10241C</v>
      </c>
      <c r="O1206">
        <v>0.1</v>
      </c>
      <c r="P1206">
        <v>1</v>
      </c>
      <c r="Q1206">
        <v>1</v>
      </c>
      <c r="R1206">
        <v>0.01</v>
      </c>
      <c r="S1206">
        <v>3.05</v>
      </c>
      <c r="T1206">
        <v>5</v>
      </c>
    </row>
    <row r="1207" spans="1:21" x14ac:dyDescent="0.2">
      <c r="O1207">
        <f>IF(O1209&gt;10000,HLOOKUP(O1209,N1205:$O1208,4,FALSE),IF(OR(AND(22500&lt;O1205,O1205&lt;25001),AND(50000&lt;O1205,O1205&lt;53501),AND(70000&lt;O1205,O1205&lt;72501)),$F1205,IF(OR(AND(25001&lt;O1205,O1205&lt;27501),AND(53500&lt;O1205,O1205&lt;57001),AND(72500&lt;O1205,O1205&lt;75001)),$G1205,IF(OR(AND(27500&lt;O1205,O1205&lt;30001),AND(57000&lt;O1205,O1205&lt;60001),AND(75000&lt;O1205,O1205&lt;77500)),$H1205,VLOOKUP(O1205,BDins,6,FALSE)))))</f>
        <v>24.97</v>
      </c>
      <c r="P1207">
        <f>IF(P1209&gt;10000,HLOOKUP(P1209,O1205:$O1208,4,FALSE),IF(OR(AND(22500&lt;P1205,P1205&lt;25001),AND(50000&lt;P1205,P1205&lt;53501),AND(70000&lt;P1205,P1205&lt;72501)),$F1205,IF(OR(AND(25001&lt;P1205,P1205&lt;27501),AND(53500&lt;P1205,P1205&lt;57001),AND(72500&lt;P1205,P1205&lt;75001)),$G1205,IF(OR(AND(27500&lt;P1205,P1205&lt;30001),AND(57000&lt;P1205,P1205&lt;60001),AND(75000&lt;P1205,P1205&lt;77500)),$H1205,VLOOKUP(P1205,BDins,6,FALSE)))))</f>
        <v>20.81</v>
      </c>
      <c r="Q1207">
        <f>IF(Q1209&gt;10000,HLOOKUP(Q1209,$O1205:P1208,4,FALSE),IF(OR(AND(22500&lt;Q1205,Q1205&lt;25001),AND(50000&lt;Q1205,Q1205&lt;53501),AND(70000&lt;Q1205,Q1205&lt;72501)),$F1205,IF(OR(AND(25001&lt;Q1205,Q1205&lt;27501),AND(53500&lt;Q1205,Q1205&lt;57001),AND(72500&lt;Q1205,Q1205&lt;75001)),$G1205,IF(OR(AND(27500&lt;Q1205,Q1205&lt;30001),AND(57000&lt;Q1205,Q1205&lt;60001),AND(75000&lt;Q1205,Q1205&lt;77500)),$H1205,VLOOKUP(Q1205,BDins,6,FALSE)))))</f>
        <v>15.36</v>
      </c>
      <c r="R1207">
        <f>IF(R1209&gt;10000,HLOOKUP(R1209,$O1205:Q1208,4,FALSE),IF(OR(AND(22500&lt;R1205,R1205&lt;25001),AND(50000&lt;R1205,R1205&lt;53501),AND(70000&lt;R1205,R1205&lt;72501)),$F1205,IF(OR(AND(25001&lt;R1205,R1205&lt;27501),AND(53500&lt;R1205,R1205&lt;57001),AND(72500&lt;R1205,R1205&lt;75001)),$G1205,IF(OR(AND(27500&lt;R1205,R1205&lt;30001),AND(57000&lt;R1205,R1205&lt;60001),AND(75000&lt;R1205,R1205&lt;77500)),$H1205,VLOOKUP(R1205,BDins,6,FALSE)))))</f>
        <v>8</v>
      </c>
      <c r="S1207">
        <f>IF(S1209&gt;10000,HLOOKUP(S1209,$O1205:R1208,4,FALSE),IF(OR(AND(22500&lt;S1205,S1205&lt;25001),AND(50000&lt;S1205,S1205&lt;53501),AND(70000&lt;S1205,S1205&lt;72501)),$F1205,IF(OR(AND(25001&lt;S1205,S1205&lt;27501),AND(53500&lt;S1205,S1205&lt;57001),AND(72500&lt;S1205,S1205&lt;75001)),$G1205,IF(OR(AND(27500&lt;S1205,S1205&lt;30001),AND(57000&lt;S1205,S1205&lt;60001),AND(75000&lt;S1205,S1205&lt;77500)),$H1205,VLOOKUP(S1205,BDins,6,FALSE)))))</f>
        <v>1.54</v>
      </c>
      <c r="T1207">
        <f>IF(T1209&gt;10000,HLOOKUP(T1209,$O1205:S1208,4,FALSE),IF(OR(AND(22500&lt;T1205,T1205&lt;25001),AND(50000&lt;T1205,T1205&lt;53501),AND(70000&lt;T1205,T1205&lt;72501)),$F1205,IF(OR(AND(25001&lt;T1205,T1205&lt;27501),AND(53500&lt;T1205,T1205&lt;57001),AND(72500&lt;T1205,T1205&lt;75001)),$G1205,IF(OR(AND(27500&lt;T1205,T1205&lt;30001),AND(57000&lt;T1205,T1205&lt;60001),AND(75000&lt;T1205,T1205&lt;77500)),$H1205,VLOOKUP(T1205,BDins,6,FALSE)))))</f>
        <v>3.87</v>
      </c>
    </row>
    <row r="1208" spans="1:21" x14ac:dyDescent="0.2">
      <c r="O1208">
        <f t="shared" ref="O1208:T1208" si="173">IF($K1205&gt;0,ROUND(O1206*$E1205/100,DpCU),IF(O1209&gt;10000,ROUND(HLOOKUP(O1209,$O1205:$T1208,4,FALSE)/100*O1206,DpCU),IF(OR(O1205&lt;20001,O1205&gt;95000,AND(60000&lt;O1205,O1205&lt;70001)),ROUND(ROUND(O1206*JL/$C1205,DcCU)*O1207,DpCU),IF(OR(AND(20000&lt;O1205,O1205&lt;22501),AND(30000&lt;O1205,O1205&lt;50001),77500&lt;O1205),ROUND(O1207*O1206,DpCU),IF(OR(AND(22500&lt;O1205,O1205&lt;25001),AND(50000&lt;O1205,O1205&lt;53501),AND(70000&lt;O1205,O1205&lt;72501)),ROUND($F1205/100*O1206,DpCU),IF(OR(AND(25000&lt;O1205,O1205&lt;27501),AND(53500&lt;O1205,O1205&lt;57001),AND(72500&lt;O1205,O1205&lt;75001)),ROUND($G1205/100*O1206,DpCU),ROUND($H1205/100*O1206,DpCU)))))))</f>
        <v>0.25</v>
      </c>
      <c r="P1208">
        <f t="shared" si="173"/>
        <v>2.08</v>
      </c>
      <c r="Q1208">
        <f t="shared" si="173"/>
        <v>1.54</v>
      </c>
      <c r="R1208">
        <f t="shared" si="173"/>
        <v>0.08</v>
      </c>
      <c r="S1208">
        <f t="shared" si="173"/>
        <v>4.7</v>
      </c>
      <c r="T1208">
        <f t="shared" si="173"/>
        <v>0.19</v>
      </c>
    </row>
    <row r="1209" spans="1:21" x14ac:dyDescent="0.2">
      <c r="B1209" s="3" t="str">
        <f>A1205&amp;"r"</f>
        <v>10241r</v>
      </c>
    </row>
    <row r="1210" spans="1:21" x14ac:dyDescent="0.2">
      <c r="A1210">
        <v>10242</v>
      </c>
      <c r="B1210" s="3" t="s">
        <v>1213</v>
      </c>
      <c r="C1210" s="1">
        <f>ROUND(J1210*JL*Frto/8,4)</f>
        <v>100</v>
      </c>
      <c r="D1210" t="s">
        <v>194</v>
      </c>
      <c r="E1210">
        <f>SUM($O1213:$U1213)</f>
        <v>17.36</v>
      </c>
      <c r="F1210">
        <f>SUMIF($O1210:$U1210,"&lt;22501",$O1213:$U1213)</f>
        <v>3.09</v>
      </c>
      <c r="G1210">
        <f>SUMIFS($O1213:$U1213,$O1210:$U1210,"&gt;30000",$O1210:$U1210,"&lt;50001")</f>
        <v>14.120000000000001</v>
      </c>
      <c r="H1210">
        <f>SUMIFS($O1213:$U1213,$O1210:$U1210,"&gt;60000",$O1210:$U1210,"&lt;70001")</f>
        <v>0</v>
      </c>
      <c r="I1210">
        <v>7</v>
      </c>
      <c r="J1210">
        <v>100</v>
      </c>
      <c r="O1210">
        <v>10001</v>
      </c>
      <c r="P1210">
        <v>10002</v>
      </c>
      <c r="Q1210">
        <v>10003</v>
      </c>
      <c r="R1210">
        <v>30304</v>
      </c>
      <c r="S1210">
        <v>30305</v>
      </c>
      <c r="T1210">
        <v>30309</v>
      </c>
      <c r="U1210">
        <v>70001</v>
      </c>
    </row>
    <row r="1211" spans="1:21" x14ac:dyDescent="0.2">
      <c r="B1211" s="3" t="str">
        <f>A1210&amp;"C"</f>
        <v>10242C</v>
      </c>
      <c r="O1211">
        <v>0.1</v>
      </c>
      <c r="P1211">
        <v>1</v>
      </c>
      <c r="Q1211">
        <v>1</v>
      </c>
      <c r="R1211">
        <v>1.05</v>
      </c>
      <c r="S1211">
        <v>0.01</v>
      </c>
      <c r="T1211">
        <v>3.05</v>
      </c>
      <c r="U1211">
        <v>5</v>
      </c>
    </row>
    <row r="1212" spans="1:21" x14ac:dyDescent="0.2">
      <c r="O1212">
        <f>IF(O1214&gt;10000,HLOOKUP(O1214,N1210:$O1213,4,FALSE),IF(OR(AND(22500&lt;O1210,O1210&lt;25001),AND(50000&lt;O1210,O1210&lt;53501),AND(70000&lt;O1210,O1210&lt;72501)),$F1210,IF(OR(AND(25001&lt;O1210,O1210&lt;27501),AND(53500&lt;O1210,O1210&lt;57001),AND(72500&lt;O1210,O1210&lt;75001)),$G1210,IF(OR(AND(27500&lt;O1210,O1210&lt;30001),AND(57000&lt;O1210,O1210&lt;60001),AND(75000&lt;O1210,O1210&lt;77500)),$H1210,VLOOKUP(O1210,BDins,6,FALSE)))))</f>
        <v>24.97</v>
      </c>
      <c r="P1212">
        <f>IF(P1214&gt;10000,HLOOKUP(P1214,O1210:$O1213,4,FALSE),IF(OR(AND(22500&lt;P1210,P1210&lt;25001),AND(50000&lt;P1210,P1210&lt;53501),AND(70000&lt;P1210,P1210&lt;72501)),$F1210,IF(OR(AND(25001&lt;P1210,P1210&lt;27501),AND(53500&lt;P1210,P1210&lt;57001),AND(72500&lt;P1210,P1210&lt;75001)),$G1210,IF(OR(AND(27500&lt;P1210,P1210&lt;30001),AND(57000&lt;P1210,P1210&lt;60001),AND(75000&lt;P1210,P1210&lt;77500)),$H1210,VLOOKUP(P1210,BDins,6,FALSE)))))</f>
        <v>20.81</v>
      </c>
      <c r="Q1212">
        <f>IF(Q1214&gt;10000,HLOOKUP(Q1214,$O1210:P1213,4,FALSE),IF(OR(AND(22500&lt;Q1210,Q1210&lt;25001),AND(50000&lt;Q1210,Q1210&lt;53501),AND(70000&lt;Q1210,Q1210&lt;72501)),$F1210,IF(OR(AND(25001&lt;Q1210,Q1210&lt;27501),AND(53500&lt;Q1210,Q1210&lt;57001),AND(72500&lt;Q1210,Q1210&lt;75001)),$G1210,IF(OR(AND(27500&lt;Q1210,Q1210&lt;30001),AND(57000&lt;Q1210,Q1210&lt;60001),AND(75000&lt;Q1210,Q1210&lt;77500)),$H1210,VLOOKUP(Q1210,BDins,6,FALSE)))))</f>
        <v>15.36</v>
      </c>
      <c r="R1212">
        <f>IF(R1214&gt;10000,HLOOKUP(R1214,$O1210:Q1213,4,FALSE),IF(OR(AND(22500&lt;R1210,R1210&lt;25001),AND(50000&lt;R1210,R1210&lt;53501),AND(70000&lt;R1210,R1210&lt;72501)),$F1210,IF(OR(AND(25001&lt;R1210,R1210&lt;27501),AND(53500&lt;R1210,R1210&lt;57001),AND(72500&lt;R1210,R1210&lt;75001)),$G1210,IF(OR(AND(27500&lt;R1210,R1210&lt;30001),AND(57000&lt;R1210,R1210&lt;60001),AND(75000&lt;R1210,R1210&lt;77500)),$H1210,VLOOKUP(R1210,BDins,6,FALSE)))))</f>
        <v>2.33</v>
      </c>
      <c r="S1212">
        <f>IF(S1214&gt;10000,HLOOKUP(S1214,$O1210:R1213,4,FALSE),IF(OR(AND(22500&lt;S1210,S1210&lt;25001),AND(50000&lt;S1210,S1210&lt;53501),AND(70000&lt;S1210,S1210&lt;72501)),$F1210,IF(OR(AND(25001&lt;S1210,S1210&lt;27501),AND(53500&lt;S1210,S1210&lt;57001),AND(72500&lt;S1210,S1210&lt;75001)),$G1210,IF(OR(AND(27500&lt;S1210,S1210&lt;30001),AND(57000&lt;S1210,S1210&lt;60001),AND(75000&lt;S1210,S1210&lt;77500)),$H1210,VLOOKUP(S1210,BDins,6,FALSE)))))</f>
        <v>8</v>
      </c>
      <c r="T1212">
        <f>IF(T1214&gt;10000,HLOOKUP(T1214,$O1210:S1213,4,FALSE),IF(OR(AND(22500&lt;T1210,T1210&lt;25001),AND(50000&lt;T1210,T1210&lt;53501),AND(70000&lt;T1210,T1210&lt;72501)),$F1210,IF(OR(AND(25001&lt;T1210,T1210&lt;27501),AND(53500&lt;T1210,T1210&lt;57001),AND(72500&lt;T1210,T1210&lt;75001)),$G1210,IF(OR(AND(27500&lt;T1210,T1210&lt;30001),AND(57000&lt;T1210,T1210&lt;60001),AND(75000&lt;T1210,T1210&lt;77500)),$H1210,VLOOKUP(T1210,BDins,6,FALSE)))))</f>
        <v>3.8</v>
      </c>
      <c r="U1212">
        <f>IF(U1214&gt;10000,HLOOKUP(U1214,$O1210:T1213,4,FALSE),IF(OR(AND(22500&lt;U1210,U1210&lt;25001),AND(50000&lt;U1210,U1210&lt;53501),AND(70000&lt;U1210,U1210&lt;72501)),$F1210,IF(OR(AND(25001&lt;U1210,U1210&lt;27501),AND(53500&lt;U1210,U1210&lt;57001),AND(72500&lt;U1210,U1210&lt;75001)),$G1210,IF(OR(AND(27500&lt;U1210,U1210&lt;30001),AND(57000&lt;U1210,U1210&lt;60001),AND(75000&lt;U1210,U1210&lt;77500)),$H1210,VLOOKUP(U1210,BDins,6,FALSE)))))</f>
        <v>3.09</v>
      </c>
    </row>
    <row r="1213" spans="1:21" x14ac:dyDescent="0.2">
      <c r="O1213">
        <f t="shared" ref="O1213:U1213" si="174">IF($K1210&gt;0,ROUND(O1211*$E1210/100,DpCU),IF(O1214&gt;10000,ROUND(HLOOKUP(O1214,$O1210:$U1213,4,FALSE)/100*O1211,DpCU),IF(OR(O1210&lt;20001,O1210&gt;95000,AND(60000&lt;O1210,O1210&lt;70001)),ROUND(ROUND(O1211*JL/$C1210,DcCU)*O1212,DpCU),IF(OR(AND(20000&lt;O1210,O1210&lt;22501),AND(30000&lt;O1210,O1210&lt;50001),77500&lt;O1210),ROUND(O1212*O1211,DpCU),IF(OR(AND(22500&lt;O1210,O1210&lt;25001),AND(50000&lt;O1210,O1210&lt;53501),AND(70000&lt;O1210,O1210&lt;72501)),ROUND($F1210/100*O1211,DpCU),IF(OR(AND(25000&lt;O1210,O1210&lt;27501),AND(53500&lt;O1210,O1210&lt;57001),AND(72500&lt;O1210,O1210&lt;75001)),ROUND($G1210/100*O1211,DpCU),ROUND($H1210/100*O1211,DpCU)))))))</f>
        <v>0.2</v>
      </c>
      <c r="P1213">
        <f t="shared" si="174"/>
        <v>1.66</v>
      </c>
      <c r="Q1213">
        <f t="shared" si="174"/>
        <v>1.23</v>
      </c>
      <c r="R1213">
        <f t="shared" si="174"/>
        <v>2.4500000000000002</v>
      </c>
      <c r="S1213">
        <f t="shared" si="174"/>
        <v>0.08</v>
      </c>
      <c r="T1213">
        <f t="shared" si="174"/>
        <v>11.59</v>
      </c>
      <c r="U1213">
        <f t="shared" si="174"/>
        <v>0.15</v>
      </c>
    </row>
    <row r="1214" spans="1:21" x14ac:dyDescent="0.2">
      <c r="B1214" s="3" t="str">
        <f>A1210&amp;"r"</f>
        <v>10242r</v>
      </c>
    </row>
    <row r="1215" spans="1:21" x14ac:dyDescent="0.2">
      <c r="A1215">
        <v>10243</v>
      </c>
      <c r="B1215" s="3" t="s">
        <v>1216</v>
      </c>
      <c r="C1215" s="1">
        <f>ROUND(J1215*JL*Frto/8,4)</f>
        <v>80</v>
      </c>
      <c r="D1215" t="s">
        <v>194</v>
      </c>
      <c r="E1215">
        <f>SUM($O1218:$T1218)</f>
        <v>13.579999999999998</v>
      </c>
      <c r="F1215">
        <f>SUMIF($O1215:$T1215,"&lt;22501",$O1218:$T1218)</f>
        <v>3.87</v>
      </c>
      <c r="G1215">
        <f>SUMIFS($O1218:$T1218,$O1215:$T1215,"&gt;30000",$O1215:$T1215,"&lt;50001")</f>
        <v>9.52</v>
      </c>
      <c r="H1215">
        <f>SUMIFS($O1218:$T1218,$O1215:$T1215,"&gt;60000",$O1215:$T1215,"&lt;70001")</f>
        <v>0</v>
      </c>
      <c r="I1215">
        <v>6</v>
      </c>
      <c r="J1215">
        <v>80</v>
      </c>
      <c r="O1215">
        <v>10001</v>
      </c>
      <c r="P1215">
        <v>10002</v>
      </c>
      <c r="Q1215">
        <v>10003</v>
      </c>
      <c r="R1215">
        <v>30304</v>
      </c>
      <c r="S1215">
        <v>30305</v>
      </c>
      <c r="T1215">
        <v>70001</v>
      </c>
    </row>
    <row r="1216" spans="1:21" x14ac:dyDescent="0.2">
      <c r="B1216" s="3" t="str">
        <f>A1215&amp;"C"</f>
        <v>10243C</v>
      </c>
      <c r="O1216">
        <v>0.1</v>
      </c>
      <c r="P1216">
        <v>1</v>
      </c>
      <c r="Q1216">
        <v>1</v>
      </c>
      <c r="R1216">
        <v>4.05</v>
      </c>
      <c r="S1216">
        <v>0.01</v>
      </c>
      <c r="T1216">
        <v>5</v>
      </c>
    </row>
    <row r="1217" spans="1:23" x14ac:dyDescent="0.2">
      <c r="O1217">
        <f>IF(O1219&gt;10000,HLOOKUP(O1219,N1215:$O1218,4,FALSE),IF(OR(AND(22500&lt;O1215,O1215&lt;25001),AND(50000&lt;O1215,O1215&lt;53501),AND(70000&lt;O1215,O1215&lt;72501)),$F1215,IF(OR(AND(25001&lt;O1215,O1215&lt;27501),AND(53500&lt;O1215,O1215&lt;57001),AND(72500&lt;O1215,O1215&lt;75001)),$G1215,IF(OR(AND(27500&lt;O1215,O1215&lt;30001),AND(57000&lt;O1215,O1215&lt;60001),AND(75000&lt;O1215,O1215&lt;77500)),$H1215,VLOOKUP(O1215,BDins,6,FALSE)))))</f>
        <v>24.97</v>
      </c>
      <c r="P1217">
        <f>IF(P1219&gt;10000,HLOOKUP(P1219,O1215:$O1218,4,FALSE),IF(OR(AND(22500&lt;P1215,P1215&lt;25001),AND(50000&lt;P1215,P1215&lt;53501),AND(70000&lt;P1215,P1215&lt;72501)),$F1215,IF(OR(AND(25001&lt;P1215,P1215&lt;27501),AND(53500&lt;P1215,P1215&lt;57001),AND(72500&lt;P1215,P1215&lt;75001)),$G1215,IF(OR(AND(27500&lt;P1215,P1215&lt;30001),AND(57000&lt;P1215,P1215&lt;60001),AND(75000&lt;P1215,P1215&lt;77500)),$H1215,VLOOKUP(P1215,BDins,6,FALSE)))))</f>
        <v>20.81</v>
      </c>
      <c r="Q1217">
        <f>IF(Q1219&gt;10000,HLOOKUP(Q1219,$O1215:P1218,4,FALSE),IF(OR(AND(22500&lt;Q1215,Q1215&lt;25001),AND(50000&lt;Q1215,Q1215&lt;53501),AND(70000&lt;Q1215,Q1215&lt;72501)),$F1215,IF(OR(AND(25001&lt;Q1215,Q1215&lt;27501),AND(53500&lt;Q1215,Q1215&lt;57001),AND(72500&lt;Q1215,Q1215&lt;75001)),$G1215,IF(OR(AND(27500&lt;Q1215,Q1215&lt;30001),AND(57000&lt;Q1215,Q1215&lt;60001),AND(75000&lt;Q1215,Q1215&lt;77500)),$H1215,VLOOKUP(Q1215,BDins,6,FALSE)))))</f>
        <v>15.36</v>
      </c>
      <c r="R1217">
        <f>IF(R1219&gt;10000,HLOOKUP(R1219,$O1215:Q1218,4,FALSE),IF(OR(AND(22500&lt;R1215,R1215&lt;25001),AND(50000&lt;R1215,R1215&lt;53501),AND(70000&lt;R1215,R1215&lt;72501)),$F1215,IF(OR(AND(25001&lt;R1215,R1215&lt;27501),AND(53500&lt;R1215,R1215&lt;57001),AND(72500&lt;R1215,R1215&lt;75001)),$G1215,IF(OR(AND(27500&lt;R1215,R1215&lt;30001),AND(57000&lt;R1215,R1215&lt;60001),AND(75000&lt;R1215,R1215&lt;77500)),$H1215,VLOOKUP(R1215,BDins,6,FALSE)))))</f>
        <v>2.33</v>
      </c>
      <c r="S1217">
        <f>IF(S1219&gt;10000,HLOOKUP(S1219,$O1215:R1218,4,FALSE),IF(OR(AND(22500&lt;S1215,S1215&lt;25001),AND(50000&lt;S1215,S1215&lt;53501),AND(70000&lt;S1215,S1215&lt;72501)),$F1215,IF(OR(AND(25001&lt;S1215,S1215&lt;27501),AND(53500&lt;S1215,S1215&lt;57001),AND(72500&lt;S1215,S1215&lt;75001)),$G1215,IF(OR(AND(27500&lt;S1215,S1215&lt;30001),AND(57000&lt;S1215,S1215&lt;60001),AND(75000&lt;S1215,S1215&lt;77500)),$H1215,VLOOKUP(S1215,BDins,6,FALSE)))))</f>
        <v>8</v>
      </c>
      <c r="T1217">
        <f>IF(T1219&gt;10000,HLOOKUP(T1219,$O1215:S1218,4,FALSE),IF(OR(AND(22500&lt;T1215,T1215&lt;25001),AND(50000&lt;T1215,T1215&lt;53501),AND(70000&lt;T1215,T1215&lt;72501)),$F1215,IF(OR(AND(25001&lt;T1215,T1215&lt;27501),AND(53500&lt;T1215,T1215&lt;57001),AND(72500&lt;T1215,T1215&lt;75001)),$G1215,IF(OR(AND(27500&lt;T1215,T1215&lt;30001),AND(57000&lt;T1215,T1215&lt;60001),AND(75000&lt;T1215,T1215&lt;77500)),$H1215,VLOOKUP(T1215,BDins,6,FALSE)))))</f>
        <v>3.87</v>
      </c>
    </row>
    <row r="1218" spans="1:23" x14ac:dyDescent="0.2">
      <c r="O1218">
        <f t="shared" ref="O1218:T1218" si="175">IF($K1215&gt;0,ROUND(O1216*$E1215/100,DpCU),IF(O1219&gt;10000,ROUND(HLOOKUP(O1219,$O1215:$T1218,4,FALSE)/100*O1216,DpCU),IF(OR(O1215&lt;20001,O1215&gt;95000,AND(60000&lt;O1215,O1215&lt;70001)),ROUND(ROUND(O1216*JL/$C1215,DcCU)*O1217,DpCU),IF(OR(AND(20000&lt;O1215,O1215&lt;22501),AND(30000&lt;O1215,O1215&lt;50001),77500&lt;O1215),ROUND(O1217*O1216,DpCU),IF(OR(AND(22500&lt;O1215,O1215&lt;25001),AND(50000&lt;O1215,O1215&lt;53501),AND(70000&lt;O1215,O1215&lt;72501)),ROUND($F1215/100*O1216,DpCU),IF(OR(AND(25000&lt;O1215,O1215&lt;27501),AND(53500&lt;O1215,O1215&lt;57001),AND(72500&lt;O1215,O1215&lt;75001)),ROUND($G1215/100*O1216,DpCU),ROUND($H1215/100*O1216,DpCU)))))))</f>
        <v>0.25</v>
      </c>
      <c r="P1218">
        <f t="shared" si="175"/>
        <v>2.08</v>
      </c>
      <c r="Q1218">
        <f t="shared" si="175"/>
        <v>1.54</v>
      </c>
      <c r="R1218">
        <f t="shared" si="175"/>
        <v>9.44</v>
      </c>
      <c r="S1218">
        <f t="shared" si="175"/>
        <v>0.08</v>
      </c>
      <c r="T1218">
        <f t="shared" si="175"/>
        <v>0.19</v>
      </c>
    </row>
    <row r="1219" spans="1:23" x14ac:dyDescent="0.2">
      <c r="B1219" s="3" t="str">
        <f>A1215&amp;"r"</f>
        <v>10243r</v>
      </c>
    </row>
    <row r="1220" spans="1:23" x14ac:dyDescent="0.2">
      <c r="A1220">
        <v>10244</v>
      </c>
      <c r="B1220" s="3" t="s">
        <v>1220</v>
      </c>
      <c r="C1220" s="1">
        <f>ROUND(J1220*JL*Frto/8,4)</f>
        <v>60</v>
      </c>
      <c r="D1220" t="s">
        <v>194</v>
      </c>
      <c r="E1220">
        <f>SUM($O1223:$W1223)</f>
        <v>7.12</v>
      </c>
      <c r="F1220">
        <f>SUMIF($O1220:$W1220,"&lt;22501",$O1223:$W1223)</f>
        <v>5.15</v>
      </c>
      <c r="G1220">
        <f>SUMIFS($O1223:$W1223,$O1220:$W1220,"&gt;30000",$O1220:$W1220,"&lt;50001")</f>
        <v>1.7100000000000002</v>
      </c>
      <c r="H1220">
        <f>SUMIFS($O1223:$W1223,$O1220:$W1220,"&gt;60000",$O1220:$W1220,"&lt;70001")</f>
        <v>0</v>
      </c>
      <c r="I1220">
        <v>9</v>
      </c>
      <c r="J1220">
        <v>60</v>
      </c>
      <c r="O1220">
        <v>10001</v>
      </c>
      <c r="P1220">
        <v>10002</v>
      </c>
      <c r="Q1220">
        <v>10003</v>
      </c>
      <c r="R1220">
        <v>30216</v>
      </c>
      <c r="S1220">
        <v>30310</v>
      </c>
      <c r="T1220">
        <v>30311</v>
      </c>
      <c r="U1220">
        <v>30312</v>
      </c>
      <c r="V1220">
        <v>30313</v>
      </c>
      <c r="W1220">
        <v>70001</v>
      </c>
    </row>
    <row r="1221" spans="1:23" x14ac:dyDescent="0.2">
      <c r="B1221" s="3" t="str">
        <f>A1220&amp;"C"</f>
        <v>10244C</v>
      </c>
      <c r="O1221">
        <v>0.1</v>
      </c>
      <c r="P1221">
        <v>1</v>
      </c>
      <c r="Q1221">
        <v>1</v>
      </c>
      <c r="R1221">
        <v>1E-3</v>
      </c>
      <c r="S1221">
        <v>0.35</v>
      </c>
      <c r="T1221">
        <v>0.1</v>
      </c>
      <c r="U1221">
        <v>0.35</v>
      </c>
      <c r="V1221">
        <v>0.02</v>
      </c>
      <c r="W1221">
        <v>5</v>
      </c>
    </row>
    <row r="1222" spans="1:23" x14ac:dyDescent="0.2">
      <c r="O1222">
        <f>IF(O1224&gt;10000,HLOOKUP(O1224,N1220:$O1223,4,FALSE),IF(OR(AND(22500&lt;O1220,O1220&lt;25001),AND(50000&lt;O1220,O1220&lt;53501),AND(70000&lt;O1220,O1220&lt;72501)),$F1220,IF(OR(AND(25001&lt;O1220,O1220&lt;27501),AND(53500&lt;O1220,O1220&lt;57001),AND(72500&lt;O1220,O1220&lt;75001)),$G1220,IF(OR(AND(27500&lt;O1220,O1220&lt;30001),AND(57000&lt;O1220,O1220&lt;60001),AND(75000&lt;O1220,O1220&lt;77500)),$H1220,VLOOKUP(O1220,BDins,6,FALSE)))))</f>
        <v>24.97</v>
      </c>
      <c r="P1222">
        <f>IF(P1224&gt;10000,HLOOKUP(P1224,O1220:$O1223,4,FALSE),IF(OR(AND(22500&lt;P1220,P1220&lt;25001),AND(50000&lt;P1220,P1220&lt;53501),AND(70000&lt;P1220,P1220&lt;72501)),$F1220,IF(OR(AND(25001&lt;P1220,P1220&lt;27501),AND(53500&lt;P1220,P1220&lt;57001),AND(72500&lt;P1220,P1220&lt;75001)),$G1220,IF(OR(AND(27500&lt;P1220,P1220&lt;30001),AND(57000&lt;P1220,P1220&lt;60001),AND(75000&lt;P1220,P1220&lt;77500)),$H1220,VLOOKUP(P1220,BDins,6,FALSE)))))</f>
        <v>20.81</v>
      </c>
      <c r="Q1222">
        <f>IF(Q1224&gt;10000,HLOOKUP(Q1224,$O1220:P1223,4,FALSE),IF(OR(AND(22500&lt;Q1220,Q1220&lt;25001),AND(50000&lt;Q1220,Q1220&lt;53501),AND(70000&lt;Q1220,Q1220&lt;72501)),$F1220,IF(OR(AND(25001&lt;Q1220,Q1220&lt;27501),AND(53500&lt;Q1220,Q1220&lt;57001),AND(72500&lt;Q1220,Q1220&lt;75001)),$G1220,IF(OR(AND(27500&lt;Q1220,Q1220&lt;30001),AND(57000&lt;Q1220,Q1220&lt;60001),AND(75000&lt;Q1220,Q1220&lt;77500)),$H1220,VLOOKUP(Q1220,BDins,6,FALSE)))))</f>
        <v>15.36</v>
      </c>
      <c r="R1222">
        <f>IF(R1224&gt;10000,HLOOKUP(R1224,$O1220:Q1223,4,FALSE),IF(OR(AND(22500&lt;R1220,R1220&lt;25001),AND(50000&lt;R1220,R1220&lt;53501),AND(70000&lt;R1220,R1220&lt;72501)),$F1220,IF(OR(AND(25001&lt;R1220,R1220&lt;27501),AND(53500&lt;R1220,R1220&lt;57001),AND(72500&lt;R1220,R1220&lt;75001)),$G1220,IF(OR(AND(27500&lt;R1220,R1220&lt;30001),AND(57000&lt;R1220,R1220&lt;60001),AND(75000&lt;R1220,R1220&lt;77500)),$H1220,VLOOKUP(R1220,BDins,6,FALSE)))))</f>
        <v>116</v>
      </c>
      <c r="S1222">
        <f>IF(S1224&gt;10000,HLOOKUP(S1224,$O1220:R1223,4,FALSE),IF(OR(AND(22500&lt;S1220,S1220&lt;25001),AND(50000&lt;S1220,S1220&lt;53501),AND(70000&lt;S1220,S1220&lt;72501)),$F1220,IF(OR(AND(25001&lt;S1220,S1220&lt;27501),AND(53500&lt;S1220,S1220&lt;57001),AND(72500&lt;S1220,S1220&lt;75001)),$G1220,IF(OR(AND(27500&lt;S1220,S1220&lt;30001),AND(57000&lt;S1220,S1220&lt;60001),AND(75000&lt;S1220,S1220&lt;77500)),$H1220,VLOOKUP(S1220,BDins,6,FALSE)))))</f>
        <v>3.8</v>
      </c>
      <c r="T1222">
        <f>IF(T1224&gt;10000,HLOOKUP(T1224,$O1220:S1223,4,FALSE),IF(OR(AND(22500&lt;T1220,T1220&lt;25001),AND(50000&lt;T1220,T1220&lt;53501),AND(70000&lt;T1220,T1220&lt;72501)),$F1220,IF(OR(AND(25001&lt;T1220,T1220&lt;27501),AND(53500&lt;T1220,T1220&lt;57001),AND(72500&lt;T1220,T1220&lt;75001)),$G1220,IF(OR(AND(27500&lt;T1220,T1220&lt;30001),AND(57000&lt;T1220,T1220&lt;60001),AND(75000&lt;T1220,T1220&lt;77500)),$H1220,VLOOKUP(T1220,BDins,6,FALSE)))))</f>
        <v>0.3</v>
      </c>
      <c r="U1222">
        <f>IF(U1224&gt;10000,HLOOKUP(U1224,$O1220:T1223,4,FALSE),IF(OR(AND(22500&lt;U1220,U1220&lt;25001),AND(50000&lt;U1220,U1220&lt;53501),AND(70000&lt;U1220,U1220&lt;72501)),$F1220,IF(OR(AND(25001&lt;U1220,U1220&lt;27501),AND(53500&lt;U1220,U1220&lt;57001),AND(72500&lt;U1220,U1220&lt;75001)),$G1220,IF(OR(AND(27500&lt;U1220,U1220&lt;30001),AND(57000&lt;U1220,U1220&lt;60001),AND(75000&lt;U1220,U1220&lt;77500)),$H1220,VLOOKUP(U1220,BDins,6,FALSE)))))</f>
        <v>0.6</v>
      </c>
      <c r="V1222">
        <f>IF(V1224&gt;10000,HLOOKUP(V1224,$O1220:U1223,4,FALSE),IF(OR(AND(22500&lt;V1220,V1220&lt;25001),AND(50000&lt;V1220,V1220&lt;53501),AND(70000&lt;V1220,V1220&lt;72501)),$F1220,IF(OR(AND(25001&lt;V1220,V1220&lt;27501),AND(53500&lt;V1220,V1220&lt;57001),AND(72500&lt;V1220,V1220&lt;75001)),$G1220,IF(OR(AND(27500&lt;V1220,V1220&lt;30001),AND(57000&lt;V1220,V1220&lt;60001),AND(75000&lt;V1220,V1220&lt;77500)),$H1220,VLOOKUP(V1220,BDins,6,FALSE)))))</f>
        <v>0.81</v>
      </c>
      <c r="W1222">
        <f>IF(W1224&gt;10000,HLOOKUP(W1224,$O1220:V1223,4,FALSE),IF(OR(AND(22500&lt;W1220,W1220&lt;25001),AND(50000&lt;W1220,W1220&lt;53501),AND(70000&lt;W1220,W1220&lt;72501)),$F1220,IF(OR(AND(25001&lt;W1220,W1220&lt;27501),AND(53500&lt;W1220,W1220&lt;57001),AND(72500&lt;W1220,W1220&lt;75001)),$G1220,IF(OR(AND(27500&lt;W1220,W1220&lt;30001),AND(57000&lt;W1220,W1220&lt;60001),AND(75000&lt;W1220,W1220&lt;77500)),$H1220,VLOOKUP(W1220,BDins,6,FALSE)))))</f>
        <v>5.15</v>
      </c>
    </row>
    <row r="1223" spans="1:23" x14ac:dyDescent="0.2">
      <c r="O1223">
        <f t="shared" ref="O1223:W1223" si="176">IF($K1220&gt;0,ROUND(O1221*$E1220/100,DpCU),IF(O1224&gt;10000,ROUND(HLOOKUP(O1224,$O1220:$W1223,4,FALSE)/100*O1221,DpCU),IF(OR(O1220&lt;20001,O1220&gt;95000,AND(60000&lt;O1220,O1220&lt;70001)),ROUND(ROUND(O1221*JL/$C1220,DcCU)*O1222,DpCU),IF(OR(AND(20000&lt;O1220,O1220&lt;22501),AND(30000&lt;O1220,O1220&lt;50001),77500&lt;O1220),ROUND(O1222*O1221,DpCU),IF(OR(AND(22500&lt;O1220,O1220&lt;25001),AND(50000&lt;O1220,O1220&lt;53501),AND(70000&lt;O1220,O1220&lt;72501)),ROUND($F1220/100*O1221,DpCU),IF(OR(AND(25000&lt;O1220,O1220&lt;27501),AND(53500&lt;O1220,O1220&lt;57001),AND(72500&lt;O1220,O1220&lt;75001)),ROUND($G1220/100*O1221,DpCU),ROUND($H1220/100*O1221,DpCU)))))))</f>
        <v>0.33</v>
      </c>
      <c r="P1223">
        <f t="shared" si="176"/>
        <v>2.77</v>
      </c>
      <c r="Q1223">
        <f t="shared" si="176"/>
        <v>2.0499999999999998</v>
      </c>
      <c r="R1223">
        <f t="shared" si="176"/>
        <v>0.12</v>
      </c>
      <c r="S1223">
        <f t="shared" si="176"/>
        <v>1.33</v>
      </c>
      <c r="T1223">
        <f t="shared" si="176"/>
        <v>0.03</v>
      </c>
      <c r="U1223">
        <f t="shared" si="176"/>
        <v>0.21</v>
      </c>
      <c r="V1223">
        <f t="shared" si="176"/>
        <v>0.02</v>
      </c>
      <c r="W1223">
        <f t="shared" si="176"/>
        <v>0.26</v>
      </c>
    </row>
    <row r="1224" spans="1:23" x14ac:dyDescent="0.2">
      <c r="B1224" s="3" t="str">
        <f>A1220&amp;"r"</f>
        <v>10244r</v>
      </c>
    </row>
    <row r="1225" spans="1:23" x14ac:dyDescent="0.2">
      <c r="A1225">
        <v>10245</v>
      </c>
      <c r="B1225" s="3" t="s">
        <v>1226</v>
      </c>
      <c r="C1225" s="1">
        <f>ROUND(J1225*JL*Frto/8,4)</f>
        <v>60</v>
      </c>
      <c r="D1225" t="s">
        <v>194</v>
      </c>
      <c r="E1225">
        <f>SUM($O1228:$W1228)</f>
        <v>7.12</v>
      </c>
      <c r="F1225">
        <f>SUMIF($O1225:$W1225,"&lt;22501",$O1228:$W1228)</f>
        <v>5.15</v>
      </c>
      <c r="G1225">
        <f>SUMIFS($O1228:$W1228,$O1225:$W1225,"&gt;30000",$O1225:$W1225,"&lt;50001")</f>
        <v>1.7100000000000002</v>
      </c>
      <c r="H1225">
        <f>SUMIFS($O1228:$W1228,$O1225:$W1225,"&gt;60000",$O1225:$W1225,"&lt;70001")</f>
        <v>0</v>
      </c>
      <c r="I1225">
        <v>9</v>
      </c>
      <c r="J1225">
        <v>60</v>
      </c>
      <c r="O1225">
        <v>10001</v>
      </c>
      <c r="P1225">
        <v>10002</v>
      </c>
      <c r="Q1225">
        <v>10003</v>
      </c>
      <c r="R1225">
        <v>30216</v>
      </c>
      <c r="S1225">
        <v>30310</v>
      </c>
      <c r="T1225">
        <v>30311</v>
      </c>
      <c r="U1225">
        <v>30312</v>
      </c>
      <c r="V1225">
        <v>30313</v>
      </c>
      <c r="W1225">
        <v>70001</v>
      </c>
    </row>
    <row r="1226" spans="1:23" x14ac:dyDescent="0.2">
      <c r="B1226" s="3" t="str">
        <f>A1225&amp;"C"</f>
        <v>10245C</v>
      </c>
      <c r="O1226">
        <v>0.1</v>
      </c>
      <c r="P1226">
        <v>1</v>
      </c>
      <c r="Q1226">
        <v>1</v>
      </c>
      <c r="R1226">
        <v>1E-3</v>
      </c>
      <c r="S1226">
        <v>0.35</v>
      </c>
      <c r="T1226">
        <v>0.1</v>
      </c>
      <c r="U1226">
        <v>0.35</v>
      </c>
      <c r="V1226">
        <v>0.02</v>
      </c>
      <c r="W1226">
        <v>5</v>
      </c>
    </row>
    <row r="1227" spans="1:23" x14ac:dyDescent="0.2">
      <c r="O1227">
        <f>IF(O1229&gt;10000,HLOOKUP(O1229,N1225:$O1228,4,FALSE),IF(OR(AND(22500&lt;O1225,O1225&lt;25001),AND(50000&lt;O1225,O1225&lt;53501),AND(70000&lt;O1225,O1225&lt;72501)),$F1225,IF(OR(AND(25001&lt;O1225,O1225&lt;27501),AND(53500&lt;O1225,O1225&lt;57001),AND(72500&lt;O1225,O1225&lt;75001)),$G1225,IF(OR(AND(27500&lt;O1225,O1225&lt;30001),AND(57000&lt;O1225,O1225&lt;60001),AND(75000&lt;O1225,O1225&lt;77500)),$H1225,VLOOKUP(O1225,BDins,6,FALSE)))))</f>
        <v>24.97</v>
      </c>
      <c r="P1227">
        <f>IF(P1229&gt;10000,HLOOKUP(P1229,O1225:$O1228,4,FALSE),IF(OR(AND(22500&lt;P1225,P1225&lt;25001),AND(50000&lt;P1225,P1225&lt;53501),AND(70000&lt;P1225,P1225&lt;72501)),$F1225,IF(OR(AND(25001&lt;P1225,P1225&lt;27501),AND(53500&lt;P1225,P1225&lt;57001),AND(72500&lt;P1225,P1225&lt;75001)),$G1225,IF(OR(AND(27500&lt;P1225,P1225&lt;30001),AND(57000&lt;P1225,P1225&lt;60001),AND(75000&lt;P1225,P1225&lt;77500)),$H1225,VLOOKUP(P1225,BDins,6,FALSE)))))</f>
        <v>20.81</v>
      </c>
      <c r="Q1227">
        <f>IF(Q1229&gt;10000,HLOOKUP(Q1229,$O1225:P1228,4,FALSE),IF(OR(AND(22500&lt;Q1225,Q1225&lt;25001),AND(50000&lt;Q1225,Q1225&lt;53501),AND(70000&lt;Q1225,Q1225&lt;72501)),$F1225,IF(OR(AND(25001&lt;Q1225,Q1225&lt;27501),AND(53500&lt;Q1225,Q1225&lt;57001),AND(72500&lt;Q1225,Q1225&lt;75001)),$G1225,IF(OR(AND(27500&lt;Q1225,Q1225&lt;30001),AND(57000&lt;Q1225,Q1225&lt;60001),AND(75000&lt;Q1225,Q1225&lt;77500)),$H1225,VLOOKUP(Q1225,BDins,6,FALSE)))))</f>
        <v>15.36</v>
      </c>
      <c r="R1227">
        <f>IF(R1229&gt;10000,HLOOKUP(R1229,$O1225:Q1228,4,FALSE),IF(OR(AND(22500&lt;R1225,R1225&lt;25001),AND(50000&lt;R1225,R1225&lt;53501),AND(70000&lt;R1225,R1225&lt;72501)),$F1225,IF(OR(AND(25001&lt;R1225,R1225&lt;27501),AND(53500&lt;R1225,R1225&lt;57001),AND(72500&lt;R1225,R1225&lt;75001)),$G1225,IF(OR(AND(27500&lt;R1225,R1225&lt;30001),AND(57000&lt;R1225,R1225&lt;60001),AND(75000&lt;R1225,R1225&lt;77500)),$H1225,VLOOKUP(R1225,BDins,6,FALSE)))))</f>
        <v>116</v>
      </c>
      <c r="S1227">
        <f>IF(S1229&gt;10000,HLOOKUP(S1229,$O1225:R1228,4,FALSE),IF(OR(AND(22500&lt;S1225,S1225&lt;25001),AND(50000&lt;S1225,S1225&lt;53501),AND(70000&lt;S1225,S1225&lt;72501)),$F1225,IF(OR(AND(25001&lt;S1225,S1225&lt;27501),AND(53500&lt;S1225,S1225&lt;57001),AND(72500&lt;S1225,S1225&lt;75001)),$G1225,IF(OR(AND(27500&lt;S1225,S1225&lt;30001),AND(57000&lt;S1225,S1225&lt;60001),AND(75000&lt;S1225,S1225&lt;77500)),$H1225,VLOOKUP(S1225,BDins,6,FALSE)))))</f>
        <v>3.8</v>
      </c>
      <c r="T1227">
        <f>IF(T1229&gt;10000,HLOOKUP(T1229,$O1225:S1228,4,FALSE),IF(OR(AND(22500&lt;T1225,T1225&lt;25001),AND(50000&lt;T1225,T1225&lt;53501),AND(70000&lt;T1225,T1225&lt;72501)),$F1225,IF(OR(AND(25001&lt;T1225,T1225&lt;27501),AND(53500&lt;T1225,T1225&lt;57001),AND(72500&lt;T1225,T1225&lt;75001)),$G1225,IF(OR(AND(27500&lt;T1225,T1225&lt;30001),AND(57000&lt;T1225,T1225&lt;60001),AND(75000&lt;T1225,T1225&lt;77500)),$H1225,VLOOKUP(T1225,BDins,6,FALSE)))))</f>
        <v>0.3</v>
      </c>
      <c r="U1227">
        <f>IF(U1229&gt;10000,HLOOKUP(U1229,$O1225:T1228,4,FALSE),IF(OR(AND(22500&lt;U1225,U1225&lt;25001),AND(50000&lt;U1225,U1225&lt;53501),AND(70000&lt;U1225,U1225&lt;72501)),$F1225,IF(OR(AND(25001&lt;U1225,U1225&lt;27501),AND(53500&lt;U1225,U1225&lt;57001),AND(72500&lt;U1225,U1225&lt;75001)),$G1225,IF(OR(AND(27500&lt;U1225,U1225&lt;30001),AND(57000&lt;U1225,U1225&lt;60001),AND(75000&lt;U1225,U1225&lt;77500)),$H1225,VLOOKUP(U1225,BDins,6,FALSE)))))</f>
        <v>0.6</v>
      </c>
      <c r="V1227">
        <f>IF(V1229&gt;10000,HLOOKUP(V1229,$O1225:U1228,4,FALSE),IF(OR(AND(22500&lt;V1225,V1225&lt;25001),AND(50000&lt;V1225,V1225&lt;53501),AND(70000&lt;V1225,V1225&lt;72501)),$F1225,IF(OR(AND(25001&lt;V1225,V1225&lt;27501),AND(53500&lt;V1225,V1225&lt;57001),AND(72500&lt;V1225,V1225&lt;75001)),$G1225,IF(OR(AND(27500&lt;V1225,V1225&lt;30001),AND(57000&lt;V1225,V1225&lt;60001),AND(75000&lt;V1225,V1225&lt;77500)),$H1225,VLOOKUP(V1225,BDins,6,FALSE)))))</f>
        <v>0.81</v>
      </c>
      <c r="W1227">
        <f>IF(W1229&gt;10000,HLOOKUP(W1229,$O1225:V1228,4,FALSE),IF(OR(AND(22500&lt;W1225,W1225&lt;25001),AND(50000&lt;W1225,W1225&lt;53501),AND(70000&lt;W1225,W1225&lt;72501)),$F1225,IF(OR(AND(25001&lt;W1225,W1225&lt;27501),AND(53500&lt;W1225,W1225&lt;57001),AND(72500&lt;W1225,W1225&lt;75001)),$G1225,IF(OR(AND(27500&lt;W1225,W1225&lt;30001),AND(57000&lt;W1225,W1225&lt;60001),AND(75000&lt;W1225,W1225&lt;77500)),$H1225,VLOOKUP(W1225,BDins,6,FALSE)))))</f>
        <v>5.15</v>
      </c>
    </row>
    <row r="1228" spans="1:23" x14ac:dyDescent="0.2">
      <c r="O1228">
        <f t="shared" ref="O1228:W1228" si="177">IF($K1225&gt;0,ROUND(O1226*$E1225/100,DpCU),IF(O1229&gt;10000,ROUND(HLOOKUP(O1229,$O1225:$W1228,4,FALSE)/100*O1226,DpCU),IF(OR(O1225&lt;20001,O1225&gt;95000,AND(60000&lt;O1225,O1225&lt;70001)),ROUND(ROUND(O1226*JL/$C1225,DcCU)*O1227,DpCU),IF(OR(AND(20000&lt;O1225,O1225&lt;22501),AND(30000&lt;O1225,O1225&lt;50001),77500&lt;O1225),ROUND(O1227*O1226,DpCU),IF(OR(AND(22500&lt;O1225,O1225&lt;25001),AND(50000&lt;O1225,O1225&lt;53501),AND(70000&lt;O1225,O1225&lt;72501)),ROUND($F1225/100*O1226,DpCU),IF(OR(AND(25000&lt;O1225,O1225&lt;27501),AND(53500&lt;O1225,O1225&lt;57001),AND(72500&lt;O1225,O1225&lt;75001)),ROUND($G1225/100*O1226,DpCU),ROUND($H1225/100*O1226,DpCU)))))))</f>
        <v>0.33</v>
      </c>
      <c r="P1228">
        <f t="shared" si="177"/>
        <v>2.77</v>
      </c>
      <c r="Q1228">
        <f t="shared" si="177"/>
        <v>2.0499999999999998</v>
      </c>
      <c r="R1228">
        <f t="shared" si="177"/>
        <v>0.12</v>
      </c>
      <c r="S1228">
        <f t="shared" si="177"/>
        <v>1.33</v>
      </c>
      <c r="T1228">
        <f t="shared" si="177"/>
        <v>0.03</v>
      </c>
      <c r="U1228">
        <f t="shared" si="177"/>
        <v>0.21</v>
      </c>
      <c r="V1228">
        <f t="shared" si="177"/>
        <v>0.02</v>
      </c>
      <c r="W1228">
        <f t="shared" si="177"/>
        <v>0.26</v>
      </c>
    </row>
    <row r="1229" spans="1:23" x14ac:dyDescent="0.2">
      <c r="B1229" s="3" t="str">
        <f>A1225&amp;"r"</f>
        <v>10245r</v>
      </c>
    </row>
    <row r="1230" spans="1:23" x14ac:dyDescent="0.2">
      <c r="A1230">
        <v>10246</v>
      </c>
      <c r="B1230" s="3" t="s">
        <v>1228</v>
      </c>
      <c r="C1230" s="1">
        <f>ROUND(J1230*JL*Frto/8,4)</f>
        <v>120</v>
      </c>
      <c r="D1230" t="s">
        <v>194</v>
      </c>
      <c r="E1230">
        <f>SUM($O1233:$W1233)</f>
        <v>5.419999999999999</v>
      </c>
      <c r="F1230">
        <f>SUMIF($O1230:$W1230,"&lt;22501",$O1233:$W1233)</f>
        <v>2.58</v>
      </c>
      <c r="G1230">
        <f>SUMIFS($O1233:$W1233,$O1230:$W1230,"&gt;30000",$O1230:$W1230,"&lt;50001")</f>
        <v>2.71</v>
      </c>
      <c r="H1230">
        <f>SUMIFS($O1233:$W1233,$O1230:$W1230,"&gt;60000",$O1230:$W1230,"&lt;70001")</f>
        <v>0</v>
      </c>
      <c r="I1230">
        <v>9</v>
      </c>
      <c r="J1230">
        <v>120</v>
      </c>
      <c r="O1230">
        <v>10001</v>
      </c>
      <c r="P1230">
        <v>10002</v>
      </c>
      <c r="Q1230">
        <v>10003</v>
      </c>
      <c r="R1230">
        <v>30216</v>
      </c>
      <c r="S1230">
        <v>30314</v>
      </c>
      <c r="T1230">
        <v>30315</v>
      </c>
      <c r="U1230">
        <v>30316</v>
      </c>
      <c r="V1230">
        <v>30317</v>
      </c>
      <c r="W1230">
        <v>70001</v>
      </c>
    </row>
    <row r="1231" spans="1:23" x14ac:dyDescent="0.2">
      <c r="B1231" s="3" t="str">
        <f>A1230&amp;"C"</f>
        <v>10246C</v>
      </c>
      <c r="O1231">
        <v>0.1</v>
      </c>
      <c r="P1231">
        <v>1</v>
      </c>
      <c r="Q1231">
        <v>1</v>
      </c>
      <c r="R1231">
        <v>1E-3</v>
      </c>
      <c r="S1231">
        <v>0.1</v>
      </c>
      <c r="T1231">
        <v>0.35</v>
      </c>
      <c r="U1231">
        <v>0.35</v>
      </c>
      <c r="V1231">
        <v>0.02</v>
      </c>
      <c r="W1231">
        <v>5</v>
      </c>
    </row>
    <row r="1232" spans="1:23" x14ac:dyDescent="0.2">
      <c r="O1232">
        <f>IF(O1234&gt;10000,HLOOKUP(O1234,N1230:$O1233,4,FALSE),IF(OR(AND(22500&lt;O1230,O1230&lt;25001),AND(50000&lt;O1230,O1230&lt;53501),AND(70000&lt;O1230,O1230&lt;72501)),$F1230,IF(OR(AND(25001&lt;O1230,O1230&lt;27501),AND(53500&lt;O1230,O1230&lt;57001),AND(72500&lt;O1230,O1230&lt;75001)),$G1230,IF(OR(AND(27500&lt;O1230,O1230&lt;30001),AND(57000&lt;O1230,O1230&lt;60001),AND(75000&lt;O1230,O1230&lt;77500)),$H1230,VLOOKUP(O1230,BDins,6,FALSE)))))</f>
        <v>24.97</v>
      </c>
      <c r="P1232">
        <f>IF(P1234&gt;10000,HLOOKUP(P1234,O1230:$O1233,4,FALSE),IF(OR(AND(22500&lt;P1230,P1230&lt;25001),AND(50000&lt;P1230,P1230&lt;53501),AND(70000&lt;P1230,P1230&lt;72501)),$F1230,IF(OR(AND(25001&lt;P1230,P1230&lt;27501),AND(53500&lt;P1230,P1230&lt;57001),AND(72500&lt;P1230,P1230&lt;75001)),$G1230,IF(OR(AND(27500&lt;P1230,P1230&lt;30001),AND(57000&lt;P1230,P1230&lt;60001),AND(75000&lt;P1230,P1230&lt;77500)),$H1230,VLOOKUP(P1230,BDins,6,FALSE)))))</f>
        <v>20.81</v>
      </c>
      <c r="Q1232">
        <f>IF(Q1234&gt;10000,HLOOKUP(Q1234,$O1230:P1233,4,FALSE),IF(OR(AND(22500&lt;Q1230,Q1230&lt;25001),AND(50000&lt;Q1230,Q1230&lt;53501),AND(70000&lt;Q1230,Q1230&lt;72501)),$F1230,IF(OR(AND(25001&lt;Q1230,Q1230&lt;27501),AND(53500&lt;Q1230,Q1230&lt;57001),AND(72500&lt;Q1230,Q1230&lt;75001)),$G1230,IF(OR(AND(27500&lt;Q1230,Q1230&lt;30001),AND(57000&lt;Q1230,Q1230&lt;60001),AND(75000&lt;Q1230,Q1230&lt;77500)),$H1230,VLOOKUP(Q1230,BDins,6,FALSE)))))</f>
        <v>15.36</v>
      </c>
      <c r="R1232">
        <f>IF(R1234&gt;10000,HLOOKUP(R1234,$O1230:Q1233,4,FALSE),IF(OR(AND(22500&lt;R1230,R1230&lt;25001),AND(50000&lt;R1230,R1230&lt;53501),AND(70000&lt;R1230,R1230&lt;72501)),$F1230,IF(OR(AND(25001&lt;R1230,R1230&lt;27501),AND(53500&lt;R1230,R1230&lt;57001),AND(72500&lt;R1230,R1230&lt;75001)),$G1230,IF(OR(AND(27500&lt;R1230,R1230&lt;30001),AND(57000&lt;R1230,R1230&lt;60001),AND(75000&lt;R1230,R1230&lt;77500)),$H1230,VLOOKUP(R1230,BDins,6,FALSE)))))</f>
        <v>116</v>
      </c>
      <c r="S1232">
        <f>IF(S1234&gt;10000,HLOOKUP(S1234,$O1230:R1233,4,FALSE),IF(OR(AND(22500&lt;S1230,S1230&lt;25001),AND(50000&lt;S1230,S1230&lt;53501),AND(70000&lt;S1230,S1230&lt;72501)),$F1230,IF(OR(AND(25001&lt;S1230,S1230&lt;27501),AND(53500&lt;S1230,S1230&lt;57001),AND(72500&lt;S1230,S1230&lt;75001)),$G1230,IF(OR(AND(27500&lt;S1230,S1230&lt;30001),AND(57000&lt;S1230,S1230&lt;60001),AND(75000&lt;S1230,S1230&lt;77500)),$H1230,VLOOKUP(S1230,BDins,6,FALSE)))))</f>
        <v>1.5</v>
      </c>
      <c r="T1232">
        <f>IF(T1234&gt;10000,HLOOKUP(T1234,$O1230:S1233,4,FALSE),IF(OR(AND(22500&lt;T1230,T1230&lt;25001),AND(50000&lt;T1230,T1230&lt;53501),AND(70000&lt;T1230,T1230&lt;72501)),$F1230,IF(OR(AND(25001&lt;T1230,T1230&lt;27501),AND(53500&lt;T1230,T1230&lt;57001),AND(72500&lt;T1230,T1230&lt;75001)),$G1230,IF(OR(AND(27500&lt;T1230,T1230&lt;30001),AND(57000&lt;T1230,T1230&lt;60001),AND(75000&lt;T1230,T1230&lt;77500)),$H1230,VLOOKUP(T1230,BDins,6,FALSE)))))</f>
        <v>5.9</v>
      </c>
      <c r="U1232">
        <f>IF(U1234&gt;10000,HLOOKUP(U1234,$O1230:T1233,4,FALSE),IF(OR(AND(22500&lt;U1230,U1230&lt;25001),AND(50000&lt;U1230,U1230&lt;53501),AND(70000&lt;U1230,U1230&lt;72501)),$F1230,IF(OR(AND(25001&lt;U1230,U1230&lt;27501),AND(53500&lt;U1230,U1230&lt;57001),AND(72500&lt;U1230,U1230&lt;75001)),$G1230,IF(OR(AND(27500&lt;U1230,U1230&lt;30001),AND(57000&lt;U1230,U1230&lt;60001),AND(75000&lt;U1230,U1230&lt;77500)),$H1230,VLOOKUP(U1230,BDins,6,FALSE)))))</f>
        <v>1</v>
      </c>
      <c r="V1232">
        <f>IF(V1234&gt;10000,HLOOKUP(V1234,$O1230:U1233,4,FALSE),IF(OR(AND(22500&lt;V1230,V1230&lt;25001),AND(50000&lt;V1230,V1230&lt;53501),AND(70000&lt;V1230,V1230&lt;72501)),$F1230,IF(OR(AND(25001&lt;V1230,V1230&lt;27501),AND(53500&lt;V1230,V1230&lt;57001),AND(72500&lt;V1230,V1230&lt;75001)),$G1230,IF(OR(AND(27500&lt;V1230,V1230&lt;30001),AND(57000&lt;V1230,V1230&lt;60001),AND(75000&lt;V1230,V1230&lt;77500)),$H1230,VLOOKUP(V1230,BDins,6,FALSE)))))</f>
        <v>1.2</v>
      </c>
      <c r="W1232">
        <f>IF(W1234&gt;10000,HLOOKUP(W1234,$O1230:V1233,4,FALSE),IF(OR(AND(22500&lt;W1230,W1230&lt;25001),AND(50000&lt;W1230,W1230&lt;53501),AND(70000&lt;W1230,W1230&lt;72501)),$F1230,IF(OR(AND(25001&lt;W1230,W1230&lt;27501),AND(53500&lt;W1230,W1230&lt;57001),AND(72500&lt;W1230,W1230&lt;75001)),$G1230,IF(OR(AND(27500&lt;W1230,W1230&lt;30001),AND(57000&lt;W1230,W1230&lt;60001),AND(75000&lt;W1230,W1230&lt;77500)),$H1230,VLOOKUP(W1230,BDins,6,FALSE)))))</f>
        <v>2.58</v>
      </c>
    </row>
    <row r="1233" spans="1:23" x14ac:dyDescent="0.2">
      <c r="O1233">
        <f t="shared" ref="O1233:W1233" si="178">IF($K1230&gt;0,ROUND(O1231*$E1230/100,DpCU),IF(O1234&gt;10000,ROUND(HLOOKUP(O1234,$O1230:$W1233,4,FALSE)/100*O1231,DpCU),IF(OR(O1230&lt;20001,O1230&gt;95000,AND(60000&lt;O1230,O1230&lt;70001)),ROUND(ROUND(O1231*JL/$C1230,DcCU)*O1232,DpCU),IF(OR(AND(20000&lt;O1230,O1230&lt;22501),AND(30000&lt;O1230,O1230&lt;50001),77500&lt;O1230),ROUND(O1232*O1231,DpCU),IF(OR(AND(22500&lt;O1230,O1230&lt;25001),AND(50000&lt;O1230,O1230&lt;53501),AND(70000&lt;O1230,O1230&lt;72501)),ROUND($F1230/100*O1231,DpCU),IF(OR(AND(25000&lt;O1230,O1230&lt;27501),AND(53500&lt;O1230,O1230&lt;57001),AND(72500&lt;O1230,O1230&lt;75001)),ROUND($G1230/100*O1231,DpCU),ROUND($H1230/100*O1231,DpCU)))))))</f>
        <v>0.17</v>
      </c>
      <c r="P1233">
        <f t="shared" si="178"/>
        <v>1.39</v>
      </c>
      <c r="Q1233">
        <f t="shared" si="178"/>
        <v>1.02</v>
      </c>
      <c r="R1233">
        <f t="shared" si="178"/>
        <v>0.12</v>
      </c>
      <c r="S1233">
        <f t="shared" si="178"/>
        <v>0.15</v>
      </c>
      <c r="T1233">
        <f t="shared" si="178"/>
        <v>2.0699999999999998</v>
      </c>
      <c r="U1233">
        <f t="shared" si="178"/>
        <v>0.35</v>
      </c>
      <c r="V1233">
        <f t="shared" si="178"/>
        <v>0.02</v>
      </c>
      <c r="W1233">
        <f t="shared" si="178"/>
        <v>0.13</v>
      </c>
    </row>
    <row r="1234" spans="1:23" x14ac:dyDescent="0.2">
      <c r="B1234" s="3" t="str">
        <f>A1230&amp;"r"</f>
        <v>10246r</v>
      </c>
    </row>
    <row r="1235" spans="1:23" x14ac:dyDescent="0.2">
      <c r="A1235">
        <v>10247</v>
      </c>
      <c r="B1235" s="3" t="s">
        <v>1234</v>
      </c>
      <c r="C1235" s="1">
        <f>ROUND(J1235*JL*Frto/8,4)</f>
        <v>60</v>
      </c>
      <c r="D1235" t="s">
        <v>194</v>
      </c>
      <c r="E1235">
        <f>SUM($O1238:$W1238)</f>
        <v>6.5</v>
      </c>
      <c r="F1235">
        <f>SUMIF($O1235:$W1235,"&lt;22501",$O1238:$W1238)</f>
        <v>5.15</v>
      </c>
      <c r="G1235">
        <f>SUMIFS($O1238:$W1238,$O1235:$W1235,"&gt;30000",$O1235:$W1235,"&lt;50001")</f>
        <v>1.0900000000000001</v>
      </c>
      <c r="H1235">
        <f>SUMIFS($O1238:$W1238,$O1235:$W1235,"&gt;60000",$O1235:$W1235,"&lt;70001")</f>
        <v>0</v>
      </c>
      <c r="I1235">
        <v>9</v>
      </c>
      <c r="J1235">
        <v>60</v>
      </c>
      <c r="O1235">
        <v>10001</v>
      </c>
      <c r="P1235">
        <v>10002</v>
      </c>
      <c r="Q1235">
        <v>10003</v>
      </c>
      <c r="R1235">
        <v>30216</v>
      </c>
      <c r="S1235">
        <v>30318</v>
      </c>
      <c r="T1235">
        <v>30319</v>
      </c>
      <c r="U1235">
        <v>30320</v>
      </c>
      <c r="V1235">
        <v>30321</v>
      </c>
      <c r="W1235">
        <v>70001</v>
      </c>
    </row>
    <row r="1236" spans="1:23" x14ac:dyDescent="0.2">
      <c r="B1236" s="3" t="str">
        <f>A1235&amp;"C"</f>
        <v>10247C</v>
      </c>
      <c r="O1236">
        <v>0.1</v>
      </c>
      <c r="P1236">
        <v>1</v>
      </c>
      <c r="Q1236">
        <v>1</v>
      </c>
      <c r="R1236">
        <v>1E-3</v>
      </c>
      <c r="S1236">
        <v>0.35</v>
      </c>
      <c r="T1236">
        <v>0.1</v>
      </c>
      <c r="U1236">
        <v>0.35</v>
      </c>
      <c r="V1236">
        <v>0.02</v>
      </c>
      <c r="W1236">
        <v>5</v>
      </c>
    </row>
    <row r="1237" spans="1:23" x14ac:dyDescent="0.2">
      <c r="O1237">
        <f>IF(O1239&gt;10000,HLOOKUP(O1239,N1235:$O1238,4,FALSE),IF(OR(AND(22500&lt;O1235,O1235&lt;25001),AND(50000&lt;O1235,O1235&lt;53501),AND(70000&lt;O1235,O1235&lt;72501)),$F1235,IF(OR(AND(25001&lt;O1235,O1235&lt;27501),AND(53500&lt;O1235,O1235&lt;57001),AND(72500&lt;O1235,O1235&lt;75001)),$G1235,IF(OR(AND(27500&lt;O1235,O1235&lt;30001),AND(57000&lt;O1235,O1235&lt;60001),AND(75000&lt;O1235,O1235&lt;77500)),$H1235,VLOOKUP(O1235,BDins,6,FALSE)))))</f>
        <v>24.97</v>
      </c>
      <c r="P1237">
        <f>IF(P1239&gt;10000,HLOOKUP(P1239,O1235:$O1238,4,FALSE),IF(OR(AND(22500&lt;P1235,P1235&lt;25001),AND(50000&lt;P1235,P1235&lt;53501),AND(70000&lt;P1235,P1235&lt;72501)),$F1235,IF(OR(AND(25001&lt;P1235,P1235&lt;27501),AND(53500&lt;P1235,P1235&lt;57001),AND(72500&lt;P1235,P1235&lt;75001)),$G1235,IF(OR(AND(27500&lt;P1235,P1235&lt;30001),AND(57000&lt;P1235,P1235&lt;60001),AND(75000&lt;P1235,P1235&lt;77500)),$H1235,VLOOKUP(P1235,BDins,6,FALSE)))))</f>
        <v>20.81</v>
      </c>
      <c r="Q1237">
        <f>IF(Q1239&gt;10000,HLOOKUP(Q1239,$O1235:P1238,4,FALSE),IF(OR(AND(22500&lt;Q1235,Q1235&lt;25001),AND(50000&lt;Q1235,Q1235&lt;53501),AND(70000&lt;Q1235,Q1235&lt;72501)),$F1235,IF(OR(AND(25001&lt;Q1235,Q1235&lt;27501),AND(53500&lt;Q1235,Q1235&lt;57001),AND(72500&lt;Q1235,Q1235&lt;75001)),$G1235,IF(OR(AND(27500&lt;Q1235,Q1235&lt;30001),AND(57000&lt;Q1235,Q1235&lt;60001),AND(75000&lt;Q1235,Q1235&lt;77500)),$H1235,VLOOKUP(Q1235,BDins,6,FALSE)))))</f>
        <v>15.36</v>
      </c>
      <c r="R1237">
        <f>IF(R1239&gt;10000,HLOOKUP(R1239,$O1235:Q1238,4,FALSE),IF(OR(AND(22500&lt;R1235,R1235&lt;25001),AND(50000&lt;R1235,R1235&lt;53501),AND(70000&lt;R1235,R1235&lt;72501)),$F1235,IF(OR(AND(25001&lt;R1235,R1235&lt;27501),AND(53500&lt;R1235,R1235&lt;57001),AND(72500&lt;R1235,R1235&lt;75001)),$G1235,IF(OR(AND(27500&lt;R1235,R1235&lt;30001),AND(57000&lt;R1235,R1235&lt;60001),AND(75000&lt;R1235,R1235&lt;77500)),$H1235,VLOOKUP(R1235,BDins,6,FALSE)))))</f>
        <v>116</v>
      </c>
      <c r="S1237">
        <f>IF(S1239&gt;10000,HLOOKUP(S1239,$O1235:R1238,4,FALSE),IF(OR(AND(22500&lt;S1235,S1235&lt;25001),AND(50000&lt;S1235,S1235&lt;53501),AND(70000&lt;S1235,S1235&lt;72501)),$F1235,IF(OR(AND(25001&lt;S1235,S1235&lt;27501),AND(53500&lt;S1235,S1235&lt;57001),AND(72500&lt;S1235,S1235&lt;75001)),$G1235,IF(OR(AND(27500&lt;S1235,S1235&lt;30001),AND(57000&lt;S1235,S1235&lt;60001),AND(75000&lt;S1235,S1235&lt;77500)),$H1235,VLOOKUP(S1235,BDins,6,FALSE)))))</f>
        <v>2.2000000000000002</v>
      </c>
      <c r="T1237">
        <f>IF(T1239&gt;10000,HLOOKUP(T1239,$O1235:S1238,4,FALSE),IF(OR(AND(22500&lt;T1235,T1235&lt;25001),AND(50000&lt;T1235,T1235&lt;53501),AND(70000&lt;T1235,T1235&lt;72501)),$F1235,IF(OR(AND(25001&lt;T1235,T1235&lt;27501),AND(53500&lt;T1235,T1235&lt;57001),AND(72500&lt;T1235,T1235&lt;75001)),$G1235,IF(OR(AND(27500&lt;T1235,T1235&lt;30001),AND(57000&lt;T1235,T1235&lt;60001),AND(75000&lt;T1235,T1235&lt;77500)),$H1235,VLOOKUP(T1235,BDins,6,FALSE)))))</f>
        <v>0.5</v>
      </c>
      <c r="U1237">
        <f>IF(U1239&gt;10000,HLOOKUP(U1239,$O1235:T1238,4,FALSE),IF(OR(AND(22500&lt;U1235,U1235&lt;25001),AND(50000&lt;U1235,U1235&lt;53501),AND(70000&lt;U1235,U1235&lt;72501)),$F1235,IF(OR(AND(25001&lt;U1235,U1235&lt;27501),AND(53500&lt;U1235,U1235&lt;57001),AND(72500&lt;U1235,U1235&lt;75001)),$G1235,IF(OR(AND(27500&lt;U1235,U1235&lt;30001),AND(57000&lt;U1235,U1235&lt;60001),AND(75000&lt;U1235,U1235&lt;77500)),$H1235,VLOOKUP(U1235,BDins,6,FALSE)))))</f>
        <v>0.4</v>
      </c>
      <c r="V1237">
        <f>IF(V1239&gt;10000,HLOOKUP(V1239,$O1235:U1238,4,FALSE),IF(OR(AND(22500&lt;V1235,V1235&lt;25001),AND(50000&lt;V1235,V1235&lt;53501),AND(70000&lt;V1235,V1235&lt;72501)),$F1235,IF(OR(AND(25001&lt;V1235,V1235&lt;27501),AND(53500&lt;V1235,V1235&lt;57001),AND(72500&lt;V1235,V1235&lt;75001)),$G1235,IF(OR(AND(27500&lt;V1235,V1235&lt;30001),AND(57000&lt;V1235,V1235&lt;60001),AND(75000&lt;V1235,V1235&lt;77500)),$H1235,VLOOKUP(V1235,BDins,6,FALSE)))))</f>
        <v>0.4</v>
      </c>
      <c r="W1237">
        <f>IF(W1239&gt;10000,HLOOKUP(W1239,$O1235:V1238,4,FALSE),IF(OR(AND(22500&lt;W1235,W1235&lt;25001),AND(50000&lt;W1235,W1235&lt;53501),AND(70000&lt;W1235,W1235&lt;72501)),$F1235,IF(OR(AND(25001&lt;W1235,W1235&lt;27501),AND(53500&lt;W1235,W1235&lt;57001),AND(72500&lt;W1235,W1235&lt;75001)),$G1235,IF(OR(AND(27500&lt;W1235,W1235&lt;30001),AND(57000&lt;W1235,W1235&lt;60001),AND(75000&lt;W1235,W1235&lt;77500)),$H1235,VLOOKUP(W1235,BDins,6,FALSE)))))</f>
        <v>5.15</v>
      </c>
    </row>
    <row r="1238" spans="1:23" x14ac:dyDescent="0.2">
      <c r="O1238">
        <f t="shared" ref="O1238:W1238" si="179">IF($K1235&gt;0,ROUND(O1236*$E1235/100,DpCU),IF(O1239&gt;10000,ROUND(HLOOKUP(O1239,$O1235:$W1238,4,FALSE)/100*O1236,DpCU),IF(OR(O1235&lt;20001,O1235&gt;95000,AND(60000&lt;O1235,O1235&lt;70001)),ROUND(ROUND(O1236*JL/$C1235,DcCU)*O1237,DpCU),IF(OR(AND(20000&lt;O1235,O1235&lt;22501),AND(30000&lt;O1235,O1235&lt;50001),77500&lt;O1235),ROUND(O1237*O1236,DpCU),IF(OR(AND(22500&lt;O1235,O1235&lt;25001),AND(50000&lt;O1235,O1235&lt;53501),AND(70000&lt;O1235,O1235&lt;72501)),ROUND($F1235/100*O1236,DpCU),IF(OR(AND(25000&lt;O1235,O1235&lt;27501),AND(53500&lt;O1235,O1235&lt;57001),AND(72500&lt;O1235,O1235&lt;75001)),ROUND($G1235/100*O1236,DpCU),ROUND($H1235/100*O1236,DpCU)))))))</f>
        <v>0.33</v>
      </c>
      <c r="P1238">
        <f t="shared" si="179"/>
        <v>2.77</v>
      </c>
      <c r="Q1238">
        <f t="shared" si="179"/>
        <v>2.0499999999999998</v>
      </c>
      <c r="R1238">
        <f t="shared" si="179"/>
        <v>0.12</v>
      </c>
      <c r="S1238">
        <f t="shared" si="179"/>
        <v>0.77</v>
      </c>
      <c r="T1238">
        <f t="shared" si="179"/>
        <v>0.05</v>
      </c>
      <c r="U1238">
        <f t="shared" si="179"/>
        <v>0.14000000000000001</v>
      </c>
      <c r="V1238">
        <f t="shared" si="179"/>
        <v>0.01</v>
      </c>
      <c r="W1238">
        <f t="shared" si="179"/>
        <v>0.26</v>
      </c>
    </row>
    <row r="1239" spans="1:23" x14ac:dyDescent="0.2">
      <c r="B1239" s="3" t="str">
        <f>A1235&amp;"r"</f>
        <v>10247r</v>
      </c>
    </row>
    <row r="1240" spans="1:23" x14ac:dyDescent="0.2">
      <c r="A1240">
        <v>10248</v>
      </c>
      <c r="B1240" s="3" t="s">
        <v>1242</v>
      </c>
      <c r="C1240" s="1">
        <f>ROUND(J1240*JL*Frto/8,4)</f>
        <v>20</v>
      </c>
      <c r="D1240" t="s">
        <v>7</v>
      </c>
      <c r="E1240">
        <f>SUM($O1243:$S1243)</f>
        <v>25.98</v>
      </c>
      <c r="F1240">
        <f>SUMIF($O1240:$S1240,"&lt;22501",$O1243:$S1243)</f>
        <v>16.16</v>
      </c>
      <c r="G1240">
        <f>SUMIFS($O1243:$S1243,$O1240:$S1240,"&gt;30000",$O1240:$S1240,"&lt;50001")</f>
        <v>9.5</v>
      </c>
      <c r="H1240">
        <f>SUMIFS($O1243:$S1243,$O1240:$S1240,"&gt;60000",$O1240:$S1240,"&lt;70001")</f>
        <v>0</v>
      </c>
      <c r="I1240">
        <v>5</v>
      </c>
      <c r="J1240">
        <v>20</v>
      </c>
      <c r="O1240">
        <v>10001</v>
      </c>
      <c r="P1240">
        <v>10002</v>
      </c>
      <c r="Q1240">
        <v>10008</v>
      </c>
      <c r="R1240">
        <v>30322</v>
      </c>
      <c r="S1240">
        <v>70001</v>
      </c>
    </row>
    <row r="1241" spans="1:23" x14ac:dyDescent="0.2">
      <c r="B1241" s="3" t="str">
        <f>A1240&amp;"C"</f>
        <v>10248C</v>
      </c>
      <c r="O1241">
        <v>0.1</v>
      </c>
      <c r="P1241">
        <v>1</v>
      </c>
      <c r="Q1241">
        <v>1</v>
      </c>
      <c r="R1241">
        <v>1</v>
      </c>
      <c r="S1241">
        <v>2</v>
      </c>
    </row>
    <row r="1242" spans="1:23" x14ac:dyDescent="0.2">
      <c r="O1242">
        <f>IF(O1244&gt;10000,HLOOKUP(O1244,N1240:$O1243,4,FALSE),IF(OR(AND(22500&lt;O1240,O1240&lt;25001),AND(50000&lt;O1240,O1240&lt;53501),AND(70000&lt;O1240,O1240&lt;72501)),$F1240,IF(OR(AND(25001&lt;O1240,O1240&lt;27501),AND(53500&lt;O1240,O1240&lt;57001),AND(72500&lt;O1240,O1240&lt;75001)),$G1240,IF(OR(AND(27500&lt;O1240,O1240&lt;30001),AND(57000&lt;O1240,O1240&lt;60001),AND(75000&lt;O1240,O1240&lt;77500)),$H1240,VLOOKUP(O1240,BDins,6,FALSE)))))</f>
        <v>24.97</v>
      </c>
      <c r="P1242">
        <f>IF(P1244&gt;10000,HLOOKUP(P1244,O1240:$O1243,4,FALSE),IF(OR(AND(22500&lt;P1240,P1240&lt;25001),AND(50000&lt;P1240,P1240&lt;53501),AND(70000&lt;P1240,P1240&lt;72501)),$F1240,IF(OR(AND(25001&lt;P1240,P1240&lt;27501),AND(53500&lt;P1240,P1240&lt;57001),AND(72500&lt;P1240,P1240&lt;75001)),$G1240,IF(OR(AND(27500&lt;P1240,P1240&lt;30001),AND(57000&lt;P1240,P1240&lt;60001),AND(75000&lt;P1240,P1240&lt;77500)),$H1240,VLOOKUP(P1240,BDins,6,FALSE)))))</f>
        <v>20.81</v>
      </c>
      <c r="Q1242">
        <f>IF(Q1244&gt;10000,HLOOKUP(Q1244,$O1240:P1243,4,FALSE),IF(OR(AND(22500&lt;Q1240,Q1240&lt;25001),AND(50000&lt;Q1240,Q1240&lt;53501),AND(70000&lt;Q1240,Q1240&lt;72501)),$F1240,IF(OR(AND(25001&lt;Q1240,Q1240&lt;27501),AND(53500&lt;Q1240,Q1240&lt;57001),AND(72500&lt;Q1240,Q1240&lt;75001)),$G1240,IF(OR(AND(27500&lt;Q1240,Q1240&lt;30001),AND(57000&lt;Q1240,Q1240&lt;60001),AND(75000&lt;Q1240,Q1240&lt;77500)),$H1240,VLOOKUP(Q1240,BDins,6,FALSE)))))</f>
        <v>17.09</v>
      </c>
      <c r="R1242">
        <f>IF(R1244&gt;10000,HLOOKUP(R1244,$O1240:Q1243,4,FALSE),IF(OR(AND(22500&lt;R1240,R1240&lt;25001),AND(50000&lt;R1240,R1240&lt;53501),AND(70000&lt;R1240,R1240&lt;72501)),$F1240,IF(OR(AND(25001&lt;R1240,R1240&lt;27501),AND(53500&lt;R1240,R1240&lt;57001),AND(72500&lt;R1240,R1240&lt;75001)),$G1240,IF(OR(AND(27500&lt;R1240,R1240&lt;30001),AND(57000&lt;R1240,R1240&lt;60001),AND(75000&lt;R1240,R1240&lt;77500)),$H1240,VLOOKUP(R1240,BDins,6,FALSE)))))</f>
        <v>9.5</v>
      </c>
      <c r="S1242">
        <f>IF(S1244&gt;10000,HLOOKUP(S1244,$O1240:R1243,4,FALSE),IF(OR(AND(22500&lt;S1240,S1240&lt;25001),AND(50000&lt;S1240,S1240&lt;53501),AND(70000&lt;S1240,S1240&lt;72501)),$F1240,IF(OR(AND(25001&lt;S1240,S1240&lt;27501),AND(53500&lt;S1240,S1240&lt;57001),AND(72500&lt;S1240,S1240&lt;75001)),$G1240,IF(OR(AND(27500&lt;S1240,S1240&lt;30001),AND(57000&lt;S1240,S1240&lt;60001),AND(75000&lt;S1240,S1240&lt;77500)),$H1240,VLOOKUP(S1240,BDins,6,FALSE)))))</f>
        <v>16.16</v>
      </c>
    </row>
    <row r="1243" spans="1:23" x14ac:dyDescent="0.2">
      <c r="O1243">
        <f>IF($K1240&gt;0,ROUND(O1241*$E1240/100,DpCU),IF(O1244&gt;10000,ROUND(HLOOKUP(O1244,$O1240:$S1243,4,FALSE)/100*O1241,DpCU),IF(OR(O1240&lt;20001,O1240&gt;95000,AND(60000&lt;O1240,O1240&lt;70001)),ROUND(ROUND(O1241*JL/$C1240,DcCU)*O1242,DpCU),IF(OR(AND(20000&lt;O1240,O1240&lt;22501),AND(30000&lt;O1240,O1240&lt;50001),77500&lt;O1240),ROUND(O1242*O1241,DpCU),IF(OR(AND(22500&lt;O1240,O1240&lt;25001),AND(50000&lt;O1240,O1240&lt;53501),AND(70000&lt;O1240,O1240&lt;72501)),ROUND($F1240/100*O1241,DpCU),IF(OR(AND(25000&lt;O1240,O1240&lt;27501),AND(53500&lt;O1240,O1240&lt;57001),AND(72500&lt;O1240,O1240&lt;75001)),ROUND($G1240/100*O1241,DpCU),ROUND($H1240/100*O1241,DpCU)))))))</f>
        <v>1</v>
      </c>
      <c r="P1243">
        <f>IF($K1240&gt;0,ROUND(P1241*$E1240/100,DpCU),IF(P1244&gt;10000,ROUND(HLOOKUP(P1244,$O1240:$S1243,4,FALSE)/100*P1241,DpCU),IF(OR(P1240&lt;20001,P1240&gt;95000,AND(60000&lt;P1240,P1240&lt;70001)),ROUND(ROUND(P1241*JL/$C1240,DcCU)*P1242,DpCU),IF(OR(AND(20000&lt;P1240,P1240&lt;22501),AND(30000&lt;P1240,P1240&lt;50001),77500&lt;P1240),ROUND(P1242*P1241,DpCU),IF(OR(AND(22500&lt;P1240,P1240&lt;25001),AND(50000&lt;P1240,P1240&lt;53501),AND(70000&lt;P1240,P1240&lt;72501)),ROUND($F1240/100*P1241,DpCU),IF(OR(AND(25000&lt;P1240,P1240&lt;27501),AND(53500&lt;P1240,P1240&lt;57001),AND(72500&lt;P1240,P1240&lt;75001)),ROUND($G1240/100*P1241,DpCU),ROUND($H1240/100*P1241,DpCU)))))))</f>
        <v>8.32</v>
      </c>
      <c r="Q1243">
        <f>IF($K1240&gt;0,ROUND(Q1241*$E1240/100,DpCU),IF(Q1244&gt;10000,ROUND(HLOOKUP(Q1244,$O1240:$S1243,4,FALSE)/100*Q1241,DpCU),IF(OR(Q1240&lt;20001,Q1240&gt;95000,AND(60000&lt;Q1240,Q1240&lt;70001)),ROUND(ROUND(Q1241*JL/$C1240,DcCU)*Q1242,DpCU),IF(OR(AND(20000&lt;Q1240,Q1240&lt;22501),AND(30000&lt;Q1240,Q1240&lt;50001),77500&lt;Q1240),ROUND(Q1242*Q1241,DpCU),IF(OR(AND(22500&lt;Q1240,Q1240&lt;25001),AND(50000&lt;Q1240,Q1240&lt;53501),AND(70000&lt;Q1240,Q1240&lt;72501)),ROUND($F1240/100*Q1241,DpCU),IF(OR(AND(25000&lt;Q1240,Q1240&lt;27501),AND(53500&lt;Q1240,Q1240&lt;57001),AND(72500&lt;Q1240,Q1240&lt;75001)),ROUND($G1240/100*Q1241,DpCU),ROUND($H1240/100*Q1241,DpCU)))))))</f>
        <v>6.84</v>
      </c>
      <c r="R1243">
        <f>IF($K1240&gt;0,ROUND(R1241*$E1240/100,DpCU),IF(R1244&gt;10000,ROUND(HLOOKUP(R1244,$O1240:$S1243,4,FALSE)/100*R1241,DpCU),IF(OR(R1240&lt;20001,R1240&gt;95000,AND(60000&lt;R1240,R1240&lt;70001)),ROUND(ROUND(R1241*JL/$C1240,DcCU)*R1242,DpCU),IF(OR(AND(20000&lt;R1240,R1240&lt;22501),AND(30000&lt;R1240,R1240&lt;50001),77500&lt;R1240),ROUND(R1242*R1241,DpCU),IF(OR(AND(22500&lt;R1240,R1240&lt;25001),AND(50000&lt;R1240,R1240&lt;53501),AND(70000&lt;R1240,R1240&lt;72501)),ROUND($F1240/100*R1241,DpCU),IF(OR(AND(25000&lt;R1240,R1240&lt;27501),AND(53500&lt;R1240,R1240&lt;57001),AND(72500&lt;R1240,R1240&lt;75001)),ROUND($G1240/100*R1241,DpCU),ROUND($H1240/100*R1241,DpCU)))))))</f>
        <v>9.5</v>
      </c>
      <c r="S1243">
        <f>IF($K1240&gt;0,ROUND(S1241*$E1240/100,DpCU),IF(S1244&gt;10000,ROUND(HLOOKUP(S1244,$O1240:$S1243,4,FALSE)/100*S1241,DpCU),IF(OR(S1240&lt;20001,S1240&gt;95000,AND(60000&lt;S1240,S1240&lt;70001)),ROUND(ROUND(S1241*JL/$C1240,DcCU)*S1242,DpCU),IF(OR(AND(20000&lt;S1240,S1240&lt;22501),AND(30000&lt;S1240,S1240&lt;50001),77500&lt;S1240),ROUND(S1242*S1241,DpCU),IF(OR(AND(22500&lt;S1240,S1240&lt;25001),AND(50000&lt;S1240,S1240&lt;53501),AND(70000&lt;S1240,S1240&lt;72501)),ROUND($F1240/100*S1241,DpCU),IF(OR(AND(25000&lt;S1240,S1240&lt;27501),AND(53500&lt;S1240,S1240&lt;57001),AND(72500&lt;S1240,S1240&lt;75001)),ROUND($G1240/100*S1241,DpCU),ROUND($H1240/100*S1241,DpCU)))))))</f>
        <v>0.32</v>
      </c>
    </row>
    <row r="1244" spans="1:23" x14ac:dyDescent="0.2">
      <c r="B1244" s="3" t="str">
        <f>A1240&amp;"r"</f>
        <v>10248r</v>
      </c>
    </row>
    <row r="1245" spans="1:23" x14ac:dyDescent="0.2">
      <c r="A1245">
        <v>10249</v>
      </c>
      <c r="B1245" s="3" t="s">
        <v>1245</v>
      </c>
      <c r="C1245" s="1">
        <f>ROUND(J1245*JL*Frto/8,4)</f>
        <v>20</v>
      </c>
      <c r="D1245" t="s">
        <v>7</v>
      </c>
      <c r="E1245">
        <f>SUM($O1248:$S1248)</f>
        <v>28.77</v>
      </c>
      <c r="F1245">
        <f>SUMIF($O1245:$S1245,"&lt;22501",$O1248:$S1248)</f>
        <v>16.16</v>
      </c>
      <c r="G1245">
        <f>SUMIFS($O1248:$S1248,$O1245:$S1245,"&gt;30000",$O1245:$S1245,"&lt;50001")</f>
        <v>11.8</v>
      </c>
      <c r="H1245">
        <f>SUMIFS($O1248:$S1248,$O1245:$S1245,"&gt;60000",$O1245:$S1245,"&lt;70001")</f>
        <v>0</v>
      </c>
      <c r="I1245">
        <v>5</v>
      </c>
      <c r="J1245">
        <v>20</v>
      </c>
      <c r="O1245">
        <v>10001</v>
      </c>
      <c r="P1245">
        <v>10002</v>
      </c>
      <c r="Q1245">
        <v>10008</v>
      </c>
      <c r="R1245">
        <v>30323</v>
      </c>
      <c r="S1245">
        <v>70001</v>
      </c>
    </row>
    <row r="1246" spans="1:23" x14ac:dyDescent="0.2">
      <c r="B1246" s="3" t="str">
        <f>A1245&amp;"C"</f>
        <v>10249C</v>
      </c>
      <c r="O1246">
        <v>0.1</v>
      </c>
      <c r="P1246">
        <v>1</v>
      </c>
      <c r="Q1246">
        <v>1</v>
      </c>
      <c r="R1246">
        <v>1</v>
      </c>
      <c r="S1246">
        <v>5</v>
      </c>
    </row>
    <row r="1247" spans="1:23" x14ac:dyDescent="0.2">
      <c r="O1247">
        <f>IF(O1249&gt;10000,HLOOKUP(O1249,N1245:$O1248,4,FALSE),IF(OR(AND(22500&lt;O1245,O1245&lt;25001),AND(50000&lt;O1245,O1245&lt;53501),AND(70000&lt;O1245,O1245&lt;72501)),$F1245,IF(OR(AND(25001&lt;O1245,O1245&lt;27501),AND(53500&lt;O1245,O1245&lt;57001),AND(72500&lt;O1245,O1245&lt;75001)),$G1245,IF(OR(AND(27500&lt;O1245,O1245&lt;30001),AND(57000&lt;O1245,O1245&lt;60001),AND(75000&lt;O1245,O1245&lt;77500)),$H1245,VLOOKUP(O1245,BDins,6,FALSE)))))</f>
        <v>24.97</v>
      </c>
      <c r="P1247">
        <f>IF(P1249&gt;10000,HLOOKUP(P1249,O1245:$O1248,4,FALSE),IF(OR(AND(22500&lt;P1245,P1245&lt;25001),AND(50000&lt;P1245,P1245&lt;53501),AND(70000&lt;P1245,P1245&lt;72501)),$F1245,IF(OR(AND(25001&lt;P1245,P1245&lt;27501),AND(53500&lt;P1245,P1245&lt;57001),AND(72500&lt;P1245,P1245&lt;75001)),$G1245,IF(OR(AND(27500&lt;P1245,P1245&lt;30001),AND(57000&lt;P1245,P1245&lt;60001),AND(75000&lt;P1245,P1245&lt;77500)),$H1245,VLOOKUP(P1245,BDins,6,FALSE)))))</f>
        <v>20.81</v>
      </c>
      <c r="Q1247">
        <f>IF(Q1249&gt;10000,HLOOKUP(Q1249,$O1245:P1248,4,FALSE),IF(OR(AND(22500&lt;Q1245,Q1245&lt;25001),AND(50000&lt;Q1245,Q1245&lt;53501),AND(70000&lt;Q1245,Q1245&lt;72501)),$F1245,IF(OR(AND(25001&lt;Q1245,Q1245&lt;27501),AND(53500&lt;Q1245,Q1245&lt;57001),AND(72500&lt;Q1245,Q1245&lt;75001)),$G1245,IF(OR(AND(27500&lt;Q1245,Q1245&lt;30001),AND(57000&lt;Q1245,Q1245&lt;60001),AND(75000&lt;Q1245,Q1245&lt;77500)),$H1245,VLOOKUP(Q1245,BDins,6,FALSE)))))</f>
        <v>17.09</v>
      </c>
      <c r="R1247">
        <f>IF(R1249&gt;10000,HLOOKUP(R1249,$O1245:Q1248,4,FALSE),IF(OR(AND(22500&lt;R1245,R1245&lt;25001),AND(50000&lt;R1245,R1245&lt;53501),AND(70000&lt;R1245,R1245&lt;72501)),$F1245,IF(OR(AND(25001&lt;R1245,R1245&lt;27501),AND(53500&lt;R1245,R1245&lt;57001),AND(72500&lt;R1245,R1245&lt;75001)),$G1245,IF(OR(AND(27500&lt;R1245,R1245&lt;30001),AND(57000&lt;R1245,R1245&lt;60001),AND(75000&lt;R1245,R1245&lt;77500)),$H1245,VLOOKUP(R1245,BDins,6,FALSE)))))</f>
        <v>11.8</v>
      </c>
      <c r="S1247">
        <f>IF(S1249&gt;10000,HLOOKUP(S1249,$O1245:R1248,4,FALSE),IF(OR(AND(22500&lt;S1245,S1245&lt;25001),AND(50000&lt;S1245,S1245&lt;53501),AND(70000&lt;S1245,S1245&lt;72501)),$F1245,IF(OR(AND(25001&lt;S1245,S1245&lt;27501),AND(53500&lt;S1245,S1245&lt;57001),AND(72500&lt;S1245,S1245&lt;75001)),$G1245,IF(OR(AND(27500&lt;S1245,S1245&lt;30001),AND(57000&lt;S1245,S1245&lt;60001),AND(75000&lt;S1245,S1245&lt;77500)),$H1245,VLOOKUP(S1245,BDins,6,FALSE)))))</f>
        <v>16.16</v>
      </c>
    </row>
    <row r="1248" spans="1:23" x14ac:dyDescent="0.2">
      <c r="O1248">
        <f>IF($K1245&gt;0,ROUND(O1246*$E1245/100,DpCU),IF(O1249&gt;10000,ROUND(HLOOKUP(O1249,$O1245:$S1248,4,FALSE)/100*O1246,DpCU),IF(OR(O1245&lt;20001,O1245&gt;95000,AND(60000&lt;O1245,O1245&lt;70001)),ROUND(ROUND(O1246*JL/$C1245,DcCU)*O1247,DpCU),IF(OR(AND(20000&lt;O1245,O1245&lt;22501),AND(30000&lt;O1245,O1245&lt;50001),77500&lt;O1245),ROUND(O1247*O1246,DpCU),IF(OR(AND(22500&lt;O1245,O1245&lt;25001),AND(50000&lt;O1245,O1245&lt;53501),AND(70000&lt;O1245,O1245&lt;72501)),ROUND($F1245/100*O1246,DpCU),IF(OR(AND(25000&lt;O1245,O1245&lt;27501),AND(53500&lt;O1245,O1245&lt;57001),AND(72500&lt;O1245,O1245&lt;75001)),ROUND($G1245/100*O1246,DpCU),ROUND($H1245/100*O1246,DpCU)))))))</f>
        <v>1</v>
      </c>
      <c r="P1248">
        <f>IF($K1245&gt;0,ROUND(P1246*$E1245/100,DpCU),IF(P1249&gt;10000,ROUND(HLOOKUP(P1249,$O1245:$S1248,4,FALSE)/100*P1246,DpCU),IF(OR(P1245&lt;20001,P1245&gt;95000,AND(60000&lt;P1245,P1245&lt;70001)),ROUND(ROUND(P1246*JL/$C1245,DcCU)*P1247,DpCU),IF(OR(AND(20000&lt;P1245,P1245&lt;22501),AND(30000&lt;P1245,P1245&lt;50001),77500&lt;P1245),ROUND(P1247*P1246,DpCU),IF(OR(AND(22500&lt;P1245,P1245&lt;25001),AND(50000&lt;P1245,P1245&lt;53501),AND(70000&lt;P1245,P1245&lt;72501)),ROUND($F1245/100*P1246,DpCU),IF(OR(AND(25000&lt;P1245,P1245&lt;27501),AND(53500&lt;P1245,P1245&lt;57001),AND(72500&lt;P1245,P1245&lt;75001)),ROUND($G1245/100*P1246,DpCU),ROUND($H1245/100*P1246,DpCU)))))))</f>
        <v>8.32</v>
      </c>
      <c r="Q1248">
        <f>IF($K1245&gt;0,ROUND(Q1246*$E1245/100,DpCU),IF(Q1249&gt;10000,ROUND(HLOOKUP(Q1249,$O1245:$S1248,4,FALSE)/100*Q1246,DpCU),IF(OR(Q1245&lt;20001,Q1245&gt;95000,AND(60000&lt;Q1245,Q1245&lt;70001)),ROUND(ROUND(Q1246*JL/$C1245,DcCU)*Q1247,DpCU),IF(OR(AND(20000&lt;Q1245,Q1245&lt;22501),AND(30000&lt;Q1245,Q1245&lt;50001),77500&lt;Q1245),ROUND(Q1247*Q1246,DpCU),IF(OR(AND(22500&lt;Q1245,Q1245&lt;25001),AND(50000&lt;Q1245,Q1245&lt;53501),AND(70000&lt;Q1245,Q1245&lt;72501)),ROUND($F1245/100*Q1246,DpCU),IF(OR(AND(25000&lt;Q1245,Q1245&lt;27501),AND(53500&lt;Q1245,Q1245&lt;57001),AND(72500&lt;Q1245,Q1245&lt;75001)),ROUND($G1245/100*Q1246,DpCU),ROUND($H1245/100*Q1246,DpCU)))))))</f>
        <v>6.84</v>
      </c>
      <c r="R1248">
        <f>IF($K1245&gt;0,ROUND(R1246*$E1245/100,DpCU),IF(R1249&gt;10000,ROUND(HLOOKUP(R1249,$O1245:$S1248,4,FALSE)/100*R1246,DpCU),IF(OR(R1245&lt;20001,R1245&gt;95000,AND(60000&lt;R1245,R1245&lt;70001)),ROUND(ROUND(R1246*JL/$C1245,DcCU)*R1247,DpCU),IF(OR(AND(20000&lt;R1245,R1245&lt;22501),AND(30000&lt;R1245,R1245&lt;50001),77500&lt;R1245),ROUND(R1247*R1246,DpCU),IF(OR(AND(22500&lt;R1245,R1245&lt;25001),AND(50000&lt;R1245,R1245&lt;53501),AND(70000&lt;R1245,R1245&lt;72501)),ROUND($F1245/100*R1246,DpCU),IF(OR(AND(25000&lt;R1245,R1245&lt;27501),AND(53500&lt;R1245,R1245&lt;57001),AND(72500&lt;R1245,R1245&lt;75001)),ROUND($G1245/100*R1246,DpCU),ROUND($H1245/100*R1246,DpCU)))))))</f>
        <v>11.8</v>
      </c>
      <c r="S1248">
        <f>IF($K1245&gt;0,ROUND(S1246*$E1245/100,DpCU),IF(S1249&gt;10000,ROUND(HLOOKUP(S1249,$O1245:$S1248,4,FALSE)/100*S1246,DpCU),IF(OR(S1245&lt;20001,S1245&gt;95000,AND(60000&lt;S1245,S1245&lt;70001)),ROUND(ROUND(S1246*JL/$C1245,DcCU)*S1247,DpCU),IF(OR(AND(20000&lt;S1245,S1245&lt;22501),AND(30000&lt;S1245,S1245&lt;50001),77500&lt;S1245),ROUND(S1247*S1246,DpCU),IF(OR(AND(22500&lt;S1245,S1245&lt;25001),AND(50000&lt;S1245,S1245&lt;53501),AND(70000&lt;S1245,S1245&lt;72501)),ROUND($F1245/100*S1246,DpCU),IF(OR(AND(25000&lt;S1245,S1245&lt;27501),AND(53500&lt;S1245,S1245&lt;57001),AND(72500&lt;S1245,S1245&lt;75001)),ROUND($G1245/100*S1246,DpCU),ROUND($H1245/100*S1246,DpCU)))))))</f>
        <v>0.81</v>
      </c>
    </row>
    <row r="1249" spans="1:19" x14ac:dyDescent="0.2">
      <c r="B1249" s="3" t="str">
        <f>A1245&amp;"r"</f>
        <v>10249r</v>
      </c>
    </row>
    <row r="1250" spans="1:19" x14ac:dyDescent="0.2">
      <c r="A1250">
        <v>10250</v>
      </c>
      <c r="B1250" s="3" t="s">
        <v>1248</v>
      </c>
      <c r="C1250" s="1">
        <f>ROUND(J1250*JL*Frto/8,4)</f>
        <v>15</v>
      </c>
      <c r="D1250" t="s">
        <v>7</v>
      </c>
      <c r="E1250">
        <f>SUM($O1253:$S1253)</f>
        <v>66.11999999999999</v>
      </c>
      <c r="F1250">
        <f>SUMIF($O1250:$S1250,"&lt;22501",$O1253:$S1253)</f>
        <v>21.54</v>
      </c>
      <c r="G1250">
        <f>SUMIFS($O1253:$S1253,$O1250:$S1250,"&gt;30000",$O1250:$S1250,"&lt;50001")</f>
        <v>43.5</v>
      </c>
      <c r="H1250">
        <f>SUMIFS($O1253:$S1253,$O1250:$S1250,"&gt;60000",$O1250:$S1250,"&lt;70001")</f>
        <v>0</v>
      </c>
      <c r="I1250">
        <v>5</v>
      </c>
      <c r="J1250">
        <v>15</v>
      </c>
      <c r="O1250">
        <v>10001</v>
      </c>
      <c r="P1250">
        <v>10002</v>
      </c>
      <c r="Q1250">
        <v>10008</v>
      </c>
      <c r="R1250">
        <v>30324</v>
      </c>
      <c r="S1250">
        <v>70001</v>
      </c>
    </row>
    <row r="1251" spans="1:19" x14ac:dyDescent="0.2">
      <c r="B1251" s="3" t="str">
        <f>A1250&amp;"C"</f>
        <v>10250C</v>
      </c>
      <c r="O1251">
        <v>0.1</v>
      </c>
      <c r="P1251">
        <v>1</v>
      </c>
      <c r="Q1251">
        <v>1</v>
      </c>
      <c r="R1251">
        <v>1</v>
      </c>
      <c r="S1251">
        <v>5</v>
      </c>
    </row>
    <row r="1252" spans="1:19" x14ac:dyDescent="0.2">
      <c r="O1252">
        <f>IF(O1254&gt;10000,HLOOKUP(O1254,N1250:$O1253,4,FALSE),IF(OR(AND(22500&lt;O1250,O1250&lt;25001),AND(50000&lt;O1250,O1250&lt;53501),AND(70000&lt;O1250,O1250&lt;72501)),$F1250,IF(OR(AND(25001&lt;O1250,O1250&lt;27501),AND(53500&lt;O1250,O1250&lt;57001),AND(72500&lt;O1250,O1250&lt;75001)),$G1250,IF(OR(AND(27500&lt;O1250,O1250&lt;30001),AND(57000&lt;O1250,O1250&lt;60001),AND(75000&lt;O1250,O1250&lt;77500)),$H1250,VLOOKUP(O1250,BDins,6,FALSE)))))</f>
        <v>24.97</v>
      </c>
      <c r="P1252">
        <f>IF(P1254&gt;10000,HLOOKUP(P1254,O1250:$O1253,4,FALSE),IF(OR(AND(22500&lt;P1250,P1250&lt;25001),AND(50000&lt;P1250,P1250&lt;53501),AND(70000&lt;P1250,P1250&lt;72501)),$F1250,IF(OR(AND(25001&lt;P1250,P1250&lt;27501),AND(53500&lt;P1250,P1250&lt;57001),AND(72500&lt;P1250,P1250&lt;75001)),$G1250,IF(OR(AND(27500&lt;P1250,P1250&lt;30001),AND(57000&lt;P1250,P1250&lt;60001),AND(75000&lt;P1250,P1250&lt;77500)),$H1250,VLOOKUP(P1250,BDins,6,FALSE)))))</f>
        <v>20.81</v>
      </c>
      <c r="Q1252">
        <f>IF(Q1254&gt;10000,HLOOKUP(Q1254,$O1250:P1253,4,FALSE),IF(OR(AND(22500&lt;Q1250,Q1250&lt;25001),AND(50000&lt;Q1250,Q1250&lt;53501),AND(70000&lt;Q1250,Q1250&lt;72501)),$F1250,IF(OR(AND(25001&lt;Q1250,Q1250&lt;27501),AND(53500&lt;Q1250,Q1250&lt;57001),AND(72500&lt;Q1250,Q1250&lt;75001)),$G1250,IF(OR(AND(27500&lt;Q1250,Q1250&lt;30001),AND(57000&lt;Q1250,Q1250&lt;60001),AND(75000&lt;Q1250,Q1250&lt;77500)),$H1250,VLOOKUP(Q1250,BDins,6,FALSE)))))</f>
        <v>17.09</v>
      </c>
      <c r="R1252">
        <f>IF(R1254&gt;10000,HLOOKUP(R1254,$O1250:Q1253,4,FALSE),IF(OR(AND(22500&lt;R1250,R1250&lt;25001),AND(50000&lt;R1250,R1250&lt;53501),AND(70000&lt;R1250,R1250&lt;72501)),$F1250,IF(OR(AND(25001&lt;R1250,R1250&lt;27501),AND(53500&lt;R1250,R1250&lt;57001),AND(72500&lt;R1250,R1250&lt;75001)),$G1250,IF(OR(AND(27500&lt;R1250,R1250&lt;30001),AND(57000&lt;R1250,R1250&lt;60001),AND(75000&lt;R1250,R1250&lt;77500)),$H1250,VLOOKUP(R1250,BDins,6,FALSE)))))</f>
        <v>43.5</v>
      </c>
      <c r="S1252">
        <f>IF(S1254&gt;10000,HLOOKUP(S1254,$O1250:R1253,4,FALSE),IF(OR(AND(22500&lt;S1250,S1250&lt;25001),AND(50000&lt;S1250,S1250&lt;53501),AND(70000&lt;S1250,S1250&lt;72501)),$F1250,IF(OR(AND(25001&lt;S1250,S1250&lt;27501),AND(53500&lt;S1250,S1250&lt;57001),AND(72500&lt;S1250,S1250&lt;75001)),$G1250,IF(OR(AND(27500&lt;S1250,S1250&lt;30001),AND(57000&lt;S1250,S1250&lt;60001),AND(75000&lt;S1250,S1250&lt;77500)),$H1250,VLOOKUP(S1250,BDins,6,FALSE)))))</f>
        <v>21.54</v>
      </c>
    </row>
    <row r="1253" spans="1:19" x14ac:dyDescent="0.2">
      <c r="O1253">
        <f>IF($K1250&gt;0,ROUND(O1251*$E1250/100,DpCU),IF(O1254&gt;10000,ROUND(HLOOKUP(O1254,$O1250:$S1253,4,FALSE)/100*O1251,DpCU),IF(OR(O1250&lt;20001,O1250&gt;95000,AND(60000&lt;O1250,O1250&lt;70001)),ROUND(ROUND(O1251*JL/$C1250,DcCU)*O1252,DpCU),IF(OR(AND(20000&lt;O1250,O1250&lt;22501),AND(30000&lt;O1250,O1250&lt;50001),77500&lt;O1250),ROUND(O1252*O1251,DpCU),IF(OR(AND(22500&lt;O1250,O1250&lt;25001),AND(50000&lt;O1250,O1250&lt;53501),AND(70000&lt;O1250,O1250&lt;72501)),ROUND($F1250/100*O1251,DpCU),IF(OR(AND(25000&lt;O1250,O1250&lt;27501),AND(53500&lt;O1250,O1250&lt;57001),AND(72500&lt;O1250,O1250&lt;75001)),ROUND($G1250/100*O1251,DpCU),ROUND($H1250/100*O1251,DpCU)))))))</f>
        <v>1.33</v>
      </c>
      <c r="P1253">
        <f>IF($K1250&gt;0,ROUND(P1251*$E1250/100,DpCU),IF(P1254&gt;10000,ROUND(HLOOKUP(P1254,$O1250:$S1253,4,FALSE)/100*P1251,DpCU),IF(OR(P1250&lt;20001,P1250&gt;95000,AND(60000&lt;P1250,P1250&lt;70001)),ROUND(ROUND(P1251*JL/$C1250,DcCU)*P1252,DpCU),IF(OR(AND(20000&lt;P1250,P1250&lt;22501),AND(30000&lt;P1250,P1250&lt;50001),77500&lt;P1250),ROUND(P1252*P1251,DpCU),IF(OR(AND(22500&lt;P1250,P1250&lt;25001),AND(50000&lt;P1250,P1250&lt;53501),AND(70000&lt;P1250,P1250&lt;72501)),ROUND($F1250/100*P1251,DpCU),IF(OR(AND(25000&lt;P1250,P1250&lt;27501),AND(53500&lt;P1250,P1250&lt;57001),AND(72500&lt;P1250,P1250&lt;75001)),ROUND($G1250/100*P1251,DpCU),ROUND($H1250/100*P1251,DpCU)))))))</f>
        <v>11.1</v>
      </c>
      <c r="Q1253">
        <f>IF($K1250&gt;0,ROUND(Q1251*$E1250/100,DpCU),IF(Q1254&gt;10000,ROUND(HLOOKUP(Q1254,$O1250:$S1253,4,FALSE)/100*Q1251,DpCU),IF(OR(Q1250&lt;20001,Q1250&gt;95000,AND(60000&lt;Q1250,Q1250&lt;70001)),ROUND(ROUND(Q1251*JL/$C1250,DcCU)*Q1252,DpCU),IF(OR(AND(20000&lt;Q1250,Q1250&lt;22501),AND(30000&lt;Q1250,Q1250&lt;50001),77500&lt;Q1250),ROUND(Q1252*Q1251,DpCU),IF(OR(AND(22500&lt;Q1250,Q1250&lt;25001),AND(50000&lt;Q1250,Q1250&lt;53501),AND(70000&lt;Q1250,Q1250&lt;72501)),ROUND($F1250/100*Q1251,DpCU),IF(OR(AND(25000&lt;Q1250,Q1250&lt;27501),AND(53500&lt;Q1250,Q1250&lt;57001),AND(72500&lt;Q1250,Q1250&lt;75001)),ROUND($G1250/100*Q1251,DpCU),ROUND($H1250/100*Q1251,DpCU)))))))</f>
        <v>9.11</v>
      </c>
      <c r="R1253">
        <f>IF($K1250&gt;0,ROUND(R1251*$E1250/100,DpCU),IF(R1254&gt;10000,ROUND(HLOOKUP(R1254,$O1250:$S1253,4,FALSE)/100*R1251,DpCU),IF(OR(R1250&lt;20001,R1250&gt;95000,AND(60000&lt;R1250,R1250&lt;70001)),ROUND(ROUND(R1251*JL/$C1250,DcCU)*R1252,DpCU),IF(OR(AND(20000&lt;R1250,R1250&lt;22501),AND(30000&lt;R1250,R1250&lt;50001),77500&lt;R1250),ROUND(R1252*R1251,DpCU),IF(OR(AND(22500&lt;R1250,R1250&lt;25001),AND(50000&lt;R1250,R1250&lt;53501),AND(70000&lt;R1250,R1250&lt;72501)),ROUND($F1250/100*R1251,DpCU),IF(OR(AND(25000&lt;R1250,R1250&lt;27501),AND(53500&lt;R1250,R1250&lt;57001),AND(72500&lt;R1250,R1250&lt;75001)),ROUND($G1250/100*R1251,DpCU),ROUND($H1250/100*R1251,DpCU)))))))</f>
        <v>43.5</v>
      </c>
      <c r="S1253">
        <f>IF($K1250&gt;0,ROUND(S1251*$E1250/100,DpCU),IF(S1254&gt;10000,ROUND(HLOOKUP(S1254,$O1250:$S1253,4,FALSE)/100*S1251,DpCU),IF(OR(S1250&lt;20001,S1250&gt;95000,AND(60000&lt;S1250,S1250&lt;70001)),ROUND(ROUND(S1251*JL/$C1250,DcCU)*S1252,DpCU),IF(OR(AND(20000&lt;S1250,S1250&lt;22501),AND(30000&lt;S1250,S1250&lt;50001),77500&lt;S1250),ROUND(S1252*S1251,DpCU),IF(OR(AND(22500&lt;S1250,S1250&lt;25001),AND(50000&lt;S1250,S1250&lt;53501),AND(70000&lt;S1250,S1250&lt;72501)),ROUND($F1250/100*S1251,DpCU),IF(OR(AND(25000&lt;S1250,S1250&lt;27501),AND(53500&lt;S1250,S1250&lt;57001),AND(72500&lt;S1250,S1250&lt;75001)),ROUND($G1250/100*S1251,DpCU),ROUND($H1250/100*S1251,DpCU)))))))</f>
        <v>1.08</v>
      </c>
    </row>
    <row r="1254" spans="1:19" x14ac:dyDescent="0.2">
      <c r="B1254" s="3" t="str">
        <f>A1250&amp;"r"</f>
        <v>10250r</v>
      </c>
    </row>
    <row r="1255" spans="1:19" x14ac:dyDescent="0.2">
      <c r="A1255">
        <v>10251</v>
      </c>
      <c r="B1255" s="3" t="s">
        <v>1251</v>
      </c>
      <c r="C1255" s="1">
        <f>ROUND(J1255*JL*Frto/8,4)</f>
        <v>15</v>
      </c>
      <c r="D1255" t="s">
        <v>7</v>
      </c>
      <c r="E1255">
        <f>SUM($O1258:$S1258)</f>
        <v>77.61999999999999</v>
      </c>
      <c r="F1255">
        <f>SUMIF($O1255:$S1255,"&lt;22501",$O1258:$S1258)</f>
        <v>21.54</v>
      </c>
      <c r="G1255">
        <f>SUMIFS($O1258:$S1258,$O1255:$S1255,"&gt;30000",$O1255:$S1255,"&lt;50001")</f>
        <v>55</v>
      </c>
      <c r="H1255">
        <f>SUMIFS($O1258:$S1258,$O1255:$S1255,"&gt;60000",$O1255:$S1255,"&lt;70001")</f>
        <v>0</v>
      </c>
      <c r="I1255">
        <v>5</v>
      </c>
      <c r="J1255">
        <v>15</v>
      </c>
      <c r="O1255">
        <v>10001</v>
      </c>
      <c r="P1255">
        <v>10002</v>
      </c>
      <c r="Q1255">
        <v>10008</v>
      </c>
      <c r="R1255">
        <v>30325</v>
      </c>
      <c r="S1255">
        <v>70001</v>
      </c>
    </row>
    <row r="1256" spans="1:19" x14ac:dyDescent="0.2">
      <c r="B1256" s="3" t="str">
        <f>A1255&amp;"C"</f>
        <v>10251C</v>
      </c>
      <c r="O1256">
        <v>0.1</v>
      </c>
      <c r="P1256">
        <v>1</v>
      </c>
      <c r="Q1256">
        <v>1</v>
      </c>
      <c r="R1256">
        <v>1</v>
      </c>
      <c r="S1256">
        <v>5</v>
      </c>
    </row>
    <row r="1257" spans="1:19" x14ac:dyDescent="0.2">
      <c r="O1257">
        <f>IF(O1259&gt;10000,HLOOKUP(O1259,N1255:$O1258,4,FALSE),IF(OR(AND(22500&lt;O1255,O1255&lt;25001),AND(50000&lt;O1255,O1255&lt;53501),AND(70000&lt;O1255,O1255&lt;72501)),$F1255,IF(OR(AND(25001&lt;O1255,O1255&lt;27501),AND(53500&lt;O1255,O1255&lt;57001),AND(72500&lt;O1255,O1255&lt;75001)),$G1255,IF(OR(AND(27500&lt;O1255,O1255&lt;30001),AND(57000&lt;O1255,O1255&lt;60001),AND(75000&lt;O1255,O1255&lt;77500)),$H1255,VLOOKUP(O1255,BDins,6,FALSE)))))</f>
        <v>24.97</v>
      </c>
      <c r="P1257">
        <f>IF(P1259&gt;10000,HLOOKUP(P1259,O1255:$O1258,4,FALSE),IF(OR(AND(22500&lt;P1255,P1255&lt;25001),AND(50000&lt;P1255,P1255&lt;53501),AND(70000&lt;P1255,P1255&lt;72501)),$F1255,IF(OR(AND(25001&lt;P1255,P1255&lt;27501),AND(53500&lt;P1255,P1255&lt;57001),AND(72500&lt;P1255,P1255&lt;75001)),$G1255,IF(OR(AND(27500&lt;P1255,P1255&lt;30001),AND(57000&lt;P1255,P1255&lt;60001),AND(75000&lt;P1255,P1255&lt;77500)),$H1255,VLOOKUP(P1255,BDins,6,FALSE)))))</f>
        <v>20.81</v>
      </c>
      <c r="Q1257">
        <f>IF(Q1259&gt;10000,HLOOKUP(Q1259,$O1255:P1258,4,FALSE),IF(OR(AND(22500&lt;Q1255,Q1255&lt;25001),AND(50000&lt;Q1255,Q1255&lt;53501),AND(70000&lt;Q1255,Q1255&lt;72501)),$F1255,IF(OR(AND(25001&lt;Q1255,Q1255&lt;27501),AND(53500&lt;Q1255,Q1255&lt;57001),AND(72500&lt;Q1255,Q1255&lt;75001)),$G1255,IF(OR(AND(27500&lt;Q1255,Q1255&lt;30001),AND(57000&lt;Q1255,Q1255&lt;60001),AND(75000&lt;Q1255,Q1255&lt;77500)),$H1255,VLOOKUP(Q1255,BDins,6,FALSE)))))</f>
        <v>17.09</v>
      </c>
      <c r="R1257">
        <f>IF(R1259&gt;10000,HLOOKUP(R1259,$O1255:Q1258,4,FALSE),IF(OR(AND(22500&lt;R1255,R1255&lt;25001),AND(50000&lt;R1255,R1255&lt;53501),AND(70000&lt;R1255,R1255&lt;72501)),$F1255,IF(OR(AND(25001&lt;R1255,R1255&lt;27501),AND(53500&lt;R1255,R1255&lt;57001),AND(72500&lt;R1255,R1255&lt;75001)),$G1255,IF(OR(AND(27500&lt;R1255,R1255&lt;30001),AND(57000&lt;R1255,R1255&lt;60001),AND(75000&lt;R1255,R1255&lt;77500)),$H1255,VLOOKUP(R1255,BDins,6,FALSE)))))</f>
        <v>55</v>
      </c>
      <c r="S1257">
        <f>IF(S1259&gt;10000,HLOOKUP(S1259,$O1255:R1258,4,FALSE),IF(OR(AND(22500&lt;S1255,S1255&lt;25001),AND(50000&lt;S1255,S1255&lt;53501),AND(70000&lt;S1255,S1255&lt;72501)),$F1255,IF(OR(AND(25001&lt;S1255,S1255&lt;27501),AND(53500&lt;S1255,S1255&lt;57001),AND(72500&lt;S1255,S1255&lt;75001)),$G1255,IF(OR(AND(27500&lt;S1255,S1255&lt;30001),AND(57000&lt;S1255,S1255&lt;60001),AND(75000&lt;S1255,S1255&lt;77500)),$H1255,VLOOKUP(S1255,BDins,6,FALSE)))))</f>
        <v>21.54</v>
      </c>
    </row>
    <row r="1258" spans="1:19" x14ac:dyDescent="0.2">
      <c r="O1258">
        <f>IF($K1255&gt;0,ROUND(O1256*$E1255/100,DpCU),IF(O1259&gt;10000,ROUND(HLOOKUP(O1259,$O1255:$S1258,4,FALSE)/100*O1256,DpCU),IF(OR(O1255&lt;20001,O1255&gt;95000,AND(60000&lt;O1255,O1255&lt;70001)),ROUND(ROUND(O1256*JL/$C1255,DcCU)*O1257,DpCU),IF(OR(AND(20000&lt;O1255,O1255&lt;22501),AND(30000&lt;O1255,O1255&lt;50001),77500&lt;O1255),ROUND(O1257*O1256,DpCU),IF(OR(AND(22500&lt;O1255,O1255&lt;25001),AND(50000&lt;O1255,O1255&lt;53501),AND(70000&lt;O1255,O1255&lt;72501)),ROUND($F1255/100*O1256,DpCU),IF(OR(AND(25000&lt;O1255,O1255&lt;27501),AND(53500&lt;O1255,O1255&lt;57001),AND(72500&lt;O1255,O1255&lt;75001)),ROUND($G1255/100*O1256,DpCU),ROUND($H1255/100*O1256,DpCU)))))))</f>
        <v>1.33</v>
      </c>
      <c r="P1258">
        <f>IF($K1255&gt;0,ROUND(P1256*$E1255/100,DpCU),IF(P1259&gt;10000,ROUND(HLOOKUP(P1259,$O1255:$S1258,4,FALSE)/100*P1256,DpCU),IF(OR(P1255&lt;20001,P1255&gt;95000,AND(60000&lt;P1255,P1255&lt;70001)),ROUND(ROUND(P1256*JL/$C1255,DcCU)*P1257,DpCU),IF(OR(AND(20000&lt;P1255,P1255&lt;22501),AND(30000&lt;P1255,P1255&lt;50001),77500&lt;P1255),ROUND(P1257*P1256,DpCU),IF(OR(AND(22500&lt;P1255,P1255&lt;25001),AND(50000&lt;P1255,P1255&lt;53501),AND(70000&lt;P1255,P1255&lt;72501)),ROUND($F1255/100*P1256,DpCU),IF(OR(AND(25000&lt;P1255,P1255&lt;27501),AND(53500&lt;P1255,P1255&lt;57001),AND(72500&lt;P1255,P1255&lt;75001)),ROUND($G1255/100*P1256,DpCU),ROUND($H1255/100*P1256,DpCU)))))))</f>
        <v>11.1</v>
      </c>
      <c r="Q1258">
        <f>IF($K1255&gt;0,ROUND(Q1256*$E1255/100,DpCU),IF(Q1259&gt;10000,ROUND(HLOOKUP(Q1259,$O1255:$S1258,4,FALSE)/100*Q1256,DpCU),IF(OR(Q1255&lt;20001,Q1255&gt;95000,AND(60000&lt;Q1255,Q1255&lt;70001)),ROUND(ROUND(Q1256*JL/$C1255,DcCU)*Q1257,DpCU),IF(OR(AND(20000&lt;Q1255,Q1255&lt;22501),AND(30000&lt;Q1255,Q1255&lt;50001),77500&lt;Q1255),ROUND(Q1257*Q1256,DpCU),IF(OR(AND(22500&lt;Q1255,Q1255&lt;25001),AND(50000&lt;Q1255,Q1255&lt;53501),AND(70000&lt;Q1255,Q1255&lt;72501)),ROUND($F1255/100*Q1256,DpCU),IF(OR(AND(25000&lt;Q1255,Q1255&lt;27501),AND(53500&lt;Q1255,Q1255&lt;57001),AND(72500&lt;Q1255,Q1255&lt;75001)),ROUND($G1255/100*Q1256,DpCU),ROUND($H1255/100*Q1256,DpCU)))))))</f>
        <v>9.11</v>
      </c>
      <c r="R1258">
        <f>IF($K1255&gt;0,ROUND(R1256*$E1255/100,DpCU),IF(R1259&gt;10000,ROUND(HLOOKUP(R1259,$O1255:$S1258,4,FALSE)/100*R1256,DpCU),IF(OR(R1255&lt;20001,R1255&gt;95000,AND(60000&lt;R1255,R1255&lt;70001)),ROUND(ROUND(R1256*JL/$C1255,DcCU)*R1257,DpCU),IF(OR(AND(20000&lt;R1255,R1255&lt;22501),AND(30000&lt;R1255,R1255&lt;50001),77500&lt;R1255),ROUND(R1257*R1256,DpCU),IF(OR(AND(22500&lt;R1255,R1255&lt;25001),AND(50000&lt;R1255,R1255&lt;53501),AND(70000&lt;R1255,R1255&lt;72501)),ROUND($F1255/100*R1256,DpCU),IF(OR(AND(25000&lt;R1255,R1255&lt;27501),AND(53500&lt;R1255,R1255&lt;57001),AND(72500&lt;R1255,R1255&lt;75001)),ROUND($G1255/100*R1256,DpCU),ROUND($H1255/100*R1256,DpCU)))))))</f>
        <v>55</v>
      </c>
      <c r="S1258">
        <f>IF($K1255&gt;0,ROUND(S1256*$E1255/100,DpCU),IF(S1259&gt;10000,ROUND(HLOOKUP(S1259,$O1255:$S1258,4,FALSE)/100*S1256,DpCU),IF(OR(S1255&lt;20001,S1255&gt;95000,AND(60000&lt;S1255,S1255&lt;70001)),ROUND(ROUND(S1256*JL/$C1255,DcCU)*S1257,DpCU),IF(OR(AND(20000&lt;S1255,S1255&lt;22501),AND(30000&lt;S1255,S1255&lt;50001),77500&lt;S1255),ROUND(S1257*S1256,DpCU),IF(OR(AND(22500&lt;S1255,S1255&lt;25001),AND(50000&lt;S1255,S1255&lt;53501),AND(70000&lt;S1255,S1255&lt;72501)),ROUND($F1255/100*S1256,DpCU),IF(OR(AND(25000&lt;S1255,S1255&lt;27501),AND(53500&lt;S1255,S1255&lt;57001),AND(72500&lt;S1255,S1255&lt;75001)),ROUND($G1255/100*S1256,DpCU),ROUND($H1255/100*S1256,DpCU)))))))</f>
        <v>1.08</v>
      </c>
    </row>
    <row r="1259" spans="1:19" x14ac:dyDescent="0.2">
      <c r="B1259" s="3" t="str">
        <f>A1255&amp;"r"</f>
        <v>10251r</v>
      </c>
    </row>
    <row r="1260" spans="1:19" x14ac:dyDescent="0.2">
      <c r="A1260">
        <v>10252</v>
      </c>
      <c r="B1260" s="3" t="s">
        <v>1254</v>
      </c>
      <c r="C1260" s="1">
        <f>ROUND(J1260*JL*Frto/8,4)</f>
        <v>12</v>
      </c>
      <c r="D1260" t="s">
        <v>7</v>
      </c>
      <c r="E1260">
        <f>SUM($O1263:$S1263)</f>
        <v>146.78</v>
      </c>
      <c r="F1260">
        <f>SUMIF($O1260:$S1260,"&lt;22501",$O1263:$S1263)</f>
        <v>26.93</v>
      </c>
      <c r="G1260">
        <f>SUMIFS($O1263:$S1263,$O1260:$S1260,"&gt;30000",$O1260:$S1260,"&lt;50001")</f>
        <v>118.5</v>
      </c>
      <c r="H1260">
        <f>SUMIFS($O1263:$S1263,$O1260:$S1260,"&gt;60000",$O1260:$S1260,"&lt;70001")</f>
        <v>0</v>
      </c>
      <c r="I1260">
        <v>5</v>
      </c>
      <c r="J1260">
        <v>12</v>
      </c>
      <c r="O1260">
        <v>10001</v>
      </c>
      <c r="P1260">
        <v>10002</v>
      </c>
      <c r="Q1260">
        <v>10008</v>
      </c>
      <c r="R1260">
        <v>30326</v>
      </c>
      <c r="S1260">
        <v>70001</v>
      </c>
    </row>
    <row r="1261" spans="1:19" x14ac:dyDescent="0.2">
      <c r="B1261" s="3" t="str">
        <f>A1260&amp;"C"</f>
        <v>10252C</v>
      </c>
      <c r="O1261">
        <v>0.1</v>
      </c>
      <c r="P1261">
        <v>1</v>
      </c>
      <c r="Q1261">
        <v>1</v>
      </c>
      <c r="R1261">
        <v>1</v>
      </c>
      <c r="S1261">
        <v>5</v>
      </c>
    </row>
    <row r="1262" spans="1:19" x14ac:dyDescent="0.2">
      <c r="O1262">
        <f>IF(O1264&gt;10000,HLOOKUP(O1264,N1260:$O1263,4,FALSE),IF(OR(AND(22500&lt;O1260,O1260&lt;25001),AND(50000&lt;O1260,O1260&lt;53501),AND(70000&lt;O1260,O1260&lt;72501)),$F1260,IF(OR(AND(25001&lt;O1260,O1260&lt;27501),AND(53500&lt;O1260,O1260&lt;57001),AND(72500&lt;O1260,O1260&lt;75001)),$G1260,IF(OR(AND(27500&lt;O1260,O1260&lt;30001),AND(57000&lt;O1260,O1260&lt;60001),AND(75000&lt;O1260,O1260&lt;77500)),$H1260,VLOOKUP(O1260,BDins,6,FALSE)))))</f>
        <v>24.97</v>
      </c>
      <c r="P1262">
        <f>IF(P1264&gt;10000,HLOOKUP(P1264,O1260:$O1263,4,FALSE),IF(OR(AND(22500&lt;P1260,P1260&lt;25001),AND(50000&lt;P1260,P1260&lt;53501),AND(70000&lt;P1260,P1260&lt;72501)),$F1260,IF(OR(AND(25001&lt;P1260,P1260&lt;27501),AND(53500&lt;P1260,P1260&lt;57001),AND(72500&lt;P1260,P1260&lt;75001)),$G1260,IF(OR(AND(27500&lt;P1260,P1260&lt;30001),AND(57000&lt;P1260,P1260&lt;60001),AND(75000&lt;P1260,P1260&lt;77500)),$H1260,VLOOKUP(P1260,BDins,6,FALSE)))))</f>
        <v>20.81</v>
      </c>
      <c r="Q1262">
        <f>IF(Q1264&gt;10000,HLOOKUP(Q1264,$O1260:P1263,4,FALSE),IF(OR(AND(22500&lt;Q1260,Q1260&lt;25001),AND(50000&lt;Q1260,Q1260&lt;53501),AND(70000&lt;Q1260,Q1260&lt;72501)),$F1260,IF(OR(AND(25001&lt;Q1260,Q1260&lt;27501),AND(53500&lt;Q1260,Q1260&lt;57001),AND(72500&lt;Q1260,Q1260&lt;75001)),$G1260,IF(OR(AND(27500&lt;Q1260,Q1260&lt;30001),AND(57000&lt;Q1260,Q1260&lt;60001),AND(75000&lt;Q1260,Q1260&lt;77500)),$H1260,VLOOKUP(Q1260,BDins,6,FALSE)))))</f>
        <v>17.09</v>
      </c>
      <c r="R1262">
        <f>IF(R1264&gt;10000,HLOOKUP(R1264,$O1260:Q1263,4,FALSE),IF(OR(AND(22500&lt;R1260,R1260&lt;25001),AND(50000&lt;R1260,R1260&lt;53501),AND(70000&lt;R1260,R1260&lt;72501)),$F1260,IF(OR(AND(25001&lt;R1260,R1260&lt;27501),AND(53500&lt;R1260,R1260&lt;57001),AND(72500&lt;R1260,R1260&lt;75001)),$G1260,IF(OR(AND(27500&lt;R1260,R1260&lt;30001),AND(57000&lt;R1260,R1260&lt;60001),AND(75000&lt;R1260,R1260&lt;77500)),$H1260,VLOOKUP(R1260,BDins,6,FALSE)))))</f>
        <v>118.5</v>
      </c>
      <c r="S1262">
        <f>IF(S1264&gt;10000,HLOOKUP(S1264,$O1260:R1263,4,FALSE),IF(OR(AND(22500&lt;S1260,S1260&lt;25001),AND(50000&lt;S1260,S1260&lt;53501),AND(70000&lt;S1260,S1260&lt;72501)),$F1260,IF(OR(AND(25001&lt;S1260,S1260&lt;27501),AND(53500&lt;S1260,S1260&lt;57001),AND(72500&lt;S1260,S1260&lt;75001)),$G1260,IF(OR(AND(27500&lt;S1260,S1260&lt;30001),AND(57000&lt;S1260,S1260&lt;60001),AND(75000&lt;S1260,S1260&lt;77500)),$H1260,VLOOKUP(S1260,BDins,6,FALSE)))))</f>
        <v>26.93</v>
      </c>
    </row>
    <row r="1263" spans="1:19" x14ac:dyDescent="0.2">
      <c r="O1263">
        <f>IF($K1260&gt;0,ROUND(O1261*$E1260/100,DpCU),IF(O1264&gt;10000,ROUND(HLOOKUP(O1264,$O1260:$S1263,4,FALSE)/100*O1261,DpCU),IF(OR(O1260&lt;20001,O1260&gt;95000,AND(60000&lt;O1260,O1260&lt;70001)),ROUND(ROUND(O1261*JL/$C1260,DcCU)*O1262,DpCU),IF(OR(AND(20000&lt;O1260,O1260&lt;22501),AND(30000&lt;O1260,O1260&lt;50001),77500&lt;O1260),ROUND(O1262*O1261,DpCU),IF(OR(AND(22500&lt;O1260,O1260&lt;25001),AND(50000&lt;O1260,O1260&lt;53501),AND(70000&lt;O1260,O1260&lt;72501)),ROUND($F1260/100*O1261,DpCU),IF(OR(AND(25000&lt;O1260,O1260&lt;27501),AND(53500&lt;O1260,O1260&lt;57001),AND(72500&lt;O1260,O1260&lt;75001)),ROUND($G1260/100*O1261,DpCU),ROUND($H1260/100*O1261,DpCU)))))))</f>
        <v>1.67</v>
      </c>
      <c r="P1263">
        <f>IF($K1260&gt;0,ROUND(P1261*$E1260/100,DpCU),IF(P1264&gt;10000,ROUND(HLOOKUP(P1264,$O1260:$S1263,4,FALSE)/100*P1261,DpCU),IF(OR(P1260&lt;20001,P1260&gt;95000,AND(60000&lt;P1260,P1260&lt;70001)),ROUND(ROUND(P1261*JL/$C1260,DcCU)*P1262,DpCU),IF(OR(AND(20000&lt;P1260,P1260&lt;22501),AND(30000&lt;P1260,P1260&lt;50001),77500&lt;P1260),ROUND(P1262*P1261,DpCU),IF(OR(AND(22500&lt;P1260,P1260&lt;25001),AND(50000&lt;P1260,P1260&lt;53501),AND(70000&lt;P1260,P1260&lt;72501)),ROUND($F1260/100*P1261,DpCU),IF(OR(AND(25000&lt;P1260,P1260&lt;27501),AND(53500&lt;P1260,P1260&lt;57001),AND(72500&lt;P1260,P1260&lt;75001)),ROUND($G1260/100*P1261,DpCU),ROUND($H1260/100*P1261,DpCU)))))))</f>
        <v>13.87</v>
      </c>
      <c r="Q1263">
        <f>IF($K1260&gt;0,ROUND(Q1261*$E1260/100,DpCU),IF(Q1264&gt;10000,ROUND(HLOOKUP(Q1264,$O1260:$S1263,4,FALSE)/100*Q1261,DpCU),IF(OR(Q1260&lt;20001,Q1260&gt;95000,AND(60000&lt;Q1260,Q1260&lt;70001)),ROUND(ROUND(Q1261*JL/$C1260,DcCU)*Q1262,DpCU),IF(OR(AND(20000&lt;Q1260,Q1260&lt;22501),AND(30000&lt;Q1260,Q1260&lt;50001),77500&lt;Q1260),ROUND(Q1262*Q1261,DpCU),IF(OR(AND(22500&lt;Q1260,Q1260&lt;25001),AND(50000&lt;Q1260,Q1260&lt;53501),AND(70000&lt;Q1260,Q1260&lt;72501)),ROUND($F1260/100*Q1261,DpCU),IF(OR(AND(25000&lt;Q1260,Q1260&lt;27501),AND(53500&lt;Q1260,Q1260&lt;57001),AND(72500&lt;Q1260,Q1260&lt;75001)),ROUND($G1260/100*Q1261,DpCU),ROUND($H1260/100*Q1261,DpCU)))))))</f>
        <v>11.39</v>
      </c>
      <c r="R1263">
        <f>IF($K1260&gt;0,ROUND(R1261*$E1260/100,DpCU),IF(R1264&gt;10000,ROUND(HLOOKUP(R1264,$O1260:$S1263,4,FALSE)/100*R1261,DpCU),IF(OR(R1260&lt;20001,R1260&gt;95000,AND(60000&lt;R1260,R1260&lt;70001)),ROUND(ROUND(R1261*JL/$C1260,DcCU)*R1262,DpCU),IF(OR(AND(20000&lt;R1260,R1260&lt;22501),AND(30000&lt;R1260,R1260&lt;50001),77500&lt;R1260),ROUND(R1262*R1261,DpCU),IF(OR(AND(22500&lt;R1260,R1260&lt;25001),AND(50000&lt;R1260,R1260&lt;53501),AND(70000&lt;R1260,R1260&lt;72501)),ROUND($F1260/100*R1261,DpCU),IF(OR(AND(25000&lt;R1260,R1260&lt;27501),AND(53500&lt;R1260,R1260&lt;57001),AND(72500&lt;R1260,R1260&lt;75001)),ROUND($G1260/100*R1261,DpCU),ROUND($H1260/100*R1261,DpCU)))))))</f>
        <v>118.5</v>
      </c>
      <c r="S1263">
        <f>IF($K1260&gt;0,ROUND(S1261*$E1260/100,DpCU),IF(S1264&gt;10000,ROUND(HLOOKUP(S1264,$O1260:$S1263,4,FALSE)/100*S1261,DpCU),IF(OR(S1260&lt;20001,S1260&gt;95000,AND(60000&lt;S1260,S1260&lt;70001)),ROUND(ROUND(S1261*JL/$C1260,DcCU)*S1262,DpCU),IF(OR(AND(20000&lt;S1260,S1260&lt;22501),AND(30000&lt;S1260,S1260&lt;50001),77500&lt;S1260),ROUND(S1262*S1261,DpCU),IF(OR(AND(22500&lt;S1260,S1260&lt;25001),AND(50000&lt;S1260,S1260&lt;53501),AND(70000&lt;S1260,S1260&lt;72501)),ROUND($F1260/100*S1261,DpCU),IF(OR(AND(25000&lt;S1260,S1260&lt;27501),AND(53500&lt;S1260,S1260&lt;57001),AND(72500&lt;S1260,S1260&lt;75001)),ROUND($G1260/100*S1261,DpCU),ROUND($H1260/100*S1261,DpCU)))))))</f>
        <v>1.35</v>
      </c>
    </row>
    <row r="1264" spans="1:19" x14ac:dyDescent="0.2">
      <c r="B1264" s="3" t="str">
        <f>A1260&amp;"r"</f>
        <v>10252r</v>
      </c>
    </row>
    <row r="1265" spans="1:29" x14ac:dyDescent="0.2">
      <c r="A1265">
        <v>10253</v>
      </c>
      <c r="B1265" s="3" t="s">
        <v>1259</v>
      </c>
      <c r="C1265" s="1">
        <f>ROUND(J1265*JL*Frto/8,4)</f>
        <v>0.75</v>
      </c>
      <c r="D1265" t="s">
        <v>174</v>
      </c>
      <c r="E1265">
        <f>SUM($O1268:$AC1268)</f>
        <v>3127.56</v>
      </c>
      <c r="F1265">
        <f>SUMIF($O1265:$AC1265,"&lt;22501",$O1268:$AC1268)</f>
        <v>330.53000000000003</v>
      </c>
      <c r="G1265">
        <f>SUMIFS($O1268:$AC1268,$O1265:$AC1265,"&gt;30000",$O1265:$AC1265,"&lt;50001")</f>
        <v>2780.5</v>
      </c>
      <c r="H1265">
        <f>SUMIFS($O1268:$AC1268,$O1265:$AC1265,"&gt;60000",$O1265:$AC1265,"&lt;70001")</f>
        <v>0</v>
      </c>
      <c r="I1265">
        <v>15</v>
      </c>
      <c r="J1265">
        <v>0.75</v>
      </c>
      <c r="O1265">
        <v>10001</v>
      </c>
      <c r="P1265">
        <v>10002</v>
      </c>
      <c r="Q1265">
        <v>10003</v>
      </c>
      <c r="R1265">
        <v>30327</v>
      </c>
      <c r="S1265">
        <v>30328</v>
      </c>
      <c r="T1265">
        <v>30329</v>
      </c>
      <c r="U1265">
        <v>30330</v>
      </c>
      <c r="V1265">
        <v>30331</v>
      </c>
      <c r="W1265">
        <v>30332</v>
      </c>
      <c r="X1265">
        <v>30333</v>
      </c>
      <c r="Y1265">
        <v>30334</v>
      </c>
      <c r="Z1265">
        <v>30335</v>
      </c>
      <c r="AA1265">
        <v>30336</v>
      </c>
      <c r="AB1265">
        <v>30337</v>
      </c>
      <c r="AC1265">
        <v>70001</v>
      </c>
    </row>
    <row r="1266" spans="1:29" x14ac:dyDescent="0.2">
      <c r="B1266" s="3" t="str">
        <f>A1265&amp;"C"</f>
        <v>10253C</v>
      </c>
      <c r="O1266">
        <v>0.1</v>
      </c>
      <c r="P1266">
        <v>1</v>
      </c>
      <c r="Q1266">
        <v>0.5</v>
      </c>
      <c r="R1266">
        <v>1</v>
      </c>
      <c r="S1266">
        <v>4</v>
      </c>
      <c r="T1266">
        <v>7</v>
      </c>
      <c r="U1266">
        <v>1</v>
      </c>
      <c r="V1266">
        <v>1</v>
      </c>
      <c r="W1266">
        <v>1</v>
      </c>
      <c r="X1266">
        <v>2</v>
      </c>
      <c r="Y1266">
        <v>1</v>
      </c>
      <c r="Z1266">
        <v>3</v>
      </c>
      <c r="AA1266">
        <v>3</v>
      </c>
      <c r="AB1266">
        <v>3</v>
      </c>
      <c r="AC1266">
        <v>5</v>
      </c>
    </row>
    <row r="1267" spans="1:29" x14ac:dyDescent="0.2">
      <c r="O1267">
        <f>IF(O1269&gt;10000,HLOOKUP(O1269,N1265:$O1268,4,FALSE),IF(OR(AND(22500&lt;O1265,O1265&lt;25001),AND(50000&lt;O1265,O1265&lt;53501),AND(70000&lt;O1265,O1265&lt;72501)),$F1265,IF(OR(AND(25001&lt;O1265,O1265&lt;27501),AND(53500&lt;O1265,O1265&lt;57001),AND(72500&lt;O1265,O1265&lt;75001)),$G1265,IF(OR(AND(27500&lt;O1265,O1265&lt;30001),AND(57000&lt;O1265,O1265&lt;60001),AND(75000&lt;O1265,O1265&lt;77500)),$H1265,VLOOKUP(O1265,BDins,6,FALSE)))))</f>
        <v>24.97</v>
      </c>
      <c r="P1267">
        <f>IF(P1269&gt;10000,HLOOKUP(P1269,O1265:$O1268,4,FALSE),IF(OR(AND(22500&lt;P1265,P1265&lt;25001),AND(50000&lt;P1265,P1265&lt;53501),AND(70000&lt;P1265,P1265&lt;72501)),$F1265,IF(OR(AND(25001&lt;P1265,P1265&lt;27501),AND(53500&lt;P1265,P1265&lt;57001),AND(72500&lt;P1265,P1265&lt;75001)),$G1265,IF(OR(AND(27500&lt;P1265,P1265&lt;30001),AND(57000&lt;P1265,P1265&lt;60001),AND(75000&lt;P1265,P1265&lt;77500)),$H1265,VLOOKUP(P1265,BDins,6,FALSE)))))</f>
        <v>20.81</v>
      </c>
      <c r="Q1267">
        <f>IF(Q1269&gt;10000,HLOOKUP(Q1269,$O1265:P1268,4,FALSE),IF(OR(AND(22500&lt;Q1265,Q1265&lt;25001),AND(50000&lt;Q1265,Q1265&lt;53501),AND(70000&lt;Q1265,Q1265&lt;72501)),$F1265,IF(OR(AND(25001&lt;Q1265,Q1265&lt;27501),AND(53500&lt;Q1265,Q1265&lt;57001),AND(72500&lt;Q1265,Q1265&lt;75001)),$G1265,IF(OR(AND(27500&lt;Q1265,Q1265&lt;30001),AND(57000&lt;Q1265,Q1265&lt;60001),AND(75000&lt;Q1265,Q1265&lt;77500)),$H1265,VLOOKUP(Q1265,BDins,6,FALSE)))))</f>
        <v>15.36</v>
      </c>
      <c r="R1267">
        <f>IF(R1269&gt;10000,HLOOKUP(R1269,$O1265:Q1268,4,FALSE),IF(OR(AND(22500&lt;R1265,R1265&lt;25001),AND(50000&lt;R1265,R1265&lt;53501),AND(70000&lt;R1265,R1265&lt;72501)),$F1265,IF(OR(AND(25001&lt;R1265,R1265&lt;27501),AND(53500&lt;R1265,R1265&lt;57001),AND(72500&lt;R1265,R1265&lt;75001)),$G1265,IF(OR(AND(27500&lt;R1265,R1265&lt;30001),AND(57000&lt;R1265,R1265&lt;60001),AND(75000&lt;R1265,R1265&lt;77500)),$H1265,VLOOKUP(R1265,BDins,6,FALSE)))))</f>
        <v>352</v>
      </c>
      <c r="S1267">
        <f>IF(S1269&gt;10000,HLOOKUP(S1269,$O1265:R1268,4,FALSE),IF(OR(AND(22500&lt;S1265,S1265&lt;25001),AND(50000&lt;S1265,S1265&lt;53501),AND(70000&lt;S1265,S1265&lt;72501)),$F1265,IF(OR(AND(25001&lt;S1265,S1265&lt;27501),AND(53500&lt;S1265,S1265&lt;57001),AND(72500&lt;S1265,S1265&lt;75001)),$G1265,IF(OR(AND(27500&lt;S1265,S1265&lt;30001),AND(57000&lt;S1265,S1265&lt;60001),AND(75000&lt;S1265,S1265&lt;77500)),$H1265,VLOOKUP(S1265,BDins,6,FALSE)))))</f>
        <v>29.5</v>
      </c>
      <c r="T1267">
        <f>IF(T1269&gt;10000,HLOOKUP(T1269,$O1265:S1268,4,FALSE),IF(OR(AND(22500&lt;T1265,T1265&lt;25001),AND(50000&lt;T1265,T1265&lt;53501),AND(70000&lt;T1265,T1265&lt;72501)),$F1265,IF(OR(AND(25001&lt;T1265,T1265&lt;27501),AND(53500&lt;T1265,T1265&lt;57001),AND(72500&lt;T1265,T1265&lt;75001)),$G1265,IF(OR(AND(27500&lt;T1265,T1265&lt;30001),AND(57000&lt;T1265,T1265&lt;60001),AND(75000&lt;T1265,T1265&lt;77500)),$H1265,VLOOKUP(T1265,BDins,6,FALSE)))))</f>
        <v>29.5</v>
      </c>
      <c r="U1267">
        <f>IF(U1269&gt;10000,HLOOKUP(U1269,$O1265:T1268,4,FALSE),IF(OR(AND(22500&lt;U1265,U1265&lt;25001),AND(50000&lt;U1265,U1265&lt;53501),AND(70000&lt;U1265,U1265&lt;72501)),$F1265,IF(OR(AND(25001&lt;U1265,U1265&lt;27501),AND(53500&lt;U1265,U1265&lt;57001),AND(72500&lt;U1265,U1265&lt;75001)),$G1265,IF(OR(AND(27500&lt;U1265,U1265&lt;30001),AND(57000&lt;U1265,U1265&lt;60001),AND(75000&lt;U1265,U1265&lt;77500)),$H1265,VLOOKUP(U1265,BDins,6,FALSE)))))</f>
        <v>32</v>
      </c>
      <c r="V1267">
        <f>IF(V1269&gt;10000,HLOOKUP(V1269,$O1265:U1268,4,FALSE),IF(OR(AND(22500&lt;V1265,V1265&lt;25001),AND(50000&lt;V1265,V1265&lt;53501),AND(70000&lt;V1265,V1265&lt;72501)),$F1265,IF(OR(AND(25001&lt;V1265,V1265&lt;27501),AND(53500&lt;V1265,V1265&lt;57001),AND(72500&lt;V1265,V1265&lt;75001)),$G1265,IF(OR(AND(27500&lt;V1265,V1265&lt;30001),AND(57000&lt;V1265,V1265&lt;60001),AND(75000&lt;V1265,V1265&lt;77500)),$H1265,VLOOKUP(V1265,BDins,6,FALSE)))))</f>
        <v>38.5</v>
      </c>
      <c r="W1267">
        <f>IF(W1269&gt;10000,HLOOKUP(W1269,$O1265:V1268,4,FALSE),IF(OR(AND(22500&lt;W1265,W1265&lt;25001),AND(50000&lt;W1265,W1265&lt;53501),AND(70000&lt;W1265,W1265&lt;72501)),$F1265,IF(OR(AND(25001&lt;W1265,W1265&lt;27501),AND(53500&lt;W1265,W1265&lt;57001),AND(72500&lt;W1265,W1265&lt;75001)),$G1265,IF(OR(AND(27500&lt;W1265,W1265&lt;30001),AND(57000&lt;W1265,W1265&lt;60001),AND(75000&lt;W1265,W1265&lt;77500)),$H1265,VLOOKUP(W1265,BDins,6,FALSE)))))</f>
        <v>87</v>
      </c>
      <c r="X1267">
        <f>IF(X1269&gt;10000,HLOOKUP(X1269,$O1265:W1268,4,FALSE),IF(OR(AND(22500&lt;X1265,X1265&lt;25001),AND(50000&lt;X1265,X1265&lt;53501),AND(70000&lt;X1265,X1265&lt;72501)),$F1265,IF(OR(AND(25001&lt;X1265,X1265&lt;27501),AND(53500&lt;X1265,X1265&lt;57001),AND(72500&lt;X1265,X1265&lt;75001)),$G1265,IF(OR(AND(27500&lt;X1265,X1265&lt;30001),AND(57000&lt;X1265,X1265&lt;60001),AND(75000&lt;X1265,X1265&lt;77500)),$H1265,VLOOKUP(X1265,BDins,6,FALSE)))))</f>
        <v>90</v>
      </c>
      <c r="Y1267">
        <f>IF(Y1269&gt;10000,HLOOKUP(Y1269,$O1265:X1268,4,FALSE),IF(OR(AND(22500&lt;Y1265,Y1265&lt;25001),AND(50000&lt;Y1265,Y1265&lt;53501),AND(70000&lt;Y1265,Y1265&lt;72501)),$F1265,IF(OR(AND(25001&lt;Y1265,Y1265&lt;27501),AND(53500&lt;Y1265,Y1265&lt;57001),AND(72500&lt;Y1265,Y1265&lt;75001)),$G1265,IF(OR(AND(27500&lt;Y1265,Y1265&lt;30001),AND(57000&lt;Y1265,Y1265&lt;60001),AND(75000&lt;Y1265,Y1265&lt;77500)),$H1265,VLOOKUP(Y1265,BDins,6,FALSE)))))</f>
        <v>400</v>
      </c>
      <c r="Z1267">
        <f>IF(Z1269&gt;10000,HLOOKUP(Z1269,$O1265:Y1268,4,FALSE),IF(OR(AND(22500&lt;Z1265,Z1265&lt;25001),AND(50000&lt;Z1265,Z1265&lt;53501),AND(70000&lt;Z1265,Z1265&lt;72501)),$F1265,IF(OR(AND(25001&lt;Z1265,Z1265&lt;27501),AND(53500&lt;Z1265,Z1265&lt;57001),AND(72500&lt;Z1265,Z1265&lt;75001)),$G1265,IF(OR(AND(27500&lt;Z1265,Z1265&lt;30001),AND(57000&lt;Z1265,Z1265&lt;60001),AND(75000&lt;Z1265,Z1265&lt;77500)),$H1265,VLOOKUP(Z1265,BDins,6,FALSE)))))</f>
        <v>85</v>
      </c>
      <c r="AA1267">
        <f>IF(AA1269&gt;10000,HLOOKUP(AA1269,$O1265:Z1268,4,FALSE),IF(OR(AND(22500&lt;AA1265,AA1265&lt;25001),AND(50000&lt;AA1265,AA1265&lt;53501),AND(70000&lt;AA1265,AA1265&lt;72501)),$F1265,IF(OR(AND(25001&lt;AA1265,AA1265&lt;27501),AND(53500&lt;AA1265,AA1265&lt;57001),AND(72500&lt;AA1265,AA1265&lt;75001)),$G1265,IF(OR(AND(27500&lt;AA1265,AA1265&lt;30001),AND(57000&lt;AA1265,AA1265&lt;60001),AND(75000&lt;AA1265,AA1265&lt;77500)),$H1265,VLOOKUP(AA1265,BDins,6,FALSE)))))</f>
        <v>133</v>
      </c>
      <c r="AB1267">
        <f>IF(AB1269&gt;10000,HLOOKUP(AB1269,$O1265:AA1268,4,FALSE),IF(OR(AND(22500&lt;AB1265,AB1265&lt;25001),AND(50000&lt;AB1265,AB1265&lt;53501),AND(70000&lt;AB1265,AB1265&lt;72501)),$F1265,IF(OR(AND(25001&lt;AB1265,AB1265&lt;27501),AND(53500&lt;AB1265,AB1265&lt;57001),AND(72500&lt;AB1265,AB1265&lt;75001)),$G1265,IF(OR(AND(27500&lt;AB1265,AB1265&lt;30001),AND(57000&lt;AB1265,AB1265&lt;60001),AND(75000&lt;AB1265,AB1265&lt;77500)),$H1265,VLOOKUP(AB1265,BDins,6,FALSE)))))</f>
        <v>237.5</v>
      </c>
      <c r="AC1267">
        <f>IF(AC1269&gt;10000,HLOOKUP(AC1269,$O1265:AB1268,4,FALSE),IF(OR(AND(22500&lt;AC1265,AC1265&lt;25001),AND(50000&lt;AC1265,AC1265&lt;53501),AND(70000&lt;AC1265,AC1265&lt;72501)),$F1265,IF(OR(AND(25001&lt;AC1265,AC1265&lt;27501),AND(53500&lt;AC1265,AC1265&lt;57001),AND(72500&lt;AC1265,AC1265&lt;75001)),$G1265,IF(OR(AND(27500&lt;AC1265,AC1265&lt;30001),AND(57000&lt;AC1265,AC1265&lt;60001),AND(75000&lt;AC1265,AC1265&lt;77500)),$H1265,VLOOKUP(AC1265,BDins,6,FALSE)))))</f>
        <v>330.53000000000003</v>
      </c>
    </row>
    <row r="1268" spans="1:29" x14ac:dyDescent="0.2">
      <c r="O1268">
        <f t="shared" ref="O1268:AC1268" si="180">IF($K1265&gt;0,ROUND(O1266*$E1265/100,DpCU),IF(O1269&gt;10000,ROUND(HLOOKUP(O1269,$O1265:$AC1268,4,FALSE)/100*O1266,DpCU),IF(OR(O1265&lt;20001,O1265&gt;95000,AND(60000&lt;O1265,O1265&lt;70001)),ROUND(ROUND(O1266*JL/$C1265,DcCU)*O1267,DpCU),IF(OR(AND(20000&lt;O1265,O1265&lt;22501),AND(30000&lt;O1265,O1265&lt;50001),77500&lt;O1265),ROUND(O1267*O1266,DpCU),IF(OR(AND(22500&lt;O1265,O1265&lt;25001),AND(50000&lt;O1265,O1265&lt;53501),AND(70000&lt;O1265,O1265&lt;72501)),ROUND($F1265/100*O1266,DpCU),IF(OR(AND(25000&lt;O1265,O1265&lt;27501),AND(53500&lt;O1265,O1265&lt;57001),AND(72500&lt;O1265,O1265&lt;75001)),ROUND($G1265/100*O1266,DpCU),ROUND($H1265/100*O1266,DpCU)))))))</f>
        <v>26.64</v>
      </c>
      <c r="P1268">
        <f t="shared" si="180"/>
        <v>221.97</v>
      </c>
      <c r="Q1268">
        <f t="shared" si="180"/>
        <v>81.92</v>
      </c>
      <c r="R1268">
        <f t="shared" si="180"/>
        <v>352</v>
      </c>
      <c r="S1268">
        <f t="shared" si="180"/>
        <v>118</v>
      </c>
      <c r="T1268">
        <f t="shared" si="180"/>
        <v>206.5</v>
      </c>
      <c r="U1268">
        <f t="shared" si="180"/>
        <v>32</v>
      </c>
      <c r="V1268">
        <f t="shared" si="180"/>
        <v>38.5</v>
      </c>
      <c r="W1268">
        <f t="shared" si="180"/>
        <v>87</v>
      </c>
      <c r="X1268">
        <f t="shared" si="180"/>
        <v>180</v>
      </c>
      <c r="Y1268">
        <f t="shared" si="180"/>
        <v>400</v>
      </c>
      <c r="Z1268">
        <f t="shared" si="180"/>
        <v>255</v>
      </c>
      <c r="AA1268">
        <f t="shared" si="180"/>
        <v>399</v>
      </c>
      <c r="AB1268">
        <f t="shared" si="180"/>
        <v>712.5</v>
      </c>
      <c r="AC1268">
        <f t="shared" si="180"/>
        <v>16.53</v>
      </c>
    </row>
    <row r="1269" spans="1:29" x14ac:dyDescent="0.2">
      <c r="B1269" s="3" t="str">
        <f>A1265&amp;"r"</f>
        <v>10253r</v>
      </c>
    </row>
    <row r="1270" spans="1:29" x14ac:dyDescent="0.2">
      <c r="A1270">
        <v>10254</v>
      </c>
      <c r="B1270" s="3" t="s">
        <v>1272</v>
      </c>
      <c r="C1270" s="1">
        <f>ROUND(J1270*JL*Frto/8,4)</f>
        <v>3</v>
      </c>
      <c r="D1270" t="s">
        <v>174</v>
      </c>
      <c r="E1270">
        <f>SUM($O1273:$W1273)</f>
        <v>545.46999999999991</v>
      </c>
      <c r="F1270">
        <f>SUMIF($O1270:$W1270,"&lt;22501",$O1273:$W1273)</f>
        <v>103.11000000000001</v>
      </c>
      <c r="G1270">
        <f>SUMIFS($O1273:$W1273,$O1270:$W1270,"&gt;30000",$O1270:$W1270,"&lt;50001")</f>
        <v>437.2</v>
      </c>
      <c r="H1270">
        <f>SUMIFS($O1273:$W1273,$O1270:$W1270,"&gt;60000",$O1270:$W1270,"&lt;70001")</f>
        <v>0</v>
      </c>
      <c r="I1270">
        <v>9</v>
      </c>
      <c r="J1270">
        <v>3</v>
      </c>
      <c r="O1270">
        <v>10001</v>
      </c>
      <c r="P1270">
        <v>10002</v>
      </c>
      <c r="Q1270">
        <v>10003</v>
      </c>
      <c r="R1270">
        <v>30328</v>
      </c>
      <c r="S1270">
        <v>30329</v>
      </c>
      <c r="T1270">
        <v>30333</v>
      </c>
      <c r="U1270">
        <v>30336</v>
      </c>
      <c r="V1270">
        <v>30338</v>
      </c>
      <c r="W1270">
        <v>70001</v>
      </c>
    </row>
    <row r="1271" spans="1:29" x14ac:dyDescent="0.2">
      <c r="B1271" s="3" t="str">
        <f>A1270&amp;"C"</f>
        <v>10254C</v>
      </c>
      <c r="O1271">
        <v>0.1</v>
      </c>
      <c r="P1271">
        <v>1</v>
      </c>
      <c r="Q1271">
        <v>1</v>
      </c>
      <c r="R1271">
        <v>1</v>
      </c>
      <c r="S1271">
        <v>1</v>
      </c>
      <c r="T1271">
        <v>1</v>
      </c>
      <c r="U1271">
        <v>1</v>
      </c>
      <c r="V1271">
        <v>1</v>
      </c>
      <c r="W1271">
        <v>5</v>
      </c>
    </row>
    <row r="1272" spans="1:29" x14ac:dyDescent="0.2">
      <c r="O1272">
        <f>IF(O1274&gt;10000,HLOOKUP(O1274,N1270:$O1273,4,FALSE),IF(OR(AND(22500&lt;O1270,O1270&lt;25001),AND(50000&lt;O1270,O1270&lt;53501),AND(70000&lt;O1270,O1270&lt;72501)),$F1270,IF(OR(AND(25001&lt;O1270,O1270&lt;27501),AND(53500&lt;O1270,O1270&lt;57001),AND(72500&lt;O1270,O1270&lt;75001)),$G1270,IF(OR(AND(27500&lt;O1270,O1270&lt;30001),AND(57000&lt;O1270,O1270&lt;60001),AND(75000&lt;O1270,O1270&lt;77500)),$H1270,VLOOKUP(O1270,BDins,6,FALSE)))))</f>
        <v>24.97</v>
      </c>
      <c r="P1272">
        <f>IF(P1274&gt;10000,HLOOKUP(P1274,O1270:$O1273,4,FALSE),IF(OR(AND(22500&lt;P1270,P1270&lt;25001),AND(50000&lt;P1270,P1270&lt;53501),AND(70000&lt;P1270,P1270&lt;72501)),$F1270,IF(OR(AND(25001&lt;P1270,P1270&lt;27501),AND(53500&lt;P1270,P1270&lt;57001),AND(72500&lt;P1270,P1270&lt;75001)),$G1270,IF(OR(AND(27500&lt;P1270,P1270&lt;30001),AND(57000&lt;P1270,P1270&lt;60001),AND(75000&lt;P1270,P1270&lt;77500)),$H1270,VLOOKUP(P1270,BDins,6,FALSE)))))</f>
        <v>20.81</v>
      </c>
      <c r="Q1272">
        <f>IF(Q1274&gt;10000,HLOOKUP(Q1274,$O1270:P1273,4,FALSE),IF(OR(AND(22500&lt;Q1270,Q1270&lt;25001),AND(50000&lt;Q1270,Q1270&lt;53501),AND(70000&lt;Q1270,Q1270&lt;72501)),$F1270,IF(OR(AND(25001&lt;Q1270,Q1270&lt;27501),AND(53500&lt;Q1270,Q1270&lt;57001),AND(72500&lt;Q1270,Q1270&lt;75001)),$G1270,IF(OR(AND(27500&lt;Q1270,Q1270&lt;30001),AND(57000&lt;Q1270,Q1270&lt;60001),AND(75000&lt;Q1270,Q1270&lt;77500)),$H1270,VLOOKUP(Q1270,BDins,6,FALSE)))))</f>
        <v>15.36</v>
      </c>
      <c r="R1272">
        <f>IF(R1274&gt;10000,HLOOKUP(R1274,$O1270:Q1273,4,FALSE),IF(OR(AND(22500&lt;R1270,R1270&lt;25001),AND(50000&lt;R1270,R1270&lt;53501),AND(70000&lt;R1270,R1270&lt;72501)),$F1270,IF(OR(AND(25001&lt;R1270,R1270&lt;27501),AND(53500&lt;R1270,R1270&lt;57001),AND(72500&lt;R1270,R1270&lt;75001)),$G1270,IF(OR(AND(27500&lt;R1270,R1270&lt;30001),AND(57000&lt;R1270,R1270&lt;60001),AND(75000&lt;R1270,R1270&lt;77500)),$H1270,VLOOKUP(R1270,BDins,6,FALSE)))))</f>
        <v>29.5</v>
      </c>
      <c r="S1272">
        <f>IF(S1274&gt;10000,HLOOKUP(S1274,$O1270:R1273,4,FALSE),IF(OR(AND(22500&lt;S1270,S1270&lt;25001),AND(50000&lt;S1270,S1270&lt;53501),AND(70000&lt;S1270,S1270&lt;72501)),$F1270,IF(OR(AND(25001&lt;S1270,S1270&lt;27501),AND(53500&lt;S1270,S1270&lt;57001),AND(72500&lt;S1270,S1270&lt;75001)),$G1270,IF(OR(AND(27500&lt;S1270,S1270&lt;30001),AND(57000&lt;S1270,S1270&lt;60001),AND(75000&lt;S1270,S1270&lt;77500)),$H1270,VLOOKUP(S1270,BDins,6,FALSE)))))</f>
        <v>29.5</v>
      </c>
      <c r="T1272">
        <f>IF(T1274&gt;10000,HLOOKUP(T1274,$O1270:S1273,4,FALSE),IF(OR(AND(22500&lt;T1270,T1270&lt;25001),AND(50000&lt;T1270,T1270&lt;53501),AND(70000&lt;T1270,T1270&lt;72501)),$F1270,IF(OR(AND(25001&lt;T1270,T1270&lt;27501),AND(53500&lt;T1270,T1270&lt;57001),AND(72500&lt;T1270,T1270&lt;75001)),$G1270,IF(OR(AND(27500&lt;T1270,T1270&lt;30001),AND(57000&lt;T1270,T1270&lt;60001),AND(75000&lt;T1270,T1270&lt;77500)),$H1270,VLOOKUP(T1270,BDins,6,FALSE)))))</f>
        <v>90</v>
      </c>
      <c r="U1272">
        <f>IF(U1274&gt;10000,HLOOKUP(U1274,$O1270:T1273,4,FALSE),IF(OR(AND(22500&lt;U1270,U1270&lt;25001),AND(50000&lt;U1270,U1270&lt;53501),AND(70000&lt;U1270,U1270&lt;72501)),$F1270,IF(OR(AND(25001&lt;U1270,U1270&lt;27501),AND(53500&lt;U1270,U1270&lt;57001),AND(72500&lt;U1270,U1270&lt;75001)),$G1270,IF(OR(AND(27500&lt;U1270,U1270&lt;30001),AND(57000&lt;U1270,U1270&lt;60001),AND(75000&lt;U1270,U1270&lt;77500)),$H1270,VLOOKUP(U1270,BDins,6,FALSE)))))</f>
        <v>133</v>
      </c>
      <c r="V1272">
        <f>IF(V1274&gt;10000,HLOOKUP(V1274,$O1270:U1273,4,FALSE),IF(OR(AND(22500&lt;V1270,V1270&lt;25001),AND(50000&lt;V1270,V1270&lt;53501),AND(70000&lt;V1270,V1270&lt;72501)),$F1270,IF(OR(AND(25001&lt;V1270,V1270&lt;27501),AND(53500&lt;V1270,V1270&lt;57001),AND(72500&lt;V1270,V1270&lt;75001)),$G1270,IF(OR(AND(27500&lt;V1270,V1270&lt;30001),AND(57000&lt;V1270,V1270&lt;60001),AND(75000&lt;V1270,V1270&lt;77500)),$H1270,VLOOKUP(V1270,BDins,6,FALSE)))))</f>
        <v>155.19999999999999</v>
      </c>
      <c r="W1272">
        <f>IF(W1274&gt;10000,HLOOKUP(W1274,$O1270:V1273,4,FALSE),IF(OR(AND(22500&lt;W1270,W1270&lt;25001),AND(50000&lt;W1270,W1270&lt;53501),AND(70000&lt;W1270,W1270&lt;72501)),$F1270,IF(OR(AND(25001&lt;W1270,W1270&lt;27501),AND(53500&lt;W1270,W1270&lt;57001),AND(72500&lt;W1270,W1270&lt;75001)),$G1270,IF(OR(AND(27500&lt;W1270,W1270&lt;30001),AND(57000&lt;W1270,W1270&lt;60001),AND(75000&lt;W1270,W1270&lt;77500)),$H1270,VLOOKUP(W1270,BDins,6,FALSE)))))</f>
        <v>103.11000000000001</v>
      </c>
    </row>
    <row r="1273" spans="1:29" x14ac:dyDescent="0.2">
      <c r="O1273">
        <f t="shared" ref="O1273:W1273" si="181">IF($K1270&gt;0,ROUND(O1271*$E1270/100,DpCU),IF(O1274&gt;10000,ROUND(HLOOKUP(O1274,$O1270:$W1273,4,FALSE)/100*O1271,DpCU),IF(OR(O1270&lt;20001,O1270&gt;95000,AND(60000&lt;O1270,O1270&lt;70001)),ROUND(ROUND(O1271*JL/$C1270,DcCU)*O1272,DpCU),IF(OR(AND(20000&lt;O1270,O1270&lt;22501),AND(30000&lt;O1270,O1270&lt;50001),77500&lt;O1270),ROUND(O1272*O1271,DpCU),IF(OR(AND(22500&lt;O1270,O1270&lt;25001),AND(50000&lt;O1270,O1270&lt;53501),AND(70000&lt;O1270,O1270&lt;72501)),ROUND($F1270/100*O1271,DpCU),IF(OR(AND(25000&lt;O1270,O1270&lt;27501),AND(53500&lt;O1270,O1270&lt;57001),AND(72500&lt;O1270,O1270&lt;75001)),ROUND($G1270/100*O1271,DpCU),ROUND($H1270/100*O1271,DpCU)))))))</f>
        <v>6.66</v>
      </c>
      <c r="P1273">
        <f t="shared" si="181"/>
        <v>55.49</v>
      </c>
      <c r="Q1273">
        <f t="shared" si="181"/>
        <v>40.96</v>
      </c>
      <c r="R1273">
        <f t="shared" si="181"/>
        <v>29.5</v>
      </c>
      <c r="S1273">
        <f t="shared" si="181"/>
        <v>29.5</v>
      </c>
      <c r="T1273">
        <f t="shared" si="181"/>
        <v>90</v>
      </c>
      <c r="U1273">
        <f t="shared" si="181"/>
        <v>133</v>
      </c>
      <c r="V1273">
        <f t="shared" si="181"/>
        <v>155.19999999999999</v>
      </c>
      <c r="W1273">
        <f t="shared" si="181"/>
        <v>5.16</v>
      </c>
    </row>
    <row r="1274" spans="1:29" x14ac:dyDescent="0.2">
      <c r="B1274" s="3" t="str">
        <f>A1270&amp;"r"</f>
        <v>10254r</v>
      </c>
    </row>
    <row r="1275" spans="1:29" x14ac:dyDescent="0.2">
      <c r="A1275">
        <v>10255</v>
      </c>
      <c r="B1275" s="3" t="s">
        <v>1275</v>
      </c>
      <c r="C1275" s="1">
        <f>ROUND(J1275*JL*Frto/8,4)</f>
        <v>3</v>
      </c>
      <c r="D1275" t="s">
        <v>174</v>
      </c>
      <c r="E1275">
        <f>SUM($O1278:$Y1278)</f>
        <v>469.27000000000004</v>
      </c>
      <c r="F1275">
        <f>SUMIF($O1275:$Y1275,"&lt;22501",$O1278:$Y1278)</f>
        <v>103.11000000000001</v>
      </c>
      <c r="G1275">
        <f>SUMIFS($O1278:$Y1278,$O1275:$Y1275,"&gt;30000",$O1275:$Y1275,"&lt;50001")</f>
        <v>361</v>
      </c>
      <c r="H1275">
        <f>SUMIFS($O1278:$Y1278,$O1275:$Y1275,"&gt;60000",$O1275:$Y1275,"&lt;70001")</f>
        <v>0</v>
      </c>
      <c r="I1275">
        <v>11</v>
      </c>
      <c r="J1275">
        <v>3</v>
      </c>
      <c r="O1275">
        <v>10001</v>
      </c>
      <c r="P1275">
        <v>10002</v>
      </c>
      <c r="Q1275">
        <v>10003</v>
      </c>
      <c r="R1275">
        <v>30336</v>
      </c>
      <c r="S1275">
        <v>30339</v>
      </c>
      <c r="T1275">
        <v>30340</v>
      </c>
      <c r="U1275">
        <v>30341</v>
      </c>
      <c r="V1275">
        <v>30342</v>
      </c>
      <c r="W1275">
        <v>30343</v>
      </c>
      <c r="X1275">
        <v>30344</v>
      </c>
      <c r="Y1275">
        <v>70001</v>
      </c>
    </row>
    <row r="1276" spans="1:29" x14ac:dyDescent="0.2">
      <c r="B1276" s="3" t="str">
        <f>A1275&amp;"C"</f>
        <v>10255C</v>
      </c>
      <c r="O1276">
        <v>0.1</v>
      </c>
      <c r="P1276">
        <v>1</v>
      </c>
      <c r="Q1276">
        <v>1</v>
      </c>
      <c r="R1276">
        <v>1</v>
      </c>
      <c r="S1276">
        <v>1</v>
      </c>
      <c r="T1276">
        <v>2</v>
      </c>
      <c r="U1276">
        <v>1</v>
      </c>
      <c r="V1276">
        <v>1</v>
      </c>
      <c r="W1276">
        <v>1</v>
      </c>
      <c r="X1276">
        <v>1</v>
      </c>
      <c r="Y1276">
        <v>5</v>
      </c>
    </row>
    <row r="1277" spans="1:29" x14ac:dyDescent="0.2">
      <c r="O1277">
        <f>IF(O1279&gt;10000,HLOOKUP(O1279,N1275:$O1278,4,FALSE),IF(OR(AND(22500&lt;O1275,O1275&lt;25001),AND(50000&lt;O1275,O1275&lt;53501),AND(70000&lt;O1275,O1275&lt;72501)),$F1275,IF(OR(AND(25001&lt;O1275,O1275&lt;27501),AND(53500&lt;O1275,O1275&lt;57001),AND(72500&lt;O1275,O1275&lt;75001)),$G1275,IF(OR(AND(27500&lt;O1275,O1275&lt;30001),AND(57000&lt;O1275,O1275&lt;60001),AND(75000&lt;O1275,O1275&lt;77500)),$H1275,VLOOKUP(O1275,BDins,6,FALSE)))))</f>
        <v>24.97</v>
      </c>
      <c r="P1277">
        <f>IF(P1279&gt;10000,HLOOKUP(P1279,O1275:$O1278,4,FALSE),IF(OR(AND(22500&lt;P1275,P1275&lt;25001),AND(50000&lt;P1275,P1275&lt;53501),AND(70000&lt;P1275,P1275&lt;72501)),$F1275,IF(OR(AND(25001&lt;P1275,P1275&lt;27501),AND(53500&lt;P1275,P1275&lt;57001),AND(72500&lt;P1275,P1275&lt;75001)),$G1275,IF(OR(AND(27500&lt;P1275,P1275&lt;30001),AND(57000&lt;P1275,P1275&lt;60001),AND(75000&lt;P1275,P1275&lt;77500)),$H1275,VLOOKUP(P1275,BDins,6,FALSE)))))</f>
        <v>20.81</v>
      </c>
      <c r="Q1277">
        <f>IF(Q1279&gt;10000,HLOOKUP(Q1279,$O1275:P1278,4,FALSE),IF(OR(AND(22500&lt;Q1275,Q1275&lt;25001),AND(50000&lt;Q1275,Q1275&lt;53501),AND(70000&lt;Q1275,Q1275&lt;72501)),$F1275,IF(OR(AND(25001&lt;Q1275,Q1275&lt;27501),AND(53500&lt;Q1275,Q1275&lt;57001),AND(72500&lt;Q1275,Q1275&lt;75001)),$G1275,IF(OR(AND(27500&lt;Q1275,Q1275&lt;30001),AND(57000&lt;Q1275,Q1275&lt;60001),AND(75000&lt;Q1275,Q1275&lt;77500)),$H1275,VLOOKUP(Q1275,BDins,6,FALSE)))))</f>
        <v>15.36</v>
      </c>
      <c r="R1277">
        <f>IF(R1279&gt;10000,HLOOKUP(R1279,$O1275:Q1278,4,FALSE),IF(OR(AND(22500&lt;R1275,R1275&lt;25001),AND(50000&lt;R1275,R1275&lt;53501),AND(70000&lt;R1275,R1275&lt;72501)),$F1275,IF(OR(AND(25001&lt;R1275,R1275&lt;27501),AND(53500&lt;R1275,R1275&lt;57001),AND(72500&lt;R1275,R1275&lt;75001)),$G1275,IF(OR(AND(27500&lt;R1275,R1275&lt;30001),AND(57000&lt;R1275,R1275&lt;60001),AND(75000&lt;R1275,R1275&lt;77500)),$H1275,VLOOKUP(R1275,BDins,6,FALSE)))))</f>
        <v>133</v>
      </c>
      <c r="S1277">
        <f>IF(S1279&gt;10000,HLOOKUP(S1279,$O1275:R1278,4,FALSE),IF(OR(AND(22500&lt;S1275,S1275&lt;25001),AND(50000&lt;S1275,S1275&lt;53501),AND(70000&lt;S1275,S1275&lt;72501)),$F1275,IF(OR(AND(25001&lt;S1275,S1275&lt;27501),AND(53500&lt;S1275,S1275&lt;57001),AND(72500&lt;S1275,S1275&lt;75001)),$G1275,IF(OR(AND(27500&lt;S1275,S1275&lt;30001),AND(57000&lt;S1275,S1275&lt;60001),AND(75000&lt;S1275,S1275&lt;77500)),$H1275,VLOOKUP(S1275,BDins,6,FALSE)))))</f>
        <v>40</v>
      </c>
      <c r="T1277">
        <f>IF(T1279&gt;10000,HLOOKUP(T1279,$O1275:S1278,4,FALSE),IF(OR(AND(22500&lt;T1275,T1275&lt;25001),AND(50000&lt;T1275,T1275&lt;53501),AND(70000&lt;T1275,T1275&lt;72501)),$F1275,IF(OR(AND(25001&lt;T1275,T1275&lt;27501),AND(53500&lt;T1275,T1275&lt;57001),AND(72500&lt;T1275,T1275&lt;75001)),$G1275,IF(OR(AND(27500&lt;T1275,T1275&lt;30001),AND(57000&lt;T1275,T1275&lt;60001),AND(75000&lt;T1275,T1275&lt;77500)),$H1275,VLOOKUP(T1275,BDins,6,FALSE)))))</f>
        <v>29.5</v>
      </c>
      <c r="U1277">
        <f>IF(U1279&gt;10000,HLOOKUP(U1279,$O1275:T1278,4,FALSE),IF(OR(AND(22500&lt;U1275,U1275&lt;25001),AND(50000&lt;U1275,U1275&lt;53501),AND(70000&lt;U1275,U1275&lt;72501)),$F1275,IF(OR(AND(25001&lt;U1275,U1275&lt;27501),AND(53500&lt;U1275,U1275&lt;57001),AND(72500&lt;U1275,U1275&lt;75001)),$G1275,IF(OR(AND(27500&lt;U1275,U1275&lt;30001),AND(57000&lt;U1275,U1275&lt;60001),AND(75000&lt;U1275,U1275&lt;77500)),$H1275,VLOOKUP(U1275,BDins,6,FALSE)))))</f>
        <v>29.5</v>
      </c>
      <c r="V1277">
        <f>IF(V1279&gt;10000,HLOOKUP(V1279,$O1275:U1278,4,FALSE),IF(OR(AND(22500&lt;V1275,V1275&lt;25001),AND(50000&lt;V1275,V1275&lt;53501),AND(70000&lt;V1275,V1275&lt;72501)),$F1275,IF(OR(AND(25001&lt;V1275,V1275&lt;27501),AND(53500&lt;V1275,V1275&lt;57001),AND(72500&lt;V1275,V1275&lt;75001)),$G1275,IF(OR(AND(27500&lt;V1275,V1275&lt;30001),AND(57000&lt;V1275,V1275&lt;60001),AND(75000&lt;V1275,V1275&lt;77500)),$H1275,VLOOKUP(V1275,BDins,6,FALSE)))))</f>
        <v>29.5</v>
      </c>
      <c r="W1277">
        <f>IF(W1279&gt;10000,HLOOKUP(W1279,$O1275:V1278,4,FALSE),IF(OR(AND(22500&lt;W1275,W1275&lt;25001),AND(50000&lt;W1275,W1275&lt;53501),AND(70000&lt;W1275,W1275&lt;72501)),$F1275,IF(OR(AND(25001&lt;W1275,W1275&lt;27501),AND(53500&lt;W1275,W1275&lt;57001),AND(72500&lt;W1275,W1275&lt;75001)),$G1275,IF(OR(AND(27500&lt;W1275,W1275&lt;30001),AND(57000&lt;W1275,W1275&lt;60001),AND(75000&lt;W1275,W1275&lt;77500)),$H1275,VLOOKUP(W1275,BDins,6,FALSE)))))</f>
        <v>29.5</v>
      </c>
      <c r="X1277">
        <f>IF(X1279&gt;10000,HLOOKUP(X1279,$O1275:W1278,4,FALSE),IF(OR(AND(22500&lt;X1275,X1275&lt;25001),AND(50000&lt;X1275,X1275&lt;53501),AND(70000&lt;X1275,X1275&lt;72501)),$F1275,IF(OR(AND(25001&lt;X1275,X1275&lt;27501),AND(53500&lt;X1275,X1275&lt;57001),AND(72500&lt;X1275,X1275&lt;75001)),$G1275,IF(OR(AND(27500&lt;X1275,X1275&lt;30001),AND(57000&lt;X1275,X1275&lt;60001),AND(75000&lt;X1275,X1275&lt;77500)),$H1275,VLOOKUP(X1275,BDins,6,FALSE)))))</f>
        <v>40.5</v>
      </c>
      <c r="Y1277">
        <f>IF(Y1279&gt;10000,HLOOKUP(Y1279,$O1275:X1278,4,FALSE),IF(OR(AND(22500&lt;Y1275,Y1275&lt;25001),AND(50000&lt;Y1275,Y1275&lt;53501),AND(70000&lt;Y1275,Y1275&lt;72501)),$F1275,IF(OR(AND(25001&lt;Y1275,Y1275&lt;27501),AND(53500&lt;Y1275,Y1275&lt;57001),AND(72500&lt;Y1275,Y1275&lt;75001)),$G1275,IF(OR(AND(27500&lt;Y1275,Y1275&lt;30001),AND(57000&lt;Y1275,Y1275&lt;60001),AND(75000&lt;Y1275,Y1275&lt;77500)),$H1275,VLOOKUP(Y1275,BDins,6,FALSE)))))</f>
        <v>103.11000000000001</v>
      </c>
    </row>
    <row r="1278" spans="1:29" x14ac:dyDescent="0.2">
      <c r="O1278">
        <f t="shared" ref="O1278:Y1278" si="182">IF($K1275&gt;0,ROUND(O1276*$E1275/100,DpCU),IF(O1279&gt;10000,ROUND(HLOOKUP(O1279,$O1275:$Y1278,4,FALSE)/100*O1276,DpCU),IF(OR(O1275&lt;20001,O1275&gt;95000,AND(60000&lt;O1275,O1275&lt;70001)),ROUND(ROUND(O1276*JL/$C1275,DcCU)*O1277,DpCU),IF(OR(AND(20000&lt;O1275,O1275&lt;22501),AND(30000&lt;O1275,O1275&lt;50001),77500&lt;O1275),ROUND(O1277*O1276,DpCU),IF(OR(AND(22500&lt;O1275,O1275&lt;25001),AND(50000&lt;O1275,O1275&lt;53501),AND(70000&lt;O1275,O1275&lt;72501)),ROUND($F1275/100*O1276,DpCU),IF(OR(AND(25000&lt;O1275,O1275&lt;27501),AND(53500&lt;O1275,O1275&lt;57001),AND(72500&lt;O1275,O1275&lt;75001)),ROUND($G1275/100*O1276,DpCU),ROUND($H1275/100*O1276,DpCU)))))))</f>
        <v>6.66</v>
      </c>
      <c r="P1278">
        <f t="shared" si="182"/>
        <v>55.49</v>
      </c>
      <c r="Q1278">
        <f t="shared" si="182"/>
        <v>40.96</v>
      </c>
      <c r="R1278">
        <f t="shared" si="182"/>
        <v>133</v>
      </c>
      <c r="S1278">
        <f t="shared" si="182"/>
        <v>40</v>
      </c>
      <c r="T1278">
        <f t="shared" si="182"/>
        <v>59</v>
      </c>
      <c r="U1278">
        <f t="shared" si="182"/>
        <v>29.5</v>
      </c>
      <c r="V1278">
        <f t="shared" si="182"/>
        <v>29.5</v>
      </c>
      <c r="W1278">
        <f t="shared" si="182"/>
        <v>29.5</v>
      </c>
      <c r="X1278">
        <f t="shared" si="182"/>
        <v>40.5</v>
      </c>
      <c r="Y1278">
        <f t="shared" si="182"/>
        <v>5.16</v>
      </c>
    </row>
    <row r="1279" spans="1:29" x14ac:dyDescent="0.2">
      <c r="B1279" s="3" t="str">
        <f>A1275&amp;"r"</f>
        <v>10255r</v>
      </c>
    </row>
    <row r="1280" spans="1:29" x14ac:dyDescent="0.2">
      <c r="A1280">
        <v>10256</v>
      </c>
      <c r="B1280" s="3" t="s">
        <v>1285</v>
      </c>
      <c r="C1280" s="1">
        <f>ROUND(J1280*JL*Frto/8,4)</f>
        <v>0.75</v>
      </c>
      <c r="D1280" t="s">
        <v>7</v>
      </c>
      <c r="E1280">
        <f>SUM($O1283:$Z1283)</f>
        <v>557.32000000000005</v>
      </c>
      <c r="F1280">
        <f>SUMIF($O1280:$Z1280,"&lt;22501",$O1283:$Z1283)</f>
        <v>379.68</v>
      </c>
      <c r="G1280">
        <f>SUMIFS($O1283:$Z1283,$O1280:$Z1280,"&gt;30000",$O1280:$Z1280,"&lt;50001")</f>
        <v>175.25</v>
      </c>
      <c r="H1280">
        <f>SUMIFS($O1283:$Z1283,$O1280:$Z1280,"&gt;60000",$O1280:$Z1280,"&lt;70001")</f>
        <v>0</v>
      </c>
      <c r="I1280">
        <v>12</v>
      </c>
      <c r="J1280">
        <v>0.75</v>
      </c>
      <c r="O1280">
        <v>10001</v>
      </c>
      <c r="P1280">
        <v>10002</v>
      </c>
      <c r="Q1280">
        <v>10003</v>
      </c>
      <c r="R1280">
        <v>30002</v>
      </c>
      <c r="S1280">
        <v>30051</v>
      </c>
      <c r="T1280">
        <v>30052</v>
      </c>
      <c r="U1280">
        <v>30055</v>
      </c>
      <c r="V1280">
        <v>30056</v>
      </c>
      <c r="W1280">
        <v>30093</v>
      </c>
      <c r="X1280">
        <v>30300</v>
      </c>
      <c r="Y1280">
        <v>30345</v>
      </c>
      <c r="Z1280">
        <v>70001</v>
      </c>
    </row>
    <row r="1281" spans="1:26" x14ac:dyDescent="0.2">
      <c r="B1281" s="3" t="str">
        <f>A1280&amp;"C"</f>
        <v>10256C</v>
      </c>
      <c r="O1281">
        <v>0.1</v>
      </c>
      <c r="P1281">
        <v>1</v>
      </c>
      <c r="Q1281">
        <v>0.8</v>
      </c>
      <c r="R1281">
        <v>5</v>
      </c>
      <c r="S1281">
        <v>0.1</v>
      </c>
      <c r="T1281">
        <v>0.1</v>
      </c>
      <c r="U1281">
        <v>2</v>
      </c>
      <c r="V1281">
        <v>0.2</v>
      </c>
      <c r="W1281">
        <v>0.05</v>
      </c>
      <c r="X1281">
        <v>10</v>
      </c>
      <c r="Y1281">
        <v>40</v>
      </c>
      <c r="Z1281">
        <v>0.63</v>
      </c>
    </row>
    <row r="1282" spans="1:26" x14ac:dyDescent="0.2">
      <c r="O1282">
        <f>IF(O1284&gt;10000,HLOOKUP(O1284,N1280:$O1283,4,FALSE),IF(OR(AND(22500&lt;O1280,O1280&lt;25001),AND(50000&lt;O1280,O1280&lt;53501),AND(70000&lt;O1280,O1280&lt;72501)),$F1280,IF(OR(AND(25001&lt;O1280,O1280&lt;27501),AND(53500&lt;O1280,O1280&lt;57001),AND(72500&lt;O1280,O1280&lt;75001)),$G1280,IF(OR(AND(27500&lt;O1280,O1280&lt;30001),AND(57000&lt;O1280,O1280&lt;60001),AND(75000&lt;O1280,O1280&lt;77500)),$H1280,VLOOKUP(O1280,BDins,6,FALSE)))))</f>
        <v>24.97</v>
      </c>
      <c r="P1282">
        <f>IF(P1284&gt;10000,HLOOKUP(P1284,O1280:$O1283,4,FALSE),IF(OR(AND(22500&lt;P1280,P1280&lt;25001),AND(50000&lt;P1280,P1280&lt;53501),AND(70000&lt;P1280,P1280&lt;72501)),$F1280,IF(OR(AND(25001&lt;P1280,P1280&lt;27501),AND(53500&lt;P1280,P1280&lt;57001),AND(72500&lt;P1280,P1280&lt;75001)),$G1280,IF(OR(AND(27500&lt;P1280,P1280&lt;30001),AND(57000&lt;P1280,P1280&lt;60001),AND(75000&lt;P1280,P1280&lt;77500)),$H1280,VLOOKUP(P1280,BDins,6,FALSE)))))</f>
        <v>20.81</v>
      </c>
      <c r="Q1282">
        <f>IF(Q1284&gt;10000,HLOOKUP(Q1284,$O1280:P1283,4,FALSE),IF(OR(AND(22500&lt;Q1280,Q1280&lt;25001),AND(50000&lt;Q1280,Q1280&lt;53501),AND(70000&lt;Q1280,Q1280&lt;72501)),$F1280,IF(OR(AND(25001&lt;Q1280,Q1280&lt;27501),AND(53500&lt;Q1280,Q1280&lt;57001),AND(72500&lt;Q1280,Q1280&lt;75001)),$G1280,IF(OR(AND(27500&lt;Q1280,Q1280&lt;30001),AND(57000&lt;Q1280,Q1280&lt;60001),AND(75000&lt;Q1280,Q1280&lt;77500)),$H1280,VLOOKUP(Q1280,BDins,6,FALSE)))))</f>
        <v>15.36</v>
      </c>
      <c r="R1282">
        <f>IF(R1284&gt;10000,HLOOKUP(R1284,$O1280:Q1283,4,FALSE),IF(OR(AND(22500&lt;R1280,R1280&lt;25001),AND(50000&lt;R1280,R1280&lt;53501),AND(70000&lt;R1280,R1280&lt;72501)),$F1280,IF(OR(AND(25001&lt;R1280,R1280&lt;27501),AND(53500&lt;R1280,R1280&lt;57001),AND(72500&lt;R1280,R1280&lt;75001)),$G1280,IF(OR(AND(27500&lt;R1280,R1280&lt;30001),AND(57000&lt;R1280,R1280&lt;60001),AND(75000&lt;R1280,R1280&lt;77500)),$H1280,VLOOKUP(R1280,BDins,6,FALSE)))))</f>
        <v>18.5</v>
      </c>
      <c r="S1282">
        <f>IF(S1284&gt;10000,HLOOKUP(S1284,$O1280:R1283,4,FALSE),IF(OR(AND(22500&lt;S1280,S1280&lt;25001),AND(50000&lt;S1280,S1280&lt;53501),AND(70000&lt;S1280,S1280&lt;72501)),$F1280,IF(OR(AND(25001&lt;S1280,S1280&lt;27501),AND(53500&lt;S1280,S1280&lt;57001),AND(72500&lt;S1280,S1280&lt;75001)),$G1280,IF(OR(AND(27500&lt;S1280,S1280&lt;30001),AND(57000&lt;S1280,S1280&lt;60001),AND(75000&lt;S1280,S1280&lt;77500)),$H1280,VLOOKUP(S1280,BDins,6,FALSE)))))</f>
        <v>3.5</v>
      </c>
      <c r="T1282">
        <f>IF(T1284&gt;10000,HLOOKUP(T1284,$O1280:S1283,4,FALSE),IF(OR(AND(22500&lt;T1280,T1280&lt;25001),AND(50000&lt;T1280,T1280&lt;53501),AND(70000&lt;T1280,T1280&lt;72501)),$F1280,IF(OR(AND(25001&lt;T1280,T1280&lt;27501),AND(53500&lt;T1280,T1280&lt;57001),AND(72500&lt;T1280,T1280&lt;75001)),$G1280,IF(OR(AND(27500&lt;T1280,T1280&lt;30001),AND(57000&lt;T1280,T1280&lt;60001),AND(75000&lt;T1280,T1280&lt;77500)),$H1280,VLOOKUP(T1280,BDins,6,FALSE)))))</f>
        <v>3.5</v>
      </c>
      <c r="U1282">
        <f>IF(U1284&gt;10000,HLOOKUP(U1284,$O1280:T1283,4,FALSE),IF(OR(AND(22500&lt;U1280,U1280&lt;25001),AND(50000&lt;U1280,U1280&lt;53501),AND(70000&lt;U1280,U1280&lt;72501)),$F1280,IF(OR(AND(25001&lt;U1280,U1280&lt;27501),AND(53500&lt;U1280,U1280&lt;57001),AND(72500&lt;U1280,U1280&lt;75001)),$G1280,IF(OR(AND(27500&lt;U1280,U1280&lt;30001),AND(57000&lt;U1280,U1280&lt;60001),AND(75000&lt;U1280,U1280&lt;77500)),$H1280,VLOOKUP(U1280,BDins,6,FALSE)))))</f>
        <v>3.9</v>
      </c>
      <c r="V1282">
        <f>IF(V1284&gt;10000,HLOOKUP(V1284,$O1280:U1283,4,FALSE),IF(OR(AND(22500&lt;V1280,V1280&lt;25001),AND(50000&lt;V1280,V1280&lt;53501),AND(70000&lt;V1280,V1280&lt;72501)),$F1280,IF(OR(AND(25001&lt;V1280,V1280&lt;27501),AND(53500&lt;V1280,V1280&lt;57001),AND(72500&lt;V1280,V1280&lt;75001)),$G1280,IF(OR(AND(27500&lt;V1280,V1280&lt;30001),AND(57000&lt;V1280,V1280&lt;60001),AND(75000&lt;V1280,V1280&lt;77500)),$H1280,VLOOKUP(V1280,BDins,6,FALSE)))))</f>
        <v>45</v>
      </c>
      <c r="W1282">
        <f>IF(W1284&gt;10000,HLOOKUP(W1284,$O1280:V1283,4,FALSE),IF(OR(AND(22500&lt;W1280,W1280&lt;25001),AND(50000&lt;W1280,W1280&lt;53501),AND(70000&lt;W1280,W1280&lt;72501)),$F1280,IF(OR(AND(25001&lt;W1280,W1280&lt;27501),AND(53500&lt;W1280,W1280&lt;57001),AND(72500&lt;W1280,W1280&lt;75001)),$G1280,IF(OR(AND(27500&lt;W1280,W1280&lt;30001),AND(57000&lt;W1280,W1280&lt;60001),AND(75000&lt;W1280,W1280&lt;77500)),$H1280,VLOOKUP(W1280,BDins,6,FALSE)))))</f>
        <v>45</v>
      </c>
      <c r="X1282">
        <f>IF(X1284&gt;10000,HLOOKUP(X1284,$O1280:W1283,4,FALSE),IF(OR(AND(22500&lt;X1280,X1280&lt;25001),AND(50000&lt;X1280,X1280&lt;53501),AND(70000&lt;X1280,X1280&lt;72501)),$F1280,IF(OR(AND(25001&lt;X1280,X1280&lt;27501),AND(53500&lt;X1280,X1280&lt;57001),AND(72500&lt;X1280,X1280&lt;75001)),$G1280,IF(OR(AND(27500&lt;X1280,X1280&lt;30001),AND(57000&lt;X1280,X1280&lt;60001),AND(75000&lt;X1280,X1280&lt;77500)),$H1280,VLOOKUP(X1280,BDins,6,FALSE)))))</f>
        <v>2.38</v>
      </c>
      <c r="Y1282">
        <f>IF(Y1284&gt;10000,HLOOKUP(Y1284,$O1280:X1283,4,FALSE),IF(OR(AND(22500&lt;Y1280,Y1280&lt;25001),AND(50000&lt;Y1280,Y1280&lt;53501),AND(70000&lt;Y1280,Y1280&lt;72501)),$F1280,IF(OR(AND(25001&lt;Y1280,Y1280&lt;27501),AND(53500&lt;Y1280,Y1280&lt;57001),AND(72500&lt;Y1280,Y1280&lt;75001)),$G1280,IF(OR(AND(27500&lt;Y1280,Y1280&lt;30001),AND(57000&lt;Y1280,Y1280&lt;60001),AND(75000&lt;Y1280,Y1280&lt;77500)),$H1280,VLOOKUP(Y1280,BDins,6,FALSE)))))</f>
        <v>0.98</v>
      </c>
      <c r="Z1282">
        <f>IF(Z1284&gt;10000,HLOOKUP(Z1284,$O1280:Y1283,4,FALSE),IF(OR(AND(22500&lt;Z1280,Z1280&lt;25001),AND(50000&lt;Z1280,Z1280&lt;53501),AND(70000&lt;Z1280,Z1280&lt;72501)),$F1280,IF(OR(AND(25001&lt;Z1280,Z1280&lt;27501),AND(53500&lt;Z1280,Z1280&lt;57001),AND(72500&lt;Z1280,Z1280&lt;75001)),$G1280,IF(OR(AND(27500&lt;Z1280,Z1280&lt;30001),AND(57000&lt;Z1280,Z1280&lt;60001),AND(75000&lt;Z1280,Z1280&lt;77500)),$H1280,VLOOKUP(Z1280,BDins,6,FALSE)))))</f>
        <v>379.68</v>
      </c>
    </row>
    <row r="1283" spans="1:26" x14ac:dyDescent="0.2">
      <c r="O1283">
        <f t="shared" ref="O1283:Z1283" si="183">IF($K1280&gt;0,ROUND(O1281*$E1280/100,DpCU),IF(O1284&gt;10000,ROUND(HLOOKUP(O1284,$O1280:$Z1283,4,FALSE)/100*O1281,DpCU),IF(OR(O1280&lt;20001,O1280&gt;95000,AND(60000&lt;O1280,O1280&lt;70001)),ROUND(ROUND(O1281*JL/$C1280,DcCU)*O1282,DpCU),IF(OR(AND(20000&lt;O1280,O1280&lt;22501),AND(30000&lt;O1280,O1280&lt;50001),77500&lt;O1280),ROUND(O1282*O1281,DpCU),IF(OR(AND(22500&lt;O1280,O1280&lt;25001),AND(50000&lt;O1280,O1280&lt;53501),AND(70000&lt;O1280,O1280&lt;72501)),ROUND($F1280/100*O1281,DpCU),IF(OR(AND(25000&lt;O1280,O1280&lt;27501),AND(53500&lt;O1280,O1280&lt;57001),AND(72500&lt;O1280,O1280&lt;75001)),ROUND($G1280/100*O1281,DpCU),ROUND($H1280/100*O1281,DpCU)))))))</f>
        <v>26.64</v>
      </c>
      <c r="P1283">
        <f t="shared" si="183"/>
        <v>221.97</v>
      </c>
      <c r="Q1283">
        <f t="shared" si="183"/>
        <v>131.07</v>
      </c>
      <c r="R1283">
        <f t="shared" si="183"/>
        <v>92.5</v>
      </c>
      <c r="S1283">
        <f t="shared" si="183"/>
        <v>0.35</v>
      </c>
      <c r="T1283">
        <f t="shared" si="183"/>
        <v>0.35</v>
      </c>
      <c r="U1283">
        <f t="shared" si="183"/>
        <v>7.8</v>
      </c>
      <c r="V1283">
        <f t="shared" si="183"/>
        <v>9</v>
      </c>
      <c r="W1283">
        <f t="shared" si="183"/>
        <v>2.25</v>
      </c>
      <c r="X1283">
        <f t="shared" si="183"/>
        <v>23.8</v>
      </c>
      <c r="Y1283">
        <f t="shared" si="183"/>
        <v>39.200000000000003</v>
      </c>
      <c r="Z1283">
        <f t="shared" si="183"/>
        <v>2.39</v>
      </c>
    </row>
    <row r="1284" spans="1:26" x14ac:dyDescent="0.2">
      <c r="B1284" s="3" t="str">
        <f>A1280&amp;"r"</f>
        <v>10256r</v>
      </c>
    </row>
    <row r="1285" spans="1:26" x14ac:dyDescent="0.2">
      <c r="A1285">
        <v>10257</v>
      </c>
      <c r="B1285" s="3" t="s">
        <v>1290</v>
      </c>
      <c r="C1285" s="1">
        <f>ROUND(J1285*JL*Frto/8,4)</f>
        <v>0.75</v>
      </c>
      <c r="D1285" t="s">
        <v>7</v>
      </c>
      <c r="E1285">
        <f>SUM($O1288:$Z1288)</f>
        <v>923.49</v>
      </c>
      <c r="F1285">
        <f>SUMIF($O1285:$Z1285,"&lt;22501",$O1288:$Z1288)</f>
        <v>430.9</v>
      </c>
      <c r="G1285">
        <f>SUMIFS($O1288:$Z1288,$O1285:$Z1285,"&gt;30000",$O1285:$Z1285,"&lt;50001")</f>
        <v>449.5</v>
      </c>
      <c r="H1285">
        <f>SUMIFS($O1288:$Z1288,$O1285:$Z1285,"&gt;60000",$O1285:$Z1285,"&lt;70001")</f>
        <v>0</v>
      </c>
      <c r="I1285">
        <v>12</v>
      </c>
      <c r="J1285">
        <v>0.75</v>
      </c>
      <c r="O1285">
        <v>10001</v>
      </c>
      <c r="P1285">
        <v>10002</v>
      </c>
      <c r="Q1285">
        <v>10008</v>
      </c>
      <c r="R1285">
        <v>30346</v>
      </c>
      <c r="S1285">
        <v>30347</v>
      </c>
      <c r="T1285">
        <v>30348</v>
      </c>
      <c r="U1285">
        <v>30349</v>
      </c>
      <c r="V1285">
        <v>30350</v>
      </c>
      <c r="W1285">
        <v>30351</v>
      </c>
      <c r="X1285">
        <v>30352</v>
      </c>
      <c r="Y1285">
        <v>30353</v>
      </c>
      <c r="Z1285">
        <v>70001</v>
      </c>
    </row>
    <row r="1286" spans="1:26" x14ac:dyDescent="0.2">
      <c r="B1286" s="3" t="str">
        <f>A1285&amp;"C"</f>
        <v>10257C</v>
      </c>
      <c r="O1286">
        <v>0.1</v>
      </c>
      <c r="P1286">
        <v>1</v>
      </c>
      <c r="Q1286">
        <v>1</v>
      </c>
      <c r="R1286">
        <v>3</v>
      </c>
      <c r="S1286">
        <v>7</v>
      </c>
      <c r="T1286">
        <v>1</v>
      </c>
      <c r="U1286">
        <v>1</v>
      </c>
      <c r="V1286">
        <v>1</v>
      </c>
      <c r="W1286">
        <v>1.4</v>
      </c>
      <c r="X1286">
        <v>2</v>
      </c>
      <c r="Y1286">
        <v>2</v>
      </c>
      <c r="Z1286">
        <v>10</v>
      </c>
    </row>
    <row r="1287" spans="1:26" x14ac:dyDescent="0.2">
      <c r="O1287">
        <f>IF(O1289&gt;10000,HLOOKUP(O1289,N1285:$O1288,4,FALSE),IF(OR(AND(22500&lt;O1285,O1285&lt;25001),AND(50000&lt;O1285,O1285&lt;53501),AND(70000&lt;O1285,O1285&lt;72501)),$F1285,IF(OR(AND(25001&lt;O1285,O1285&lt;27501),AND(53500&lt;O1285,O1285&lt;57001),AND(72500&lt;O1285,O1285&lt;75001)),$G1285,IF(OR(AND(27500&lt;O1285,O1285&lt;30001),AND(57000&lt;O1285,O1285&lt;60001),AND(75000&lt;O1285,O1285&lt;77500)),$H1285,VLOOKUP(O1285,BDins,6,FALSE)))))</f>
        <v>24.97</v>
      </c>
      <c r="P1287">
        <f>IF(P1289&gt;10000,HLOOKUP(P1289,O1285:$O1288,4,FALSE),IF(OR(AND(22500&lt;P1285,P1285&lt;25001),AND(50000&lt;P1285,P1285&lt;53501),AND(70000&lt;P1285,P1285&lt;72501)),$F1285,IF(OR(AND(25001&lt;P1285,P1285&lt;27501),AND(53500&lt;P1285,P1285&lt;57001),AND(72500&lt;P1285,P1285&lt;75001)),$G1285,IF(OR(AND(27500&lt;P1285,P1285&lt;30001),AND(57000&lt;P1285,P1285&lt;60001),AND(75000&lt;P1285,P1285&lt;77500)),$H1285,VLOOKUP(P1285,BDins,6,FALSE)))))</f>
        <v>20.81</v>
      </c>
      <c r="Q1287">
        <f>IF(Q1289&gt;10000,HLOOKUP(Q1289,$O1285:P1288,4,FALSE),IF(OR(AND(22500&lt;Q1285,Q1285&lt;25001),AND(50000&lt;Q1285,Q1285&lt;53501),AND(70000&lt;Q1285,Q1285&lt;72501)),$F1285,IF(OR(AND(25001&lt;Q1285,Q1285&lt;27501),AND(53500&lt;Q1285,Q1285&lt;57001),AND(72500&lt;Q1285,Q1285&lt;75001)),$G1285,IF(OR(AND(27500&lt;Q1285,Q1285&lt;30001),AND(57000&lt;Q1285,Q1285&lt;60001),AND(75000&lt;Q1285,Q1285&lt;77500)),$H1285,VLOOKUP(Q1285,BDins,6,FALSE)))))</f>
        <v>17.09</v>
      </c>
      <c r="R1287">
        <f>IF(R1289&gt;10000,HLOOKUP(R1289,$O1285:Q1288,4,FALSE),IF(OR(AND(22500&lt;R1285,R1285&lt;25001),AND(50000&lt;R1285,R1285&lt;53501),AND(70000&lt;R1285,R1285&lt;72501)),$F1285,IF(OR(AND(25001&lt;R1285,R1285&lt;27501),AND(53500&lt;R1285,R1285&lt;57001),AND(72500&lt;R1285,R1285&lt;75001)),$G1285,IF(OR(AND(27500&lt;R1285,R1285&lt;30001),AND(57000&lt;R1285,R1285&lt;60001),AND(75000&lt;R1285,R1285&lt;77500)),$H1285,VLOOKUP(R1285,BDins,6,FALSE)))))</f>
        <v>35</v>
      </c>
      <c r="S1287">
        <f>IF(S1289&gt;10000,HLOOKUP(S1289,$O1285:R1288,4,FALSE),IF(OR(AND(22500&lt;S1285,S1285&lt;25001),AND(50000&lt;S1285,S1285&lt;53501),AND(70000&lt;S1285,S1285&lt;72501)),$F1285,IF(OR(AND(25001&lt;S1285,S1285&lt;27501),AND(53500&lt;S1285,S1285&lt;57001),AND(72500&lt;S1285,S1285&lt;75001)),$G1285,IF(OR(AND(27500&lt;S1285,S1285&lt;30001),AND(57000&lt;S1285,S1285&lt;60001),AND(75000&lt;S1285,S1285&lt;77500)),$H1285,VLOOKUP(S1285,BDins,6,FALSE)))))</f>
        <v>7.5</v>
      </c>
      <c r="T1287">
        <f>IF(T1289&gt;10000,HLOOKUP(T1289,$O1285:S1288,4,FALSE),IF(OR(AND(22500&lt;T1285,T1285&lt;25001),AND(50000&lt;T1285,T1285&lt;53501),AND(70000&lt;T1285,T1285&lt;72501)),$F1285,IF(OR(AND(25001&lt;T1285,T1285&lt;27501),AND(53500&lt;T1285,T1285&lt;57001),AND(72500&lt;T1285,T1285&lt;75001)),$G1285,IF(OR(AND(27500&lt;T1285,T1285&lt;30001),AND(57000&lt;T1285,T1285&lt;60001),AND(75000&lt;T1285,T1285&lt;77500)),$H1285,VLOOKUP(T1285,BDins,6,FALSE)))))</f>
        <v>15</v>
      </c>
      <c r="U1287">
        <f>IF(U1289&gt;10000,HLOOKUP(U1289,$O1285:T1288,4,FALSE),IF(OR(AND(22500&lt;U1285,U1285&lt;25001),AND(50000&lt;U1285,U1285&lt;53501),AND(70000&lt;U1285,U1285&lt;72501)),$F1285,IF(OR(AND(25001&lt;U1285,U1285&lt;27501),AND(53500&lt;U1285,U1285&lt;57001),AND(72500&lt;U1285,U1285&lt;75001)),$G1285,IF(OR(AND(27500&lt;U1285,U1285&lt;30001),AND(57000&lt;U1285,U1285&lt;60001),AND(75000&lt;U1285,U1285&lt;77500)),$H1285,VLOOKUP(U1285,BDins,6,FALSE)))))</f>
        <v>26.5</v>
      </c>
      <c r="V1287">
        <f>IF(V1289&gt;10000,HLOOKUP(V1289,$O1285:U1288,4,FALSE),IF(OR(AND(22500&lt;V1285,V1285&lt;25001),AND(50000&lt;V1285,V1285&lt;53501),AND(70000&lt;V1285,V1285&lt;72501)),$F1285,IF(OR(AND(25001&lt;V1285,V1285&lt;27501),AND(53500&lt;V1285,V1285&lt;57001),AND(72500&lt;V1285,V1285&lt;75001)),$G1285,IF(OR(AND(27500&lt;V1285,V1285&lt;30001),AND(57000&lt;V1285,V1285&lt;60001),AND(75000&lt;V1285,V1285&lt;77500)),$H1285,VLOOKUP(V1285,BDins,6,FALSE)))))</f>
        <v>105</v>
      </c>
      <c r="W1287">
        <f>IF(W1289&gt;10000,HLOOKUP(W1289,$O1285:V1288,4,FALSE),IF(OR(AND(22500&lt;W1285,W1285&lt;25001),AND(50000&lt;W1285,W1285&lt;53501),AND(70000&lt;W1285,W1285&lt;72501)),$F1285,IF(OR(AND(25001&lt;W1285,W1285&lt;27501),AND(53500&lt;W1285,W1285&lt;57001),AND(72500&lt;W1285,W1285&lt;75001)),$G1285,IF(OR(AND(27500&lt;W1285,W1285&lt;30001),AND(57000&lt;W1285,W1285&lt;60001),AND(75000&lt;W1285,W1285&lt;77500)),$H1285,VLOOKUP(W1285,BDins,6,FALSE)))))</f>
        <v>100</v>
      </c>
      <c r="X1287">
        <f>IF(X1289&gt;10000,HLOOKUP(X1289,$O1285:W1288,4,FALSE),IF(OR(AND(22500&lt;X1285,X1285&lt;25001),AND(50000&lt;X1285,X1285&lt;53501),AND(70000&lt;X1285,X1285&lt;72501)),$F1285,IF(OR(AND(25001&lt;X1285,X1285&lt;27501),AND(53500&lt;X1285,X1285&lt;57001),AND(72500&lt;X1285,X1285&lt;75001)),$G1285,IF(OR(AND(27500&lt;X1285,X1285&lt;30001),AND(57000&lt;X1285,X1285&lt;60001),AND(75000&lt;X1285,X1285&lt;77500)),$H1285,VLOOKUP(X1285,BDins,6,FALSE)))))</f>
        <v>1.65</v>
      </c>
      <c r="Y1287">
        <f>IF(Y1289&gt;10000,HLOOKUP(Y1289,$O1285:X1288,4,FALSE),IF(OR(AND(22500&lt;Y1285,Y1285&lt;25001),AND(50000&lt;Y1285,Y1285&lt;53501),AND(70000&lt;Y1285,Y1285&lt;72501)),$F1285,IF(OR(AND(25001&lt;Y1285,Y1285&lt;27501),AND(53500&lt;Y1285,Y1285&lt;57001),AND(72500&lt;Y1285,Y1285&lt;75001)),$G1285,IF(OR(AND(27500&lt;Y1285,Y1285&lt;30001),AND(57000&lt;Y1285,Y1285&lt;60001),AND(75000&lt;Y1285,Y1285&lt;77500)),$H1285,VLOOKUP(Y1285,BDins,6,FALSE)))))</f>
        <v>1.1000000000000001</v>
      </c>
      <c r="Z1287">
        <f>IF(Z1289&gt;10000,HLOOKUP(Z1289,$O1285:Y1288,4,FALSE),IF(OR(AND(22500&lt;Z1285,Z1285&lt;25001),AND(50000&lt;Z1285,Z1285&lt;53501),AND(70000&lt;Z1285,Z1285&lt;72501)),$F1285,IF(OR(AND(25001&lt;Z1285,Z1285&lt;27501),AND(53500&lt;Z1285,Z1285&lt;57001),AND(72500&lt;Z1285,Z1285&lt;75001)),$G1285,IF(OR(AND(27500&lt;Z1285,Z1285&lt;30001),AND(57000&lt;Z1285,Z1285&lt;60001),AND(75000&lt;Z1285,Z1285&lt;77500)),$H1285,VLOOKUP(Z1285,BDins,6,FALSE)))))</f>
        <v>430.9</v>
      </c>
    </row>
    <row r="1288" spans="1:26" x14ac:dyDescent="0.2">
      <c r="O1288">
        <f t="shared" ref="O1288:Z1288" si="184">IF($K1285&gt;0,ROUND(O1286*$E1285/100,DpCU),IF(O1289&gt;10000,ROUND(HLOOKUP(O1289,$O1285:$Z1288,4,FALSE)/100*O1286,DpCU),IF(OR(O1285&lt;20001,O1285&gt;95000,AND(60000&lt;O1285,O1285&lt;70001)),ROUND(ROUND(O1286*JL/$C1285,DcCU)*O1287,DpCU),IF(OR(AND(20000&lt;O1285,O1285&lt;22501),AND(30000&lt;O1285,O1285&lt;50001),77500&lt;O1285),ROUND(O1287*O1286,DpCU),IF(OR(AND(22500&lt;O1285,O1285&lt;25001),AND(50000&lt;O1285,O1285&lt;53501),AND(70000&lt;O1285,O1285&lt;72501)),ROUND($F1285/100*O1286,DpCU),IF(OR(AND(25000&lt;O1285,O1285&lt;27501),AND(53500&lt;O1285,O1285&lt;57001),AND(72500&lt;O1285,O1285&lt;75001)),ROUND($G1285/100*O1286,DpCU),ROUND($H1285/100*O1286,DpCU)))))))</f>
        <v>26.64</v>
      </c>
      <c r="P1288">
        <f t="shared" si="184"/>
        <v>221.97</v>
      </c>
      <c r="Q1288">
        <f t="shared" si="184"/>
        <v>182.29</v>
      </c>
      <c r="R1288">
        <f t="shared" si="184"/>
        <v>105</v>
      </c>
      <c r="S1288">
        <f t="shared" si="184"/>
        <v>52.5</v>
      </c>
      <c r="T1288">
        <f t="shared" si="184"/>
        <v>15</v>
      </c>
      <c r="U1288">
        <f t="shared" si="184"/>
        <v>26.5</v>
      </c>
      <c r="V1288">
        <f t="shared" si="184"/>
        <v>105</v>
      </c>
      <c r="W1288">
        <f t="shared" si="184"/>
        <v>140</v>
      </c>
      <c r="X1288">
        <f t="shared" si="184"/>
        <v>3.3</v>
      </c>
      <c r="Y1288">
        <f t="shared" si="184"/>
        <v>2.2000000000000002</v>
      </c>
      <c r="Z1288">
        <f t="shared" si="184"/>
        <v>43.09</v>
      </c>
    </row>
    <row r="1289" spans="1:26" x14ac:dyDescent="0.2">
      <c r="B1289" s="3" t="str">
        <f>A1285&amp;"r"</f>
        <v>10257r</v>
      </c>
    </row>
    <row r="1290" spans="1:26" x14ac:dyDescent="0.2">
      <c r="A1290">
        <v>10258</v>
      </c>
      <c r="B1290" s="3" t="s">
        <v>1304</v>
      </c>
      <c r="C1290" s="1">
        <f>ROUND(J1290*JL*Frto/8,4)</f>
        <v>12</v>
      </c>
      <c r="D1290" t="s">
        <v>7</v>
      </c>
      <c r="E1290">
        <f>SUM($O1293:$V1293)</f>
        <v>29.920000000000005</v>
      </c>
      <c r="F1290">
        <f>SUMIF($O1290:$V1290,"&lt;22501",$O1293:$V1293)</f>
        <v>25.78</v>
      </c>
      <c r="G1290">
        <f>SUMIFS($O1293:$V1293,$O1290:$V1290,"&gt;30000",$O1290:$V1290,"&lt;50001")</f>
        <v>2.85</v>
      </c>
      <c r="H1290">
        <f>SUMIFS($O1293:$V1293,$O1290:$V1290,"&gt;60000",$O1290:$V1290,"&lt;70001")</f>
        <v>0</v>
      </c>
      <c r="I1290">
        <v>8</v>
      </c>
      <c r="J1290">
        <v>12</v>
      </c>
      <c r="O1290">
        <v>10001</v>
      </c>
      <c r="P1290">
        <v>10002</v>
      </c>
      <c r="Q1290">
        <v>10003</v>
      </c>
      <c r="R1290">
        <v>30320</v>
      </c>
      <c r="S1290">
        <v>30354</v>
      </c>
      <c r="T1290">
        <v>30355</v>
      </c>
      <c r="U1290">
        <v>30356</v>
      </c>
      <c r="V1290">
        <v>70001</v>
      </c>
    </row>
    <row r="1291" spans="1:26" x14ac:dyDescent="0.2">
      <c r="B1291" s="3" t="str">
        <f>A1290&amp;"C"</f>
        <v>10258C</v>
      </c>
      <c r="O1291">
        <v>0.1</v>
      </c>
      <c r="P1291">
        <v>1</v>
      </c>
      <c r="Q1291">
        <v>1</v>
      </c>
      <c r="R1291">
        <v>2</v>
      </c>
      <c r="S1291">
        <v>1</v>
      </c>
      <c r="T1291">
        <v>2</v>
      </c>
      <c r="U1291">
        <v>2</v>
      </c>
      <c r="V1291">
        <v>5</v>
      </c>
    </row>
    <row r="1292" spans="1:26" x14ac:dyDescent="0.2">
      <c r="O1292">
        <f>IF(O1294&gt;10000,HLOOKUP(O1294,N1290:$O1293,4,FALSE),IF(OR(AND(22500&lt;O1290,O1290&lt;25001),AND(50000&lt;O1290,O1290&lt;53501),AND(70000&lt;O1290,O1290&lt;72501)),$F1290,IF(OR(AND(25001&lt;O1290,O1290&lt;27501),AND(53500&lt;O1290,O1290&lt;57001),AND(72500&lt;O1290,O1290&lt;75001)),$G1290,IF(OR(AND(27500&lt;O1290,O1290&lt;30001),AND(57000&lt;O1290,O1290&lt;60001),AND(75000&lt;O1290,O1290&lt;77500)),$H1290,VLOOKUP(O1290,BDins,6,FALSE)))))</f>
        <v>24.97</v>
      </c>
      <c r="P1292">
        <f>IF(P1294&gt;10000,HLOOKUP(P1294,O1290:$O1293,4,FALSE),IF(OR(AND(22500&lt;P1290,P1290&lt;25001),AND(50000&lt;P1290,P1290&lt;53501),AND(70000&lt;P1290,P1290&lt;72501)),$F1290,IF(OR(AND(25001&lt;P1290,P1290&lt;27501),AND(53500&lt;P1290,P1290&lt;57001),AND(72500&lt;P1290,P1290&lt;75001)),$G1290,IF(OR(AND(27500&lt;P1290,P1290&lt;30001),AND(57000&lt;P1290,P1290&lt;60001),AND(75000&lt;P1290,P1290&lt;77500)),$H1290,VLOOKUP(P1290,BDins,6,FALSE)))))</f>
        <v>20.81</v>
      </c>
      <c r="Q1292">
        <f>IF(Q1294&gt;10000,HLOOKUP(Q1294,$O1290:P1293,4,FALSE),IF(OR(AND(22500&lt;Q1290,Q1290&lt;25001),AND(50000&lt;Q1290,Q1290&lt;53501),AND(70000&lt;Q1290,Q1290&lt;72501)),$F1290,IF(OR(AND(25001&lt;Q1290,Q1290&lt;27501),AND(53500&lt;Q1290,Q1290&lt;57001),AND(72500&lt;Q1290,Q1290&lt;75001)),$G1290,IF(OR(AND(27500&lt;Q1290,Q1290&lt;30001),AND(57000&lt;Q1290,Q1290&lt;60001),AND(75000&lt;Q1290,Q1290&lt;77500)),$H1290,VLOOKUP(Q1290,BDins,6,FALSE)))))</f>
        <v>15.36</v>
      </c>
      <c r="R1292">
        <f>IF(R1294&gt;10000,HLOOKUP(R1294,$O1290:Q1293,4,FALSE),IF(OR(AND(22500&lt;R1290,R1290&lt;25001),AND(50000&lt;R1290,R1290&lt;53501),AND(70000&lt;R1290,R1290&lt;72501)),$F1290,IF(OR(AND(25001&lt;R1290,R1290&lt;27501),AND(53500&lt;R1290,R1290&lt;57001),AND(72500&lt;R1290,R1290&lt;75001)),$G1290,IF(OR(AND(27500&lt;R1290,R1290&lt;30001),AND(57000&lt;R1290,R1290&lt;60001),AND(75000&lt;R1290,R1290&lt;77500)),$H1290,VLOOKUP(R1290,BDins,6,FALSE)))))</f>
        <v>0.4</v>
      </c>
      <c r="S1292">
        <f>IF(S1294&gt;10000,HLOOKUP(S1294,$O1290:R1293,4,FALSE),IF(OR(AND(22500&lt;S1290,S1290&lt;25001),AND(50000&lt;S1290,S1290&lt;53501),AND(70000&lt;S1290,S1290&lt;72501)),$F1290,IF(OR(AND(25001&lt;S1290,S1290&lt;27501),AND(53500&lt;S1290,S1290&lt;57001),AND(72500&lt;S1290,S1290&lt;75001)),$G1290,IF(OR(AND(27500&lt;S1290,S1290&lt;30001),AND(57000&lt;S1290,S1290&lt;60001),AND(75000&lt;S1290,S1290&lt;77500)),$H1290,VLOOKUP(S1290,BDins,6,FALSE)))))</f>
        <v>0.85</v>
      </c>
      <c r="T1292">
        <f>IF(T1294&gt;10000,HLOOKUP(T1294,$O1290:S1293,4,FALSE),IF(OR(AND(22500&lt;T1290,T1290&lt;25001),AND(50000&lt;T1290,T1290&lt;53501),AND(70000&lt;T1290,T1290&lt;72501)),$F1290,IF(OR(AND(25001&lt;T1290,T1290&lt;27501),AND(53500&lt;T1290,T1290&lt;57001),AND(72500&lt;T1290,T1290&lt;75001)),$G1290,IF(OR(AND(27500&lt;T1290,T1290&lt;30001),AND(57000&lt;T1290,T1290&lt;60001),AND(75000&lt;T1290,T1290&lt;77500)),$H1290,VLOOKUP(T1290,BDins,6,FALSE)))))</f>
        <v>0.3</v>
      </c>
      <c r="U1292">
        <f>IF(U1294&gt;10000,HLOOKUP(U1294,$O1290:T1293,4,FALSE),IF(OR(AND(22500&lt;U1290,U1290&lt;25001),AND(50000&lt;U1290,U1290&lt;53501),AND(70000&lt;U1290,U1290&lt;72501)),$F1290,IF(OR(AND(25001&lt;U1290,U1290&lt;27501),AND(53500&lt;U1290,U1290&lt;57001),AND(72500&lt;U1290,U1290&lt;75001)),$G1290,IF(OR(AND(27500&lt;U1290,U1290&lt;30001),AND(57000&lt;U1290,U1290&lt;60001),AND(75000&lt;U1290,U1290&lt;77500)),$H1290,VLOOKUP(U1290,BDins,6,FALSE)))))</f>
        <v>0.3</v>
      </c>
      <c r="V1292">
        <f>IF(V1294&gt;10000,HLOOKUP(V1294,$O1290:U1293,4,FALSE),IF(OR(AND(22500&lt;V1290,V1290&lt;25001),AND(50000&lt;V1290,V1290&lt;53501),AND(70000&lt;V1290,V1290&lt;72501)),$F1290,IF(OR(AND(25001&lt;V1290,V1290&lt;27501),AND(53500&lt;V1290,V1290&lt;57001),AND(72500&lt;V1290,V1290&lt;75001)),$G1290,IF(OR(AND(27500&lt;V1290,V1290&lt;30001),AND(57000&lt;V1290,V1290&lt;60001),AND(75000&lt;V1290,V1290&lt;77500)),$H1290,VLOOKUP(V1290,BDins,6,FALSE)))))</f>
        <v>25.78</v>
      </c>
    </row>
    <row r="1293" spans="1:26" x14ac:dyDescent="0.2">
      <c r="O1293">
        <f t="shared" ref="O1293:V1293" si="185">IF($K1290&gt;0,ROUND(O1291*$E1290/100,DpCU),IF(O1294&gt;10000,ROUND(HLOOKUP(O1294,$O1290:$V1293,4,FALSE)/100*O1291,DpCU),IF(OR(O1290&lt;20001,O1290&gt;95000,AND(60000&lt;O1290,O1290&lt;70001)),ROUND(ROUND(O1291*JL/$C1290,DcCU)*O1292,DpCU),IF(OR(AND(20000&lt;O1290,O1290&lt;22501),AND(30000&lt;O1290,O1290&lt;50001),77500&lt;O1290),ROUND(O1292*O1291,DpCU),IF(OR(AND(22500&lt;O1290,O1290&lt;25001),AND(50000&lt;O1290,O1290&lt;53501),AND(70000&lt;O1290,O1290&lt;72501)),ROUND($F1290/100*O1291,DpCU),IF(OR(AND(25000&lt;O1290,O1290&lt;27501),AND(53500&lt;O1290,O1290&lt;57001),AND(72500&lt;O1290,O1290&lt;75001)),ROUND($G1290/100*O1291,DpCU),ROUND($H1290/100*O1291,DpCU)))))))</f>
        <v>1.67</v>
      </c>
      <c r="P1293">
        <f t="shared" si="185"/>
        <v>13.87</v>
      </c>
      <c r="Q1293">
        <f t="shared" si="185"/>
        <v>10.24</v>
      </c>
      <c r="R1293">
        <f t="shared" si="185"/>
        <v>0.8</v>
      </c>
      <c r="S1293">
        <f t="shared" si="185"/>
        <v>0.85</v>
      </c>
      <c r="T1293">
        <f t="shared" si="185"/>
        <v>0.6</v>
      </c>
      <c r="U1293">
        <f t="shared" si="185"/>
        <v>0.6</v>
      </c>
      <c r="V1293">
        <f t="shared" si="185"/>
        <v>1.29</v>
      </c>
    </row>
    <row r="1294" spans="1:26" x14ac:dyDescent="0.2">
      <c r="B1294" s="3" t="str">
        <f>A1290&amp;"r"</f>
        <v>10258r</v>
      </c>
    </row>
    <row r="1295" spans="1:26" x14ac:dyDescent="0.2">
      <c r="A1295">
        <v>10259</v>
      </c>
      <c r="B1295" s="3" t="s">
        <v>1309</v>
      </c>
      <c r="C1295" s="1">
        <f>ROUND(J1295*JL*Frto/8,4)</f>
        <v>12</v>
      </c>
      <c r="D1295" t="s">
        <v>7</v>
      </c>
      <c r="E1295">
        <f>SUM($O1298:$V1298)</f>
        <v>29.920000000000005</v>
      </c>
      <c r="F1295">
        <f>SUMIF($O1295:$V1295,"&lt;22501",$O1298:$V1298)</f>
        <v>25.78</v>
      </c>
      <c r="G1295">
        <f>SUMIFS($O1298:$V1298,$O1295:$V1295,"&gt;30000",$O1295:$V1295,"&lt;50001")</f>
        <v>2.85</v>
      </c>
      <c r="H1295">
        <f>SUMIFS($O1298:$V1298,$O1295:$V1295,"&gt;60000",$O1295:$V1295,"&lt;70001")</f>
        <v>0</v>
      </c>
      <c r="I1295">
        <v>8</v>
      </c>
      <c r="J1295">
        <v>12</v>
      </c>
      <c r="O1295">
        <v>10001</v>
      </c>
      <c r="P1295">
        <v>10002</v>
      </c>
      <c r="Q1295">
        <v>10003</v>
      </c>
      <c r="R1295">
        <v>30320</v>
      </c>
      <c r="S1295">
        <v>30355</v>
      </c>
      <c r="T1295">
        <v>30356</v>
      </c>
      <c r="U1295">
        <v>30357</v>
      </c>
      <c r="V1295">
        <v>70001</v>
      </c>
    </row>
    <row r="1296" spans="1:26" x14ac:dyDescent="0.2">
      <c r="B1296" s="3" t="str">
        <f>A1295&amp;"C"</f>
        <v>10259C</v>
      </c>
      <c r="O1296">
        <v>0.1</v>
      </c>
      <c r="P1296">
        <v>1</v>
      </c>
      <c r="Q1296">
        <v>1</v>
      </c>
      <c r="R1296">
        <v>2</v>
      </c>
      <c r="S1296">
        <v>2</v>
      </c>
      <c r="T1296">
        <v>2</v>
      </c>
      <c r="U1296">
        <v>1</v>
      </c>
      <c r="V1296">
        <v>5</v>
      </c>
    </row>
    <row r="1297" spans="1:22" x14ac:dyDescent="0.2">
      <c r="O1297">
        <f>IF(O1299&gt;10000,HLOOKUP(O1299,N1295:$O1298,4,FALSE),IF(OR(AND(22500&lt;O1295,O1295&lt;25001),AND(50000&lt;O1295,O1295&lt;53501),AND(70000&lt;O1295,O1295&lt;72501)),$F1295,IF(OR(AND(25001&lt;O1295,O1295&lt;27501),AND(53500&lt;O1295,O1295&lt;57001),AND(72500&lt;O1295,O1295&lt;75001)),$G1295,IF(OR(AND(27500&lt;O1295,O1295&lt;30001),AND(57000&lt;O1295,O1295&lt;60001),AND(75000&lt;O1295,O1295&lt;77500)),$H1295,VLOOKUP(O1295,BDins,6,FALSE)))))</f>
        <v>24.97</v>
      </c>
      <c r="P1297">
        <f>IF(P1299&gt;10000,HLOOKUP(P1299,O1295:$O1298,4,FALSE),IF(OR(AND(22500&lt;P1295,P1295&lt;25001),AND(50000&lt;P1295,P1295&lt;53501),AND(70000&lt;P1295,P1295&lt;72501)),$F1295,IF(OR(AND(25001&lt;P1295,P1295&lt;27501),AND(53500&lt;P1295,P1295&lt;57001),AND(72500&lt;P1295,P1295&lt;75001)),$G1295,IF(OR(AND(27500&lt;P1295,P1295&lt;30001),AND(57000&lt;P1295,P1295&lt;60001),AND(75000&lt;P1295,P1295&lt;77500)),$H1295,VLOOKUP(P1295,BDins,6,FALSE)))))</f>
        <v>20.81</v>
      </c>
      <c r="Q1297">
        <f>IF(Q1299&gt;10000,HLOOKUP(Q1299,$O1295:P1298,4,FALSE),IF(OR(AND(22500&lt;Q1295,Q1295&lt;25001),AND(50000&lt;Q1295,Q1295&lt;53501),AND(70000&lt;Q1295,Q1295&lt;72501)),$F1295,IF(OR(AND(25001&lt;Q1295,Q1295&lt;27501),AND(53500&lt;Q1295,Q1295&lt;57001),AND(72500&lt;Q1295,Q1295&lt;75001)),$G1295,IF(OR(AND(27500&lt;Q1295,Q1295&lt;30001),AND(57000&lt;Q1295,Q1295&lt;60001),AND(75000&lt;Q1295,Q1295&lt;77500)),$H1295,VLOOKUP(Q1295,BDins,6,FALSE)))))</f>
        <v>15.36</v>
      </c>
      <c r="R1297">
        <f>IF(R1299&gt;10000,HLOOKUP(R1299,$O1295:Q1298,4,FALSE),IF(OR(AND(22500&lt;R1295,R1295&lt;25001),AND(50000&lt;R1295,R1295&lt;53501),AND(70000&lt;R1295,R1295&lt;72501)),$F1295,IF(OR(AND(25001&lt;R1295,R1295&lt;27501),AND(53500&lt;R1295,R1295&lt;57001),AND(72500&lt;R1295,R1295&lt;75001)),$G1295,IF(OR(AND(27500&lt;R1295,R1295&lt;30001),AND(57000&lt;R1295,R1295&lt;60001),AND(75000&lt;R1295,R1295&lt;77500)),$H1295,VLOOKUP(R1295,BDins,6,FALSE)))))</f>
        <v>0.4</v>
      </c>
      <c r="S1297">
        <f>IF(S1299&gt;10000,HLOOKUP(S1299,$O1295:R1298,4,FALSE),IF(OR(AND(22500&lt;S1295,S1295&lt;25001),AND(50000&lt;S1295,S1295&lt;53501),AND(70000&lt;S1295,S1295&lt;72501)),$F1295,IF(OR(AND(25001&lt;S1295,S1295&lt;27501),AND(53500&lt;S1295,S1295&lt;57001),AND(72500&lt;S1295,S1295&lt;75001)),$G1295,IF(OR(AND(27500&lt;S1295,S1295&lt;30001),AND(57000&lt;S1295,S1295&lt;60001),AND(75000&lt;S1295,S1295&lt;77500)),$H1295,VLOOKUP(S1295,BDins,6,FALSE)))))</f>
        <v>0.3</v>
      </c>
      <c r="T1297">
        <f>IF(T1299&gt;10000,HLOOKUP(T1299,$O1295:S1298,4,FALSE),IF(OR(AND(22500&lt;T1295,T1295&lt;25001),AND(50000&lt;T1295,T1295&lt;53501),AND(70000&lt;T1295,T1295&lt;72501)),$F1295,IF(OR(AND(25001&lt;T1295,T1295&lt;27501),AND(53500&lt;T1295,T1295&lt;57001),AND(72500&lt;T1295,T1295&lt;75001)),$G1295,IF(OR(AND(27500&lt;T1295,T1295&lt;30001),AND(57000&lt;T1295,T1295&lt;60001),AND(75000&lt;T1295,T1295&lt;77500)),$H1295,VLOOKUP(T1295,BDins,6,FALSE)))))</f>
        <v>0.3</v>
      </c>
      <c r="U1297">
        <f>IF(U1299&gt;10000,HLOOKUP(U1299,$O1295:T1298,4,FALSE),IF(OR(AND(22500&lt;U1295,U1295&lt;25001),AND(50000&lt;U1295,U1295&lt;53501),AND(70000&lt;U1295,U1295&lt;72501)),$F1295,IF(OR(AND(25001&lt;U1295,U1295&lt;27501),AND(53500&lt;U1295,U1295&lt;57001),AND(72500&lt;U1295,U1295&lt;75001)),$G1295,IF(OR(AND(27500&lt;U1295,U1295&lt;30001),AND(57000&lt;U1295,U1295&lt;60001),AND(75000&lt;U1295,U1295&lt;77500)),$H1295,VLOOKUP(U1295,BDins,6,FALSE)))))</f>
        <v>0.85</v>
      </c>
      <c r="V1297">
        <f>IF(V1299&gt;10000,HLOOKUP(V1299,$O1295:U1298,4,FALSE),IF(OR(AND(22500&lt;V1295,V1295&lt;25001),AND(50000&lt;V1295,V1295&lt;53501),AND(70000&lt;V1295,V1295&lt;72501)),$F1295,IF(OR(AND(25001&lt;V1295,V1295&lt;27501),AND(53500&lt;V1295,V1295&lt;57001),AND(72500&lt;V1295,V1295&lt;75001)),$G1295,IF(OR(AND(27500&lt;V1295,V1295&lt;30001),AND(57000&lt;V1295,V1295&lt;60001),AND(75000&lt;V1295,V1295&lt;77500)),$H1295,VLOOKUP(V1295,BDins,6,FALSE)))))</f>
        <v>25.78</v>
      </c>
    </row>
    <row r="1298" spans="1:22" x14ac:dyDescent="0.2">
      <c r="O1298">
        <f t="shared" ref="O1298:V1298" si="186">IF($K1295&gt;0,ROUND(O1296*$E1295/100,DpCU),IF(O1299&gt;10000,ROUND(HLOOKUP(O1299,$O1295:$V1298,4,FALSE)/100*O1296,DpCU),IF(OR(O1295&lt;20001,O1295&gt;95000,AND(60000&lt;O1295,O1295&lt;70001)),ROUND(ROUND(O1296*JL/$C1295,DcCU)*O1297,DpCU),IF(OR(AND(20000&lt;O1295,O1295&lt;22501),AND(30000&lt;O1295,O1295&lt;50001),77500&lt;O1295),ROUND(O1297*O1296,DpCU),IF(OR(AND(22500&lt;O1295,O1295&lt;25001),AND(50000&lt;O1295,O1295&lt;53501),AND(70000&lt;O1295,O1295&lt;72501)),ROUND($F1295/100*O1296,DpCU),IF(OR(AND(25000&lt;O1295,O1295&lt;27501),AND(53500&lt;O1295,O1295&lt;57001),AND(72500&lt;O1295,O1295&lt;75001)),ROUND($G1295/100*O1296,DpCU),ROUND($H1295/100*O1296,DpCU)))))))</f>
        <v>1.67</v>
      </c>
      <c r="P1298">
        <f t="shared" si="186"/>
        <v>13.87</v>
      </c>
      <c r="Q1298">
        <f t="shared" si="186"/>
        <v>10.24</v>
      </c>
      <c r="R1298">
        <f t="shared" si="186"/>
        <v>0.8</v>
      </c>
      <c r="S1298">
        <f t="shared" si="186"/>
        <v>0.6</v>
      </c>
      <c r="T1298">
        <f t="shared" si="186"/>
        <v>0.6</v>
      </c>
      <c r="U1298">
        <f t="shared" si="186"/>
        <v>0.85</v>
      </c>
      <c r="V1298">
        <f t="shared" si="186"/>
        <v>1.29</v>
      </c>
    </row>
    <row r="1299" spans="1:22" x14ac:dyDescent="0.2">
      <c r="B1299" s="3" t="str">
        <f>A1295&amp;"r"</f>
        <v>10259r</v>
      </c>
    </row>
    <row r="1300" spans="1:22" x14ac:dyDescent="0.2">
      <c r="A1300">
        <v>10260</v>
      </c>
      <c r="B1300" s="3" t="s">
        <v>1312</v>
      </c>
      <c r="C1300" s="1">
        <f>ROUND(J1300*JL*Frto/8,4)</f>
        <v>12</v>
      </c>
      <c r="D1300" t="s">
        <v>7</v>
      </c>
      <c r="E1300">
        <f>SUM($O1303:$V1303)</f>
        <v>28.92</v>
      </c>
      <c r="F1300">
        <f>SUMIF($O1300:$V1300,"&lt;22501",$O1303:$V1303)</f>
        <v>25.78</v>
      </c>
      <c r="G1300">
        <f>SUMIFS($O1303:$V1303,$O1300:$V1300,"&gt;30000",$O1300:$V1300,"&lt;50001")</f>
        <v>1.85</v>
      </c>
      <c r="H1300">
        <f>SUMIFS($O1303:$V1303,$O1300:$V1300,"&gt;60000",$O1300:$V1300,"&lt;70001")</f>
        <v>0</v>
      </c>
      <c r="I1300">
        <v>8</v>
      </c>
      <c r="J1300">
        <v>12</v>
      </c>
      <c r="O1300">
        <v>10001</v>
      </c>
      <c r="P1300">
        <v>10002</v>
      </c>
      <c r="Q1300">
        <v>10003</v>
      </c>
      <c r="R1300">
        <v>30320</v>
      </c>
      <c r="S1300">
        <v>30355</v>
      </c>
      <c r="T1300">
        <v>30356</v>
      </c>
      <c r="U1300">
        <v>30357</v>
      </c>
      <c r="V1300">
        <v>70001</v>
      </c>
    </row>
    <row r="1301" spans="1:22" x14ac:dyDescent="0.2">
      <c r="B1301" s="3" t="str">
        <f>A1300&amp;"C"</f>
        <v>10260C</v>
      </c>
      <c r="O1301">
        <v>0.1</v>
      </c>
      <c r="P1301">
        <v>1</v>
      </c>
      <c r="Q1301">
        <v>1</v>
      </c>
      <c r="R1301">
        <v>1</v>
      </c>
      <c r="S1301">
        <v>1</v>
      </c>
      <c r="T1301">
        <v>1</v>
      </c>
      <c r="U1301">
        <v>1</v>
      </c>
      <c r="V1301">
        <v>5</v>
      </c>
    </row>
    <row r="1302" spans="1:22" x14ac:dyDescent="0.2">
      <c r="O1302">
        <f>IF(O1304&gt;10000,HLOOKUP(O1304,N1300:$O1303,4,FALSE),IF(OR(AND(22500&lt;O1300,O1300&lt;25001),AND(50000&lt;O1300,O1300&lt;53501),AND(70000&lt;O1300,O1300&lt;72501)),$F1300,IF(OR(AND(25001&lt;O1300,O1300&lt;27501),AND(53500&lt;O1300,O1300&lt;57001),AND(72500&lt;O1300,O1300&lt;75001)),$G1300,IF(OR(AND(27500&lt;O1300,O1300&lt;30001),AND(57000&lt;O1300,O1300&lt;60001),AND(75000&lt;O1300,O1300&lt;77500)),$H1300,VLOOKUP(O1300,BDins,6,FALSE)))))</f>
        <v>24.97</v>
      </c>
      <c r="P1302">
        <f>IF(P1304&gt;10000,HLOOKUP(P1304,O1300:$O1303,4,FALSE),IF(OR(AND(22500&lt;P1300,P1300&lt;25001),AND(50000&lt;P1300,P1300&lt;53501),AND(70000&lt;P1300,P1300&lt;72501)),$F1300,IF(OR(AND(25001&lt;P1300,P1300&lt;27501),AND(53500&lt;P1300,P1300&lt;57001),AND(72500&lt;P1300,P1300&lt;75001)),$G1300,IF(OR(AND(27500&lt;P1300,P1300&lt;30001),AND(57000&lt;P1300,P1300&lt;60001),AND(75000&lt;P1300,P1300&lt;77500)),$H1300,VLOOKUP(P1300,BDins,6,FALSE)))))</f>
        <v>20.81</v>
      </c>
      <c r="Q1302">
        <f>IF(Q1304&gt;10000,HLOOKUP(Q1304,$O1300:P1303,4,FALSE),IF(OR(AND(22500&lt;Q1300,Q1300&lt;25001),AND(50000&lt;Q1300,Q1300&lt;53501),AND(70000&lt;Q1300,Q1300&lt;72501)),$F1300,IF(OR(AND(25001&lt;Q1300,Q1300&lt;27501),AND(53500&lt;Q1300,Q1300&lt;57001),AND(72500&lt;Q1300,Q1300&lt;75001)),$G1300,IF(OR(AND(27500&lt;Q1300,Q1300&lt;30001),AND(57000&lt;Q1300,Q1300&lt;60001),AND(75000&lt;Q1300,Q1300&lt;77500)),$H1300,VLOOKUP(Q1300,BDins,6,FALSE)))))</f>
        <v>15.36</v>
      </c>
      <c r="R1302">
        <f>IF(R1304&gt;10000,HLOOKUP(R1304,$O1300:Q1303,4,FALSE),IF(OR(AND(22500&lt;R1300,R1300&lt;25001),AND(50000&lt;R1300,R1300&lt;53501),AND(70000&lt;R1300,R1300&lt;72501)),$F1300,IF(OR(AND(25001&lt;R1300,R1300&lt;27501),AND(53500&lt;R1300,R1300&lt;57001),AND(72500&lt;R1300,R1300&lt;75001)),$G1300,IF(OR(AND(27500&lt;R1300,R1300&lt;30001),AND(57000&lt;R1300,R1300&lt;60001),AND(75000&lt;R1300,R1300&lt;77500)),$H1300,VLOOKUP(R1300,BDins,6,FALSE)))))</f>
        <v>0.4</v>
      </c>
      <c r="S1302">
        <f>IF(S1304&gt;10000,HLOOKUP(S1304,$O1300:R1303,4,FALSE),IF(OR(AND(22500&lt;S1300,S1300&lt;25001),AND(50000&lt;S1300,S1300&lt;53501),AND(70000&lt;S1300,S1300&lt;72501)),$F1300,IF(OR(AND(25001&lt;S1300,S1300&lt;27501),AND(53500&lt;S1300,S1300&lt;57001),AND(72500&lt;S1300,S1300&lt;75001)),$G1300,IF(OR(AND(27500&lt;S1300,S1300&lt;30001),AND(57000&lt;S1300,S1300&lt;60001),AND(75000&lt;S1300,S1300&lt;77500)),$H1300,VLOOKUP(S1300,BDins,6,FALSE)))))</f>
        <v>0.3</v>
      </c>
      <c r="T1302">
        <f>IF(T1304&gt;10000,HLOOKUP(T1304,$O1300:S1303,4,FALSE),IF(OR(AND(22500&lt;T1300,T1300&lt;25001),AND(50000&lt;T1300,T1300&lt;53501),AND(70000&lt;T1300,T1300&lt;72501)),$F1300,IF(OR(AND(25001&lt;T1300,T1300&lt;27501),AND(53500&lt;T1300,T1300&lt;57001),AND(72500&lt;T1300,T1300&lt;75001)),$G1300,IF(OR(AND(27500&lt;T1300,T1300&lt;30001),AND(57000&lt;T1300,T1300&lt;60001),AND(75000&lt;T1300,T1300&lt;77500)),$H1300,VLOOKUP(T1300,BDins,6,FALSE)))))</f>
        <v>0.3</v>
      </c>
      <c r="U1302">
        <f>IF(U1304&gt;10000,HLOOKUP(U1304,$O1300:T1303,4,FALSE),IF(OR(AND(22500&lt;U1300,U1300&lt;25001),AND(50000&lt;U1300,U1300&lt;53501),AND(70000&lt;U1300,U1300&lt;72501)),$F1300,IF(OR(AND(25001&lt;U1300,U1300&lt;27501),AND(53500&lt;U1300,U1300&lt;57001),AND(72500&lt;U1300,U1300&lt;75001)),$G1300,IF(OR(AND(27500&lt;U1300,U1300&lt;30001),AND(57000&lt;U1300,U1300&lt;60001),AND(75000&lt;U1300,U1300&lt;77500)),$H1300,VLOOKUP(U1300,BDins,6,FALSE)))))</f>
        <v>0.85</v>
      </c>
      <c r="V1302">
        <f>IF(V1304&gt;10000,HLOOKUP(V1304,$O1300:U1303,4,FALSE),IF(OR(AND(22500&lt;V1300,V1300&lt;25001),AND(50000&lt;V1300,V1300&lt;53501),AND(70000&lt;V1300,V1300&lt;72501)),$F1300,IF(OR(AND(25001&lt;V1300,V1300&lt;27501),AND(53500&lt;V1300,V1300&lt;57001),AND(72500&lt;V1300,V1300&lt;75001)),$G1300,IF(OR(AND(27500&lt;V1300,V1300&lt;30001),AND(57000&lt;V1300,V1300&lt;60001),AND(75000&lt;V1300,V1300&lt;77500)),$H1300,VLOOKUP(V1300,BDins,6,FALSE)))))</f>
        <v>25.78</v>
      </c>
    </row>
    <row r="1303" spans="1:22" x14ac:dyDescent="0.2">
      <c r="O1303">
        <f t="shared" ref="O1303:V1303" si="187">IF($K1300&gt;0,ROUND(O1301*$E1300/100,DpCU),IF(O1304&gt;10000,ROUND(HLOOKUP(O1304,$O1300:$V1303,4,FALSE)/100*O1301,DpCU),IF(OR(O1300&lt;20001,O1300&gt;95000,AND(60000&lt;O1300,O1300&lt;70001)),ROUND(ROUND(O1301*JL/$C1300,DcCU)*O1302,DpCU),IF(OR(AND(20000&lt;O1300,O1300&lt;22501),AND(30000&lt;O1300,O1300&lt;50001),77500&lt;O1300),ROUND(O1302*O1301,DpCU),IF(OR(AND(22500&lt;O1300,O1300&lt;25001),AND(50000&lt;O1300,O1300&lt;53501),AND(70000&lt;O1300,O1300&lt;72501)),ROUND($F1300/100*O1301,DpCU),IF(OR(AND(25000&lt;O1300,O1300&lt;27501),AND(53500&lt;O1300,O1300&lt;57001),AND(72500&lt;O1300,O1300&lt;75001)),ROUND($G1300/100*O1301,DpCU),ROUND($H1300/100*O1301,DpCU)))))))</f>
        <v>1.67</v>
      </c>
      <c r="P1303">
        <f t="shared" si="187"/>
        <v>13.87</v>
      </c>
      <c r="Q1303">
        <f t="shared" si="187"/>
        <v>10.24</v>
      </c>
      <c r="R1303">
        <f t="shared" si="187"/>
        <v>0.4</v>
      </c>
      <c r="S1303">
        <f t="shared" si="187"/>
        <v>0.3</v>
      </c>
      <c r="T1303">
        <f t="shared" si="187"/>
        <v>0.3</v>
      </c>
      <c r="U1303">
        <f t="shared" si="187"/>
        <v>0.85</v>
      </c>
      <c r="V1303">
        <f t="shared" si="187"/>
        <v>1.29</v>
      </c>
    </row>
    <row r="1304" spans="1:22" x14ac:dyDescent="0.2">
      <c r="B1304" s="3" t="str">
        <f>A1300&amp;"r"</f>
        <v>10260r</v>
      </c>
    </row>
    <row r="1305" spans="1:22" x14ac:dyDescent="0.2">
      <c r="A1305">
        <v>10261</v>
      </c>
      <c r="B1305" s="3" t="s">
        <v>1314</v>
      </c>
      <c r="C1305" s="1">
        <f>ROUND(J1305*JL*Frto/8,4)</f>
        <v>12</v>
      </c>
      <c r="D1305" t="s">
        <v>7</v>
      </c>
      <c r="E1305">
        <f>SUM($O1308:$V1308)</f>
        <v>31.37</v>
      </c>
      <c r="F1305">
        <f>SUMIF($O1305:$V1305,"&lt;22501",$O1308:$V1308)</f>
        <v>25.78</v>
      </c>
      <c r="G1305">
        <f>SUMIFS($O1308:$V1308,$O1305:$V1305,"&gt;30000",$O1305:$V1305,"&lt;50001")</f>
        <v>4.3</v>
      </c>
      <c r="H1305">
        <f>SUMIFS($O1308:$V1308,$O1305:$V1305,"&gt;60000",$O1305:$V1305,"&lt;70001")</f>
        <v>0</v>
      </c>
      <c r="I1305">
        <v>8</v>
      </c>
      <c r="J1305">
        <v>12</v>
      </c>
      <c r="O1305">
        <v>10001</v>
      </c>
      <c r="P1305">
        <v>10002</v>
      </c>
      <c r="Q1305">
        <v>10003</v>
      </c>
      <c r="R1305">
        <v>30320</v>
      </c>
      <c r="S1305">
        <v>30355</v>
      </c>
      <c r="T1305">
        <v>30356</v>
      </c>
      <c r="U1305">
        <v>30358</v>
      </c>
      <c r="V1305">
        <v>70001</v>
      </c>
    </row>
    <row r="1306" spans="1:22" x14ac:dyDescent="0.2">
      <c r="B1306" s="3" t="str">
        <f>A1305&amp;"C"</f>
        <v>10261C</v>
      </c>
      <c r="O1306">
        <v>0.1</v>
      </c>
      <c r="P1306">
        <v>1</v>
      </c>
      <c r="Q1306">
        <v>1</v>
      </c>
      <c r="R1306">
        <v>1</v>
      </c>
      <c r="S1306">
        <v>1</v>
      </c>
      <c r="T1306">
        <v>1</v>
      </c>
      <c r="U1306">
        <v>1</v>
      </c>
      <c r="V1306">
        <v>5</v>
      </c>
    </row>
    <row r="1307" spans="1:22" x14ac:dyDescent="0.2">
      <c r="O1307">
        <f>IF(O1309&gt;10000,HLOOKUP(O1309,N1305:$O1308,4,FALSE),IF(OR(AND(22500&lt;O1305,O1305&lt;25001),AND(50000&lt;O1305,O1305&lt;53501),AND(70000&lt;O1305,O1305&lt;72501)),$F1305,IF(OR(AND(25001&lt;O1305,O1305&lt;27501),AND(53500&lt;O1305,O1305&lt;57001),AND(72500&lt;O1305,O1305&lt;75001)),$G1305,IF(OR(AND(27500&lt;O1305,O1305&lt;30001),AND(57000&lt;O1305,O1305&lt;60001),AND(75000&lt;O1305,O1305&lt;77500)),$H1305,VLOOKUP(O1305,BDins,6,FALSE)))))</f>
        <v>24.97</v>
      </c>
      <c r="P1307">
        <f>IF(P1309&gt;10000,HLOOKUP(P1309,O1305:$O1308,4,FALSE),IF(OR(AND(22500&lt;P1305,P1305&lt;25001),AND(50000&lt;P1305,P1305&lt;53501),AND(70000&lt;P1305,P1305&lt;72501)),$F1305,IF(OR(AND(25001&lt;P1305,P1305&lt;27501),AND(53500&lt;P1305,P1305&lt;57001),AND(72500&lt;P1305,P1305&lt;75001)),$G1305,IF(OR(AND(27500&lt;P1305,P1305&lt;30001),AND(57000&lt;P1305,P1305&lt;60001),AND(75000&lt;P1305,P1305&lt;77500)),$H1305,VLOOKUP(P1305,BDins,6,FALSE)))))</f>
        <v>20.81</v>
      </c>
      <c r="Q1307">
        <f>IF(Q1309&gt;10000,HLOOKUP(Q1309,$O1305:P1308,4,FALSE),IF(OR(AND(22500&lt;Q1305,Q1305&lt;25001),AND(50000&lt;Q1305,Q1305&lt;53501),AND(70000&lt;Q1305,Q1305&lt;72501)),$F1305,IF(OR(AND(25001&lt;Q1305,Q1305&lt;27501),AND(53500&lt;Q1305,Q1305&lt;57001),AND(72500&lt;Q1305,Q1305&lt;75001)),$G1305,IF(OR(AND(27500&lt;Q1305,Q1305&lt;30001),AND(57000&lt;Q1305,Q1305&lt;60001),AND(75000&lt;Q1305,Q1305&lt;77500)),$H1305,VLOOKUP(Q1305,BDins,6,FALSE)))))</f>
        <v>15.36</v>
      </c>
      <c r="R1307">
        <f>IF(R1309&gt;10000,HLOOKUP(R1309,$O1305:Q1308,4,FALSE),IF(OR(AND(22500&lt;R1305,R1305&lt;25001),AND(50000&lt;R1305,R1305&lt;53501),AND(70000&lt;R1305,R1305&lt;72501)),$F1305,IF(OR(AND(25001&lt;R1305,R1305&lt;27501),AND(53500&lt;R1305,R1305&lt;57001),AND(72500&lt;R1305,R1305&lt;75001)),$G1305,IF(OR(AND(27500&lt;R1305,R1305&lt;30001),AND(57000&lt;R1305,R1305&lt;60001),AND(75000&lt;R1305,R1305&lt;77500)),$H1305,VLOOKUP(R1305,BDins,6,FALSE)))))</f>
        <v>0.4</v>
      </c>
      <c r="S1307">
        <f>IF(S1309&gt;10000,HLOOKUP(S1309,$O1305:R1308,4,FALSE),IF(OR(AND(22500&lt;S1305,S1305&lt;25001),AND(50000&lt;S1305,S1305&lt;53501),AND(70000&lt;S1305,S1305&lt;72501)),$F1305,IF(OR(AND(25001&lt;S1305,S1305&lt;27501),AND(53500&lt;S1305,S1305&lt;57001),AND(72500&lt;S1305,S1305&lt;75001)),$G1305,IF(OR(AND(27500&lt;S1305,S1305&lt;30001),AND(57000&lt;S1305,S1305&lt;60001),AND(75000&lt;S1305,S1305&lt;77500)),$H1305,VLOOKUP(S1305,BDins,6,FALSE)))))</f>
        <v>0.3</v>
      </c>
      <c r="T1307">
        <f>IF(T1309&gt;10000,HLOOKUP(T1309,$O1305:S1308,4,FALSE),IF(OR(AND(22500&lt;T1305,T1305&lt;25001),AND(50000&lt;T1305,T1305&lt;53501),AND(70000&lt;T1305,T1305&lt;72501)),$F1305,IF(OR(AND(25001&lt;T1305,T1305&lt;27501),AND(53500&lt;T1305,T1305&lt;57001),AND(72500&lt;T1305,T1305&lt;75001)),$G1305,IF(OR(AND(27500&lt;T1305,T1305&lt;30001),AND(57000&lt;T1305,T1305&lt;60001),AND(75000&lt;T1305,T1305&lt;77500)),$H1305,VLOOKUP(T1305,BDins,6,FALSE)))))</f>
        <v>0.3</v>
      </c>
      <c r="U1307">
        <f>IF(U1309&gt;10000,HLOOKUP(U1309,$O1305:T1308,4,FALSE),IF(OR(AND(22500&lt;U1305,U1305&lt;25001),AND(50000&lt;U1305,U1305&lt;53501),AND(70000&lt;U1305,U1305&lt;72501)),$F1305,IF(OR(AND(25001&lt;U1305,U1305&lt;27501),AND(53500&lt;U1305,U1305&lt;57001),AND(72500&lt;U1305,U1305&lt;75001)),$G1305,IF(OR(AND(27500&lt;U1305,U1305&lt;30001),AND(57000&lt;U1305,U1305&lt;60001),AND(75000&lt;U1305,U1305&lt;77500)),$H1305,VLOOKUP(U1305,BDins,6,FALSE)))))</f>
        <v>3.3</v>
      </c>
      <c r="V1307">
        <f>IF(V1309&gt;10000,HLOOKUP(V1309,$O1305:U1308,4,FALSE),IF(OR(AND(22500&lt;V1305,V1305&lt;25001),AND(50000&lt;V1305,V1305&lt;53501),AND(70000&lt;V1305,V1305&lt;72501)),$F1305,IF(OR(AND(25001&lt;V1305,V1305&lt;27501),AND(53500&lt;V1305,V1305&lt;57001),AND(72500&lt;V1305,V1305&lt;75001)),$G1305,IF(OR(AND(27500&lt;V1305,V1305&lt;30001),AND(57000&lt;V1305,V1305&lt;60001),AND(75000&lt;V1305,V1305&lt;77500)),$H1305,VLOOKUP(V1305,BDins,6,FALSE)))))</f>
        <v>25.78</v>
      </c>
    </row>
    <row r="1308" spans="1:22" x14ac:dyDescent="0.2">
      <c r="O1308">
        <f t="shared" ref="O1308:V1308" si="188">IF($K1305&gt;0,ROUND(O1306*$E1305/100,DpCU),IF(O1309&gt;10000,ROUND(HLOOKUP(O1309,$O1305:$V1308,4,FALSE)/100*O1306,DpCU),IF(OR(O1305&lt;20001,O1305&gt;95000,AND(60000&lt;O1305,O1305&lt;70001)),ROUND(ROUND(O1306*JL/$C1305,DcCU)*O1307,DpCU),IF(OR(AND(20000&lt;O1305,O1305&lt;22501),AND(30000&lt;O1305,O1305&lt;50001),77500&lt;O1305),ROUND(O1307*O1306,DpCU),IF(OR(AND(22500&lt;O1305,O1305&lt;25001),AND(50000&lt;O1305,O1305&lt;53501),AND(70000&lt;O1305,O1305&lt;72501)),ROUND($F1305/100*O1306,DpCU),IF(OR(AND(25000&lt;O1305,O1305&lt;27501),AND(53500&lt;O1305,O1305&lt;57001),AND(72500&lt;O1305,O1305&lt;75001)),ROUND($G1305/100*O1306,DpCU),ROUND($H1305/100*O1306,DpCU)))))))</f>
        <v>1.67</v>
      </c>
      <c r="P1308">
        <f t="shared" si="188"/>
        <v>13.87</v>
      </c>
      <c r="Q1308">
        <f t="shared" si="188"/>
        <v>10.24</v>
      </c>
      <c r="R1308">
        <f t="shared" si="188"/>
        <v>0.4</v>
      </c>
      <c r="S1308">
        <f t="shared" si="188"/>
        <v>0.3</v>
      </c>
      <c r="T1308">
        <f t="shared" si="188"/>
        <v>0.3</v>
      </c>
      <c r="U1308">
        <f t="shared" si="188"/>
        <v>3.3</v>
      </c>
      <c r="V1308">
        <f t="shared" si="188"/>
        <v>1.29</v>
      </c>
    </row>
    <row r="1309" spans="1:22" x14ac:dyDescent="0.2">
      <c r="B1309" s="3" t="str">
        <f>A1305&amp;"r"</f>
        <v>10261r</v>
      </c>
    </row>
    <row r="1310" spans="1:22" x14ac:dyDescent="0.2">
      <c r="A1310">
        <v>10262</v>
      </c>
      <c r="B1310" s="3" t="s">
        <v>1317</v>
      </c>
      <c r="C1310" s="1">
        <f>ROUND(J1310*JL*Frto/8,4)</f>
        <v>12</v>
      </c>
      <c r="D1310" t="s">
        <v>7</v>
      </c>
      <c r="E1310">
        <f>SUM($O1313:$V1313)</f>
        <v>30.520000000000003</v>
      </c>
      <c r="F1310">
        <f>SUMIF($O1310:$V1310,"&lt;22501",$O1313:$V1313)</f>
        <v>25.78</v>
      </c>
      <c r="G1310">
        <f>SUMIFS($O1313:$V1313,$O1310:$V1310,"&gt;30000",$O1310:$V1310,"&lt;50001")</f>
        <v>3.45</v>
      </c>
      <c r="H1310">
        <f>SUMIFS($O1313:$V1313,$O1310:$V1310,"&gt;60000",$O1310:$V1310,"&lt;70001")</f>
        <v>0</v>
      </c>
      <c r="I1310">
        <v>8</v>
      </c>
      <c r="J1310">
        <v>12</v>
      </c>
      <c r="O1310">
        <v>10001</v>
      </c>
      <c r="P1310">
        <v>10002</v>
      </c>
      <c r="Q1310">
        <v>10003</v>
      </c>
      <c r="R1310">
        <v>30319</v>
      </c>
      <c r="S1310">
        <v>30320</v>
      </c>
      <c r="T1310">
        <v>30321</v>
      </c>
      <c r="U1310">
        <v>30357</v>
      </c>
      <c r="V1310">
        <v>70001</v>
      </c>
    </row>
    <row r="1311" spans="1:22" x14ac:dyDescent="0.2">
      <c r="B1311" s="3" t="str">
        <f>A1310&amp;"C"</f>
        <v>10262C</v>
      </c>
      <c r="O1311">
        <v>0.1</v>
      </c>
      <c r="P1311">
        <v>1</v>
      </c>
      <c r="Q1311">
        <v>1</v>
      </c>
      <c r="R1311">
        <v>2</v>
      </c>
      <c r="S1311">
        <v>2</v>
      </c>
      <c r="T1311">
        <v>2</v>
      </c>
      <c r="U1311">
        <v>1</v>
      </c>
      <c r="V1311">
        <v>5</v>
      </c>
    </row>
    <row r="1312" spans="1:22" x14ac:dyDescent="0.2">
      <c r="O1312">
        <f>IF(O1314&gt;10000,HLOOKUP(O1314,N1310:$O1313,4,FALSE),IF(OR(AND(22500&lt;O1310,O1310&lt;25001),AND(50000&lt;O1310,O1310&lt;53501),AND(70000&lt;O1310,O1310&lt;72501)),$F1310,IF(OR(AND(25001&lt;O1310,O1310&lt;27501),AND(53500&lt;O1310,O1310&lt;57001),AND(72500&lt;O1310,O1310&lt;75001)),$G1310,IF(OR(AND(27500&lt;O1310,O1310&lt;30001),AND(57000&lt;O1310,O1310&lt;60001),AND(75000&lt;O1310,O1310&lt;77500)),$H1310,VLOOKUP(O1310,BDins,6,FALSE)))))</f>
        <v>24.97</v>
      </c>
      <c r="P1312">
        <f>IF(P1314&gt;10000,HLOOKUP(P1314,O1310:$O1313,4,FALSE),IF(OR(AND(22500&lt;P1310,P1310&lt;25001),AND(50000&lt;P1310,P1310&lt;53501),AND(70000&lt;P1310,P1310&lt;72501)),$F1310,IF(OR(AND(25001&lt;P1310,P1310&lt;27501),AND(53500&lt;P1310,P1310&lt;57001),AND(72500&lt;P1310,P1310&lt;75001)),$G1310,IF(OR(AND(27500&lt;P1310,P1310&lt;30001),AND(57000&lt;P1310,P1310&lt;60001),AND(75000&lt;P1310,P1310&lt;77500)),$H1310,VLOOKUP(P1310,BDins,6,FALSE)))))</f>
        <v>20.81</v>
      </c>
      <c r="Q1312">
        <f>IF(Q1314&gt;10000,HLOOKUP(Q1314,$O1310:P1313,4,FALSE),IF(OR(AND(22500&lt;Q1310,Q1310&lt;25001),AND(50000&lt;Q1310,Q1310&lt;53501),AND(70000&lt;Q1310,Q1310&lt;72501)),$F1310,IF(OR(AND(25001&lt;Q1310,Q1310&lt;27501),AND(53500&lt;Q1310,Q1310&lt;57001),AND(72500&lt;Q1310,Q1310&lt;75001)),$G1310,IF(OR(AND(27500&lt;Q1310,Q1310&lt;30001),AND(57000&lt;Q1310,Q1310&lt;60001),AND(75000&lt;Q1310,Q1310&lt;77500)),$H1310,VLOOKUP(Q1310,BDins,6,FALSE)))))</f>
        <v>15.36</v>
      </c>
      <c r="R1312">
        <f>IF(R1314&gt;10000,HLOOKUP(R1314,$O1310:Q1313,4,FALSE),IF(OR(AND(22500&lt;R1310,R1310&lt;25001),AND(50000&lt;R1310,R1310&lt;53501),AND(70000&lt;R1310,R1310&lt;72501)),$F1310,IF(OR(AND(25001&lt;R1310,R1310&lt;27501),AND(53500&lt;R1310,R1310&lt;57001),AND(72500&lt;R1310,R1310&lt;75001)),$G1310,IF(OR(AND(27500&lt;R1310,R1310&lt;30001),AND(57000&lt;R1310,R1310&lt;60001),AND(75000&lt;R1310,R1310&lt;77500)),$H1310,VLOOKUP(R1310,BDins,6,FALSE)))))</f>
        <v>0.5</v>
      </c>
      <c r="S1312">
        <f>IF(S1314&gt;10000,HLOOKUP(S1314,$O1310:R1313,4,FALSE),IF(OR(AND(22500&lt;S1310,S1310&lt;25001),AND(50000&lt;S1310,S1310&lt;53501),AND(70000&lt;S1310,S1310&lt;72501)),$F1310,IF(OR(AND(25001&lt;S1310,S1310&lt;27501),AND(53500&lt;S1310,S1310&lt;57001),AND(72500&lt;S1310,S1310&lt;75001)),$G1310,IF(OR(AND(27500&lt;S1310,S1310&lt;30001),AND(57000&lt;S1310,S1310&lt;60001),AND(75000&lt;S1310,S1310&lt;77500)),$H1310,VLOOKUP(S1310,BDins,6,FALSE)))))</f>
        <v>0.4</v>
      </c>
      <c r="T1312">
        <f>IF(T1314&gt;10000,HLOOKUP(T1314,$O1310:S1313,4,FALSE),IF(OR(AND(22500&lt;T1310,T1310&lt;25001),AND(50000&lt;T1310,T1310&lt;53501),AND(70000&lt;T1310,T1310&lt;72501)),$F1310,IF(OR(AND(25001&lt;T1310,T1310&lt;27501),AND(53500&lt;T1310,T1310&lt;57001),AND(72500&lt;T1310,T1310&lt;75001)),$G1310,IF(OR(AND(27500&lt;T1310,T1310&lt;30001),AND(57000&lt;T1310,T1310&lt;60001),AND(75000&lt;T1310,T1310&lt;77500)),$H1310,VLOOKUP(T1310,BDins,6,FALSE)))))</f>
        <v>0.4</v>
      </c>
      <c r="U1312">
        <f>IF(U1314&gt;10000,HLOOKUP(U1314,$O1310:T1313,4,FALSE),IF(OR(AND(22500&lt;U1310,U1310&lt;25001),AND(50000&lt;U1310,U1310&lt;53501),AND(70000&lt;U1310,U1310&lt;72501)),$F1310,IF(OR(AND(25001&lt;U1310,U1310&lt;27501),AND(53500&lt;U1310,U1310&lt;57001),AND(72500&lt;U1310,U1310&lt;75001)),$G1310,IF(OR(AND(27500&lt;U1310,U1310&lt;30001),AND(57000&lt;U1310,U1310&lt;60001),AND(75000&lt;U1310,U1310&lt;77500)),$H1310,VLOOKUP(U1310,BDins,6,FALSE)))))</f>
        <v>0.85</v>
      </c>
      <c r="V1312">
        <f>IF(V1314&gt;10000,HLOOKUP(V1314,$O1310:U1313,4,FALSE),IF(OR(AND(22500&lt;V1310,V1310&lt;25001),AND(50000&lt;V1310,V1310&lt;53501),AND(70000&lt;V1310,V1310&lt;72501)),$F1310,IF(OR(AND(25001&lt;V1310,V1310&lt;27501),AND(53500&lt;V1310,V1310&lt;57001),AND(72500&lt;V1310,V1310&lt;75001)),$G1310,IF(OR(AND(27500&lt;V1310,V1310&lt;30001),AND(57000&lt;V1310,V1310&lt;60001),AND(75000&lt;V1310,V1310&lt;77500)),$H1310,VLOOKUP(V1310,BDins,6,FALSE)))))</f>
        <v>25.78</v>
      </c>
    </row>
    <row r="1313" spans="1:22" x14ac:dyDescent="0.2">
      <c r="O1313">
        <f t="shared" ref="O1313:V1313" si="189">IF($K1310&gt;0,ROUND(O1311*$E1310/100,DpCU),IF(O1314&gt;10000,ROUND(HLOOKUP(O1314,$O1310:$V1313,4,FALSE)/100*O1311,DpCU),IF(OR(O1310&lt;20001,O1310&gt;95000,AND(60000&lt;O1310,O1310&lt;70001)),ROUND(ROUND(O1311*JL/$C1310,DcCU)*O1312,DpCU),IF(OR(AND(20000&lt;O1310,O1310&lt;22501),AND(30000&lt;O1310,O1310&lt;50001),77500&lt;O1310),ROUND(O1312*O1311,DpCU),IF(OR(AND(22500&lt;O1310,O1310&lt;25001),AND(50000&lt;O1310,O1310&lt;53501),AND(70000&lt;O1310,O1310&lt;72501)),ROUND($F1310/100*O1311,DpCU),IF(OR(AND(25000&lt;O1310,O1310&lt;27501),AND(53500&lt;O1310,O1310&lt;57001),AND(72500&lt;O1310,O1310&lt;75001)),ROUND($G1310/100*O1311,DpCU),ROUND($H1310/100*O1311,DpCU)))))))</f>
        <v>1.67</v>
      </c>
      <c r="P1313">
        <f t="shared" si="189"/>
        <v>13.87</v>
      </c>
      <c r="Q1313">
        <f t="shared" si="189"/>
        <v>10.24</v>
      </c>
      <c r="R1313">
        <f t="shared" si="189"/>
        <v>1</v>
      </c>
      <c r="S1313">
        <f t="shared" si="189"/>
        <v>0.8</v>
      </c>
      <c r="T1313">
        <f t="shared" si="189"/>
        <v>0.8</v>
      </c>
      <c r="U1313">
        <f t="shared" si="189"/>
        <v>0.85</v>
      </c>
      <c r="V1313">
        <f t="shared" si="189"/>
        <v>1.29</v>
      </c>
    </row>
    <row r="1314" spans="1:22" x14ac:dyDescent="0.2">
      <c r="B1314" s="3" t="str">
        <f>A1310&amp;"r"</f>
        <v>10262r</v>
      </c>
    </row>
    <row r="1315" spans="1:22" x14ac:dyDescent="0.2">
      <c r="A1315">
        <v>10263</v>
      </c>
      <c r="B1315" s="3" t="s">
        <v>1319</v>
      </c>
      <c r="C1315" s="1">
        <f>ROUND(J1315*JL*Frto/8,4)</f>
        <v>12</v>
      </c>
      <c r="D1315" t="s">
        <v>7</v>
      </c>
      <c r="E1315">
        <f>SUM($O1318:$V1318)</f>
        <v>30.520000000000003</v>
      </c>
      <c r="F1315">
        <f>SUMIF($O1315:$V1315,"&lt;22501",$O1318:$V1318)</f>
        <v>25.78</v>
      </c>
      <c r="G1315">
        <f>SUMIFS($O1318:$V1318,$O1315:$V1315,"&gt;30000",$O1315:$V1315,"&lt;50001")</f>
        <v>3.45</v>
      </c>
      <c r="H1315">
        <f>SUMIFS($O1318:$V1318,$O1315:$V1315,"&gt;60000",$O1315:$V1315,"&lt;70001")</f>
        <v>0</v>
      </c>
      <c r="I1315">
        <v>8</v>
      </c>
      <c r="J1315">
        <v>12</v>
      </c>
      <c r="O1315">
        <v>10001</v>
      </c>
      <c r="P1315">
        <v>10002</v>
      </c>
      <c r="Q1315">
        <v>10003</v>
      </c>
      <c r="R1315">
        <v>30319</v>
      </c>
      <c r="S1315">
        <v>30320</v>
      </c>
      <c r="T1315">
        <v>30321</v>
      </c>
      <c r="U1315">
        <v>30357</v>
      </c>
      <c r="V1315">
        <v>70001</v>
      </c>
    </row>
    <row r="1316" spans="1:22" x14ac:dyDescent="0.2">
      <c r="B1316" s="3" t="str">
        <f>A1315&amp;"C"</f>
        <v>10263C</v>
      </c>
      <c r="O1316">
        <v>0.1</v>
      </c>
      <c r="P1316">
        <v>1</v>
      </c>
      <c r="Q1316">
        <v>1</v>
      </c>
      <c r="R1316">
        <v>2</v>
      </c>
      <c r="S1316">
        <v>2</v>
      </c>
      <c r="T1316">
        <v>2</v>
      </c>
      <c r="U1316">
        <v>1</v>
      </c>
      <c r="V1316">
        <v>5</v>
      </c>
    </row>
    <row r="1317" spans="1:22" x14ac:dyDescent="0.2">
      <c r="O1317">
        <f>IF(O1319&gt;10000,HLOOKUP(O1319,N1315:$O1318,4,FALSE),IF(OR(AND(22500&lt;O1315,O1315&lt;25001),AND(50000&lt;O1315,O1315&lt;53501),AND(70000&lt;O1315,O1315&lt;72501)),$F1315,IF(OR(AND(25001&lt;O1315,O1315&lt;27501),AND(53500&lt;O1315,O1315&lt;57001),AND(72500&lt;O1315,O1315&lt;75001)),$G1315,IF(OR(AND(27500&lt;O1315,O1315&lt;30001),AND(57000&lt;O1315,O1315&lt;60001),AND(75000&lt;O1315,O1315&lt;77500)),$H1315,VLOOKUP(O1315,BDins,6,FALSE)))))</f>
        <v>24.97</v>
      </c>
      <c r="P1317">
        <f>IF(P1319&gt;10000,HLOOKUP(P1319,O1315:$O1318,4,FALSE),IF(OR(AND(22500&lt;P1315,P1315&lt;25001),AND(50000&lt;P1315,P1315&lt;53501),AND(70000&lt;P1315,P1315&lt;72501)),$F1315,IF(OR(AND(25001&lt;P1315,P1315&lt;27501),AND(53500&lt;P1315,P1315&lt;57001),AND(72500&lt;P1315,P1315&lt;75001)),$G1315,IF(OR(AND(27500&lt;P1315,P1315&lt;30001),AND(57000&lt;P1315,P1315&lt;60001),AND(75000&lt;P1315,P1315&lt;77500)),$H1315,VLOOKUP(P1315,BDins,6,FALSE)))))</f>
        <v>20.81</v>
      </c>
      <c r="Q1317">
        <f>IF(Q1319&gt;10000,HLOOKUP(Q1319,$O1315:P1318,4,FALSE),IF(OR(AND(22500&lt;Q1315,Q1315&lt;25001),AND(50000&lt;Q1315,Q1315&lt;53501),AND(70000&lt;Q1315,Q1315&lt;72501)),$F1315,IF(OR(AND(25001&lt;Q1315,Q1315&lt;27501),AND(53500&lt;Q1315,Q1315&lt;57001),AND(72500&lt;Q1315,Q1315&lt;75001)),$G1315,IF(OR(AND(27500&lt;Q1315,Q1315&lt;30001),AND(57000&lt;Q1315,Q1315&lt;60001),AND(75000&lt;Q1315,Q1315&lt;77500)),$H1315,VLOOKUP(Q1315,BDins,6,FALSE)))))</f>
        <v>15.36</v>
      </c>
      <c r="R1317">
        <f>IF(R1319&gt;10000,HLOOKUP(R1319,$O1315:Q1318,4,FALSE),IF(OR(AND(22500&lt;R1315,R1315&lt;25001),AND(50000&lt;R1315,R1315&lt;53501),AND(70000&lt;R1315,R1315&lt;72501)),$F1315,IF(OR(AND(25001&lt;R1315,R1315&lt;27501),AND(53500&lt;R1315,R1315&lt;57001),AND(72500&lt;R1315,R1315&lt;75001)),$G1315,IF(OR(AND(27500&lt;R1315,R1315&lt;30001),AND(57000&lt;R1315,R1315&lt;60001),AND(75000&lt;R1315,R1315&lt;77500)),$H1315,VLOOKUP(R1315,BDins,6,FALSE)))))</f>
        <v>0.5</v>
      </c>
      <c r="S1317">
        <f>IF(S1319&gt;10000,HLOOKUP(S1319,$O1315:R1318,4,FALSE),IF(OR(AND(22500&lt;S1315,S1315&lt;25001),AND(50000&lt;S1315,S1315&lt;53501),AND(70000&lt;S1315,S1315&lt;72501)),$F1315,IF(OR(AND(25001&lt;S1315,S1315&lt;27501),AND(53500&lt;S1315,S1315&lt;57001),AND(72500&lt;S1315,S1315&lt;75001)),$G1315,IF(OR(AND(27500&lt;S1315,S1315&lt;30001),AND(57000&lt;S1315,S1315&lt;60001),AND(75000&lt;S1315,S1315&lt;77500)),$H1315,VLOOKUP(S1315,BDins,6,FALSE)))))</f>
        <v>0.4</v>
      </c>
      <c r="T1317">
        <f>IF(T1319&gt;10000,HLOOKUP(T1319,$O1315:S1318,4,FALSE),IF(OR(AND(22500&lt;T1315,T1315&lt;25001),AND(50000&lt;T1315,T1315&lt;53501),AND(70000&lt;T1315,T1315&lt;72501)),$F1315,IF(OR(AND(25001&lt;T1315,T1315&lt;27501),AND(53500&lt;T1315,T1315&lt;57001),AND(72500&lt;T1315,T1315&lt;75001)),$G1315,IF(OR(AND(27500&lt;T1315,T1315&lt;30001),AND(57000&lt;T1315,T1315&lt;60001),AND(75000&lt;T1315,T1315&lt;77500)),$H1315,VLOOKUP(T1315,BDins,6,FALSE)))))</f>
        <v>0.4</v>
      </c>
      <c r="U1317">
        <f>IF(U1319&gt;10000,HLOOKUP(U1319,$O1315:T1318,4,FALSE),IF(OR(AND(22500&lt;U1315,U1315&lt;25001),AND(50000&lt;U1315,U1315&lt;53501),AND(70000&lt;U1315,U1315&lt;72501)),$F1315,IF(OR(AND(25001&lt;U1315,U1315&lt;27501),AND(53500&lt;U1315,U1315&lt;57001),AND(72500&lt;U1315,U1315&lt;75001)),$G1315,IF(OR(AND(27500&lt;U1315,U1315&lt;30001),AND(57000&lt;U1315,U1315&lt;60001),AND(75000&lt;U1315,U1315&lt;77500)),$H1315,VLOOKUP(U1315,BDins,6,FALSE)))))</f>
        <v>0.85</v>
      </c>
      <c r="V1317">
        <f>IF(V1319&gt;10000,HLOOKUP(V1319,$O1315:U1318,4,FALSE),IF(OR(AND(22500&lt;V1315,V1315&lt;25001),AND(50000&lt;V1315,V1315&lt;53501),AND(70000&lt;V1315,V1315&lt;72501)),$F1315,IF(OR(AND(25001&lt;V1315,V1315&lt;27501),AND(53500&lt;V1315,V1315&lt;57001),AND(72500&lt;V1315,V1315&lt;75001)),$G1315,IF(OR(AND(27500&lt;V1315,V1315&lt;30001),AND(57000&lt;V1315,V1315&lt;60001),AND(75000&lt;V1315,V1315&lt;77500)),$H1315,VLOOKUP(V1315,BDins,6,FALSE)))))</f>
        <v>25.78</v>
      </c>
    </row>
    <row r="1318" spans="1:22" x14ac:dyDescent="0.2">
      <c r="O1318">
        <f t="shared" ref="O1318:V1318" si="190">IF($K1315&gt;0,ROUND(O1316*$E1315/100,DpCU),IF(O1319&gt;10000,ROUND(HLOOKUP(O1319,$O1315:$V1318,4,FALSE)/100*O1316,DpCU),IF(OR(O1315&lt;20001,O1315&gt;95000,AND(60000&lt;O1315,O1315&lt;70001)),ROUND(ROUND(O1316*JL/$C1315,DcCU)*O1317,DpCU),IF(OR(AND(20000&lt;O1315,O1315&lt;22501),AND(30000&lt;O1315,O1315&lt;50001),77500&lt;O1315),ROUND(O1317*O1316,DpCU),IF(OR(AND(22500&lt;O1315,O1315&lt;25001),AND(50000&lt;O1315,O1315&lt;53501),AND(70000&lt;O1315,O1315&lt;72501)),ROUND($F1315/100*O1316,DpCU),IF(OR(AND(25000&lt;O1315,O1315&lt;27501),AND(53500&lt;O1315,O1315&lt;57001),AND(72500&lt;O1315,O1315&lt;75001)),ROUND($G1315/100*O1316,DpCU),ROUND($H1315/100*O1316,DpCU)))))))</f>
        <v>1.67</v>
      </c>
      <c r="P1318">
        <f t="shared" si="190"/>
        <v>13.87</v>
      </c>
      <c r="Q1318">
        <f t="shared" si="190"/>
        <v>10.24</v>
      </c>
      <c r="R1318">
        <f t="shared" si="190"/>
        <v>1</v>
      </c>
      <c r="S1318">
        <f t="shared" si="190"/>
        <v>0.8</v>
      </c>
      <c r="T1318">
        <f t="shared" si="190"/>
        <v>0.8</v>
      </c>
      <c r="U1318">
        <f t="shared" si="190"/>
        <v>0.85</v>
      </c>
      <c r="V1318">
        <f t="shared" si="190"/>
        <v>1.29</v>
      </c>
    </row>
    <row r="1319" spans="1:22" x14ac:dyDescent="0.2">
      <c r="B1319" s="3" t="str">
        <f>A1315&amp;"r"</f>
        <v>10263r</v>
      </c>
    </row>
    <row r="1320" spans="1:22" x14ac:dyDescent="0.2">
      <c r="A1320">
        <v>10264</v>
      </c>
      <c r="B1320" s="3" t="s">
        <v>1321</v>
      </c>
      <c r="C1320" s="1">
        <f>ROUND(J1320*JL*Frto/8,4)</f>
        <v>12</v>
      </c>
      <c r="D1320" t="s">
        <v>7</v>
      </c>
      <c r="E1320">
        <f>SUM($O1323:$V1323)</f>
        <v>32.970000000000006</v>
      </c>
      <c r="F1320">
        <f>SUMIF($O1320:$V1320,"&lt;22501",$O1323:$V1323)</f>
        <v>25.78</v>
      </c>
      <c r="G1320">
        <f>SUMIFS($O1323:$V1323,$O1320:$V1320,"&gt;30000",$O1320:$V1320,"&lt;50001")</f>
        <v>5.9</v>
      </c>
      <c r="H1320">
        <f>SUMIFS($O1323:$V1323,$O1320:$V1320,"&gt;60000",$O1320:$V1320,"&lt;70001")</f>
        <v>0</v>
      </c>
      <c r="I1320">
        <v>8</v>
      </c>
      <c r="J1320">
        <v>12</v>
      </c>
      <c r="O1320">
        <v>10001</v>
      </c>
      <c r="P1320">
        <v>10002</v>
      </c>
      <c r="Q1320">
        <v>10003</v>
      </c>
      <c r="R1320">
        <v>30319</v>
      </c>
      <c r="S1320">
        <v>30320</v>
      </c>
      <c r="T1320">
        <v>30321</v>
      </c>
      <c r="U1320">
        <v>30358</v>
      </c>
      <c r="V1320">
        <v>70001</v>
      </c>
    </row>
    <row r="1321" spans="1:22" x14ac:dyDescent="0.2">
      <c r="B1321" s="3" t="str">
        <f>A1320&amp;"C"</f>
        <v>10264C</v>
      </c>
      <c r="O1321">
        <v>0.1</v>
      </c>
      <c r="P1321">
        <v>1</v>
      </c>
      <c r="Q1321">
        <v>1</v>
      </c>
      <c r="R1321">
        <v>2</v>
      </c>
      <c r="S1321">
        <v>2</v>
      </c>
      <c r="T1321">
        <v>2</v>
      </c>
      <c r="U1321">
        <v>1</v>
      </c>
      <c r="V1321">
        <v>5</v>
      </c>
    </row>
    <row r="1322" spans="1:22" x14ac:dyDescent="0.2">
      <c r="O1322">
        <f>IF(O1324&gt;10000,HLOOKUP(O1324,N1320:$O1323,4,FALSE),IF(OR(AND(22500&lt;O1320,O1320&lt;25001),AND(50000&lt;O1320,O1320&lt;53501),AND(70000&lt;O1320,O1320&lt;72501)),$F1320,IF(OR(AND(25001&lt;O1320,O1320&lt;27501),AND(53500&lt;O1320,O1320&lt;57001),AND(72500&lt;O1320,O1320&lt;75001)),$G1320,IF(OR(AND(27500&lt;O1320,O1320&lt;30001),AND(57000&lt;O1320,O1320&lt;60001),AND(75000&lt;O1320,O1320&lt;77500)),$H1320,VLOOKUP(O1320,BDins,6,FALSE)))))</f>
        <v>24.97</v>
      </c>
      <c r="P1322">
        <f>IF(P1324&gt;10000,HLOOKUP(P1324,O1320:$O1323,4,FALSE),IF(OR(AND(22500&lt;P1320,P1320&lt;25001),AND(50000&lt;P1320,P1320&lt;53501),AND(70000&lt;P1320,P1320&lt;72501)),$F1320,IF(OR(AND(25001&lt;P1320,P1320&lt;27501),AND(53500&lt;P1320,P1320&lt;57001),AND(72500&lt;P1320,P1320&lt;75001)),$G1320,IF(OR(AND(27500&lt;P1320,P1320&lt;30001),AND(57000&lt;P1320,P1320&lt;60001),AND(75000&lt;P1320,P1320&lt;77500)),$H1320,VLOOKUP(P1320,BDins,6,FALSE)))))</f>
        <v>20.81</v>
      </c>
      <c r="Q1322">
        <f>IF(Q1324&gt;10000,HLOOKUP(Q1324,$O1320:P1323,4,FALSE),IF(OR(AND(22500&lt;Q1320,Q1320&lt;25001),AND(50000&lt;Q1320,Q1320&lt;53501),AND(70000&lt;Q1320,Q1320&lt;72501)),$F1320,IF(OR(AND(25001&lt;Q1320,Q1320&lt;27501),AND(53500&lt;Q1320,Q1320&lt;57001),AND(72500&lt;Q1320,Q1320&lt;75001)),$G1320,IF(OR(AND(27500&lt;Q1320,Q1320&lt;30001),AND(57000&lt;Q1320,Q1320&lt;60001),AND(75000&lt;Q1320,Q1320&lt;77500)),$H1320,VLOOKUP(Q1320,BDins,6,FALSE)))))</f>
        <v>15.36</v>
      </c>
      <c r="R1322">
        <f>IF(R1324&gt;10000,HLOOKUP(R1324,$O1320:Q1323,4,FALSE),IF(OR(AND(22500&lt;R1320,R1320&lt;25001),AND(50000&lt;R1320,R1320&lt;53501),AND(70000&lt;R1320,R1320&lt;72501)),$F1320,IF(OR(AND(25001&lt;R1320,R1320&lt;27501),AND(53500&lt;R1320,R1320&lt;57001),AND(72500&lt;R1320,R1320&lt;75001)),$G1320,IF(OR(AND(27500&lt;R1320,R1320&lt;30001),AND(57000&lt;R1320,R1320&lt;60001),AND(75000&lt;R1320,R1320&lt;77500)),$H1320,VLOOKUP(R1320,BDins,6,FALSE)))))</f>
        <v>0.5</v>
      </c>
      <c r="S1322">
        <f>IF(S1324&gt;10000,HLOOKUP(S1324,$O1320:R1323,4,FALSE),IF(OR(AND(22500&lt;S1320,S1320&lt;25001),AND(50000&lt;S1320,S1320&lt;53501),AND(70000&lt;S1320,S1320&lt;72501)),$F1320,IF(OR(AND(25001&lt;S1320,S1320&lt;27501),AND(53500&lt;S1320,S1320&lt;57001),AND(72500&lt;S1320,S1320&lt;75001)),$G1320,IF(OR(AND(27500&lt;S1320,S1320&lt;30001),AND(57000&lt;S1320,S1320&lt;60001),AND(75000&lt;S1320,S1320&lt;77500)),$H1320,VLOOKUP(S1320,BDins,6,FALSE)))))</f>
        <v>0.4</v>
      </c>
      <c r="T1322">
        <f>IF(T1324&gt;10000,HLOOKUP(T1324,$O1320:S1323,4,FALSE),IF(OR(AND(22500&lt;T1320,T1320&lt;25001),AND(50000&lt;T1320,T1320&lt;53501),AND(70000&lt;T1320,T1320&lt;72501)),$F1320,IF(OR(AND(25001&lt;T1320,T1320&lt;27501),AND(53500&lt;T1320,T1320&lt;57001),AND(72500&lt;T1320,T1320&lt;75001)),$G1320,IF(OR(AND(27500&lt;T1320,T1320&lt;30001),AND(57000&lt;T1320,T1320&lt;60001),AND(75000&lt;T1320,T1320&lt;77500)),$H1320,VLOOKUP(T1320,BDins,6,FALSE)))))</f>
        <v>0.4</v>
      </c>
      <c r="U1322">
        <f>IF(U1324&gt;10000,HLOOKUP(U1324,$O1320:T1323,4,FALSE),IF(OR(AND(22500&lt;U1320,U1320&lt;25001),AND(50000&lt;U1320,U1320&lt;53501),AND(70000&lt;U1320,U1320&lt;72501)),$F1320,IF(OR(AND(25001&lt;U1320,U1320&lt;27501),AND(53500&lt;U1320,U1320&lt;57001),AND(72500&lt;U1320,U1320&lt;75001)),$G1320,IF(OR(AND(27500&lt;U1320,U1320&lt;30001),AND(57000&lt;U1320,U1320&lt;60001),AND(75000&lt;U1320,U1320&lt;77500)),$H1320,VLOOKUP(U1320,BDins,6,FALSE)))))</f>
        <v>3.3</v>
      </c>
      <c r="V1322">
        <f>IF(V1324&gt;10000,HLOOKUP(V1324,$O1320:U1323,4,FALSE),IF(OR(AND(22500&lt;V1320,V1320&lt;25001),AND(50000&lt;V1320,V1320&lt;53501),AND(70000&lt;V1320,V1320&lt;72501)),$F1320,IF(OR(AND(25001&lt;V1320,V1320&lt;27501),AND(53500&lt;V1320,V1320&lt;57001),AND(72500&lt;V1320,V1320&lt;75001)),$G1320,IF(OR(AND(27500&lt;V1320,V1320&lt;30001),AND(57000&lt;V1320,V1320&lt;60001),AND(75000&lt;V1320,V1320&lt;77500)),$H1320,VLOOKUP(V1320,BDins,6,FALSE)))))</f>
        <v>25.78</v>
      </c>
    </row>
    <row r="1323" spans="1:22" x14ac:dyDescent="0.2">
      <c r="O1323">
        <f t="shared" ref="O1323:V1323" si="191">IF($K1320&gt;0,ROUND(O1321*$E1320/100,DpCU),IF(O1324&gt;10000,ROUND(HLOOKUP(O1324,$O1320:$V1323,4,FALSE)/100*O1321,DpCU),IF(OR(O1320&lt;20001,O1320&gt;95000,AND(60000&lt;O1320,O1320&lt;70001)),ROUND(ROUND(O1321*JL/$C1320,DcCU)*O1322,DpCU),IF(OR(AND(20000&lt;O1320,O1320&lt;22501),AND(30000&lt;O1320,O1320&lt;50001),77500&lt;O1320),ROUND(O1322*O1321,DpCU),IF(OR(AND(22500&lt;O1320,O1320&lt;25001),AND(50000&lt;O1320,O1320&lt;53501),AND(70000&lt;O1320,O1320&lt;72501)),ROUND($F1320/100*O1321,DpCU),IF(OR(AND(25000&lt;O1320,O1320&lt;27501),AND(53500&lt;O1320,O1320&lt;57001),AND(72500&lt;O1320,O1320&lt;75001)),ROUND($G1320/100*O1321,DpCU),ROUND($H1320/100*O1321,DpCU)))))))</f>
        <v>1.67</v>
      </c>
      <c r="P1323">
        <f t="shared" si="191"/>
        <v>13.87</v>
      </c>
      <c r="Q1323">
        <f t="shared" si="191"/>
        <v>10.24</v>
      </c>
      <c r="R1323">
        <f t="shared" si="191"/>
        <v>1</v>
      </c>
      <c r="S1323">
        <f t="shared" si="191"/>
        <v>0.8</v>
      </c>
      <c r="T1323">
        <f t="shared" si="191"/>
        <v>0.8</v>
      </c>
      <c r="U1323">
        <f t="shared" si="191"/>
        <v>3.3</v>
      </c>
      <c r="V1323">
        <f t="shared" si="191"/>
        <v>1.29</v>
      </c>
    </row>
    <row r="1324" spans="1:22" x14ac:dyDescent="0.2">
      <c r="B1324" s="3" t="str">
        <f>A1320&amp;"r"</f>
        <v>10264r</v>
      </c>
    </row>
    <row r="1325" spans="1:22" x14ac:dyDescent="0.2">
      <c r="A1325">
        <v>10265</v>
      </c>
      <c r="B1325" s="3" t="s">
        <v>1323</v>
      </c>
      <c r="C1325" s="1">
        <f>ROUND(J1325*JL*Frto/8,4)</f>
        <v>12</v>
      </c>
      <c r="D1325" t="s">
        <v>7</v>
      </c>
      <c r="E1325">
        <f>SUM($O1328:$V1328)</f>
        <v>32.970000000000006</v>
      </c>
      <c r="F1325">
        <f>SUMIF($O1325:$V1325,"&lt;22501",$O1328:$V1328)</f>
        <v>25.78</v>
      </c>
      <c r="G1325">
        <f>SUMIFS($O1328:$V1328,$O1325:$V1325,"&gt;30000",$O1325:$V1325,"&lt;50001")</f>
        <v>5.9</v>
      </c>
      <c r="H1325">
        <f>SUMIFS($O1328:$V1328,$O1325:$V1325,"&gt;60000",$O1325:$V1325,"&lt;70001")</f>
        <v>0</v>
      </c>
      <c r="I1325">
        <v>8</v>
      </c>
      <c r="J1325">
        <v>12</v>
      </c>
      <c r="O1325">
        <v>10001</v>
      </c>
      <c r="P1325">
        <v>10002</v>
      </c>
      <c r="Q1325">
        <v>10003</v>
      </c>
      <c r="R1325">
        <v>30319</v>
      </c>
      <c r="S1325">
        <v>30320</v>
      </c>
      <c r="T1325">
        <v>30321</v>
      </c>
      <c r="U1325">
        <v>30358</v>
      </c>
      <c r="V1325">
        <v>70001</v>
      </c>
    </row>
    <row r="1326" spans="1:22" x14ac:dyDescent="0.2">
      <c r="B1326" s="3" t="str">
        <f>A1325&amp;"C"</f>
        <v>10265C</v>
      </c>
      <c r="O1326">
        <v>0.1</v>
      </c>
      <c r="P1326">
        <v>1</v>
      </c>
      <c r="Q1326">
        <v>1</v>
      </c>
      <c r="R1326">
        <v>2</v>
      </c>
      <c r="S1326">
        <v>2</v>
      </c>
      <c r="T1326">
        <v>2</v>
      </c>
      <c r="U1326">
        <v>1</v>
      </c>
      <c r="V1326">
        <v>5</v>
      </c>
    </row>
    <row r="1327" spans="1:22" x14ac:dyDescent="0.2">
      <c r="O1327">
        <f>IF(O1329&gt;10000,HLOOKUP(O1329,N1325:$O1328,4,FALSE),IF(OR(AND(22500&lt;O1325,O1325&lt;25001),AND(50000&lt;O1325,O1325&lt;53501),AND(70000&lt;O1325,O1325&lt;72501)),$F1325,IF(OR(AND(25001&lt;O1325,O1325&lt;27501),AND(53500&lt;O1325,O1325&lt;57001),AND(72500&lt;O1325,O1325&lt;75001)),$G1325,IF(OR(AND(27500&lt;O1325,O1325&lt;30001),AND(57000&lt;O1325,O1325&lt;60001),AND(75000&lt;O1325,O1325&lt;77500)),$H1325,VLOOKUP(O1325,BDins,6,FALSE)))))</f>
        <v>24.97</v>
      </c>
      <c r="P1327">
        <f>IF(P1329&gt;10000,HLOOKUP(P1329,O1325:$O1328,4,FALSE),IF(OR(AND(22500&lt;P1325,P1325&lt;25001),AND(50000&lt;P1325,P1325&lt;53501),AND(70000&lt;P1325,P1325&lt;72501)),$F1325,IF(OR(AND(25001&lt;P1325,P1325&lt;27501),AND(53500&lt;P1325,P1325&lt;57001),AND(72500&lt;P1325,P1325&lt;75001)),$G1325,IF(OR(AND(27500&lt;P1325,P1325&lt;30001),AND(57000&lt;P1325,P1325&lt;60001),AND(75000&lt;P1325,P1325&lt;77500)),$H1325,VLOOKUP(P1325,BDins,6,FALSE)))))</f>
        <v>20.81</v>
      </c>
      <c r="Q1327">
        <f>IF(Q1329&gt;10000,HLOOKUP(Q1329,$O1325:P1328,4,FALSE),IF(OR(AND(22500&lt;Q1325,Q1325&lt;25001),AND(50000&lt;Q1325,Q1325&lt;53501),AND(70000&lt;Q1325,Q1325&lt;72501)),$F1325,IF(OR(AND(25001&lt;Q1325,Q1325&lt;27501),AND(53500&lt;Q1325,Q1325&lt;57001),AND(72500&lt;Q1325,Q1325&lt;75001)),$G1325,IF(OR(AND(27500&lt;Q1325,Q1325&lt;30001),AND(57000&lt;Q1325,Q1325&lt;60001),AND(75000&lt;Q1325,Q1325&lt;77500)),$H1325,VLOOKUP(Q1325,BDins,6,FALSE)))))</f>
        <v>15.36</v>
      </c>
      <c r="R1327">
        <f>IF(R1329&gt;10000,HLOOKUP(R1329,$O1325:Q1328,4,FALSE),IF(OR(AND(22500&lt;R1325,R1325&lt;25001),AND(50000&lt;R1325,R1325&lt;53501),AND(70000&lt;R1325,R1325&lt;72501)),$F1325,IF(OR(AND(25001&lt;R1325,R1325&lt;27501),AND(53500&lt;R1325,R1325&lt;57001),AND(72500&lt;R1325,R1325&lt;75001)),$G1325,IF(OR(AND(27500&lt;R1325,R1325&lt;30001),AND(57000&lt;R1325,R1325&lt;60001),AND(75000&lt;R1325,R1325&lt;77500)),$H1325,VLOOKUP(R1325,BDins,6,FALSE)))))</f>
        <v>0.5</v>
      </c>
      <c r="S1327">
        <f>IF(S1329&gt;10000,HLOOKUP(S1329,$O1325:R1328,4,FALSE),IF(OR(AND(22500&lt;S1325,S1325&lt;25001),AND(50000&lt;S1325,S1325&lt;53501),AND(70000&lt;S1325,S1325&lt;72501)),$F1325,IF(OR(AND(25001&lt;S1325,S1325&lt;27501),AND(53500&lt;S1325,S1325&lt;57001),AND(72500&lt;S1325,S1325&lt;75001)),$G1325,IF(OR(AND(27500&lt;S1325,S1325&lt;30001),AND(57000&lt;S1325,S1325&lt;60001),AND(75000&lt;S1325,S1325&lt;77500)),$H1325,VLOOKUP(S1325,BDins,6,FALSE)))))</f>
        <v>0.4</v>
      </c>
      <c r="T1327">
        <f>IF(T1329&gt;10000,HLOOKUP(T1329,$O1325:S1328,4,FALSE),IF(OR(AND(22500&lt;T1325,T1325&lt;25001),AND(50000&lt;T1325,T1325&lt;53501),AND(70000&lt;T1325,T1325&lt;72501)),$F1325,IF(OR(AND(25001&lt;T1325,T1325&lt;27501),AND(53500&lt;T1325,T1325&lt;57001),AND(72500&lt;T1325,T1325&lt;75001)),$G1325,IF(OR(AND(27500&lt;T1325,T1325&lt;30001),AND(57000&lt;T1325,T1325&lt;60001),AND(75000&lt;T1325,T1325&lt;77500)),$H1325,VLOOKUP(T1325,BDins,6,FALSE)))))</f>
        <v>0.4</v>
      </c>
      <c r="U1327">
        <f>IF(U1329&gt;10000,HLOOKUP(U1329,$O1325:T1328,4,FALSE),IF(OR(AND(22500&lt;U1325,U1325&lt;25001),AND(50000&lt;U1325,U1325&lt;53501),AND(70000&lt;U1325,U1325&lt;72501)),$F1325,IF(OR(AND(25001&lt;U1325,U1325&lt;27501),AND(53500&lt;U1325,U1325&lt;57001),AND(72500&lt;U1325,U1325&lt;75001)),$G1325,IF(OR(AND(27500&lt;U1325,U1325&lt;30001),AND(57000&lt;U1325,U1325&lt;60001),AND(75000&lt;U1325,U1325&lt;77500)),$H1325,VLOOKUP(U1325,BDins,6,FALSE)))))</f>
        <v>3.3</v>
      </c>
      <c r="V1327">
        <f>IF(V1329&gt;10000,HLOOKUP(V1329,$O1325:U1328,4,FALSE),IF(OR(AND(22500&lt;V1325,V1325&lt;25001),AND(50000&lt;V1325,V1325&lt;53501),AND(70000&lt;V1325,V1325&lt;72501)),$F1325,IF(OR(AND(25001&lt;V1325,V1325&lt;27501),AND(53500&lt;V1325,V1325&lt;57001),AND(72500&lt;V1325,V1325&lt;75001)),$G1325,IF(OR(AND(27500&lt;V1325,V1325&lt;30001),AND(57000&lt;V1325,V1325&lt;60001),AND(75000&lt;V1325,V1325&lt;77500)),$H1325,VLOOKUP(V1325,BDins,6,FALSE)))))</f>
        <v>25.78</v>
      </c>
    </row>
    <row r="1328" spans="1:22" x14ac:dyDescent="0.2">
      <c r="O1328">
        <f t="shared" ref="O1328:V1328" si="192">IF($K1325&gt;0,ROUND(O1326*$E1325/100,DpCU),IF(O1329&gt;10000,ROUND(HLOOKUP(O1329,$O1325:$V1328,4,FALSE)/100*O1326,DpCU),IF(OR(O1325&lt;20001,O1325&gt;95000,AND(60000&lt;O1325,O1325&lt;70001)),ROUND(ROUND(O1326*JL/$C1325,DcCU)*O1327,DpCU),IF(OR(AND(20000&lt;O1325,O1325&lt;22501),AND(30000&lt;O1325,O1325&lt;50001),77500&lt;O1325),ROUND(O1327*O1326,DpCU),IF(OR(AND(22500&lt;O1325,O1325&lt;25001),AND(50000&lt;O1325,O1325&lt;53501),AND(70000&lt;O1325,O1325&lt;72501)),ROUND($F1325/100*O1326,DpCU),IF(OR(AND(25000&lt;O1325,O1325&lt;27501),AND(53500&lt;O1325,O1325&lt;57001),AND(72500&lt;O1325,O1325&lt;75001)),ROUND($G1325/100*O1326,DpCU),ROUND($H1325/100*O1326,DpCU)))))))</f>
        <v>1.67</v>
      </c>
      <c r="P1328">
        <f t="shared" si="192"/>
        <v>13.87</v>
      </c>
      <c r="Q1328">
        <f t="shared" si="192"/>
        <v>10.24</v>
      </c>
      <c r="R1328">
        <f t="shared" si="192"/>
        <v>1</v>
      </c>
      <c r="S1328">
        <f t="shared" si="192"/>
        <v>0.8</v>
      </c>
      <c r="T1328">
        <f t="shared" si="192"/>
        <v>0.8</v>
      </c>
      <c r="U1328">
        <f t="shared" si="192"/>
        <v>3.3</v>
      </c>
      <c r="V1328">
        <f t="shared" si="192"/>
        <v>1.29</v>
      </c>
    </row>
    <row r="1329" spans="1:22" x14ac:dyDescent="0.2">
      <c r="B1329" s="3" t="str">
        <f>A1325&amp;"r"</f>
        <v>10265r</v>
      </c>
    </row>
    <row r="1330" spans="1:22" x14ac:dyDescent="0.2">
      <c r="A1330">
        <v>10266</v>
      </c>
      <c r="B1330" s="3" t="s">
        <v>1325</v>
      </c>
      <c r="C1330" s="1">
        <f>ROUND(J1330*JL*Frto/8,4)</f>
        <v>12</v>
      </c>
      <c r="D1330" t="s">
        <v>7</v>
      </c>
      <c r="E1330">
        <f>SUM($O1333:$V1333)</f>
        <v>45.57</v>
      </c>
      <c r="F1330">
        <f>SUMIF($O1330:$V1330,"&lt;22501",$O1333:$V1333)</f>
        <v>36.019999999999996</v>
      </c>
      <c r="G1330">
        <f>SUMIFS($O1333:$V1333,$O1330:$V1330,"&gt;30000",$O1330:$V1330,"&lt;50001")</f>
        <v>7.75</v>
      </c>
      <c r="H1330">
        <f>SUMIFS($O1333:$V1333,$O1330:$V1330,"&gt;60000",$O1330:$V1330,"&lt;70001")</f>
        <v>0</v>
      </c>
      <c r="I1330">
        <v>8</v>
      </c>
      <c r="J1330">
        <v>12</v>
      </c>
      <c r="O1330">
        <v>10001</v>
      </c>
      <c r="P1330">
        <v>10002</v>
      </c>
      <c r="Q1330">
        <v>10003</v>
      </c>
      <c r="R1330">
        <v>30314</v>
      </c>
      <c r="S1330">
        <v>30320</v>
      </c>
      <c r="T1330">
        <v>30321</v>
      </c>
      <c r="U1330">
        <v>30357</v>
      </c>
      <c r="V1330">
        <v>70001</v>
      </c>
    </row>
    <row r="1331" spans="1:22" x14ac:dyDescent="0.2">
      <c r="B1331" s="3" t="str">
        <f>A1330&amp;"C"</f>
        <v>10266C</v>
      </c>
      <c r="O1331">
        <v>0.1</v>
      </c>
      <c r="P1331">
        <v>1</v>
      </c>
      <c r="Q1331">
        <v>2</v>
      </c>
      <c r="R1331">
        <v>3</v>
      </c>
      <c r="S1331">
        <v>3</v>
      </c>
      <c r="T1331">
        <v>3</v>
      </c>
      <c r="U1331">
        <v>1</v>
      </c>
      <c r="V1331">
        <v>5</v>
      </c>
    </row>
    <row r="1332" spans="1:22" x14ac:dyDescent="0.2">
      <c r="O1332">
        <f>IF(O1334&gt;10000,HLOOKUP(O1334,N1330:$O1333,4,FALSE),IF(OR(AND(22500&lt;O1330,O1330&lt;25001),AND(50000&lt;O1330,O1330&lt;53501),AND(70000&lt;O1330,O1330&lt;72501)),$F1330,IF(OR(AND(25001&lt;O1330,O1330&lt;27501),AND(53500&lt;O1330,O1330&lt;57001),AND(72500&lt;O1330,O1330&lt;75001)),$G1330,IF(OR(AND(27500&lt;O1330,O1330&lt;30001),AND(57000&lt;O1330,O1330&lt;60001),AND(75000&lt;O1330,O1330&lt;77500)),$H1330,VLOOKUP(O1330,BDins,6,FALSE)))))</f>
        <v>24.97</v>
      </c>
      <c r="P1332">
        <f>IF(P1334&gt;10000,HLOOKUP(P1334,O1330:$O1333,4,FALSE),IF(OR(AND(22500&lt;P1330,P1330&lt;25001),AND(50000&lt;P1330,P1330&lt;53501),AND(70000&lt;P1330,P1330&lt;72501)),$F1330,IF(OR(AND(25001&lt;P1330,P1330&lt;27501),AND(53500&lt;P1330,P1330&lt;57001),AND(72500&lt;P1330,P1330&lt;75001)),$G1330,IF(OR(AND(27500&lt;P1330,P1330&lt;30001),AND(57000&lt;P1330,P1330&lt;60001),AND(75000&lt;P1330,P1330&lt;77500)),$H1330,VLOOKUP(P1330,BDins,6,FALSE)))))</f>
        <v>20.81</v>
      </c>
      <c r="Q1332">
        <f>IF(Q1334&gt;10000,HLOOKUP(Q1334,$O1330:P1333,4,FALSE),IF(OR(AND(22500&lt;Q1330,Q1330&lt;25001),AND(50000&lt;Q1330,Q1330&lt;53501),AND(70000&lt;Q1330,Q1330&lt;72501)),$F1330,IF(OR(AND(25001&lt;Q1330,Q1330&lt;27501),AND(53500&lt;Q1330,Q1330&lt;57001),AND(72500&lt;Q1330,Q1330&lt;75001)),$G1330,IF(OR(AND(27500&lt;Q1330,Q1330&lt;30001),AND(57000&lt;Q1330,Q1330&lt;60001),AND(75000&lt;Q1330,Q1330&lt;77500)),$H1330,VLOOKUP(Q1330,BDins,6,FALSE)))))</f>
        <v>15.36</v>
      </c>
      <c r="R1332">
        <f>IF(R1334&gt;10000,HLOOKUP(R1334,$O1330:Q1333,4,FALSE),IF(OR(AND(22500&lt;R1330,R1330&lt;25001),AND(50000&lt;R1330,R1330&lt;53501),AND(70000&lt;R1330,R1330&lt;72501)),$F1330,IF(OR(AND(25001&lt;R1330,R1330&lt;27501),AND(53500&lt;R1330,R1330&lt;57001),AND(72500&lt;R1330,R1330&lt;75001)),$G1330,IF(OR(AND(27500&lt;R1330,R1330&lt;30001),AND(57000&lt;R1330,R1330&lt;60001),AND(75000&lt;R1330,R1330&lt;77500)),$H1330,VLOOKUP(R1330,BDins,6,FALSE)))))</f>
        <v>1.5</v>
      </c>
      <c r="S1332">
        <f>IF(S1334&gt;10000,HLOOKUP(S1334,$O1330:R1333,4,FALSE),IF(OR(AND(22500&lt;S1330,S1330&lt;25001),AND(50000&lt;S1330,S1330&lt;53501),AND(70000&lt;S1330,S1330&lt;72501)),$F1330,IF(OR(AND(25001&lt;S1330,S1330&lt;27501),AND(53500&lt;S1330,S1330&lt;57001),AND(72500&lt;S1330,S1330&lt;75001)),$G1330,IF(OR(AND(27500&lt;S1330,S1330&lt;30001),AND(57000&lt;S1330,S1330&lt;60001),AND(75000&lt;S1330,S1330&lt;77500)),$H1330,VLOOKUP(S1330,BDins,6,FALSE)))))</f>
        <v>0.4</v>
      </c>
      <c r="T1332">
        <f>IF(T1334&gt;10000,HLOOKUP(T1334,$O1330:S1333,4,FALSE),IF(OR(AND(22500&lt;T1330,T1330&lt;25001),AND(50000&lt;T1330,T1330&lt;53501),AND(70000&lt;T1330,T1330&lt;72501)),$F1330,IF(OR(AND(25001&lt;T1330,T1330&lt;27501),AND(53500&lt;T1330,T1330&lt;57001),AND(72500&lt;T1330,T1330&lt;75001)),$G1330,IF(OR(AND(27500&lt;T1330,T1330&lt;30001),AND(57000&lt;T1330,T1330&lt;60001),AND(75000&lt;T1330,T1330&lt;77500)),$H1330,VLOOKUP(T1330,BDins,6,FALSE)))))</f>
        <v>0.4</v>
      </c>
      <c r="U1332">
        <f>IF(U1334&gt;10000,HLOOKUP(U1334,$O1330:T1333,4,FALSE),IF(OR(AND(22500&lt;U1330,U1330&lt;25001),AND(50000&lt;U1330,U1330&lt;53501),AND(70000&lt;U1330,U1330&lt;72501)),$F1330,IF(OR(AND(25001&lt;U1330,U1330&lt;27501),AND(53500&lt;U1330,U1330&lt;57001),AND(72500&lt;U1330,U1330&lt;75001)),$G1330,IF(OR(AND(27500&lt;U1330,U1330&lt;30001),AND(57000&lt;U1330,U1330&lt;60001),AND(75000&lt;U1330,U1330&lt;77500)),$H1330,VLOOKUP(U1330,BDins,6,FALSE)))))</f>
        <v>0.85</v>
      </c>
      <c r="V1332">
        <f>IF(V1334&gt;10000,HLOOKUP(V1334,$O1330:U1333,4,FALSE),IF(OR(AND(22500&lt;V1330,V1330&lt;25001),AND(50000&lt;V1330,V1330&lt;53501),AND(70000&lt;V1330,V1330&lt;72501)),$F1330,IF(OR(AND(25001&lt;V1330,V1330&lt;27501),AND(53500&lt;V1330,V1330&lt;57001),AND(72500&lt;V1330,V1330&lt;75001)),$G1330,IF(OR(AND(27500&lt;V1330,V1330&lt;30001),AND(57000&lt;V1330,V1330&lt;60001),AND(75000&lt;V1330,V1330&lt;77500)),$H1330,VLOOKUP(V1330,BDins,6,FALSE)))))</f>
        <v>36.019999999999996</v>
      </c>
    </row>
    <row r="1333" spans="1:22" x14ac:dyDescent="0.2">
      <c r="O1333">
        <f t="shared" ref="O1333:V1333" si="193">IF($K1330&gt;0,ROUND(O1331*$E1330/100,DpCU),IF(O1334&gt;10000,ROUND(HLOOKUP(O1334,$O1330:$V1333,4,FALSE)/100*O1331,DpCU),IF(OR(O1330&lt;20001,O1330&gt;95000,AND(60000&lt;O1330,O1330&lt;70001)),ROUND(ROUND(O1331*JL/$C1330,DcCU)*O1332,DpCU),IF(OR(AND(20000&lt;O1330,O1330&lt;22501),AND(30000&lt;O1330,O1330&lt;50001),77500&lt;O1330),ROUND(O1332*O1331,DpCU),IF(OR(AND(22500&lt;O1330,O1330&lt;25001),AND(50000&lt;O1330,O1330&lt;53501),AND(70000&lt;O1330,O1330&lt;72501)),ROUND($F1330/100*O1331,DpCU),IF(OR(AND(25000&lt;O1330,O1330&lt;27501),AND(53500&lt;O1330,O1330&lt;57001),AND(72500&lt;O1330,O1330&lt;75001)),ROUND($G1330/100*O1331,DpCU),ROUND($H1330/100*O1331,DpCU)))))))</f>
        <v>1.67</v>
      </c>
      <c r="P1333">
        <f t="shared" si="193"/>
        <v>13.87</v>
      </c>
      <c r="Q1333">
        <f t="shared" si="193"/>
        <v>20.48</v>
      </c>
      <c r="R1333">
        <f t="shared" si="193"/>
        <v>4.5</v>
      </c>
      <c r="S1333">
        <f t="shared" si="193"/>
        <v>1.2</v>
      </c>
      <c r="T1333">
        <f t="shared" si="193"/>
        <v>1.2</v>
      </c>
      <c r="U1333">
        <f t="shared" si="193"/>
        <v>0.85</v>
      </c>
      <c r="V1333">
        <f t="shared" si="193"/>
        <v>1.8</v>
      </c>
    </row>
    <row r="1334" spans="1:22" x14ac:dyDescent="0.2">
      <c r="B1334" s="3" t="str">
        <f>A1330&amp;"r"</f>
        <v>10266r</v>
      </c>
    </row>
    <row r="1335" spans="1:22" x14ac:dyDescent="0.2">
      <c r="A1335">
        <v>10267</v>
      </c>
      <c r="B1335" s="3" t="s">
        <v>1327</v>
      </c>
      <c r="C1335" s="1">
        <f>ROUND(J1335*JL*Frto/8,4)</f>
        <v>12</v>
      </c>
      <c r="D1335" t="s">
        <v>7</v>
      </c>
      <c r="E1335">
        <f>SUM($O1338:$V1338)</f>
        <v>41.470000000000006</v>
      </c>
      <c r="F1335">
        <f>SUMIF($O1335:$V1335,"&lt;22501",$O1338:$V1338)</f>
        <v>25.78</v>
      </c>
      <c r="G1335">
        <f>SUMIFS($O1338:$V1338,$O1335:$V1335,"&gt;30000",$O1335:$V1335,"&lt;50001")</f>
        <v>14.4</v>
      </c>
      <c r="H1335">
        <f>SUMIFS($O1338:$V1338,$O1335:$V1335,"&gt;60000",$O1335:$V1335,"&lt;70001")</f>
        <v>0</v>
      </c>
      <c r="I1335">
        <v>8</v>
      </c>
      <c r="J1335">
        <v>12</v>
      </c>
      <c r="O1335">
        <v>10001</v>
      </c>
      <c r="P1335">
        <v>10002</v>
      </c>
      <c r="Q1335">
        <v>10003</v>
      </c>
      <c r="R1335">
        <v>30319</v>
      </c>
      <c r="S1335">
        <v>30320</v>
      </c>
      <c r="T1335">
        <v>30321</v>
      </c>
      <c r="U1335">
        <v>30323</v>
      </c>
      <c r="V1335">
        <v>70001</v>
      </c>
    </row>
    <row r="1336" spans="1:22" x14ac:dyDescent="0.2">
      <c r="B1336" s="3" t="str">
        <f>A1335&amp;"C"</f>
        <v>10267C</v>
      </c>
      <c r="O1336">
        <v>0.1</v>
      </c>
      <c r="P1336">
        <v>1</v>
      </c>
      <c r="Q1336">
        <v>1</v>
      </c>
      <c r="R1336">
        <v>2</v>
      </c>
      <c r="S1336">
        <v>2</v>
      </c>
      <c r="T1336">
        <v>2</v>
      </c>
      <c r="U1336">
        <v>1</v>
      </c>
      <c r="V1336">
        <v>5</v>
      </c>
    </row>
    <row r="1337" spans="1:22" x14ac:dyDescent="0.2">
      <c r="O1337">
        <f>IF(O1339&gt;10000,HLOOKUP(O1339,N1335:$O1338,4,FALSE),IF(OR(AND(22500&lt;O1335,O1335&lt;25001),AND(50000&lt;O1335,O1335&lt;53501),AND(70000&lt;O1335,O1335&lt;72501)),$F1335,IF(OR(AND(25001&lt;O1335,O1335&lt;27501),AND(53500&lt;O1335,O1335&lt;57001),AND(72500&lt;O1335,O1335&lt;75001)),$G1335,IF(OR(AND(27500&lt;O1335,O1335&lt;30001),AND(57000&lt;O1335,O1335&lt;60001),AND(75000&lt;O1335,O1335&lt;77500)),$H1335,VLOOKUP(O1335,BDins,6,FALSE)))))</f>
        <v>24.97</v>
      </c>
      <c r="P1337">
        <f>IF(P1339&gt;10000,HLOOKUP(P1339,O1335:$O1338,4,FALSE),IF(OR(AND(22500&lt;P1335,P1335&lt;25001),AND(50000&lt;P1335,P1335&lt;53501),AND(70000&lt;P1335,P1335&lt;72501)),$F1335,IF(OR(AND(25001&lt;P1335,P1335&lt;27501),AND(53500&lt;P1335,P1335&lt;57001),AND(72500&lt;P1335,P1335&lt;75001)),$G1335,IF(OR(AND(27500&lt;P1335,P1335&lt;30001),AND(57000&lt;P1335,P1335&lt;60001),AND(75000&lt;P1335,P1335&lt;77500)),$H1335,VLOOKUP(P1335,BDins,6,FALSE)))))</f>
        <v>20.81</v>
      </c>
      <c r="Q1337">
        <f>IF(Q1339&gt;10000,HLOOKUP(Q1339,$O1335:P1338,4,FALSE),IF(OR(AND(22500&lt;Q1335,Q1335&lt;25001),AND(50000&lt;Q1335,Q1335&lt;53501),AND(70000&lt;Q1335,Q1335&lt;72501)),$F1335,IF(OR(AND(25001&lt;Q1335,Q1335&lt;27501),AND(53500&lt;Q1335,Q1335&lt;57001),AND(72500&lt;Q1335,Q1335&lt;75001)),$G1335,IF(OR(AND(27500&lt;Q1335,Q1335&lt;30001),AND(57000&lt;Q1335,Q1335&lt;60001),AND(75000&lt;Q1335,Q1335&lt;77500)),$H1335,VLOOKUP(Q1335,BDins,6,FALSE)))))</f>
        <v>15.36</v>
      </c>
      <c r="R1337">
        <f>IF(R1339&gt;10000,HLOOKUP(R1339,$O1335:Q1338,4,FALSE),IF(OR(AND(22500&lt;R1335,R1335&lt;25001),AND(50000&lt;R1335,R1335&lt;53501),AND(70000&lt;R1335,R1335&lt;72501)),$F1335,IF(OR(AND(25001&lt;R1335,R1335&lt;27501),AND(53500&lt;R1335,R1335&lt;57001),AND(72500&lt;R1335,R1335&lt;75001)),$G1335,IF(OR(AND(27500&lt;R1335,R1335&lt;30001),AND(57000&lt;R1335,R1335&lt;60001),AND(75000&lt;R1335,R1335&lt;77500)),$H1335,VLOOKUP(R1335,BDins,6,FALSE)))))</f>
        <v>0.5</v>
      </c>
      <c r="S1337">
        <f>IF(S1339&gt;10000,HLOOKUP(S1339,$O1335:R1338,4,FALSE),IF(OR(AND(22500&lt;S1335,S1335&lt;25001),AND(50000&lt;S1335,S1335&lt;53501),AND(70000&lt;S1335,S1335&lt;72501)),$F1335,IF(OR(AND(25001&lt;S1335,S1335&lt;27501),AND(53500&lt;S1335,S1335&lt;57001),AND(72500&lt;S1335,S1335&lt;75001)),$G1335,IF(OR(AND(27500&lt;S1335,S1335&lt;30001),AND(57000&lt;S1335,S1335&lt;60001),AND(75000&lt;S1335,S1335&lt;77500)),$H1335,VLOOKUP(S1335,BDins,6,FALSE)))))</f>
        <v>0.4</v>
      </c>
      <c r="T1337">
        <f>IF(T1339&gt;10000,HLOOKUP(T1339,$O1335:S1338,4,FALSE),IF(OR(AND(22500&lt;T1335,T1335&lt;25001),AND(50000&lt;T1335,T1335&lt;53501),AND(70000&lt;T1335,T1335&lt;72501)),$F1335,IF(OR(AND(25001&lt;T1335,T1335&lt;27501),AND(53500&lt;T1335,T1335&lt;57001),AND(72500&lt;T1335,T1335&lt;75001)),$G1335,IF(OR(AND(27500&lt;T1335,T1335&lt;30001),AND(57000&lt;T1335,T1335&lt;60001),AND(75000&lt;T1335,T1335&lt;77500)),$H1335,VLOOKUP(T1335,BDins,6,FALSE)))))</f>
        <v>0.4</v>
      </c>
      <c r="U1337">
        <f>IF(U1339&gt;10000,HLOOKUP(U1339,$O1335:T1338,4,FALSE),IF(OR(AND(22500&lt;U1335,U1335&lt;25001),AND(50000&lt;U1335,U1335&lt;53501),AND(70000&lt;U1335,U1335&lt;72501)),$F1335,IF(OR(AND(25001&lt;U1335,U1335&lt;27501),AND(53500&lt;U1335,U1335&lt;57001),AND(72500&lt;U1335,U1335&lt;75001)),$G1335,IF(OR(AND(27500&lt;U1335,U1335&lt;30001),AND(57000&lt;U1335,U1335&lt;60001),AND(75000&lt;U1335,U1335&lt;77500)),$H1335,VLOOKUP(U1335,BDins,6,FALSE)))))</f>
        <v>11.8</v>
      </c>
      <c r="V1337">
        <f>IF(V1339&gt;10000,HLOOKUP(V1339,$O1335:U1338,4,FALSE),IF(OR(AND(22500&lt;V1335,V1335&lt;25001),AND(50000&lt;V1335,V1335&lt;53501),AND(70000&lt;V1335,V1335&lt;72501)),$F1335,IF(OR(AND(25001&lt;V1335,V1335&lt;27501),AND(53500&lt;V1335,V1335&lt;57001),AND(72500&lt;V1335,V1335&lt;75001)),$G1335,IF(OR(AND(27500&lt;V1335,V1335&lt;30001),AND(57000&lt;V1335,V1335&lt;60001),AND(75000&lt;V1335,V1335&lt;77500)),$H1335,VLOOKUP(V1335,BDins,6,FALSE)))))</f>
        <v>25.78</v>
      </c>
    </row>
    <row r="1338" spans="1:22" x14ac:dyDescent="0.2">
      <c r="O1338">
        <f t="shared" ref="O1338:V1338" si="194">IF($K1335&gt;0,ROUND(O1336*$E1335/100,DpCU),IF(O1339&gt;10000,ROUND(HLOOKUP(O1339,$O1335:$V1338,4,FALSE)/100*O1336,DpCU),IF(OR(O1335&lt;20001,O1335&gt;95000,AND(60000&lt;O1335,O1335&lt;70001)),ROUND(ROUND(O1336*JL/$C1335,DcCU)*O1337,DpCU),IF(OR(AND(20000&lt;O1335,O1335&lt;22501),AND(30000&lt;O1335,O1335&lt;50001),77500&lt;O1335),ROUND(O1337*O1336,DpCU),IF(OR(AND(22500&lt;O1335,O1335&lt;25001),AND(50000&lt;O1335,O1335&lt;53501),AND(70000&lt;O1335,O1335&lt;72501)),ROUND($F1335/100*O1336,DpCU),IF(OR(AND(25000&lt;O1335,O1335&lt;27501),AND(53500&lt;O1335,O1335&lt;57001),AND(72500&lt;O1335,O1335&lt;75001)),ROUND($G1335/100*O1336,DpCU),ROUND($H1335/100*O1336,DpCU)))))))</f>
        <v>1.67</v>
      </c>
      <c r="P1338">
        <f t="shared" si="194"/>
        <v>13.87</v>
      </c>
      <c r="Q1338">
        <f t="shared" si="194"/>
        <v>10.24</v>
      </c>
      <c r="R1338">
        <f t="shared" si="194"/>
        <v>1</v>
      </c>
      <c r="S1338">
        <f t="shared" si="194"/>
        <v>0.8</v>
      </c>
      <c r="T1338">
        <f t="shared" si="194"/>
        <v>0.8</v>
      </c>
      <c r="U1338">
        <f t="shared" si="194"/>
        <v>11.8</v>
      </c>
      <c r="V1338">
        <f t="shared" si="194"/>
        <v>1.29</v>
      </c>
    </row>
    <row r="1339" spans="1:22" x14ac:dyDescent="0.2">
      <c r="B1339" s="3" t="str">
        <f>A1335&amp;"r"</f>
        <v>10267r</v>
      </c>
    </row>
    <row r="1340" spans="1:22" x14ac:dyDescent="0.2">
      <c r="A1340">
        <v>10268</v>
      </c>
      <c r="B1340" s="3" t="s">
        <v>1329</v>
      </c>
      <c r="C1340" s="1">
        <f>ROUND(J1340*JL*Frto/8,4)</f>
        <v>12</v>
      </c>
      <c r="D1340" t="s">
        <v>7</v>
      </c>
      <c r="E1340">
        <f>SUM($O1343:$V1343)</f>
        <v>32.970000000000006</v>
      </c>
      <c r="F1340">
        <f>SUMIF($O1340:$V1340,"&lt;22501",$O1343:$V1343)</f>
        <v>25.78</v>
      </c>
      <c r="G1340">
        <f>SUMIFS($O1343:$V1343,$O1340:$V1340,"&gt;30000",$O1340:$V1340,"&lt;50001")</f>
        <v>5.9</v>
      </c>
      <c r="H1340">
        <f>SUMIFS($O1343:$V1343,$O1340:$V1340,"&gt;60000",$O1340:$V1340,"&lt;70001")</f>
        <v>0</v>
      </c>
      <c r="I1340">
        <v>8</v>
      </c>
      <c r="J1340">
        <v>12</v>
      </c>
      <c r="O1340">
        <v>10001</v>
      </c>
      <c r="P1340">
        <v>10002</v>
      </c>
      <c r="Q1340">
        <v>10003</v>
      </c>
      <c r="R1340">
        <v>30319</v>
      </c>
      <c r="S1340">
        <v>30320</v>
      </c>
      <c r="T1340">
        <v>30321</v>
      </c>
      <c r="U1340">
        <v>30358</v>
      </c>
      <c r="V1340">
        <v>70001</v>
      </c>
    </row>
    <row r="1341" spans="1:22" x14ac:dyDescent="0.2">
      <c r="B1341" s="3" t="str">
        <f>A1340&amp;"C"</f>
        <v>10268C</v>
      </c>
      <c r="O1341">
        <v>0.1</v>
      </c>
      <c r="P1341">
        <v>1</v>
      </c>
      <c r="Q1341">
        <v>1</v>
      </c>
      <c r="R1341">
        <v>2</v>
      </c>
      <c r="S1341">
        <v>2</v>
      </c>
      <c r="T1341">
        <v>2</v>
      </c>
      <c r="U1341">
        <v>1</v>
      </c>
      <c r="V1341">
        <v>5</v>
      </c>
    </row>
    <row r="1342" spans="1:22" x14ac:dyDescent="0.2">
      <c r="O1342">
        <f>IF(O1344&gt;10000,HLOOKUP(O1344,N1340:$O1343,4,FALSE),IF(OR(AND(22500&lt;O1340,O1340&lt;25001),AND(50000&lt;O1340,O1340&lt;53501),AND(70000&lt;O1340,O1340&lt;72501)),$F1340,IF(OR(AND(25001&lt;O1340,O1340&lt;27501),AND(53500&lt;O1340,O1340&lt;57001),AND(72500&lt;O1340,O1340&lt;75001)),$G1340,IF(OR(AND(27500&lt;O1340,O1340&lt;30001),AND(57000&lt;O1340,O1340&lt;60001),AND(75000&lt;O1340,O1340&lt;77500)),$H1340,VLOOKUP(O1340,BDins,6,FALSE)))))</f>
        <v>24.97</v>
      </c>
      <c r="P1342">
        <f>IF(P1344&gt;10000,HLOOKUP(P1344,O1340:$O1343,4,FALSE),IF(OR(AND(22500&lt;P1340,P1340&lt;25001),AND(50000&lt;P1340,P1340&lt;53501),AND(70000&lt;P1340,P1340&lt;72501)),$F1340,IF(OR(AND(25001&lt;P1340,P1340&lt;27501),AND(53500&lt;P1340,P1340&lt;57001),AND(72500&lt;P1340,P1340&lt;75001)),$G1340,IF(OR(AND(27500&lt;P1340,P1340&lt;30001),AND(57000&lt;P1340,P1340&lt;60001),AND(75000&lt;P1340,P1340&lt;77500)),$H1340,VLOOKUP(P1340,BDins,6,FALSE)))))</f>
        <v>20.81</v>
      </c>
      <c r="Q1342">
        <f>IF(Q1344&gt;10000,HLOOKUP(Q1344,$O1340:P1343,4,FALSE),IF(OR(AND(22500&lt;Q1340,Q1340&lt;25001),AND(50000&lt;Q1340,Q1340&lt;53501),AND(70000&lt;Q1340,Q1340&lt;72501)),$F1340,IF(OR(AND(25001&lt;Q1340,Q1340&lt;27501),AND(53500&lt;Q1340,Q1340&lt;57001),AND(72500&lt;Q1340,Q1340&lt;75001)),$G1340,IF(OR(AND(27500&lt;Q1340,Q1340&lt;30001),AND(57000&lt;Q1340,Q1340&lt;60001),AND(75000&lt;Q1340,Q1340&lt;77500)),$H1340,VLOOKUP(Q1340,BDins,6,FALSE)))))</f>
        <v>15.36</v>
      </c>
      <c r="R1342">
        <f>IF(R1344&gt;10000,HLOOKUP(R1344,$O1340:Q1343,4,FALSE),IF(OR(AND(22500&lt;R1340,R1340&lt;25001),AND(50000&lt;R1340,R1340&lt;53501),AND(70000&lt;R1340,R1340&lt;72501)),$F1340,IF(OR(AND(25001&lt;R1340,R1340&lt;27501),AND(53500&lt;R1340,R1340&lt;57001),AND(72500&lt;R1340,R1340&lt;75001)),$G1340,IF(OR(AND(27500&lt;R1340,R1340&lt;30001),AND(57000&lt;R1340,R1340&lt;60001),AND(75000&lt;R1340,R1340&lt;77500)),$H1340,VLOOKUP(R1340,BDins,6,FALSE)))))</f>
        <v>0.5</v>
      </c>
      <c r="S1342">
        <f>IF(S1344&gt;10000,HLOOKUP(S1344,$O1340:R1343,4,FALSE),IF(OR(AND(22500&lt;S1340,S1340&lt;25001),AND(50000&lt;S1340,S1340&lt;53501),AND(70000&lt;S1340,S1340&lt;72501)),$F1340,IF(OR(AND(25001&lt;S1340,S1340&lt;27501),AND(53500&lt;S1340,S1340&lt;57001),AND(72500&lt;S1340,S1340&lt;75001)),$G1340,IF(OR(AND(27500&lt;S1340,S1340&lt;30001),AND(57000&lt;S1340,S1340&lt;60001),AND(75000&lt;S1340,S1340&lt;77500)),$H1340,VLOOKUP(S1340,BDins,6,FALSE)))))</f>
        <v>0.4</v>
      </c>
      <c r="T1342">
        <f>IF(T1344&gt;10000,HLOOKUP(T1344,$O1340:S1343,4,FALSE),IF(OR(AND(22500&lt;T1340,T1340&lt;25001),AND(50000&lt;T1340,T1340&lt;53501),AND(70000&lt;T1340,T1340&lt;72501)),$F1340,IF(OR(AND(25001&lt;T1340,T1340&lt;27501),AND(53500&lt;T1340,T1340&lt;57001),AND(72500&lt;T1340,T1340&lt;75001)),$G1340,IF(OR(AND(27500&lt;T1340,T1340&lt;30001),AND(57000&lt;T1340,T1340&lt;60001),AND(75000&lt;T1340,T1340&lt;77500)),$H1340,VLOOKUP(T1340,BDins,6,FALSE)))))</f>
        <v>0.4</v>
      </c>
      <c r="U1342">
        <f>IF(U1344&gt;10000,HLOOKUP(U1344,$O1340:T1343,4,FALSE),IF(OR(AND(22500&lt;U1340,U1340&lt;25001),AND(50000&lt;U1340,U1340&lt;53501),AND(70000&lt;U1340,U1340&lt;72501)),$F1340,IF(OR(AND(25001&lt;U1340,U1340&lt;27501),AND(53500&lt;U1340,U1340&lt;57001),AND(72500&lt;U1340,U1340&lt;75001)),$G1340,IF(OR(AND(27500&lt;U1340,U1340&lt;30001),AND(57000&lt;U1340,U1340&lt;60001),AND(75000&lt;U1340,U1340&lt;77500)),$H1340,VLOOKUP(U1340,BDins,6,FALSE)))))</f>
        <v>3.3</v>
      </c>
      <c r="V1342">
        <f>IF(V1344&gt;10000,HLOOKUP(V1344,$O1340:U1343,4,FALSE),IF(OR(AND(22500&lt;V1340,V1340&lt;25001),AND(50000&lt;V1340,V1340&lt;53501),AND(70000&lt;V1340,V1340&lt;72501)),$F1340,IF(OR(AND(25001&lt;V1340,V1340&lt;27501),AND(53500&lt;V1340,V1340&lt;57001),AND(72500&lt;V1340,V1340&lt;75001)),$G1340,IF(OR(AND(27500&lt;V1340,V1340&lt;30001),AND(57000&lt;V1340,V1340&lt;60001),AND(75000&lt;V1340,V1340&lt;77500)),$H1340,VLOOKUP(V1340,BDins,6,FALSE)))))</f>
        <v>25.78</v>
      </c>
    </row>
    <row r="1343" spans="1:22" x14ac:dyDescent="0.2">
      <c r="O1343">
        <f t="shared" ref="O1343:V1343" si="195">IF($K1340&gt;0,ROUND(O1341*$E1340/100,DpCU),IF(O1344&gt;10000,ROUND(HLOOKUP(O1344,$O1340:$V1343,4,FALSE)/100*O1341,DpCU),IF(OR(O1340&lt;20001,O1340&gt;95000,AND(60000&lt;O1340,O1340&lt;70001)),ROUND(ROUND(O1341*JL/$C1340,DcCU)*O1342,DpCU),IF(OR(AND(20000&lt;O1340,O1340&lt;22501),AND(30000&lt;O1340,O1340&lt;50001),77500&lt;O1340),ROUND(O1342*O1341,DpCU),IF(OR(AND(22500&lt;O1340,O1340&lt;25001),AND(50000&lt;O1340,O1340&lt;53501),AND(70000&lt;O1340,O1340&lt;72501)),ROUND($F1340/100*O1341,DpCU),IF(OR(AND(25000&lt;O1340,O1340&lt;27501),AND(53500&lt;O1340,O1340&lt;57001),AND(72500&lt;O1340,O1340&lt;75001)),ROUND($G1340/100*O1341,DpCU),ROUND($H1340/100*O1341,DpCU)))))))</f>
        <v>1.67</v>
      </c>
      <c r="P1343">
        <f t="shared" si="195"/>
        <v>13.87</v>
      </c>
      <c r="Q1343">
        <f t="shared" si="195"/>
        <v>10.24</v>
      </c>
      <c r="R1343">
        <f t="shared" si="195"/>
        <v>1</v>
      </c>
      <c r="S1343">
        <f t="shared" si="195"/>
        <v>0.8</v>
      </c>
      <c r="T1343">
        <f t="shared" si="195"/>
        <v>0.8</v>
      </c>
      <c r="U1343">
        <f t="shared" si="195"/>
        <v>3.3</v>
      </c>
      <c r="V1343">
        <f t="shared" si="195"/>
        <v>1.29</v>
      </c>
    </row>
    <row r="1344" spans="1:22" x14ac:dyDescent="0.2">
      <c r="B1344" s="3" t="str">
        <f>A1340&amp;"r"</f>
        <v>10268r</v>
      </c>
    </row>
    <row r="1345" spans="1:23" x14ac:dyDescent="0.2">
      <c r="A1345">
        <v>10269</v>
      </c>
      <c r="B1345" s="3" t="s">
        <v>1333</v>
      </c>
      <c r="C1345" s="1">
        <f>ROUND(J1345*JL*Frto/8,4)</f>
        <v>80</v>
      </c>
      <c r="D1345" t="s">
        <v>194</v>
      </c>
      <c r="E1345">
        <f>SUM($O1348:$T1348)</f>
        <v>8.84</v>
      </c>
      <c r="F1345">
        <f>SUMIF($O1345:$T1345,"&lt;22501",$O1348:$T1348)</f>
        <v>3.87</v>
      </c>
      <c r="G1345">
        <f>SUMIFS($O1348:$T1348,$O1345:$T1345,"&gt;30000",$O1345:$T1345,"&lt;50001")</f>
        <v>4.78</v>
      </c>
      <c r="H1345">
        <f>SUMIFS($O1348:$T1348,$O1345:$T1345,"&gt;60000",$O1345:$T1345,"&lt;70001")</f>
        <v>0</v>
      </c>
      <c r="I1345">
        <v>6</v>
      </c>
      <c r="J1345">
        <v>80</v>
      </c>
      <c r="O1345">
        <v>10001</v>
      </c>
      <c r="P1345">
        <v>10002</v>
      </c>
      <c r="Q1345">
        <v>10003</v>
      </c>
      <c r="R1345">
        <v>30305</v>
      </c>
      <c r="S1345">
        <v>30308</v>
      </c>
      <c r="T1345">
        <v>70001</v>
      </c>
    </row>
    <row r="1346" spans="1:23" x14ac:dyDescent="0.2">
      <c r="B1346" s="3" t="str">
        <f>A1345&amp;"C"</f>
        <v>10269C</v>
      </c>
      <c r="O1346">
        <v>0.1</v>
      </c>
      <c r="P1346">
        <v>1</v>
      </c>
      <c r="Q1346">
        <v>1</v>
      </c>
      <c r="R1346">
        <v>0.01</v>
      </c>
      <c r="S1346">
        <v>3.05</v>
      </c>
      <c r="T1346">
        <v>5</v>
      </c>
    </row>
    <row r="1347" spans="1:23" x14ac:dyDescent="0.2">
      <c r="O1347">
        <f>IF(O1349&gt;10000,HLOOKUP(O1349,N1345:$O1348,4,FALSE),IF(OR(AND(22500&lt;O1345,O1345&lt;25001),AND(50000&lt;O1345,O1345&lt;53501),AND(70000&lt;O1345,O1345&lt;72501)),$F1345,IF(OR(AND(25001&lt;O1345,O1345&lt;27501),AND(53500&lt;O1345,O1345&lt;57001),AND(72500&lt;O1345,O1345&lt;75001)),$G1345,IF(OR(AND(27500&lt;O1345,O1345&lt;30001),AND(57000&lt;O1345,O1345&lt;60001),AND(75000&lt;O1345,O1345&lt;77500)),$H1345,VLOOKUP(O1345,BDins,6,FALSE)))))</f>
        <v>24.97</v>
      </c>
      <c r="P1347">
        <f>IF(P1349&gt;10000,HLOOKUP(P1349,O1345:$O1348,4,FALSE),IF(OR(AND(22500&lt;P1345,P1345&lt;25001),AND(50000&lt;P1345,P1345&lt;53501),AND(70000&lt;P1345,P1345&lt;72501)),$F1345,IF(OR(AND(25001&lt;P1345,P1345&lt;27501),AND(53500&lt;P1345,P1345&lt;57001),AND(72500&lt;P1345,P1345&lt;75001)),$G1345,IF(OR(AND(27500&lt;P1345,P1345&lt;30001),AND(57000&lt;P1345,P1345&lt;60001),AND(75000&lt;P1345,P1345&lt;77500)),$H1345,VLOOKUP(P1345,BDins,6,FALSE)))))</f>
        <v>20.81</v>
      </c>
      <c r="Q1347">
        <f>IF(Q1349&gt;10000,HLOOKUP(Q1349,$O1345:P1348,4,FALSE),IF(OR(AND(22500&lt;Q1345,Q1345&lt;25001),AND(50000&lt;Q1345,Q1345&lt;53501),AND(70000&lt;Q1345,Q1345&lt;72501)),$F1345,IF(OR(AND(25001&lt;Q1345,Q1345&lt;27501),AND(53500&lt;Q1345,Q1345&lt;57001),AND(72500&lt;Q1345,Q1345&lt;75001)),$G1345,IF(OR(AND(27500&lt;Q1345,Q1345&lt;30001),AND(57000&lt;Q1345,Q1345&lt;60001),AND(75000&lt;Q1345,Q1345&lt;77500)),$H1345,VLOOKUP(Q1345,BDins,6,FALSE)))))</f>
        <v>15.36</v>
      </c>
      <c r="R1347">
        <f>IF(R1349&gt;10000,HLOOKUP(R1349,$O1345:Q1348,4,FALSE),IF(OR(AND(22500&lt;R1345,R1345&lt;25001),AND(50000&lt;R1345,R1345&lt;53501),AND(70000&lt;R1345,R1345&lt;72501)),$F1345,IF(OR(AND(25001&lt;R1345,R1345&lt;27501),AND(53500&lt;R1345,R1345&lt;57001),AND(72500&lt;R1345,R1345&lt;75001)),$G1345,IF(OR(AND(27500&lt;R1345,R1345&lt;30001),AND(57000&lt;R1345,R1345&lt;60001),AND(75000&lt;R1345,R1345&lt;77500)),$H1345,VLOOKUP(R1345,BDins,6,FALSE)))))</f>
        <v>8</v>
      </c>
      <c r="S1347">
        <f>IF(S1349&gt;10000,HLOOKUP(S1349,$O1345:R1348,4,FALSE),IF(OR(AND(22500&lt;S1345,S1345&lt;25001),AND(50000&lt;S1345,S1345&lt;53501),AND(70000&lt;S1345,S1345&lt;72501)),$F1345,IF(OR(AND(25001&lt;S1345,S1345&lt;27501),AND(53500&lt;S1345,S1345&lt;57001),AND(72500&lt;S1345,S1345&lt;75001)),$G1345,IF(OR(AND(27500&lt;S1345,S1345&lt;30001),AND(57000&lt;S1345,S1345&lt;60001),AND(75000&lt;S1345,S1345&lt;77500)),$H1345,VLOOKUP(S1345,BDins,6,FALSE)))))</f>
        <v>1.54</v>
      </c>
      <c r="T1347">
        <f>IF(T1349&gt;10000,HLOOKUP(T1349,$O1345:S1348,4,FALSE),IF(OR(AND(22500&lt;T1345,T1345&lt;25001),AND(50000&lt;T1345,T1345&lt;53501),AND(70000&lt;T1345,T1345&lt;72501)),$F1345,IF(OR(AND(25001&lt;T1345,T1345&lt;27501),AND(53500&lt;T1345,T1345&lt;57001),AND(72500&lt;T1345,T1345&lt;75001)),$G1345,IF(OR(AND(27500&lt;T1345,T1345&lt;30001),AND(57000&lt;T1345,T1345&lt;60001),AND(75000&lt;T1345,T1345&lt;77500)),$H1345,VLOOKUP(T1345,BDins,6,FALSE)))))</f>
        <v>3.87</v>
      </c>
    </row>
    <row r="1348" spans="1:23" x14ac:dyDescent="0.2">
      <c r="O1348">
        <f t="shared" ref="O1348:T1348" si="196">IF($K1345&gt;0,ROUND(O1346*$E1345/100,DpCU),IF(O1349&gt;10000,ROUND(HLOOKUP(O1349,$O1345:$T1348,4,FALSE)/100*O1346,DpCU),IF(OR(O1345&lt;20001,O1345&gt;95000,AND(60000&lt;O1345,O1345&lt;70001)),ROUND(ROUND(O1346*JL/$C1345,DcCU)*O1347,DpCU),IF(OR(AND(20000&lt;O1345,O1345&lt;22501),AND(30000&lt;O1345,O1345&lt;50001),77500&lt;O1345),ROUND(O1347*O1346,DpCU),IF(OR(AND(22500&lt;O1345,O1345&lt;25001),AND(50000&lt;O1345,O1345&lt;53501),AND(70000&lt;O1345,O1345&lt;72501)),ROUND($F1345/100*O1346,DpCU),IF(OR(AND(25000&lt;O1345,O1345&lt;27501),AND(53500&lt;O1345,O1345&lt;57001),AND(72500&lt;O1345,O1345&lt;75001)),ROUND($G1345/100*O1346,DpCU),ROUND($H1345/100*O1346,DpCU)))))))</f>
        <v>0.25</v>
      </c>
      <c r="P1348">
        <f t="shared" si="196"/>
        <v>2.08</v>
      </c>
      <c r="Q1348">
        <f t="shared" si="196"/>
        <v>1.54</v>
      </c>
      <c r="R1348">
        <f t="shared" si="196"/>
        <v>0.08</v>
      </c>
      <c r="S1348">
        <f t="shared" si="196"/>
        <v>4.7</v>
      </c>
      <c r="T1348">
        <f t="shared" si="196"/>
        <v>0.19</v>
      </c>
    </row>
    <row r="1349" spans="1:23" x14ac:dyDescent="0.2">
      <c r="B1349" s="3" t="str">
        <f>A1345&amp;"r"</f>
        <v>10269r</v>
      </c>
    </row>
    <row r="1350" spans="1:23" x14ac:dyDescent="0.2">
      <c r="A1350">
        <v>10270</v>
      </c>
      <c r="B1350" s="3" t="s">
        <v>1335</v>
      </c>
      <c r="C1350" s="1">
        <f>ROUND(J1350*JL*Frto/8,4)</f>
        <v>100</v>
      </c>
      <c r="D1350" t="s">
        <v>194</v>
      </c>
      <c r="E1350">
        <f>SUM($O1353:$T1353)</f>
        <v>5.3900000000000006</v>
      </c>
      <c r="F1350">
        <f>SUMIF($O1350:$T1350,"&lt;22501",$O1353:$T1353)</f>
        <v>3.09</v>
      </c>
      <c r="G1350">
        <f>SUMIFS($O1353:$T1353,$O1350:$T1350,"&gt;30000",$O1350:$T1350,"&lt;50001")</f>
        <v>2.15</v>
      </c>
      <c r="H1350">
        <f>SUMIFS($O1353:$T1353,$O1350:$T1350,"&gt;60000",$O1350:$T1350,"&lt;70001")</f>
        <v>0</v>
      </c>
      <c r="I1350">
        <v>6</v>
      </c>
      <c r="J1350">
        <v>100</v>
      </c>
      <c r="O1350">
        <v>10001</v>
      </c>
      <c r="P1350">
        <v>10002</v>
      </c>
      <c r="Q1350">
        <v>10003</v>
      </c>
      <c r="R1350">
        <v>30305</v>
      </c>
      <c r="S1350">
        <v>30359</v>
      </c>
      <c r="T1350">
        <v>70001</v>
      </c>
    </row>
    <row r="1351" spans="1:23" x14ac:dyDescent="0.2">
      <c r="B1351" s="3" t="str">
        <f>A1350&amp;"C"</f>
        <v>10270C</v>
      </c>
      <c r="O1351">
        <v>0.1</v>
      </c>
      <c r="P1351">
        <v>1</v>
      </c>
      <c r="Q1351">
        <v>1</v>
      </c>
      <c r="R1351">
        <v>0.01</v>
      </c>
      <c r="S1351">
        <v>2.0499999999999998</v>
      </c>
      <c r="T1351">
        <v>5</v>
      </c>
    </row>
    <row r="1352" spans="1:23" x14ac:dyDescent="0.2">
      <c r="O1352">
        <f>IF(O1354&gt;10000,HLOOKUP(O1354,N1350:$O1353,4,FALSE),IF(OR(AND(22500&lt;O1350,O1350&lt;25001),AND(50000&lt;O1350,O1350&lt;53501),AND(70000&lt;O1350,O1350&lt;72501)),$F1350,IF(OR(AND(25001&lt;O1350,O1350&lt;27501),AND(53500&lt;O1350,O1350&lt;57001),AND(72500&lt;O1350,O1350&lt;75001)),$G1350,IF(OR(AND(27500&lt;O1350,O1350&lt;30001),AND(57000&lt;O1350,O1350&lt;60001),AND(75000&lt;O1350,O1350&lt;77500)),$H1350,VLOOKUP(O1350,BDins,6,FALSE)))))</f>
        <v>24.97</v>
      </c>
      <c r="P1352">
        <f>IF(P1354&gt;10000,HLOOKUP(P1354,O1350:$O1353,4,FALSE),IF(OR(AND(22500&lt;P1350,P1350&lt;25001),AND(50000&lt;P1350,P1350&lt;53501),AND(70000&lt;P1350,P1350&lt;72501)),$F1350,IF(OR(AND(25001&lt;P1350,P1350&lt;27501),AND(53500&lt;P1350,P1350&lt;57001),AND(72500&lt;P1350,P1350&lt;75001)),$G1350,IF(OR(AND(27500&lt;P1350,P1350&lt;30001),AND(57000&lt;P1350,P1350&lt;60001),AND(75000&lt;P1350,P1350&lt;77500)),$H1350,VLOOKUP(P1350,BDins,6,FALSE)))))</f>
        <v>20.81</v>
      </c>
      <c r="Q1352">
        <f>IF(Q1354&gt;10000,HLOOKUP(Q1354,$O1350:P1353,4,FALSE),IF(OR(AND(22500&lt;Q1350,Q1350&lt;25001),AND(50000&lt;Q1350,Q1350&lt;53501),AND(70000&lt;Q1350,Q1350&lt;72501)),$F1350,IF(OR(AND(25001&lt;Q1350,Q1350&lt;27501),AND(53500&lt;Q1350,Q1350&lt;57001),AND(72500&lt;Q1350,Q1350&lt;75001)),$G1350,IF(OR(AND(27500&lt;Q1350,Q1350&lt;30001),AND(57000&lt;Q1350,Q1350&lt;60001),AND(75000&lt;Q1350,Q1350&lt;77500)),$H1350,VLOOKUP(Q1350,BDins,6,FALSE)))))</f>
        <v>15.36</v>
      </c>
      <c r="R1352">
        <f>IF(R1354&gt;10000,HLOOKUP(R1354,$O1350:Q1353,4,FALSE),IF(OR(AND(22500&lt;R1350,R1350&lt;25001),AND(50000&lt;R1350,R1350&lt;53501),AND(70000&lt;R1350,R1350&lt;72501)),$F1350,IF(OR(AND(25001&lt;R1350,R1350&lt;27501),AND(53500&lt;R1350,R1350&lt;57001),AND(72500&lt;R1350,R1350&lt;75001)),$G1350,IF(OR(AND(27500&lt;R1350,R1350&lt;30001),AND(57000&lt;R1350,R1350&lt;60001),AND(75000&lt;R1350,R1350&lt;77500)),$H1350,VLOOKUP(R1350,BDins,6,FALSE)))))</f>
        <v>8</v>
      </c>
      <c r="S1352">
        <f>IF(S1354&gt;10000,HLOOKUP(S1354,$O1350:R1353,4,FALSE),IF(OR(AND(22500&lt;S1350,S1350&lt;25001),AND(50000&lt;S1350,S1350&lt;53501),AND(70000&lt;S1350,S1350&lt;72501)),$F1350,IF(OR(AND(25001&lt;S1350,S1350&lt;27501),AND(53500&lt;S1350,S1350&lt;57001),AND(72500&lt;S1350,S1350&lt;75001)),$G1350,IF(OR(AND(27500&lt;S1350,S1350&lt;30001),AND(57000&lt;S1350,S1350&lt;60001),AND(75000&lt;S1350,S1350&lt;77500)),$H1350,VLOOKUP(S1350,BDins,6,FALSE)))))</f>
        <v>1.01</v>
      </c>
      <c r="T1352">
        <f>IF(T1354&gt;10000,HLOOKUP(T1354,$O1350:S1353,4,FALSE),IF(OR(AND(22500&lt;T1350,T1350&lt;25001),AND(50000&lt;T1350,T1350&lt;53501),AND(70000&lt;T1350,T1350&lt;72501)),$F1350,IF(OR(AND(25001&lt;T1350,T1350&lt;27501),AND(53500&lt;T1350,T1350&lt;57001),AND(72500&lt;T1350,T1350&lt;75001)),$G1350,IF(OR(AND(27500&lt;T1350,T1350&lt;30001),AND(57000&lt;T1350,T1350&lt;60001),AND(75000&lt;T1350,T1350&lt;77500)),$H1350,VLOOKUP(T1350,BDins,6,FALSE)))))</f>
        <v>3.09</v>
      </c>
    </row>
    <row r="1353" spans="1:23" x14ac:dyDescent="0.2">
      <c r="O1353">
        <f t="shared" ref="O1353:T1353" si="197">IF($K1350&gt;0,ROUND(O1351*$E1350/100,DpCU),IF(O1354&gt;10000,ROUND(HLOOKUP(O1354,$O1350:$T1353,4,FALSE)/100*O1351,DpCU),IF(OR(O1350&lt;20001,O1350&gt;95000,AND(60000&lt;O1350,O1350&lt;70001)),ROUND(ROUND(O1351*JL/$C1350,DcCU)*O1352,DpCU),IF(OR(AND(20000&lt;O1350,O1350&lt;22501),AND(30000&lt;O1350,O1350&lt;50001),77500&lt;O1350),ROUND(O1352*O1351,DpCU),IF(OR(AND(22500&lt;O1350,O1350&lt;25001),AND(50000&lt;O1350,O1350&lt;53501),AND(70000&lt;O1350,O1350&lt;72501)),ROUND($F1350/100*O1351,DpCU),IF(OR(AND(25000&lt;O1350,O1350&lt;27501),AND(53500&lt;O1350,O1350&lt;57001),AND(72500&lt;O1350,O1350&lt;75001)),ROUND($G1350/100*O1351,DpCU),ROUND($H1350/100*O1351,DpCU)))))))</f>
        <v>0.2</v>
      </c>
      <c r="P1353">
        <f t="shared" si="197"/>
        <v>1.66</v>
      </c>
      <c r="Q1353">
        <f t="shared" si="197"/>
        <v>1.23</v>
      </c>
      <c r="R1353">
        <f t="shared" si="197"/>
        <v>0.08</v>
      </c>
      <c r="S1353">
        <f t="shared" si="197"/>
        <v>2.0699999999999998</v>
      </c>
      <c r="T1353">
        <f t="shared" si="197"/>
        <v>0.15</v>
      </c>
    </row>
    <row r="1354" spans="1:23" x14ac:dyDescent="0.2">
      <c r="B1354" s="3" t="str">
        <f>A1350&amp;"r"</f>
        <v>10270r</v>
      </c>
    </row>
    <row r="1355" spans="1:23" x14ac:dyDescent="0.2">
      <c r="A1355">
        <v>10271</v>
      </c>
      <c r="B1355" s="3" t="s">
        <v>1338</v>
      </c>
      <c r="C1355" s="1">
        <f>ROUND(J1355*JL*Frto/8,4)</f>
        <v>100</v>
      </c>
      <c r="D1355" t="s">
        <v>194</v>
      </c>
      <c r="E1355">
        <f>SUM($O1358:$T1358)</f>
        <v>7.41</v>
      </c>
      <c r="F1355">
        <f>SUMIF($O1355:$T1355,"&lt;22501",$O1358:$T1358)</f>
        <v>3.09</v>
      </c>
      <c r="G1355">
        <f>SUMIFS($O1358:$T1358,$O1355:$T1355,"&gt;30000",$O1355:$T1355,"&lt;50001")</f>
        <v>4.17</v>
      </c>
      <c r="H1355">
        <f>SUMIFS($O1358:$T1358,$O1355:$T1355,"&gt;60000",$O1355:$T1355,"&lt;70001")</f>
        <v>0</v>
      </c>
      <c r="I1355">
        <v>6</v>
      </c>
      <c r="J1355">
        <v>100</v>
      </c>
      <c r="O1355">
        <v>10001</v>
      </c>
      <c r="P1355">
        <v>10002</v>
      </c>
      <c r="Q1355">
        <v>10003</v>
      </c>
      <c r="R1355">
        <v>30305</v>
      </c>
      <c r="S1355">
        <v>30359</v>
      </c>
      <c r="T1355">
        <v>70001</v>
      </c>
    </row>
    <row r="1356" spans="1:23" x14ac:dyDescent="0.2">
      <c r="B1356" s="3" t="str">
        <f>A1355&amp;"C"</f>
        <v>10271C</v>
      </c>
      <c r="O1356">
        <v>0.1</v>
      </c>
      <c r="P1356">
        <v>1</v>
      </c>
      <c r="Q1356">
        <v>1</v>
      </c>
      <c r="R1356">
        <v>0.01</v>
      </c>
      <c r="S1356">
        <v>4.05</v>
      </c>
      <c r="T1356">
        <v>5</v>
      </c>
    </row>
    <row r="1357" spans="1:23" x14ac:dyDescent="0.2">
      <c r="O1357">
        <f>IF(O1359&gt;10000,HLOOKUP(O1359,N1355:$O1358,4,FALSE),IF(OR(AND(22500&lt;O1355,O1355&lt;25001),AND(50000&lt;O1355,O1355&lt;53501),AND(70000&lt;O1355,O1355&lt;72501)),$F1355,IF(OR(AND(25001&lt;O1355,O1355&lt;27501),AND(53500&lt;O1355,O1355&lt;57001),AND(72500&lt;O1355,O1355&lt;75001)),$G1355,IF(OR(AND(27500&lt;O1355,O1355&lt;30001),AND(57000&lt;O1355,O1355&lt;60001),AND(75000&lt;O1355,O1355&lt;77500)),$H1355,VLOOKUP(O1355,BDins,6,FALSE)))))</f>
        <v>24.97</v>
      </c>
      <c r="P1357">
        <f>IF(P1359&gt;10000,HLOOKUP(P1359,O1355:$O1358,4,FALSE),IF(OR(AND(22500&lt;P1355,P1355&lt;25001),AND(50000&lt;P1355,P1355&lt;53501),AND(70000&lt;P1355,P1355&lt;72501)),$F1355,IF(OR(AND(25001&lt;P1355,P1355&lt;27501),AND(53500&lt;P1355,P1355&lt;57001),AND(72500&lt;P1355,P1355&lt;75001)),$G1355,IF(OR(AND(27500&lt;P1355,P1355&lt;30001),AND(57000&lt;P1355,P1355&lt;60001),AND(75000&lt;P1355,P1355&lt;77500)),$H1355,VLOOKUP(P1355,BDins,6,FALSE)))))</f>
        <v>20.81</v>
      </c>
      <c r="Q1357">
        <f>IF(Q1359&gt;10000,HLOOKUP(Q1359,$O1355:P1358,4,FALSE),IF(OR(AND(22500&lt;Q1355,Q1355&lt;25001),AND(50000&lt;Q1355,Q1355&lt;53501),AND(70000&lt;Q1355,Q1355&lt;72501)),$F1355,IF(OR(AND(25001&lt;Q1355,Q1355&lt;27501),AND(53500&lt;Q1355,Q1355&lt;57001),AND(72500&lt;Q1355,Q1355&lt;75001)),$G1355,IF(OR(AND(27500&lt;Q1355,Q1355&lt;30001),AND(57000&lt;Q1355,Q1355&lt;60001),AND(75000&lt;Q1355,Q1355&lt;77500)),$H1355,VLOOKUP(Q1355,BDins,6,FALSE)))))</f>
        <v>15.36</v>
      </c>
      <c r="R1357">
        <f>IF(R1359&gt;10000,HLOOKUP(R1359,$O1355:Q1358,4,FALSE),IF(OR(AND(22500&lt;R1355,R1355&lt;25001),AND(50000&lt;R1355,R1355&lt;53501),AND(70000&lt;R1355,R1355&lt;72501)),$F1355,IF(OR(AND(25001&lt;R1355,R1355&lt;27501),AND(53500&lt;R1355,R1355&lt;57001),AND(72500&lt;R1355,R1355&lt;75001)),$G1355,IF(OR(AND(27500&lt;R1355,R1355&lt;30001),AND(57000&lt;R1355,R1355&lt;60001),AND(75000&lt;R1355,R1355&lt;77500)),$H1355,VLOOKUP(R1355,BDins,6,FALSE)))))</f>
        <v>8</v>
      </c>
      <c r="S1357">
        <f>IF(S1359&gt;10000,HLOOKUP(S1359,$O1355:R1358,4,FALSE),IF(OR(AND(22500&lt;S1355,S1355&lt;25001),AND(50000&lt;S1355,S1355&lt;53501),AND(70000&lt;S1355,S1355&lt;72501)),$F1355,IF(OR(AND(25001&lt;S1355,S1355&lt;27501),AND(53500&lt;S1355,S1355&lt;57001),AND(72500&lt;S1355,S1355&lt;75001)),$G1355,IF(OR(AND(27500&lt;S1355,S1355&lt;30001),AND(57000&lt;S1355,S1355&lt;60001),AND(75000&lt;S1355,S1355&lt;77500)),$H1355,VLOOKUP(S1355,BDins,6,FALSE)))))</f>
        <v>1.01</v>
      </c>
      <c r="T1357">
        <f>IF(T1359&gt;10000,HLOOKUP(T1359,$O1355:S1358,4,FALSE),IF(OR(AND(22500&lt;T1355,T1355&lt;25001),AND(50000&lt;T1355,T1355&lt;53501),AND(70000&lt;T1355,T1355&lt;72501)),$F1355,IF(OR(AND(25001&lt;T1355,T1355&lt;27501),AND(53500&lt;T1355,T1355&lt;57001),AND(72500&lt;T1355,T1355&lt;75001)),$G1355,IF(OR(AND(27500&lt;T1355,T1355&lt;30001),AND(57000&lt;T1355,T1355&lt;60001),AND(75000&lt;T1355,T1355&lt;77500)),$H1355,VLOOKUP(T1355,BDins,6,FALSE)))))</f>
        <v>3.09</v>
      </c>
    </row>
    <row r="1358" spans="1:23" x14ac:dyDescent="0.2">
      <c r="O1358">
        <f t="shared" ref="O1358:T1358" si="198">IF($K1355&gt;0,ROUND(O1356*$E1355/100,DpCU),IF(O1359&gt;10000,ROUND(HLOOKUP(O1359,$O1355:$T1358,4,FALSE)/100*O1356,DpCU),IF(OR(O1355&lt;20001,O1355&gt;95000,AND(60000&lt;O1355,O1355&lt;70001)),ROUND(ROUND(O1356*JL/$C1355,DcCU)*O1357,DpCU),IF(OR(AND(20000&lt;O1355,O1355&lt;22501),AND(30000&lt;O1355,O1355&lt;50001),77500&lt;O1355),ROUND(O1357*O1356,DpCU),IF(OR(AND(22500&lt;O1355,O1355&lt;25001),AND(50000&lt;O1355,O1355&lt;53501),AND(70000&lt;O1355,O1355&lt;72501)),ROUND($F1355/100*O1356,DpCU),IF(OR(AND(25000&lt;O1355,O1355&lt;27501),AND(53500&lt;O1355,O1355&lt;57001),AND(72500&lt;O1355,O1355&lt;75001)),ROUND($G1355/100*O1356,DpCU),ROUND($H1355/100*O1356,DpCU)))))))</f>
        <v>0.2</v>
      </c>
      <c r="P1358">
        <f t="shared" si="198"/>
        <v>1.66</v>
      </c>
      <c r="Q1358">
        <f t="shared" si="198"/>
        <v>1.23</v>
      </c>
      <c r="R1358">
        <f t="shared" si="198"/>
        <v>0.08</v>
      </c>
      <c r="S1358">
        <f t="shared" si="198"/>
        <v>4.09</v>
      </c>
      <c r="T1358">
        <f t="shared" si="198"/>
        <v>0.15</v>
      </c>
    </row>
    <row r="1359" spans="1:23" x14ac:dyDescent="0.2">
      <c r="B1359" s="3" t="str">
        <f>A1355&amp;"r"</f>
        <v>10271r</v>
      </c>
    </row>
    <row r="1360" spans="1:23" x14ac:dyDescent="0.2">
      <c r="A1360">
        <v>10272</v>
      </c>
      <c r="B1360" s="3" t="s">
        <v>1220</v>
      </c>
      <c r="C1360" s="1">
        <f>ROUND(J1360*JL*Frto/8,4)</f>
        <v>60</v>
      </c>
      <c r="D1360" t="s">
        <v>194</v>
      </c>
      <c r="E1360">
        <f>SUM($O1363:$W1363)</f>
        <v>6.5</v>
      </c>
      <c r="F1360">
        <f>SUMIF($O1360:$W1360,"&lt;22501",$O1363:$W1363)</f>
        <v>5.15</v>
      </c>
      <c r="G1360">
        <f>SUMIFS($O1363:$W1363,$O1360:$W1360,"&gt;30000",$O1360:$W1360,"&lt;50001")</f>
        <v>1.0900000000000001</v>
      </c>
      <c r="H1360">
        <f>SUMIFS($O1363:$W1363,$O1360:$W1360,"&gt;60000",$O1360:$W1360,"&lt;70001")</f>
        <v>0</v>
      </c>
      <c r="I1360">
        <v>9</v>
      </c>
      <c r="J1360">
        <v>60</v>
      </c>
      <c r="O1360">
        <v>10001</v>
      </c>
      <c r="P1360">
        <v>10002</v>
      </c>
      <c r="Q1360">
        <v>10003</v>
      </c>
      <c r="R1360">
        <v>30216</v>
      </c>
      <c r="S1360">
        <v>30318</v>
      </c>
      <c r="T1360">
        <v>30319</v>
      </c>
      <c r="U1360">
        <v>30320</v>
      </c>
      <c r="V1360">
        <v>30321</v>
      </c>
      <c r="W1360">
        <v>70001</v>
      </c>
    </row>
    <row r="1361" spans="1:23" x14ac:dyDescent="0.2">
      <c r="B1361" s="3" t="str">
        <f>A1360&amp;"C"</f>
        <v>10272C</v>
      </c>
      <c r="O1361">
        <v>0.1</v>
      </c>
      <c r="P1361">
        <v>1</v>
      </c>
      <c r="Q1361">
        <v>1</v>
      </c>
      <c r="R1361">
        <v>1E-3</v>
      </c>
      <c r="S1361">
        <v>0.35</v>
      </c>
      <c r="T1361">
        <v>0.1</v>
      </c>
      <c r="U1361">
        <v>0.35</v>
      </c>
      <c r="V1361">
        <v>0.02</v>
      </c>
      <c r="W1361">
        <v>5</v>
      </c>
    </row>
    <row r="1362" spans="1:23" x14ac:dyDescent="0.2">
      <c r="O1362">
        <f>IF(O1364&gt;10000,HLOOKUP(O1364,N1360:$O1363,4,FALSE),IF(OR(AND(22500&lt;O1360,O1360&lt;25001),AND(50000&lt;O1360,O1360&lt;53501),AND(70000&lt;O1360,O1360&lt;72501)),$F1360,IF(OR(AND(25001&lt;O1360,O1360&lt;27501),AND(53500&lt;O1360,O1360&lt;57001),AND(72500&lt;O1360,O1360&lt;75001)),$G1360,IF(OR(AND(27500&lt;O1360,O1360&lt;30001),AND(57000&lt;O1360,O1360&lt;60001),AND(75000&lt;O1360,O1360&lt;77500)),$H1360,VLOOKUP(O1360,BDins,6,FALSE)))))</f>
        <v>24.97</v>
      </c>
      <c r="P1362">
        <f>IF(P1364&gt;10000,HLOOKUP(P1364,O1360:$O1363,4,FALSE),IF(OR(AND(22500&lt;P1360,P1360&lt;25001),AND(50000&lt;P1360,P1360&lt;53501),AND(70000&lt;P1360,P1360&lt;72501)),$F1360,IF(OR(AND(25001&lt;P1360,P1360&lt;27501),AND(53500&lt;P1360,P1360&lt;57001),AND(72500&lt;P1360,P1360&lt;75001)),$G1360,IF(OR(AND(27500&lt;P1360,P1360&lt;30001),AND(57000&lt;P1360,P1360&lt;60001),AND(75000&lt;P1360,P1360&lt;77500)),$H1360,VLOOKUP(P1360,BDins,6,FALSE)))))</f>
        <v>20.81</v>
      </c>
      <c r="Q1362">
        <f>IF(Q1364&gt;10000,HLOOKUP(Q1364,$O1360:P1363,4,FALSE),IF(OR(AND(22500&lt;Q1360,Q1360&lt;25001),AND(50000&lt;Q1360,Q1360&lt;53501),AND(70000&lt;Q1360,Q1360&lt;72501)),$F1360,IF(OR(AND(25001&lt;Q1360,Q1360&lt;27501),AND(53500&lt;Q1360,Q1360&lt;57001),AND(72500&lt;Q1360,Q1360&lt;75001)),$G1360,IF(OR(AND(27500&lt;Q1360,Q1360&lt;30001),AND(57000&lt;Q1360,Q1360&lt;60001),AND(75000&lt;Q1360,Q1360&lt;77500)),$H1360,VLOOKUP(Q1360,BDins,6,FALSE)))))</f>
        <v>15.36</v>
      </c>
      <c r="R1362">
        <f>IF(R1364&gt;10000,HLOOKUP(R1364,$O1360:Q1363,4,FALSE),IF(OR(AND(22500&lt;R1360,R1360&lt;25001),AND(50000&lt;R1360,R1360&lt;53501),AND(70000&lt;R1360,R1360&lt;72501)),$F1360,IF(OR(AND(25001&lt;R1360,R1360&lt;27501),AND(53500&lt;R1360,R1360&lt;57001),AND(72500&lt;R1360,R1360&lt;75001)),$G1360,IF(OR(AND(27500&lt;R1360,R1360&lt;30001),AND(57000&lt;R1360,R1360&lt;60001),AND(75000&lt;R1360,R1360&lt;77500)),$H1360,VLOOKUP(R1360,BDins,6,FALSE)))))</f>
        <v>116</v>
      </c>
      <c r="S1362">
        <f>IF(S1364&gt;10000,HLOOKUP(S1364,$O1360:R1363,4,FALSE),IF(OR(AND(22500&lt;S1360,S1360&lt;25001),AND(50000&lt;S1360,S1360&lt;53501),AND(70000&lt;S1360,S1360&lt;72501)),$F1360,IF(OR(AND(25001&lt;S1360,S1360&lt;27501),AND(53500&lt;S1360,S1360&lt;57001),AND(72500&lt;S1360,S1360&lt;75001)),$G1360,IF(OR(AND(27500&lt;S1360,S1360&lt;30001),AND(57000&lt;S1360,S1360&lt;60001),AND(75000&lt;S1360,S1360&lt;77500)),$H1360,VLOOKUP(S1360,BDins,6,FALSE)))))</f>
        <v>2.2000000000000002</v>
      </c>
      <c r="T1362">
        <f>IF(T1364&gt;10000,HLOOKUP(T1364,$O1360:S1363,4,FALSE),IF(OR(AND(22500&lt;T1360,T1360&lt;25001),AND(50000&lt;T1360,T1360&lt;53501),AND(70000&lt;T1360,T1360&lt;72501)),$F1360,IF(OR(AND(25001&lt;T1360,T1360&lt;27501),AND(53500&lt;T1360,T1360&lt;57001),AND(72500&lt;T1360,T1360&lt;75001)),$G1360,IF(OR(AND(27500&lt;T1360,T1360&lt;30001),AND(57000&lt;T1360,T1360&lt;60001),AND(75000&lt;T1360,T1360&lt;77500)),$H1360,VLOOKUP(T1360,BDins,6,FALSE)))))</f>
        <v>0.5</v>
      </c>
      <c r="U1362">
        <f>IF(U1364&gt;10000,HLOOKUP(U1364,$O1360:T1363,4,FALSE),IF(OR(AND(22500&lt;U1360,U1360&lt;25001),AND(50000&lt;U1360,U1360&lt;53501),AND(70000&lt;U1360,U1360&lt;72501)),$F1360,IF(OR(AND(25001&lt;U1360,U1360&lt;27501),AND(53500&lt;U1360,U1360&lt;57001),AND(72500&lt;U1360,U1360&lt;75001)),$G1360,IF(OR(AND(27500&lt;U1360,U1360&lt;30001),AND(57000&lt;U1360,U1360&lt;60001),AND(75000&lt;U1360,U1360&lt;77500)),$H1360,VLOOKUP(U1360,BDins,6,FALSE)))))</f>
        <v>0.4</v>
      </c>
      <c r="V1362">
        <f>IF(V1364&gt;10000,HLOOKUP(V1364,$O1360:U1363,4,FALSE),IF(OR(AND(22500&lt;V1360,V1360&lt;25001),AND(50000&lt;V1360,V1360&lt;53501),AND(70000&lt;V1360,V1360&lt;72501)),$F1360,IF(OR(AND(25001&lt;V1360,V1360&lt;27501),AND(53500&lt;V1360,V1360&lt;57001),AND(72500&lt;V1360,V1360&lt;75001)),$G1360,IF(OR(AND(27500&lt;V1360,V1360&lt;30001),AND(57000&lt;V1360,V1360&lt;60001),AND(75000&lt;V1360,V1360&lt;77500)),$H1360,VLOOKUP(V1360,BDins,6,FALSE)))))</f>
        <v>0.4</v>
      </c>
      <c r="W1362">
        <f>IF(W1364&gt;10000,HLOOKUP(W1364,$O1360:V1363,4,FALSE),IF(OR(AND(22500&lt;W1360,W1360&lt;25001),AND(50000&lt;W1360,W1360&lt;53501),AND(70000&lt;W1360,W1360&lt;72501)),$F1360,IF(OR(AND(25001&lt;W1360,W1360&lt;27501),AND(53500&lt;W1360,W1360&lt;57001),AND(72500&lt;W1360,W1360&lt;75001)),$G1360,IF(OR(AND(27500&lt;W1360,W1360&lt;30001),AND(57000&lt;W1360,W1360&lt;60001),AND(75000&lt;W1360,W1360&lt;77500)),$H1360,VLOOKUP(W1360,BDins,6,FALSE)))))</f>
        <v>5.15</v>
      </c>
    </row>
    <row r="1363" spans="1:23" x14ac:dyDescent="0.2">
      <c r="O1363">
        <f t="shared" ref="O1363:W1363" si="199">IF($K1360&gt;0,ROUND(O1361*$E1360/100,DpCU),IF(O1364&gt;10000,ROUND(HLOOKUP(O1364,$O1360:$W1363,4,FALSE)/100*O1361,DpCU),IF(OR(O1360&lt;20001,O1360&gt;95000,AND(60000&lt;O1360,O1360&lt;70001)),ROUND(ROUND(O1361*JL/$C1360,DcCU)*O1362,DpCU),IF(OR(AND(20000&lt;O1360,O1360&lt;22501),AND(30000&lt;O1360,O1360&lt;50001),77500&lt;O1360),ROUND(O1362*O1361,DpCU),IF(OR(AND(22500&lt;O1360,O1360&lt;25001),AND(50000&lt;O1360,O1360&lt;53501),AND(70000&lt;O1360,O1360&lt;72501)),ROUND($F1360/100*O1361,DpCU),IF(OR(AND(25000&lt;O1360,O1360&lt;27501),AND(53500&lt;O1360,O1360&lt;57001),AND(72500&lt;O1360,O1360&lt;75001)),ROUND($G1360/100*O1361,DpCU),ROUND($H1360/100*O1361,DpCU)))))))</f>
        <v>0.33</v>
      </c>
      <c r="P1363">
        <f t="shared" si="199"/>
        <v>2.77</v>
      </c>
      <c r="Q1363">
        <f t="shared" si="199"/>
        <v>2.0499999999999998</v>
      </c>
      <c r="R1363">
        <f t="shared" si="199"/>
        <v>0.12</v>
      </c>
      <c r="S1363">
        <f t="shared" si="199"/>
        <v>0.77</v>
      </c>
      <c r="T1363">
        <f t="shared" si="199"/>
        <v>0.05</v>
      </c>
      <c r="U1363">
        <f t="shared" si="199"/>
        <v>0.14000000000000001</v>
      </c>
      <c r="V1363">
        <f t="shared" si="199"/>
        <v>0.01</v>
      </c>
      <c r="W1363">
        <f t="shared" si="199"/>
        <v>0.26</v>
      </c>
    </row>
    <row r="1364" spans="1:23" x14ac:dyDescent="0.2">
      <c r="B1364" s="3" t="str">
        <f>A1360&amp;"r"</f>
        <v>10272r</v>
      </c>
    </row>
    <row r="1365" spans="1:23" x14ac:dyDescent="0.2">
      <c r="A1365">
        <v>10273</v>
      </c>
      <c r="B1365" s="3" t="s">
        <v>1343</v>
      </c>
      <c r="C1365" s="1">
        <f>ROUND(J1365*JL*Frto/8,4)</f>
        <v>20</v>
      </c>
      <c r="D1365" t="s">
        <v>7</v>
      </c>
      <c r="E1365">
        <f>SUM($O1368:$S1368)</f>
        <v>20.77</v>
      </c>
      <c r="F1365">
        <f>SUMIF($O1365:$S1365,"&lt;22501",$O1368:$S1368)</f>
        <v>16.16</v>
      </c>
      <c r="G1365">
        <f>SUMIFS($O1368:$S1368,$O1365:$S1365,"&gt;30000",$O1365:$S1365,"&lt;50001")</f>
        <v>3.8</v>
      </c>
      <c r="H1365">
        <f>SUMIFS($O1368:$S1368,$O1365:$S1365,"&gt;60000",$O1365:$S1365,"&lt;70001")</f>
        <v>0</v>
      </c>
      <c r="I1365">
        <v>5</v>
      </c>
      <c r="J1365">
        <v>20</v>
      </c>
      <c r="O1365">
        <v>10001</v>
      </c>
      <c r="P1365">
        <v>10002</v>
      </c>
      <c r="Q1365">
        <v>10008</v>
      </c>
      <c r="R1365">
        <v>30360</v>
      </c>
      <c r="S1365">
        <v>70001</v>
      </c>
    </row>
    <row r="1366" spans="1:23" x14ac:dyDescent="0.2">
      <c r="B1366" s="3" t="str">
        <f>A1365&amp;"C"</f>
        <v>10273C</v>
      </c>
      <c r="O1366">
        <v>0.1</v>
      </c>
      <c r="P1366">
        <v>1</v>
      </c>
      <c r="Q1366">
        <v>1</v>
      </c>
      <c r="R1366">
        <v>1</v>
      </c>
      <c r="S1366">
        <v>5</v>
      </c>
    </row>
    <row r="1367" spans="1:23" x14ac:dyDescent="0.2">
      <c r="O1367">
        <f>IF(O1369&gt;10000,HLOOKUP(O1369,N1365:$O1368,4,FALSE),IF(OR(AND(22500&lt;O1365,O1365&lt;25001),AND(50000&lt;O1365,O1365&lt;53501),AND(70000&lt;O1365,O1365&lt;72501)),$F1365,IF(OR(AND(25001&lt;O1365,O1365&lt;27501),AND(53500&lt;O1365,O1365&lt;57001),AND(72500&lt;O1365,O1365&lt;75001)),$G1365,IF(OR(AND(27500&lt;O1365,O1365&lt;30001),AND(57000&lt;O1365,O1365&lt;60001),AND(75000&lt;O1365,O1365&lt;77500)),$H1365,VLOOKUP(O1365,BDins,6,FALSE)))))</f>
        <v>24.97</v>
      </c>
      <c r="P1367">
        <f>IF(P1369&gt;10000,HLOOKUP(P1369,O1365:$O1368,4,FALSE),IF(OR(AND(22500&lt;P1365,P1365&lt;25001),AND(50000&lt;P1365,P1365&lt;53501),AND(70000&lt;P1365,P1365&lt;72501)),$F1365,IF(OR(AND(25001&lt;P1365,P1365&lt;27501),AND(53500&lt;P1365,P1365&lt;57001),AND(72500&lt;P1365,P1365&lt;75001)),$G1365,IF(OR(AND(27500&lt;P1365,P1365&lt;30001),AND(57000&lt;P1365,P1365&lt;60001),AND(75000&lt;P1365,P1365&lt;77500)),$H1365,VLOOKUP(P1365,BDins,6,FALSE)))))</f>
        <v>20.81</v>
      </c>
      <c r="Q1367">
        <f>IF(Q1369&gt;10000,HLOOKUP(Q1369,$O1365:P1368,4,FALSE),IF(OR(AND(22500&lt;Q1365,Q1365&lt;25001),AND(50000&lt;Q1365,Q1365&lt;53501),AND(70000&lt;Q1365,Q1365&lt;72501)),$F1365,IF(OR(AND(25001&lt;Q1365,Q1365&lt;27501),AND(53500&lt;Q1365,Q1365&lt;57001),AND(72500&lt;Q1365,Q1365&lt;75001)),$G1365,IF(OR(AND(27500&lt;Q1365,Q1365&lt;30001),AND(57000&lt;Q1365,Q1365&lt;60001),AND(75000&lt;Q1365,Q1365&lt;77500)),$H1365,VLOOKUP(Q1365,BDins,6,FALSE)))))</f>
        <v>17.09</v>
      </c>
      <c r="R1367">
        <f>IF(R1369&gt;10000,HLOOKUP(R1369,$O1365:Q1368,4,FALSE),IF(OR(AND(22500&lt;R1365,R1365&lt;25001),AND(50000&lt;R1365,R1365&lt;53501),AND(70000&lt;R1365,R1365&lt;72501)),$F1365,IF(OR(AND(25001&lt;R1365,R1365&lt;27501),AND(53500&lt;R1365,R1365&lt;57001),AND(72500&lt;R1365,R1365&lt;75001)),$G1365,IF(OR(AND(27500&lt;R1365,R1365&lt;30001),AND(57000&lt;R1365,R1365&lt;60001),AND(75000&lt;R1365,R1365&lt;77500)),$H1365,VLOOKUP(R1365,BDins,6,FALSE)))))</f>
        <v>3.8</v>
      </c>
      <c r="S1367">
        <f>IF(S1369&gt;10000,HLOOKUP(S1369,$O1365:R1368,4,FALSE),IF(OR(AND(22500&lt;S1365,S1365&lt;25001),AND(50000&lt;S1365,S1365&lt;53501),AND(70000&lt;S1365,S1365&lt;72501)),$F1365,IF(OR(AND(25001&lt;S1365,S1365&lt;27501),AND(53500&lt;S1365,S1365&lt;57001),AND(72500&lt;S1365,S1365&lt;75001)),$G1365,IF(OR(AND(27500&lt;S1365,S1365&lt;30001),AND(57000&lt;S1365,S1365&lt;60001),AND(75000&lt;S1365,S1365&lt;77500)),$H1365,VLOOKUP(S1365,BDins,6,FALSE)))))</f>
        <v>16.16</v>
      </c>
    </row>
    <row r="1368" spans="1:23" x14ac:dyDescent="0.2">
      <c r="O1368">
        <f>IF($K1365&gt;0,ROUND(O1366*$E1365/100,DpCU),IF(O1369&gt;10000,ROUND(HLOOKUP(O1369,$O1365:$S1368,4,FALSE)/100*O1366,DpCU),IF(OR(O1365&lt;20001,O1365&gt;95000,AND(60000&lt;O1365,O1365&lt;70001)),ROUND(ROUND(O1366*JL/$C1365,DcCU)*O1367,DpCU),IF(OR(AND(20000&lt;O1365,O1365&lt;22501),AND(30000&lt;O1365,O1365&lt;50001),77500&lt;O1365),ROUND(O1367*O1366,DpCU),IF(OR(AND(22500&lt;O1365,O1365&lt;25001),AND(50000&lt;O1365,O1365&lt;53501),AND(70000&lt;O1365,O1365&lt;72501)),ROUND($F1365/100*O1366,DpCU),IF(OR(AND(25000&lt;O1365,O1365&lt;27501),AND(53500&lt;O1365,O1365&lt;57001),AND(72500&lt;O1365,O1365&lt;75001)),ROUND($G1365/100*O1366,DpCU),ROUND($H1365/100*O1366,DpCU)))))))</f>
        <v>1</v>
      </c>
      <c r="P1368">
        <f>IF($K1365&gt;0,ROUND(P1366*$E1365/100,DpCU),IF(P1369&gt;10000,ROUND(HLOOKUP(P1369,$O1365:$S1368,4,FALSE)/100*P1366,DpCU),IF(OR(P1365&lt;20001,P1365&gt;95000,AND(60000&lt;P1365,P1365&lt;70001)),ROUND(ROUND(P1366*JL/$C1365,DcCU)*P1367,DpCU),IF(OR(AND(20000&lt;P1365,P1365&lt;22501),AND(30000&lt;P1365,P1365&lt;50001),77500&lt;P1365),ROUND(P1367*P1366,DpCU),IF(OR(AND(22500&lt;P1365,P1365&lt;25001),AND(50000&lt;P1365,P1365&lt;53501),AND(70000&lt;P1365,P1365&lt;72501)),ROUND($F1365/100*P1366,DpCU),IF(OR(AND(25000&lt;P1365,P1365&lt;27501),AND(53500&lt;P1365,P1365&lt;57001),AND(72500&lt;P1365,P1365&lt;75001)),ROUND($G1365/100*P1366,DpCU),ROUND($H1365/100*P1366,DpCU)))))))</f>
        <v>8.32</v>
      </c>
      <c r="Q1368">
        <f>IF($K1365&gt;0,ROUND(Q1366*$E1365/100,DpCU),IF(Q1369&gt;10000,ROUND(HLOOKUP(Q1369,$O1365:$S1368,4,FALSE)/100*Q1366,DpCU),IF(OR(Q1365&lt;20001,Q1365&gt;95000,AND(60000&lt;Q1365,Q1365&lt;70001)),ROUND(ROUND(Q1366*JL/$C1365,DcCU)*Q1367,DpCU),IF(OR(AND(20000&lt;Q1365,Q1365&lt;22501),AND(30000&lt;Q1365,Q1365&lt;50001),77500&lt;Q1365),ROUND(Q1367*Q1366,DpCU),IF(OR(AND(22500&lt;Q1365,Q1365&lt;25001),AND(50000&lt;Q1365,Q1365&lt;53501),AND(70000&lt;Q1365,Q1365&lt;72501)),ROUND($F1365/100*Q1366,DpCU),IF(OR(AND(25000&lt;Q1365,Q1365&lt;27501),AND(53500&lt;Q1365,Q1365&lt;57001),AND(72500&lt;Q1365,Q1365&lt;75001)),ROUND($G1365/100*Q1366,DpCU),ROUND($H1365/100*Q1366,DpCU)))))))</f>
        <v>6.84</v>
      </c>
      <c r="R1368">
        <f>IF($K1365&gt;0,ROUND(R1366*$E1365/100,DpCU),IF(R1369&gt;10000,ROUND(HLOOKUP(R1369,$O1365:$S1368,4,FALSE)/100*R1366,DpCU),IF(OR(R1365&lt;20001,R1365&gt;95000,AND(60000&lt;R1365,R1365&lt;70001)),ROUND(ROUND(R1366*JL/$C1365,DcCU)*R1367,DpCU),IF(OR(AND(20000&lt;R1365,R1365&lt;22501),AND(30000&lt;R1365,R1365&lt;50001),77500&lt;R1365),ROUND(R1367*R1366,DpCU),IF(OR(AND(22500&lt;R1365,R1365&lt;25001),AND(50000&lt;R1365,R1365&lt;53501),AND(70000&lt;R1365,R1365&lt;72501)),ROUND($F1365/100*R1366,DpCU),IF(OR(AND(25000&lt;R1365,R1365&lt;27501),AND(53500&lt;R1365,R1365&lt;57001),AND(72500&lt;R1365,R1365&lt;75001)),ROUND($G1365/100*R1366,DpCU),ROUND($H1365/100*R1366,DpCU)))))))</f>
        <v>3.8</v>
      </c>
      <c r="S1368">
        <f>IF($K1365&gt;0,ROUND(S1366*$E1365/100,DpCU),IF(S1369&gt;10000,ROUND(HLOOKUP(S1369,$O1365:$S1368,4,FALSE)/100*S1366,DpCU),IF(OR(S1365&lt;20001,S1365&gt;95000,AND(60000&lt;S1365,S1365&lt;70001)),ROUND(ROUND(S1366*JL/$C1365,DcCU)*S1367,DpCU),IF(OR(AND(20000&lt;S1365,S1365&lt;22501),AND(30000&lt;S1365,S1365&lt;50001),77500&lt;S1365),ROUND(S1367*S1366,DpCU),IF(OR(AND(22500&lt;S1365,S1365&lt;25001),AND(50000&lt;S1365,S1365&lt;53501),AND(70000&lt;S1365,S1365&lt;72501)),ROUND($F1365/100*S1366,DpCU),IF(OR(AND(25000&lt;S1365,S1365&lt;27501),AND(53500&lt;S1365,S1365&lt;57001),AND(72500&lt;S1365,S1365&lt;75001)),ROUND($G1365/100*S1366,DpCU),ROUND($H1365/100*S1366,DpCU)))))))</f>
        <v>0.81</v>
      </c>
    </row>
    <row r="1369" spans="1:23" x14ac:dyDescent="0.2">
      <c r="B1369" s="3" t="str">
        <f>A1365&amp;"r"</f>
        <v>10273r</v>
      </c>
    </row>
    <row r="1370" spans="1:23" x14ac:dyDescent="0.2">
      <c r="A1370">
        <v>10274</v>
      </c>
      <c r="B1370" s="3" t="s">
        <v>1349</v>
      </c>
      <c r="C1370" s="1">
        <f>ROUND(J1370*JL*Frto/8,4)</f>
        <v>35</v>
      </c>
      <c r="D1370" t="s">
        <v>7</v>
      </c>
      <c r="E1370">
        <f>SUM($O1373:$S1373)</f>
        <v>11.379999999999999</v>
      </c>
      <c r="F1370">
        <f>SUMIF($O1370:$S1370,"&lt;22501",$O1373:$S1373)</f>
        <v>8.84</v>
      </c>
      <c r="G1370">
        <f>SUMIFS($O1373:$S1373,$O1370:$S1370,"&gt;30000",$O1370:$S1370,"&lt;50001")</f>
        <v>2.1</v>
      </c>
      <c r="H1370">
        <f>SUMIFS($O1373:$S1373,$O1370:$S1370,"&gt;60000",$O1370:$S1370,"&lt;70001")</f>
        <v>0</v>
      </c>
      <c r="I1370">
        <v>5</v>
      </c>
      <c r="J1370">
        <v>35</v>
      </c>
      <c r="O1370">
        <v>10001</v>
      </c>
      <c r="P1370">
        <v>10002</v>
      </c>
      <c r="Q1370">
        <v>10003</v>
      </c>
      <c r="R1370">
        <v>30361</v>
      </c>
      <c r="S1370">
        <v>70001</v>
      </c>
    </row>
    <row r="1371" spans="1:23" x14ac:dyDescent="0.2">
      <c r="B1371" s="3" t="str">
        <f>A1370&amp;"C"</f>
        <v>10274C</v>
      </c>
      <c r="O1371">
        <v>0.1</v>
      </c>
      <c r="P1371">
        <v>1</v>
      </c>
      <c r="Q1371">
        <v>1</v>
      </c>
      <c r="R1371">
        <v>1</v>
      </c>
      <c r="S1371">
        <v>5</v>
      </c>
    </row>
    <row r="1372" spans="1:23" x14ac:dyDescent="0.2">
      <c r="O1372">
        <f>IF(O1374&gt;10000,HLOOKUP(O1374,N1370:$O1373,4,FALSE),IF(OR(AND(22500&lt;O1370,O1370&lt;25001),AND(50000&lt;O1370,O1370&lt;53501),AND(70000&lt;O1370,O1370&lt;72501)),$F1370,IF(OR(AND(25001&lt;O1370,O1370&lt;27501),AND(53500&lt;O1370,O1370&lt;57001),AND(72500&lt;O1370,O1370&lt;75001)),$G1370,IF(OR(AND(27500&lt;O1370,O1370&lt;30001),AND(57000&lt;O1370,O1370&lt;60001),AND(75000&lt;O1370,O1370&lt;77500)),$H1370,VLOOKUP(O1370,BDins,6,FALSE)))))</f>
        <v>24.97</v>
      </c>
      <c r="P1372">
        <f>IF(P1374&gt;10000,HLOOKUP(P1374,O1370:$O1373,4,FALSE),IF(OR(AND(22500&lt;P1370,P1370&lt;25001),AND(50000&lt;P1370,P1370&lt;53501),AND(70000&lt;P1370,P1370&lt;72501)),$F1370,IF(OR(AND(25001&lt;P1370,P1370&lt;27501),AND(53500&lt;P1370,P1370&lt;57001),AND(72500&lt;P1370,P1370&lt;75001)),$G1370,IF(OR(AND(27500&lt;P1370,P1370&lt;30001),AND(57000&lt;P1370,P1370&lt;60001),AND(75000&lt;P1370,P1370&lt;77500)),$H1370,VLOOKUP(P1370,BDins,6,FALSE)))))</f>
        <v>20.81</v>
      </c>
      <c r="Q1372">
        <f>IF(Q1374&gt;10000,HLOOKUP(Q1374,$O1370:P1373,4,FALSE),IF(OR(AND(22500&lt;Q1370,Q1370&lt;25001),AND(50000&lt;Q1370,Q1370&lt;53501),AND(70000&lt;Q1370,Q1370&lt;72501)),$F1370,IF(OR(AND(25001&lt;Q1370,Q1370&lt;27501),AND(53500&lt;Q1370,Q1370&lt;57001),AND(72500&lt;Q1370,Q1370&lt;75001)),$G1370,IF(OR(AND(27500&lt;Q1370,Q1370&lt;30001),AND(57000&lt;Q1370,Q1370&lt;60001),AND(75000&lt;Q1370,Q1370&lt;77500)),$H1370,VLOOKUP(Q1370,BDins,6,FALSE)))))</f>
        <v>15.36</v>
      </c>
      <c r="R1372">
        <f>IF(R1374&gt;10000,HLOOKUP(R1374,$O1370:Q1373,4,FALSE),IF(OR(AND(22500&lt;R1370,R1370&lt;25001),AND(50000&lt;R1370,R1370&lt;53501),AND(70000&lt;R1370,R1370&lt;72501)),$F1370,IF(OR(AND(25001&lt;R1370,R1370&lt;27501),AND(53500&lt;R1370,R1370&lt;57001),AND(72500&lt;R1370,R1370&lt;75001)),$G1370,IF(OR(AND(27500&lt;R1370,R1370&lt;30001),AND(57000&lt;R1370,R1370&lt;60001),AND(75000&lt;R1370,R1370&lt;77500)),$H1370,VLOOKUP(R1370,BDins,6,FALSE)))))</f>
        <v>2.1</v>
      </c>
      <c r="S1372">
        <f>IF(S1374&gt;10000,HLOOKUP(S1374,$O1370:R1373,4,FALSE),IF(OR(AND(22500&lt;S1370,S1370&lt;25001),AND(50000&lt;S1370,S1370&lt;53501),AND(70000&lt;S1370,S1370&lt;72501)),$F1370,IF(OR(AND(25001&lt;S1370,S1370&lt;27501),AND(53500&lt;S1370,S1370&lt;57001),AND(72500&lt;S1370,S1370&lt;75001)),$G1370,IF(OR(AND(27500&lt;S1370,S1370&lt;30001),AND(57000&lt;S1370,S1370&lt;60001),AND(75000&lt;S1370,S1370&lt;77500)),$H1370,VLOOKUP(S1370,BDins,6,FALSE)))))</f>
        <v>8.84</v>
      </c>
    </row>
    <row r="1373" spans="1:23" x14ac:dyDescent="0.2">
      <c r="O1373">
        <f>IF($K1370&gt;0,ROUND(O1371*$E1370/100,DpCU),IF(O1374&gt;10000,ROUND(HLOOKUP(O1374,$O1370:$S1373,4,FALSE)/100*O1371,DpCU),IF(OR(O1370&lt;20001,O1370&gt;95000,AND(60000&lt;O1370,O1370&lt;70001)),ROUND(ROUND(O1371*JL/$C1370,DcCU)*O1372,DpCU),IF(OR(AND(20000&lt;O1370,O1370&lt;22501),AND(30000&lt;O1370,O1370&lt;50001),77500&lt;O1370),ROUND(O1372*O1371,DpCU),IF(OR(AND(22500&lt;O1370,O1370&lt;25001),AND(50000&lt;O1370,O1370&lt;53501),AND(70000&lt;O1370,O1370&lt;72501)),ROUND($F1370/100*O1371,DpCU),IF(OR(AND(25000&lt;O1370,O1370&lt;27501),AND(53500&lt;O1370,O1370&lt;57001),AND(72500&lt;O1370,O1370&lt;75001)),ROUND($G1370/100*O1371,DpCU),ROUND($H1370/100*O1371,DpCU)))))))</f>
        <v>0.56999999999999995</v>
      </c>
      <c r="P1373">
        <f>IF($K1370&gt;0,ROUND(P1371*$E1370/100,DpCU),IF(P1374&gt;10000,ROUND(HLOOKUP(P1374,$O1370:$S1373,4,FALSE)/100*P1371,DpCU),IF(OR(P1370&lt;20001,P1370&gt;95000,AND(60000&lt;P1370,P1370&lt;70001)),ROUND(ROUND(P1371*JL/$C1370,DcCU)*P1372,DpCU),IF(OR(AND(20000&lt;P1370,P1370&lt;22501),AND(30000&lt;P1370,P1370&lt;50001),77500&lt;P1370),ROUND(P1372*P1371,DpCU),IF(OR(AND(22500&lt;P1370,P1370&lt;25001),AND(50000&lt;P1370,P1370&lt;53501),AND(70000&lt;P1370,P1370&lt;72501)),ROUND($F1370/100*P1371,DpCU),IF(OR(AND(25000&lt;P1370,P1370&lt;27501),AND(53500&lt;P1370,P1370&lt;57001),AND(72500&lt;P1370,P1370&lt;75001)),ROUND($G1370/100*P1371,DpCU),ROUND($H1370/100*P1371,DpCU)))))))</f>
        <v>4.76</v>
      </c>
      <c r="Q1373">
        <f>IF($K1370&gt;0,ROUND(Q1371*$E1370/100,DpCU),IF(Q1374&gt;10000,ROUND(HLOOKUP(Q1374,$O1370:$S1373,4,FALSE)/100*Q1371,DpCU),IF(OR(Q1370&lt;20001,Q1370&gt;95000,AND(60000&lt;Q1370,Q1370&lt;70001)),ROUND(ROUND(Q1371*JL/$C1370,DcCU)*Q1372,DpCU),IF(OR(AND(20000&lt;Q1370,Q1370&lt;22501),AND(30000&lt;Q1370,Q1370&lt;50001),77500&lt;Q1370),ROUND(Q1372*Q1371,DpCU),IF(OR(AND(22500&lt;Q1370,Q1370&lt;25001),AND(50000&lt;Q1370,Q1370&lt;53501),AND(70000&lt;Q1370,Q1370&lt;72501)),ROUND($F1370/100*Q1371,DpCU),IF(OR(AND(25000&lt;Q1370,Q1370&lt;27501),AND(53500&lt;Q1370,Q1370&lt;57001),AND(72500&lt;Q1370,Q1370&lt;75001)),ROUND($G1370/100*Q1371,DpCU),ROUND($H1370/100*Q1371,DpCU)))))))</f>
        <v>3.51</v>
      </c>
      <c r="R1373">
        <f>IF($K1370&gt;0,ROUND(R1371*$E1370/100,DpCU),IF(R1374&gt;10000,ROUND(HLOOKUP(R1374,$O1370:$S1373,4,FALSE)/100*R1371,DpCU),IF(OR(R1370&lt;20001,R1370&gt;95000,AND(60000&lt;R1370,R1370&lt;70001)),ROUND(ROUND(R1371*JL/$C1370,DcCU)*R1372,DpCU),IF(OR(AND(20000&lt;R1370,R1370&lt;22501),AND(30000&lt;R1370,R1370&lt;50001),77500&lt;R1370),ROUND(R1372*R1371,DpCU),IF(OR(AND(22500&lt;R1370,R1370&lt;25001),AND(50000&lt;R1370,R1370&lt;53501),AND(70000&lt;R1370,R1370&lt;72501)),ROUND($F1370/100*R1371,DpCU),IF(OR(AND(25000&lt;R1370,R1370&lt;27501),AND(53500&lt;R1370,R1370&lt;57001),AND(72500&lt;R1370,R1370&lt;75001)),ROUND($G1370/100*R1371,DpCU),ROUND($H1370/100*R1371,DpCU)))))))</f>
        <v>2.1</v>
      </c>
      <c r="S1373">
        <f>IF($K1370&gt;0,ROUND(S1371*$E1370/100,DpCU),IF(S1374&gt;10000,ROUND(HLOOKUP(S1374,$O1370:$S1373,4,FALSE)/100*S1371,DpCU),IF(OR(S1370&lt;20001,S1370&gt;95000,AND(60000&lt;S1370,S1370&lt;70001)),ROUND(ROUND(S1371*JL/$C1370,DcCU)*S1372,DpCU),IF(OR(AND(20000&lt;S1370,S1370&lt;22501),AND(30000&lt;S1370,S1370&lt;50001),77500&lt;S1370),ROUND(S1372*S1371,DpCU),IF(OR(AND(22500&lt;S1370,S1370&lt;25001),AND(50000&lt;S1370,S1370&lt;53501),AND(70000&lt;S1370,S1370&lt;72501)),ROUND($F1370/100*S1371,DpCU),IF(OR(AND(25000&lt;S1370,S1370&lt;27501),AND(53500&lt;S1370,S1370&lt;57001),AND(72500&lt;S1370,S1370&lt;75001)),ROUND($G1370/100*S1371,DpCU),ROUND($H1370/100*S1371,DpCU)))))))</f>
        <v>0.44</v>
      </c>
    </row>
    <row r="1374" spans="1:23" x14ac:dyDescent="0.2">
      <c r="B1374" s="3" t="str">
        <f>A1370&amp;"r"</f>
        <v>10274r</v>
      </c>
    </row>
    <row r="1375" spans="1:23" x14ac:dyDescent="0.2">
      <c r="A1375">
        <v>10275</v>
      </c>
      <c r="B1375" s="3" t="s">
        <v>1352</v>
      </c>
      <c r="C1375" s="1">
        <f>ROUND(J1375*JL*Frto/8,4)</f>
        <v>35</v>
      </c>
      <c r="D1375" t="s">
        <v>7</v>
      </c>
      <c r="E1375">
        <f>SUM($O1378:$S1378)</f>
        <v>12.229999999999999</v>
      </c>
      <c r="F1375">
        <f>SUMIF($O1375:$S1375,"&lt;22501",$O1378:$S1378)</f>
        <v>8.84</v>
      </c>
      <c r="G1375">
        <f>SUMIFS($O1378:$S1378,$O1375:$S1375,"&gt;30000",$O1375:$S1375,"&lt;50001")</f>
        <v>2.95</v>
      </c>
      <c r="H1375">
        <f>SUMIFS($O1378:$S1378,$O1375:$S1375,"&gt;60000",$O1375:$S1375,"&lt;70001")</f>
        <v>0</v>
      </c>
      <c r="I1375">
        <v>5</v>
      </c>
      <c r="J1375">
        <v>35</v>
      </c>
      <c r="O1375">
        <v>10001</v>
      </c>
      <c r="P1375">
        <v>10002</v>
      </c>
      <c r="Q1375">
        <v>10003</v>
      </c>
      <c r="R1375">
        <v>30362</v>
      </c>
      <c r="S1375">
        <v>70001</v>
      </c>
    </row>
    <row r="1376" spans="1:23" x14ac:dyDescent="0.2">
      <c r="B1376" s="3" t="str">
        <f>A1375&amp;"C"</f>
        <v>10275C</v>
      </c>
      <c r="O1376">
        <v>0.1</v>
      </c>
      <c r="P1376">
        <v>1</v>
      </c>
      <c r="Q1376">
        <v>1</v>
      </c>
      <c r="R1376">
        <v>1</v>
      </c>
      <c r="S1376">
        <v>5</v>
      </c>
    </row>
    <row r="1377" spans="1:19" x14ac:dyDescent="0.2">
      <c r="O1377">
        <f>IF(O1379&gt;10000,HLOOKUP(O1379,N1375:$O1378,4,FALSE),IF(OR(AND(22500&lt;O1375,O1375&lt;25001),AND(50000&lt;O1375,O1375&lt;53501),AND(70000&lt;O1375,O1375&lt;72501)),$F1375,IF(OR(AND(25001&lt;O1375,O1375&lt;27501),AND(53500&lt;O1375,O1375&lt;57001),AND(72500&lt;O1375,O1375&lt;75001)),$G1375,IF(OR(AND(27500&lt;O1375,O1375&lt;30001),AND(57000&lt;O1375,O1375&lt;60001),AND(75000&lt;O1375,O1375&lt;77500)),$H1375,VLOOKUP(O1375,BDins,6,FALSE)))))</f>
        <v>24.97</v>
      </c>
      <c r="P1377">
        <f>IF(P1379&gt;10000,HLOOKUP(P1379,O1375:$O1378,4,FALSE),IF(OR(AND(22500&lt;P1375,P1375&lt;25001),AND(50000&lt;P1375,P1375&lt;53501),AND(70000&lt;P1375,P1375&lt;72501)),$F1375,IF(OR(AND(25001&lt;P1375,P1375&lt;27501),AND(53500&lt;P1375,P1375&lt;57001),AND(72500&lt;P1375,P1375&lt;75001)),$G1375,IF(OR(AND(27500&lt;P1375,P1375&lt;30001),AND(57000&lt;P1375,P1375&lt;60001),AND(75000&lt;P1375,P1375&lt;77500)),$H1375,VLOOKUP(P1375,BDins,6,FALSE)))))</f>
        <v>20.81</v>
      </c>
      <c r="Q1377">
        <f>IF(Q1379&gt;10000,HLOOKUP(Q1379,$O1375:P1378,4,FALSE),IF(OR(AND(22500&lt;Q1375,Q1375&lt;25001),AND(50000&lt;Q1375,Q1375&lt;53501),AND(70000&lt;Q1375,Q1375&lt;72501)),$F1375,IF(OR(AND(25001&lt;Q1375,Q1375&lt;27501),AND(53500&lt;Q1375,Q1375&lt;57001),AND(72500&lt;Q1375,Q1375&lt;75001)),$G1375,IF(OR(AND(27500&lt;Q1375,Q1375&lt;30001),AND(57000&lt;Q1375,Q1375&lt;60001),AND(75000&lt;Q1375,Q1375&lt;77500)),$H1375,VLOOKUP(Q1375,BDins,6,FALSE)))))</f>
        <v>15.36</v>
      </c>
      <c r="R1377">
        <f>IF(R1379&gt;10000,HLOOKUP(R1379,$O1375:Q1378,4,FALSE),IF(OR(AND(22500&lt;R1375,R1375&lt;25001),AND(50000&lt;R1375,R1375&lt;53501),AND(70000&lt;R1375,R1375&lt;72501)),$F1375,IF(OR(AND(25001&lt;R1375,R1375&lt;27501),AND(53500&lt;R1375,R1375&lt;57001),AND(72500&lt;R1375,R1375&lt;75001)),$G1375,IF(OR(AND(27500&lt;R1375,R1375&lt;30001),AND(57000&lt;R1375,R1375&lt;60001),AND(75000&lt;R1375,R1375&lt;77500)),$H1375,VLOOKUP(R1375,BDins,6,FALSE)))))</f>
        <v>2.95</v>
      </c>
      <c r="S1377">
        <f>IF(S1379&gt;10000,HLOOKUP(S1379,$O1375:R1378,4,FALSE),IF(OR(AND(22500&lt;S1375,S1375&lt;25001),AND(50000&lt;S1375,S1375&lt;53501),AND(70000&lt;S1375,S1375&lt;72501)),$F1375,IF(OR(AND(25001&lt;S1375,S1375&lt;27501),AND(53500&lt;S1375,S1375&lt;57001),AND(72500&lt;S1375,S1375&lt;75001)),$G1375,IF(OR(AND(27500&lt;S1375,S1375&lt;30001),AND(57000&lt;S1375,S1375&lt;60001),AND(75000&lt;S1375,S1375&lt;77500)),$H1375,VLOOKUP(S1375,BDins,6,FALSE)))))</f>
        <v>8.84</v>
      </c>
    </row>
    <row r="1378" spans="1:19" x14ac:dyDescent="0.2">
      <c r="O1378">
        <f>IF($K1375&gt;0,ROUND(O1376*$E1375/100,DpCU),IF(O1379&gt;10000,ROUND(HLOOKUP(O1379,$O1375:$S1378,4,FALSE)/100*O1376,DpCU),IF(OR(O1375&lt;20001,O1375&gt;95000,AND(60000&lt;O1375,O1375&lt;70001)),ROUND(ROUND(O1376*JL/$C1375,DcCU)*O1377,DpCU),IF(OR(AND(20000&lt;O1375,O1375&lt;22501),AND(30000&lt;O1375,O1375&lt;50001),77500&lt;O1375),ROUND(O1377*O1376,DpCU),IF(OR(AND(22500&lt;O1375,O1375&lt;25001),AND(50000&lt;O1375,O1375&lt;53501),AND(70000&lt;O1375,O1375&lt;72501)),ROUND($F1375/100*O1376,DpCU),IF(OR(AND(25000&lt;O1375,O1375&lt;27501),AND(53500&lt;O1375,O1375&lt;57001),AND(72500&lt;O1375,O1375&lt;75001)),ROUND($G1375/100*O1376,DpCU),ROUND($H1375/100*O1376,DpCU)))))))</f>
        <v>0.56999999999999995</v>
      </c>
      <c r="P1378">
        <f>IF($K1375&gt;0,ROUND(P1376*$E1375/100,DpCU),IF(P1379&gt;10000,ROUND(HLOOKUP(P1379,$O1375:$S1378,4,FALSE)/100*P1376,DpCU),IF(OR(P1375&lt;20001,P1375&gt;95000,AND(60000&lt;P1375,P1375&lt;70001)),ROUND(ROUND(P1376*JL/$C1375,DcCU)*P1377,DpCU),IF(OR(AND(20000&lt;P1375,P1375&lt;22501),AND(30000&lt;P1375,P1375&lt;50001),77500&lt;P1375),ROUND(P1377*P1376,DpCU),IF(OR(AND(22500&lt;P1375,P1375&lt;25001),AND(50000&lt;P1375,P1375&lt;53501),AND(70000&lt;P1375,P1375&lt;72501)),ROUND($F1375/100*P1376,DpCU),IF(OR(AND(25000&lt;P1375,P1375&lt;27501),AND(53500&lt;P1375,P1375&lt;57001),AND(72500&lt;P1375,P1375&lt;75001)),ROUND($G1375/100*P1376,DpCU),ROUND($H1375/100*P1376,DpCU)))))))</f>
        <v>4.76</v>
      </c>
      <c r="Q1378">
        <f>IF($K1375&gt;0,ROUND(Q1376*$E1375/100,DpCU),IF(Q1379&gt;10000,ROUND(HLOOKUP(Q1379,$O1375:$S1378,4,FALSE)/100*Q1376,DpCU),IF(OR(Q1375&lt;20001,Q1375&gt;95000,AND(60000&lt;Q1375,Q1375&lt;70001)),ROUND(ROUND(Q1376*JL/$C1375,DcCU)*Q1377,DpCU),IF(OR(AND(20000&lt;Q1375,Q1375&lt;22501),AND(30000&lt;Q1375,Q1375&lt;50001),77500&lt;Q1375),ROUND(Q1377*Q1376,DpCU),IF(OR(AND(22500&lt;Q1375,Q1375&lt;25001),AND(50000&lt;Q1375,Q1375&lt;53501),AND(70000&lt;Q1375,Q1375&lt;72501)),ROUND($F1375/100*Q1376,DpCU),IF(OR(AND(25000&lt;Q1375,Q1375&lt;27501),AND(53500&lt;Q1375,Q1375&lt;57001),AND(72500&lt;Q1375,Q1375&lt;75001)),ROUND($G1375/100*Q1376,DpCU),ROUND($H1375/100*Q1376,DpCU)))))))</f>
        <v>3.51</v>
      </c>
      <c r="R1378">
        <f>IF($K1375&gt;0,ROUND(R1376*$E1375/100,DpCU),IF(R1379&gt;10000,ROUND(HLOOKUP(R1379,$O1375:$S1378,4,FALSE)/100*R1376,DpCU),IF(OR(R1375&lt;20001,R1375&gt;95000,AND(60000&lt;R1375,R1375&lt;70001)),ROUND(ROUND(R1376*JL/$C1375,DcCU)*R1377,DpCU),IF(OR(AND(20000&lt;R1375,R1375&lt;22501),AND(30000&lt;R1375,R1375&lt;50001),77500&lt;R1375),ROUND(R1377*R1376,DpCU),IF(OR(AND(22500&lt;R1375,R1375&lt;25001),AND(50000&lt;R1375,R1375&lt;53501),AND(70000&lt;R1375,R1375&lt;72501)),ROUND($F1375/100*R1376,DpCU),IF(OR(AND(25000&lt;R1375,R1375&lt;27501),AND(53500&lt;R1375,R1375&lt;57001),AND(72500&lt;R1375,R1375&lt;75001)),ROUND($G1375/100*R1376,DpCU),ROUND($H1375/100*R1376,DpCU)))))))</f>
        <v>2.95</v>
      </c>
      <c r="S1378">
        <f>IF($K1375&gt;0,ROUND(S1376*$E1375/100,DpCU),IF(S1379&gt;10000,ROUND(HLOOKUP(S1379,$O1375:$S1378,4,FALSE)/100*S1376,DpCU),IF(OR(S1375&lt;20001,S1375&gt;95000,AND(60000&lt;S1375,S1375&lt;70001)),ROUND(ROUND(S1376*JL/$C1375,DcCU)*S1377,DpCU),IF(OR(AND(20000&lt;S1375,S1375&lt;22501),AND(30000&lt;S1375,S1375&lt;50001),77500&lt;S1375),ROUND(S1377*S1376,DpCU),IF(OR(AND(22500&lt;S1375,S1375&lt;25001),AND(50000&lt;S1375,S1375&lt;53501),AND(70000&lt;S1375,S1375&lt;72501)),ROUND($F1375/100*S1376,DpCU),IF(OR(AND(25000&lt;S1375,S1375&lt;27501),AND(53500&lt;S1375,S1375&lt;57001),AND(72500&lt;S1375,S1375&lt;75001)),ROUND($G1375/100*S1376,DpCU),ROUND($H1375/100*S1376,DpCU)))))))</f>
        <v>0.44</v>
      </c>
    </row>
    <row r="1379" spans="1:19" x14ac:dyDescent="0.2">
      <c r="B1379" s="3" t="str">
        <f>A1375&amp;"r"</f>
        <v>10275r</v>
      </c>
    </row>
    <row r="1380" spans="1:19" x14ac:dyDescent="0.2">
      <c r="A1380">
        <v>10276</v>
      </c>
      <c r="B1380" s="3" t="s">
        <v>1355</v>
      </c>
      <c r="C1380" s="1">
        <f>ROUND(J1380*JL*Frto/8,4)</f>
        <v>35</v>
      </c>
      <c r="D1380" t="s">
        <v>7</v>
      </c>
      <c r="E1380">
        <f>SUM($O1383:$S1383)</f>
        <v>14.03</v>
      </c>
      <c r="F1380">
        <f>SUMIF($O1380:$S1380,"&lt;22501",$O1383:$S1383)</f>
        <v>8.84</v>
      </c>
      <c r="G1380">
        <f>SUMIFS($O1383:$S1383,$O1380:$S1380,"&gt;30000",$O1380:$S1380,"&lt;50001")</f>
        <v>4.75</v>
      </c>
      <c r="H1380">
        <f>SUMIFS($O1383:$S1383,$O1380:$S1380,"&gt;60000",$O1380:$S1380,"&lt;70001")</f>
        <v>0</v>
      </c>
      <c r="I1380">
        <v>5</v>
      </c>
      <c r="J1380">
        <v>35</v>
      </c>
      <c r="O1380">
        <v>10001</v>
      </c>
      <c r="P1380">
        <v>10002</v>
      </c>
      <c r="Q1380">
        <v>10003</v>
      </c>
      <c r="R1380">
        <v>30363</v>
      </c>
      <c r="S1380">
        <v>70001</v>
      </c>
    </row>
    <row r="1381" spans="1:19" x14ac:dyDescent="0.2">
      <c r="B1381" s="3" t="str">
        <f>A1380&amp;"C"</f>
        <v>10276C</v>
      </c>
      <c r="O1381">
        <v>0.1</v>
      </c>
      <c r="P1381">
        <v>1</v>
      </c>
      <c r="Q1381">
        <v>1</v>
      </c>
      <c r="R1381">
        <v>1</v>
      </c>
      <c r="S1381">
        <v>5</v>
      </c>
    </row>
    <row r="1382" spans="1:19" x14ac:dyDescent="0.2">
      <c r="O1382">
        <f>IF(O1384&gt;10000,HLOOKUP(O1384,N1380:$O1383,4,FALSE),IF(OR(AND(22500&lt;O1380,O1380&lt;25001),AND(50000&lt;O1380,O1380&lt;53501),AND(70000&lt;O1380,O1380&lt;72501)),$F1380,IF(OR(AND(25001&lt;O1380,O1380&lt;27501),AND(53500&lt;O1380,O1380&lt;57001),AND(72500&lt;O1380,O1380&lt;75001)),$G1380,IF(OR(AND(27500&lt;O1380,O1380&lt;30001),AND(57000&lt;O1380,O1380&lt;60001),AND(75000&lt;O1380,O1380&lt;77500)),$H1380,VLOOKUP(O1380,BDins,6,FALSE)))))</f>
        <v>24.97</v>
      </c>
      <c r="P1382">
        <f>IF(P1384&gt;10000,HLOOKUP(P1384,O1380:$O1383,4,FALSE),IF(OR(AND(22500&lt;P1380,P1380&lt;25001),AND(50000&lt;P1380,P1380&lt;53501),AND(70000&lt;P1380,P1380&lt;72501)),$F1380,IF(OR(AND(25001&lt;P1380,P1380&lt;27501),AND(53500&lt;P1380,P1380&lt;57001),AND(72500&lt;P1380,P1380&lt;75001)),$G1380,IF(OR(AND(27500&lt;P1380,P1380&lt;30001),AND(57000&lt;P1380,P1380&lt;60001),AND(75000&lt;P1380,P1380&lt;77500)),$H1380,VLOOKUP(P1380,BDins,6,FALSE)))))</f>
        <v>20.81</v>
      </c>
      <c r="Q1382">
        <f>IF(Q1384&gt;10000,HLOOKUP(Q1384,$O1380:P1383,4,FALSE),IF(OR(AND(22500&lt;Q1380,Q1380&lt;25001),AND(50000&lt;Q1380,Q1380&lt;53501),AND(70000&lt;Q1380,Q1380&lt;72501)),$F1380,IF(OR(AND(25001&lt;Q1380,Q1380&lt;27501),AND(53500&lt;Q1380,Q1380&lt;57001),AND(72500&lt;Q1380,Q1380&lt;75001)),$G1380,IF(OR(AND(27500&lt;Q1380,Q1380&lt;30001),AND(57000&lt;Q1380,Q1380&lt;60001),AND(75000&lt;Q1380,Q1380&lt;77500)),$H1380,VLOOKUP(Q1380,BDins,6,FALSE)))))</f>
        <v>15.36</v>
      </c>
      <c r="R1382">
        <f>IF(R1384&gt;10000,HLOOKUP(R1384,$O1380:Q1383,4,FALSE),IF(OR(AND(22500&lt;R1380,R1380&lt;25001),AND(50000&lt;R1380,R1380&lt;53501),AND(70000&lt;R1380,R1380&lt;72501)),$F1380,IF(OR(AND(25001&lt;R1380,R1380&lt;27501),AND(53500&lt;R1380,R1380&lt;57001),AND(72500&lt;R1380,R1380&lt;75001)),$G1380,IF(OR(AND(27500&lt;R1380,R1380&lt;30001),AND(57000&lt;R1380,R1380&lt;60001),AND(75000&lt;R1380,R1380&lt;77500)),$H1380,VLOOKUP(R1380,BDins,6,FALSE)))))</f>
        <v>4.75</v>
      </c>
      <c r="S1382">
        <f>IF(S1384&gt;10000,HLOOKUP(S1384,$O1380:R1383,4,FALSE),IF(OR(AND(22500&lt;S1380,S1380&lt;25001),AND(50000&lt;S1380,S1380&lt;53501),AND(70000&lt;S1380,S1380&lt;72501)),$F1380,IF(OR(AND(25001&lt;S1380,S1380&lt;27501),AND(53500&lt;S1380,S1380&lt;57001),AND(72500&lt;S1380,S1380&lt;75001)),$G1380,IF(OR(AND(27500&lt;S1380,S1380&lt;30001),AND(57000&lt;S1380,S1380&lt;60001),AND(75000&lt;S1380,S1380&lt;77500)),$H1380,VLOOKUP(S1380,BDins,6,FALSE)))))</f>
        <v>8.84</v>
      </c>
    </row>
    <row r="1383" spans="1:19" x14ac:dyDescent="0.2">
      <c r="O1383">
        <f>IF($K1380&gt;0,ROUND(O1381*$E1380/100,DpCU),IF(O1384&gt;10000,ROUND(HLOOKUP(O1384,$O1380:$S1383,4,FALSE)/100*O1381,DpCU),IF(OR(O1380&lt;20001,O1380&gt;95000,AND(60000&lt;O1380,O1380&lt;70001)),ROUND(ROUND(O1381*JL/$C1380,DcCU)*O1382,DpCU),IF(OR(AND(20000&lt;O1380,O1380&lt;22501),AND(30000&lt;O1380,O1380&lt;50001),77500&lt;O1380),ROUND(O1382*O1381,DpCU),IF(OR(AND(22500&lt;O1380,O1380&lt;25001),AND(50000&lt;O1380,O1380&lt;53501),AND(70000&lt;O1380,O1380&lt;72501)),ROUND($F1380/100*O1381,DpCU),IF(OR(AND(25000&lt;O1380,O1380&lt;27501),AND(53500&lt;O1380,O1380&lt;57001),AND(72500&lt;O1380,O1380&lt;75001)),ROUND($G1380/100*O1381,DpCU),ROUND($H1380/100*O1381,DpCU)))))))</f>
        <v>0.56999999999999995</v>
      </c>
      <c r="P1383">
        <f>IF($K1380&gt;0,ROUND(P1381*$E1380/100,DpCU),IF(P1384&gt;10000,ROUND(HLOOKUP(P1384,$O1380:$S1383,4,FALSE)/100*P1381,DpCU),IF(OR(P1380&lt;20001,P1380&gt;95000,AND(60000&lt;P1380,P1380&lt;70001)),ROUND(ROUND(P1381*JL/$C1380,DcCU)*P1382,DpCU),IF(OR(AND(20000&lt;P1380,P1380&lt;22501),AND(30000&lt;P1380,P1380&lt;50001),77500&lt;P1380),ROUND(P1382*P1381,DpCU),IF(OR(AND(22500&lt;P1380,P1380&lt;25001),AND(50000&lt;P1380,P1380&lt;53501),AND(70000&lt;P1380,P1380&lt;72501)),ROUND($F1380/100*P1381,DpCU),IF(OR(AND(25000&lt;P1380,P1380&lt;27501),AND(53500&lt;P1380,P1380&lt;57001),AND(72500&lt;P1380,P1380&lt;75001)),ROUND($G1380/100*P1381,DpCU),ROUND($H1380/100*P1381,DpCU)))))))</f>
        <v>4.76</v>
      </c>
      <c r="Q1383">
        <f>IF($K1380&gt;0,ROUND(Q1381*$E1380/100,DpCU),IF(Q1384&gt;10000,ROUND(HLOOKUP(Q1384,$O1380:$S1383,4,FALSE)/100*Q1381,DpCU),IF(OR(Q1380&lt;20001,Q1380&gt;95000,AND(60000&lt;Q1380,Q1380&lt;70001)),ROUND(ROUND(Q1381*JL/$C1380,DcCU)*Q1382,DpCU),IF(OR(AND(20000&lt;Q1380,Q1380&lt;22501),AND(30000&lt;Q1380,Q1380&lt;50001),77500&lt;Q1380),ROUND(Q1382*Q1381,DpCU),IF(OR(AND(22500&lt;Q1380,Q1380&lt;25001),AND(50000&lt;Q1380,Q1380&lt;53501),AND(70000&lt;Q1380,Q1380&lt;72501)),ROUND($F1380/100*Q1381,DpCU),IF(OR(AND(25000&lt;Q1380,Q1380&lt;27501),AND(53500&lt;Q1380,Q1380&lt;57001),AND(72500&lt;Q1380,Q1380&lt;75001)),ROUND($G1380/100*Q1381,DpCU),ROUND($H1380/100*Q1381,DpCU)))))))</f>
        <v>3.51</v>
      </c>
      <c r="R1383">
        <f>IF($K1380&gt;0,ROUND(R1381*$E1380/100,DpCU),IF(R1384&gt;10000,ROUND(HLOOKUP(R1384,$O1380:$S1383,4,FALSE)/100*R1381,DpCU),IF(OR(R1380&lt;20001,R1380&gt;95000,AND(60000&lt;R1380,R1380&lt;70001)),ROUND(ROUND(R1381*JL/$C1380,DcCU)*R1382,DpCU),IF(OR(AND(20000&lt;R1380,R1380&lt;22501),AND(30000&lt;R1380,R1380&lt;50001),77500&lt;R1380),ROUND(R1382*R1381,DpCU),IF(OR(AND(22500&lt;R1380,R1380&lt;25001),AND(50000&lt;R1380,R1380&lt;53501),AND(70000&lt;R1380,R1380&lt;72501)),ROUND($F1380/100*R1381,DpCU),IF(OR(AND(25000&lt;R1380,R1380&lt;27501),AND(53500&lt;R1380,R1380&lt;57001),AND(72500&lt;R1380,R1380&lt;75001)),ROUND($G1380/100*R1381,DpCU),ROUND($H1380/100*R1381,DpCU)))))))</f>
        <v>4.75</v>
      </c>
      <c r="S1383">
        <f>IF($K1380&gt;0,ROUND(S1381*$E1380/100,DpCU),IF(S1384&gt;10000,ROUND(HLOOKUP(S1384,$O1380:$S1383,4,FALSE)/100*S1381,DpCU),IF(OR(S1380&lt;20001,S1380&gt;95000,AND(60000&lt;S1380,S1380&lt;70001)),ROUND(ROUND(S1381*JL/$C1380,DcCU)*S1382,DpCU),IF(OR(AND(20000&lt;S1380,S1380&lt;22501),AND(30000&lt;S1380,S1380&lt;50001),77500&lt;S1380),ROUND(S1382*S1381,DpCU),IF(OR(AND(22500&lt;S1380,S1380&lt;25001),AND(50000&lt;S1380,S1380&lt;53501),AND(70000&lt;S1380,S1380&lt;72501)),ROUND($F1380/100*S1381,DpCU),IF(OR(AND(25000&lt;S1380,S1380&lt;27501),AND(53500&lt;S1380,S1380&lt;57001),AND(72500&lt;S1380,S1380&lt;75001)),ROUND($G1380/100*S1381,DpCU),ROUND($H1380/100*S1381,DpCU)))))))</f>
        <v>0.44</v>
      </c>
    </row>
    <row r="1384" spans="1:19" x14ac:dyDescent="0.2">
      <c r="B1384" s="3" t="str">
        <f>A1380&amp;"r"</f>
        <v>10276r</v>
      </c>
    </row>
    <row r="1385" spans="1:19" x14ac:dyDescent="0.2">
      <c r="A1385">
        <v>10277</v>
      </c>
      <c r="B1385" s="3" t="s">
        <v>1358</v>
      </c>
      <c r="C1385" s="1">
        <f>ROUND(J1385*JL*Frto/8,4)</f>
        <v>35</v>
      </c>
      <c r="D1385" t="s">
        <v>7</v>
      </c>
      <c r="E1385">
        <f>SUM($O1388:$S1388)</f>
        <v>12.08</v>
      </c>
      <c r="F1385">
        <f>SUMIF($O1385:$S1385,"&lt;22501",$O1388:$S1388)</f>
        <v>8.84</v>
      </c>
      <c r="G1385">
        <f>SUMIFS($O1388:$S1388,$O1385:$S1385,"&gt;30000",$O1385:$S1385,"&lt;50001")</f>
        <v>2.8</v>
      </c>
      <c r="H1385">
        <f>SUMIFS($O1388:$S1388,$O1385:$S1385,"&gt;60000",$O1385:$S1385,"&lt;70001")</f>
        <v>0</v>
      </c>
      <c r="I1385">
        <v>5</v>
      </c>
      <c r="J1385">
        <v>35</v>
      </c>
      <c r="O1385">
        <v>10001</v>
      </c>
      <c r="P1385">
        <v>10002</v>
      </c>
      <c r="Q1385">
        <v>10003</v>
      </c>
      <c r="R1385">
        <v>30364</v>
      </c>
      <c r="S1385">
        <v>70001</v>
      </c>
    </row>
    <row r="1386" spans="1:19" x14ac:dyDescent="0.2">
      <c r="B1386" s="3" t="str">
        <f>A1385&amp;"C"</f>
        <v>10277C</v>
      </c>
      <c r="O1386">
        <v>0.1</v>
      </c>
      <c r="P1386">
        <v>1</v>
      </c>
      <c r="Q1386">
        <v>1</v>
      </c>
      <c r="R1386">
        <v>1</v>
      </c>
      <c r="S1386">
        <v>5</v>
      </c>
    </row>
    <row r="1387" spans="1:19" x14ac:dyDescent="0.2">
      <c r="O1387">
        <f>IF(O1389&gt;10000,HLOOKUP(O1389,N1385:$O1388,4,FALSE),IF(OR(AND(22500&lt;O1385,O1385&lt;25001),AND(50000&lt;O1385,O1385&lt;53501),AND(70000&lt;O1385,O1385&lt;72501)),$F1385,IF(OR(AND(25001&lt;O1385,O1385&lt;27501),AND(53500&lt;O1385,O1385&lt;57001),AND(72500&lt;O1385,O1385&lt;75001)),$G1385,IF(OR(AND(27500&lt;O1385,O1385&lt;30001),AND(57000&lt;O1385,O1385&lt;60001),AND(75000&lt;O1385,O1385&lt;77500)),$H1385,VLOOKUP(O1385,BDins,6,FALSE)))))</f>
        <v>24.97</v>
      </c>
      <c r="P1387">
        <f>IF(P1389&gt;10000,HLOOKUP(P1389,O1385:$O1388,4,FALSE),IF(OR(AND(22500&lt;P1385,P1385&lt;25001),AND(50000&lt;P1385,P1385&lt;53501),AND(70000&lt;P1385,P1385&lt;72501)),$F1385,IF(OR(AND(25001&lt;P1385,P1385&lt;27501),AND(53500&lt;P1385,P1385&lt;57001),AND(72500&lt;P1385,P1385&lt;75001)),$G1385,IF(OR(AND(27500&lt;P1385,P1385&lt;30001),AND(57000&lt;P1385,P1385&lt;60001),AND(75000&lt;P1385,P1385&lt;77500)),$H1385,VLOOKUP(P1385,BDins,6,FALSE)))))</f>
        <v>20.81</v>
      </c>
      <c r="Q1387">
        <f>IF(Q1389&gt;10000,HLOOKUP(Q1389,$O1385:P1388,4,FALSE),IF(OR(AND(22500&lt;Q1385,Q1385&lt;25001),AND(50000&lt;Q1385,Q1385&lt;53501),AND(70000&lt;Q1385,Q1385&lt;72501)),$F1385,IF(OR(AND(25001&lt;Q1385,Q1385&lt;27501),AND(53500&lt;Q1385,Q1385&lt;57001),AND(72500&lt;Q1385,Q1385&lt;75001)),$G1385,IF(OR(AND(27500&lt;Q1385,Q1385&lt;30001),AND(57000&lt;Q1385,Q1385&lt;60001),AND(75000&lt;Q1385,Q1385&lt;77500)),$H1385,VLOOKUP(Q1385,BDins,6,FALSE)))))</f>
        <v>15.36</v>
      </c>
      <c r="R1387">
        <f>IF(R1389&gt;10000,HLOOKUP(R1389,$O1385:Q1388,4,FALSE),IF(OR(AND(22500&lt;R1385,R1385&lt;25001),AND(50000&lt;R1385,R1385&lt;53501),AND(70000&lt;R1385,R1385&lt;72501)),$F1385,IF(OR(AND(25001&lt;R1385,R1385&lt;27501),AND(53500&lt;R1385,R1385&lt;57001),AND(72500&lt;R1385,R1385&lt;75001)),$G1385,IF(OR(AND(27500&lt;R1385,R1385&lt;30001),AND(57000&lt;R1385,R1385&lt;60001),AND(75000&lt;R1385,R1385&lt;77500)),$H1385,VLOOKUP(R1385,BDins,6,FALSE)))))</f>
        <v>2.8</v>
      </c>
      <c r="S1387">
        <f>IF(S1389&gt;10000,HLOOKUP(S1389,$O1385:R1388,4,FALSE),IF(OR(AND(22500&lt;S1385,S1385&lt;25001),AND(50000&lt;S1385,S1385&lt;53501),AND(70000&lt;S1385,S1385&lt;72501)),$F1385,IF(OR(AND(25001&lt;S1385,S1385&lt;27501),AND(53500&lt;S1385,S1385&lt;57001),AND(72500&lt;S1385,S1385&lt;75001)),$G1385,IF(OR(AND(27500&lt;S1385,S1385&lt;30001),AND(57000&lt;S1385,S1385&lt;60001),AND(75000&lt;S1385,S1385&lt;77500)),$H1385,VLOOKUP(S1385,BDins,6,FALSE)))))</f>
        <v>8.84</v>
      </c>
    </row>
    <row r="1388" spans="1:19" x14ac:dyDescent="0.2">
      <c r="O1388">
        <f>IF($K1385&gt;0,ROUND(O1386*$E1385/100,DpCU),IF(O1389&gt;10000,ROUND(HLOOKUP(O1389,$O1385:$S1388,4,FALSE)/100*O1386,DpCU),IF(OR(O1385&lt;20001,O1385&gt;95000,AND(60000&lt;O1385,O1385&lt;70001)),ROUND(ROUND(O1386*JL/$C1385,DcCU)*O1387,DpCU),IF(OR(AND(20000&lt;O1385,O1385&lt;22501),AND(30000&lt;O1385,O1385&lt;50001),77500&lt;O1385),ROUND(O1387*O1386,DpCU),IF(OR(AND(22500&lt;O1385,O1385&lt;25001),AND(50000&lt;O1385,O1385&lt;53501),AND(70000&lt;O1385,O1385&lt;72501)),ROUND($F1385/100*O1386,DpCU),IF(OR(AND(25000&lt;O1385,O1385&lt;27501),AND(53500&lt;O1385,O1385&lt;57001),AND(72500&lt;O1385,O1385&lt;75001)),ROUND($G1385/100*O1386,DpCU),ROUND($H1385/100*O1386,DpCU)))))))</f>
        <v>0.56999999999999995</v>
      </c>
      <c r="P1388">
        <f>IF($K1385&gt;0,ROUND(P1386*$E1385/100,DpCU),IF(P1389&gt;10000,ROUND(HLOOKUP(P1389,$O1385:$S1388,4,FALSE)/100*P1386,DpCU),IF(OR(P1385&lt;20001,P1385&gt;95000,AND(60000&lt;P1385,P1385&lt;70001)),ROUND(ROUND(P1386*JL/$C1385,DcCU)*P1387,DpCU),IF(OR(AND(20000&lt;P1385,P1385&lt;22501),AND(30000&lt;P1385,P1385&lt;50001),77500&lt;P1385),ROUND(P1387*P1386,DpCU),IF(OR(AND(22500&lt;P1385,P1385&lt;25001),AND(50000&lt;P1385,P1385&lt;53501),AND(70000&lt;P1385,P1385&lt;72501)),ROUND($F1385/100*P1386,DpCU),IF(OR(AND(25000&lt;P1385,P1385&lt;27501),AND(53500&lt;P1385,P1385&lt;57001),AND(72500&lt;P1385,P1385&lt;75001)),ROUND($G1385/100*P1386,DpCU),ROUND($H1385/100*P1386,DpCU)))))))</f>
        <v>4.76</v>
      </c>
      <c r="Q1388">
        <f>IF($K1385&gt;0,ROUND(Q1386*$E1385/100,DpCU),IF(Q1389&gt;10000,ROUND(HLOOKUP(Q1389,$O1385:$S1388,4,FALSE)/100*Q1386,DpCU),IF(OR(Q1385&lt;20001,Q1385&gt;95000,AND(60000&lt;Q1385,Q1385&lt;70001)),ROUND(ROUND(Q1386*JL/$C1385,DcCU)*Q1387,DpCU),IF(OR(AND(20000&lt;Q1385,Q1385&lt;22501),AND(30000&lt;Q1385,Q1385&lt;50001),77500&lt;Q1385),ROUND(Q1387*Q1386,DpCU),IF(OR(AND(22500&lt;Q1385,Q1385&lt;25001),AND(50000&lt;Q1385,Q1385&lt;53501),AND(70000&lt;Q1385,Q1385&lt;72501)),ROUND($F1385/100*Q1386,DpCU),IF(OR(AND(25000&lt;Q1385,Q1385&lt;27501),AND(53500&lt;Q1385,Q1385&lt;57001),AND(72500&lt;Q1385,Q1385&lt;75001)),ROUND($G1385/100*Q1386,DpCU),ROUND($H1385/100*Q1386,DpCU)))))))</f>
        <v>3.51</v>
      </c>
      <c r="R1388">
        <f>IF($K1385&gt;0,ROUND(R1386*$E1385/100,DpCU),IF(R1389&gt;10000,ROUND(HLOOKUP(R1389,$O1385:$S1388,4,FALSE)/100*R1386,DpCU),IF(OR(R1385&lt;20001,R1385&gt;95000,AND(60000&lt;R1385,R1385&lt;70001)),ROUND(ROUND(R1386*JL/$C1385,DcCU)*R1387,DpCU),IF(OR(AND(20000&lt;R1385,R1385&lt;22501),AND(30000&lt;R1385,R1385&lt;50001),77500&lt;R1385),ROUND(R1387*R1386,DpCU),IF(OR(AND(22500&lt;R1385,R1385&lt;25001),AND(50000&lt;R1385,R1385&lt;53501),AND(70000&lt;R1385,R1385&lt;72501)),ROUND($F1385/100*R1386,DpCU),IF(OR(AND(25000&lt;R1385,R1385&lt;27501),AND(53500&lt;R1385,R1385&lt;57001),AND(72500&lt;R1385,R1385&lt;75001)),ROUND($G1385/100*R1386,DpCU),ROUND($H1385/100*R1386,DpCU)))))))</f>
        <v>2.8</v>
      </c>
      <c r="S1388">
        <f>IF($K1385&gt;0,ROUND(S1386*$E1385/100,DpCU),IF(S1389&gt;10000,ROUND(HLOOKUP(S1389,$O1385:$S1388,4,FALSE)/100*S1386,DpCU),IF(OR(S1385&lt;20001,S1385&gt;95000,AND(60000&lt;S1385,S1385&lt;70001)),ROUND(ROUND(S1386*JL/$C1385,DcCU)*S1387,DpCU),IF(OR(AND(20000&lt;S1385,S1385&lt;22501),AND(30000&lt;S1385,S1385&lt;50001),77500&lt;S1385),ROUND(S1387*S1386,DpCU),IF(OR(AND(22500&lt;S1385,S1385&lt;25001),AND(50000&lt;S1385,S1385&lt;53501),AND(70000&lt;S1385,S1385&lt;72501)),ROUND($F1385/100*S1386,DpCU),IF(OR(AND(25000&lt;S1385,S1385&lt;27501),AND(53500&lt;S1385,S1385&lt;57001),AND(72500&lt;S1385,S1385&lt;75001)),ROUND($G1385/100*S1386,DpCU),ROUND($H1385/100*S1386,DpCU)))))))</f>
        <v>0.44</v>
      </c>
    </row>
    <row r="1389" spans="1:19" x14ac:dyDescent="0.2">
      <c r="B1389" s="3" t="str">
        <f>A1385&amp;"r"</f>
        <v>10277r</v>
      </c>
    </row>
    <row r="1390" spans="1:19" x14ac:dyDescent="0.2">
      <c r="A1390">
        <v>10278</v>
      </c>
      <c r="B1390" s="3" t="s">
        <v>1361</v>
      </c>
      <c r="C1390" s="1">
        <f>ROUND(J1390*JL*Frto/8,4)</f>
        <v>35</v>
      </c>
      <c r="D1390" t="s">
        <v>7</v>
      </c>
      <c r="E1390">
        <f>SUM($O1393:$S1393)</f>
        <v>14.68</v>
      </c>
      <c r="F1390">
        <f>SUMIF($O1390:$S1390,"&lt;22501",$O1393:$S1393)</f>
        <v>8.84</v>
      </c>
      <c r="G1390">
        <f>SUMIFS($O1393:$S1393,$O1390:$S1390,"&gt;30000",$O1390:$S1390,"&lt;50001")</f>
        <v>5.4</v>
      </c>
      <c r="H1390">
        <f>SUMIFS($O1393:$S1393,$O1390:$S1390,"&gt;60000",$O1390:$S1390,"&lt;70001")</f>
        <v>0</v>
      </c>
      <c r="I1390">
        <v>5</v>
      </c>
      <c r="J1390">
        <v>35</v>
      </c>
      <c r="O1390">
        <v>10001</v>
      </c>
      <c r="P1390">
        <v>10002</v>
      </c>
      <c r="Q1390">
        <v>10003</v>
      </c>
      <c r="R1390">
        <v>30365</v>
      </c>
      <c r="S1390">
        <v>70001</v>
      </c>
    </row>
    <row r="1391" spans="1:19" x14ac:dyDescent="0.2">
      <c r="B1391" s="3" t="str">
        <f>A1390&amp;"C"</f>
        <v>10278C</v>
      </c>
      <c r="O1391">
        <v>0.1</v>
      </c>
      <c r="P1391">
        <v>1</v>
      </c>
      <c r="Q1391">
        <v>1</v>
      </c>
      <c r="R1391">
        <v>1</v>
      </c>
      <c r="S1391">
        <v>5</v>
      </c>
    </row>
    <row r="1392" spans="1:19" x14ac:dyDescent="0.2">
      <c r="O1392">
        <f>IF(O1394&gt;10000,HLOOKUP(O1394,N1390:$O1393,4,FALSE),IF(OR(AND(22500&lt;O1390,O1390&lt;25001),AND(50000&lt;O1390,O1390&lt;53501),AND(70000&lt;O1390,O1390&lt;72501)),$F1390,IF(OR(AND(25001&lt;O1390,O1390&lt;27501),AND(53500&lt;O1390,O1390&lt;57001),AND(72500&lt;O1390,O1390&lt;75001)),$G1390,IF(OR(AND(27500&lt;O1390,O1390&lt;30001),AND(57000&lt;O1390,O1390&lt;60001),AND(75000&lt;O1390,O1390&lt;77500)),$H1390,VLOOKUP(O1390,BDins,6,FALSE)))))</f>
        <v>24.97</v>
      </c>
      <c r="P1392">
        <f>IF(P1394&gt;10000,HLOOKUP(P1394,O1390:$O1393,4,FALSE),IF(OR(AND(22500&lt;P1390,P1390&lt;25001),AND(50000&lt;P1390,P1390&lt;53501),AND(70000&lt;P1390,P1390&lt;72501)),$F1390,IF(OR(AND(25001&lt;P1390,P1390&lt;27501),AND(53500&lt;P1390,P1390&lt;57001),AND(72500&lt;P1390,P1390&lt;75001)),$G1390,IF(OR(AND(27500&lt;P1390,P1390&lt;30001),AND(57000&lt;P1390,P1390&lt;60001),AND(75000&lt;P1390,P1390&lt;77500)),$H1390,VLOOKUP(P1390,BDins,6,FALSE)))))</f>
        <v>20.81</v>
      </c>
      <c r="Q1392">
        <f>IF(Q1394&gt;10000,HLOOKUP(Q1394,$O1390:P1393,4,FALSE),IF(OR(AND(22500&lt;Q1390,Q1390&lt;25001),AND(50000&lt;Q1390,Q1390&lt;53501),AND(70000&lt;Q1390,Q1390&lt;72501)),$F1390,IF(OR(AND(25001&lt;Q1390,Q1390&lt;27501),AND(53500&lt;Q1390,Q1390&lt;57001),AND(72500&lt;Q1390,Q1390&lt;75001)),$G1390,IF(OR(AND(27500&lt;Q1390,Q1390&lt;30001),AND(57000&lt;Q1390,Q1390&lt;60001),AND(75000&lt;Q1390,Q1390&lt;77500)),$H1390,VLOOKUP(Q1390,BDins,6,FALSE)))))</f>
        <v>15.36</v>
      </c>
      <c r="R1392">
        <f>IF(R1394&gt;10000,HLOOKUP(R1394,$O1390:Q1393,4,FALSE),IF(OR(AND(22500&lt;R1390,R1390&lt;25001),AND(50000&lt;R1390,R1390&lt;53501),AND(70000&lt;R1390,R1390&lt;72501)),$F1390,IF(OR(AND(25001&lt;R1390,R1390&lt;27501),AND(53500&lt;R1390,R1390&lt;57001),AND(72500&lt;R1390,R1390&lt;75001)),$G1390,IF(OR(AND(27500&lt;R1390,R1390&lt;30001),AND(57000&lt;R1390,R1390&lt;60001),AND(75000&lt;R1390,R1390&lt;77500)),$H1390,VLOOKUP(R1390,BDins,6,FALSE)))))</f>
        <v>5.4</v>
      </c>
      <c r="S1392">
        <f>IF(S1394&gt;10000,HLOOKUP(S1394,$O1390:R1393,4,FALSE),IF(OR(AND(22500&lt;S1390,S1390&lt;25001),AND(50000&lt;S1390,S1390&lt;53501),AND(70000&lt;S1390,S1390&lt;72501)),$F1390,IF(OR(AND(25001&lt;S1390,S1390&lt;27501),AND(53500&lt;S1390,S1390&lt;57001),AND(72500&lt;S1390,S1390&lt;75001)),$G1390,IF(OR(AND(27500&lt;S1390,S1390&lt;30001),AND(57000&lt;S1390,S1390&lt;60001),AND(75000&lt;S1390,S1390&lt;77500)),$H1390,VLOOKUP(S1390,BDins,6,FALSE)))))</f>
        <v>8.84</v>
      </c>
    </row>
    <row r="1393" spans="1:21" x14ac:dyDescent="0.2">
      <c r="O1393">
        <f>IF($K1390&gt;0,ROUND(O1391*$E1390/100,DpCU),IF(O1394&gt;10000,ROUND(HLOOKUP(O1394,$O1390:$S1393,4,FALSE)/100*O1391,DpCU),IF(OR(O1390&lt;20001,O1390&gt;95000,AND(60000&lt;O1390,O1390&lt;70001)),ROUND(ROUND(O1391*JL/$C1390,DcCU)*O1392,DpCU),IF(OR(AND(20000&lt;O1390,O1390&lt;22501),AND(30000&lt;O1390,O1390&lt;50001),77500&lt;O1390),ROUND(O1392*O1391,DpCU),IF(OR(AND(22500&lt;O1390,O1390&lt;25001),AND(50000&lt;O1390,O1390&lt;53501),AND(70000&lt;O1390,O1390&lt;72501)),ROUND($F1390/100*O1391,DpCU),IF(OR(AND(25000&lt;O1390,O1390&lt;27501),AND(53500&lt;O1390,O1390&lt;57001),AND(72500&lt;O1390,O1390&lt;75001)),ROUND($G1390/100*O1391,DpCU),ROUND($H1390/100*O1391,DpCU)))))))</f>
        <v>0.56999999999999995</v>
      </c>
      <c r="P1393">
        <f>IF($K1390&gt;0,ROUND(P1391*$E1390/100,DpCU),IF(P1394&gt;10000,ROUND(HLOOKUP(P1394,$O1390:$S1393,4,FALSE)/100*P1391,DpCU),IF(OR(P1390&lt;20001,P1390&gt;95000,AND(60000&lt;P1390,P1390&lt;70001)),ROUND(ROUND(P1391*JL/$C1390,DcCU)*P1392,DpCU),IF(OR(AND(20000&lt;P1390,P1390&lt;22501),AND(30000&lt;P1390,P1390&lt;50001),77500&lt;P1390),ROUND(P1392*P1391,DpCU),IF(OR(AND(22500&lt;P1390,P1390&lt;25001),AND(50000&lt;P1390,P1390&lt;53501),AND(70000&lt;P1390,P1390&lt;72501)),ROUND($F1390/100*P1391,DpCU),IF(OR(AND(25000&lt;P1390,P1390&lt;27501),AND(53500&lt;P1390,P1390&lt;57001),AND(72500&lt;P1390,P1390&lt;75001)),ROUND($G1390/100*P1391,DpCU),ROUND($H1390/100*P1391,DpCU)))))))</f>
        <v>4.76</v>
      </c>
      <c r="Q1393">
        <f>IF($K1390&gt;0,ROUND(Q1391*$E1390/100,DpCU),IF(Q1394&gt;10000,ROUND(HLOOKUP(Q1394,$O1390:$S1393,4,FALSE)/100*Q1391,DpCU),IF(OR(Q1390&lt;20001,Q1390&gt;95000,AND(60000&lt;Q1390,Q1390&lt;70001)),ROUND(ROUND(Q1391*JL/$C1390,DcCU)*Q1392,DpCU),IF(OR(AND(20000&lt;Q1390,Q1390&lt;22501),AND(30000&lt;Q1390,Q1390&lt;50001),77500&lt;Q1390),ROUND(Q1392*Q1391,DpCU),IF(OR(AND(22500&lt;Q1390,Q1390&lt;25001),AND(50000&lt;Q1390,Q1390&lt;53501),AND(70000&lt;Q1390,Q1390&lt;72501)),ROUND($F1390/100*Q1391,DpCU),IF(OR(AND(25000&lt;Q1390,Q1390&lt;27501),AND(53500&lt;Q1390,Q1390&lt;57001),AND(72500&lt;Q1390,Q1390&lt;75001)),ROUND($G1390/100*Q1391,DpCU),ROUND($H1390/100*Q1391,DpCU)))))))</f>
        <v>3.51</v>
      </c>
      <c r="R1393">
        <f>IF($K1390&gt;0,ROUND(R1391*$E1390/100,DpCU),IF(R1394&gt;10000,ROUND(HLOOKUP(R1394,$O1390:$S1393,4,FALSE)/100*R1391,DpCU),IF(OR(R1390&lt;20001,R1390&gt;95000,AND(60000&lt;R1390,R1390&lt;70001)),ROUND(ROUND(R1391*JL/$C1390,DcCU)*R1392,DpCU),IF(OR(AND(20000&lt;R1390,R1390&lt;22501),AND(30000&lt;R1390,R1390&lt;50001),77500&lt;R1390),ROUND(R1392*R1391,DpCU),IF(OR(AND(22500&lt;R1390,R1390&lt;25001),AND(50000&lt;R1390,R1390&lt;53501),AND(70000&lt;R1390,R1390&lt;72501)),ROUND($F1390/100*R1391,DpCU),IF(OR(AND(25000&lt;R1390,R1390&lt;27501),AND(53500&lt;R1390,R1390&lt;57001),AND(72500&lt;R1390,R1390&lt;75001)),ROUND($G1390/100*R1391,DpCU),ROUND($H1390/100*R1391,DpCU)))))))</f>
        <v>5.4</v>
      </c>
      <c r="S1393">
        <f>IF($K1390&gt;0,ROUND(S1391*$E1390/100,DpCU),IF(S1394&gt;10000,ROUND(HLOOKUP(S1394,$O1390:$S1393,4,FALSE)/100*S1391,DpCU),IF(OR(S1390&lt;20001,S1390&gt;95000,AND(60000&lt;S1390,S1390&lt;70001)),ROUND(ROUND(S1391*JL/$C1390,DcCU)*S1392,DpCU),IF(OR(AND(20000&lt;S1390,S1390&lt;22501),AND(30000&lt;S1390,S1390&lt;50001),77500&lt;S1390),ROUND(S1392*S1391,DpCU),IF(OR(AND(22500&lt;S1390,S1390&lt;25001),AND(50000&lt;S1390,S1390&lt;53501),AND(70000&lt;S1390,S1390&lt;72501)),ROUND($F1390/100*S1391,DpCU),IF(OR(AND(25000&lt;S1390,S1390&lt;27501),AND(53500&lt;S1390,S1390&lt;57001),AND(72500&lt;S1390,S1390&lt;75001)),ROUND($G1390/100*S1391,DpCU),ROUND($H1390/100*S1391,DpCU)))))))</f>
        <v>0.44</v>
      </c>
    </row>
    <row r="1394" spans="1:21" x14ac:dyDescent="0.2">
      <c r="B1394" s="3" t="str">
        <f>A1390&amp;"r"</f>
        <v>10278r</v>
      </c>
    </row>
    <row r="1395" spans="1:21" x14ac:dyDescent="0.2">
      <c r="A1395">
        <v>10279</v>
      </c>
      <c r="B1395" s="3" t="s">
        <v>1364</v>
      </c>
      <c r="C1395" s="1">
        <f>ROUND(J1395*JL*Frto/8,4)</f>
        <v>35</v>
      </c>
      <c r="D1395" t="s">
        <v>7</v>
      </c>
      <c r="E1395">
        <f>SUM($O1398:$T1398)</f>
        <v>13.43</v>
      </c>
      <c r="F1395">
        <f>SUMIF($O1395:$T1395,"&lt;22501",$O1398:$T1398)</f>
        <v>8.84</v>
      </c>
      <c r="G1395">
        <f>SUMIFS($O1398:$T1398,$O1395:$T1395,"&gt;30000",$O1395:$T1395,"&lt;50001")</f>
        <v>4.1500000000000004</v>
      </c>
      <c r="H1395">
        <f>SUMIFS($O1398:$T1398,$O1395:$T1395,"&gt;60000",$O1395:$T1395,"&lt;70001")</f>
        <v>0</v>
      </c>
      <c r="I1395">
        <v>6</v>
      </c>
      <c r="J1395">
        <v>35</v>
      </c>
      <c r="O1395">
        <v>10001</v>
      </c>
      <c r="P1395">
        <v>10002</v>
      </c>
      <c r="Q1395">
        <v>10003</v>
      </c>
      <c r="R1395">
        <v>30305</v>
      </c>
      <c r="S1395">
        <v>30366</v>
      </c>
      <c r="T1395">
        <v>70001</v>
      </c>
    </row>
    <row r="1396" spans="1:21" x14ac:dyDescent="0.2">
      <c r="B1396" s="3" t="str">
        <f>A1395&amp;"C"</f>
        <v>10279C</v>
      </c>
      <c r="O1396">
        <v>0.1</v>
      </c>
      <c r="P1396">
        <v>1</v>
      </c>
      <c r="Q1396">
        <v>1</v>
      </c>
      <c r="R1396">
        <v>0.05</v>
      </c>
      <c r="S1396">
        <v>1</v>
      </c>
      <c r="T1396">
        <v>5</v>
      </c>
    </row>
    <row r="1397" spans="1:21" x14ac:dyDescent="0.2">
      <c r="O1397">
        <f>IF(O1399&gt;10000,HLOOKUP(O1399,N1395:$O1398,4,FALSE),IF(OR(AND(22500&lt;O1395,O1395&lt;25001),AND(50000&lt;O1395,O1395&lt;53501),AND(70000&lt;O1395,O1395&lt;72501)),$F1395,IF(OR(AND(25001&lt;O1395,O1395&lt;27501),AND(53500&lt;O1395,O1395&lt;57001),AND(72500&lt;O1395,O1395&lt;75001)),$G1395,IF(OR(AND(27500&lt;O1395,O1395&lt;30001),AND(57000&lt;O1395,O1395&lt;60001),AND(75000&lt;O1395,O1395&lt;77500)),$H1395,VLOOKUP(O1395,BDins,6,FALSE)))))</f>
        <v>24.97</v>
      </c>
      <c r="P1397">
        <f>IF(P1399&gt;10000,HLOOKUP(P1399,O1395:$O1398,4,FALSE),IF(OR(AND(22500&lt;P1395,P1395&lt;25001),AND(50000&lt;P1395,P1395&lt;53501),AND(70000&lt;P1395,P1395&lt;72501)),$F1395,IF(OR(AND(25001&lt;P1395,P1395&lt;27501),AND(53500&lt;P1395,P1395&lt;57001),AND(72500&lt;P1395,P1395&lt;75001)),$G1395,IF(OR(AND(27500&lt;P1395,P1395&lt;30001),AND(57000&lt;P1395,P1395&lt;60001),AND(75000&lt;P1395,P1395&lt;77500)),$H1395,VLOOKUP(P1395,BDins,6,FALSE)))))</f>
        <v>20.81</v>
      </c>
      <c r="Q1397">
        <f>IF(Q1399&gt;10000,HLOOKUP(Q1399,$O1395:P1398,4,FALSE),IF(OR(AND(22500&lt;Q1395,Q1395&lt;25001),AND(50000&lt;Q1395,Q1395&lt;53501),AND(70000&lt;Q1395,Q1395&lt;72501)),$F1395,IF(OR(AND(25001&lt;Q1395,Q1395&lt;27501),AND(53500&lt;Q1395,Q1395&lt;57001),AND(72500&lt;Q1395,Q1395&lt;75001)),$G1395,IF(OR(AND(27500&lt;Q1395,Q1395&lt;30001),AND(57000&lt;Q1395,Q1395&lt;60001),AND(75000&lt;Q1395,Q1395&lt;77500)),$H1395,VLOOKUP(Q1395,BDins,6,FALSE)))))</f>
        <v>15.36</v>
      </c>
      <c r="R1397">
        <f>IF(R1399&gt;10000,HLOOKUP(R1399,$O1395:Q1398,4,FALSE),IF(OR(AND(22500&lt;R1395,R1395&lt;25001),AND(50000&lt;R1395,R1395&lt;53501),AND(70000&lt;R1395,R1395&lt;72501)),$F1395,IF(OR(AND(25001&lt;R1395,R1395&lt;27501),AND(53500&lt;R1395,R1395&lt;57001),AND(72500&lt;R1395,R1395&lt;75001)),$G1395,IF(OR(AND(27500&lt;R1395,R1395&lt;30001),AND(57000&lt;R1395,R1395&lt;60001),AND(75000&lt;R1395,R1395&lt;77500)),$H1395,VLOOKUP(R1395,BDins,6,FALSE)))))</f>
        <v>8</v>
      </c>
      <c r="S1397">
        <f>IF(S1399&gt;10000,HLOOKUP(S1399,$O1395:R1398,4,FALSE),IF(OR(AND(22500&lt;S1395,S1395&lt;25001),AND(50000&lt;S1395,S1395&lt;53501),AND(70000&lt;S1395,S1395&lt;72501)),$F1395,IF(OR(AND(25001&lt;S1395,S1395&lt;27501),AND(53500&lt;S1395,S1395&lt;57001),AND(72500&lt;S1395,S1395&lt;75001)),$G1395,IF(OR(AND(27500&lt;S1395,S1395&lt;30001),AND(57000&lt;S1395,S1395&lt;60001),AND(75000&lt;S1395,S1395&lt;77500)),$H1395,VLOOKUP(S1395,BDins,6,FALSE)))))</f>
        <v>3.75</v>
      </c>
      <c r="T1397">
        <f>IF(T1399&gt;10000,HLOOKUP(T1399,$O1395:S1398,4,FALSE),IF(OR(AND(22500&lt;T1395,T1395&lt;25001),AND(50000&lt;T1395,T1395&lt;53501),AND(70000&lt;T1395,T1395&lt;72501)),$F1395,IF(OR(AND(25001&lt;T1395,T1395&lt;27501),AND(53500&lt;T1395,T1395&lt;57001),AND(72500&lt;T1395,T1395&lt;75001)),$G1395,IF(OR(AND(27500&lt;T1395,T1395&lt;30001),AND(57000&lt;T1395,T1395&lt;60001),AND(75000&lt;T1395,T1395&lt;77500)),$H1395,VLOOKUP(T1395,BDins,6,FALSE)))))</f>
        <v>8.84</v>
      </c>
    </row>
    <row r="1398" spans="1:21" x14ac:dyDescent="0.2">
      <c r="O1398">
        <f t="shared" ref="O1398:T1398" si="200">IF($K1395&gt;0,ROUND(O1396*$E1395/100,DpCU),IF(O1399&gt;10000,ROUND(HLOOKUP(O1399,$O1395:$T1398,4,FALSE)/100*O1396,DpCU),IF(OR(O1395&lt;20001,O1395&gt;95000,AND(60000&lt;O1395,O1395&lt;70001)),ROUND(ROUND(O1396*JL/$C1395,DcCU)*O1397,DpCU),IF(OR(AND(20000&lt;O1395,O1395&lt;22501),AND(30000&lt;O1395,O1395&lt;50001),77500&lt;O1395),ROUND(O1397*O1396,DpCU),IF(OR(AND(22500&lt;O1395,O1395&lt;25001),AND(50000&lt;O1395,O1395&lt;53501),AND(70000&lt;O1395,O1395&lt;72501)),ROUND($F1395/100*O1396,DpCU),IF(OR(AND(25000&lt;O1395,O1395&lt;27501),AND(53500&lt;O1395,O1395&lt;57001),AND(72500&lt;O1395,O1395&lt;75001)),ROUND($G1395/100*O1396,DpCU),ROUND($H1395/100*O1396,DpCU)))))))</f>
        <v>0.56999999999999995</v>
      </c>
      <c r="P1398">
        <f t="shared" si="200"/>
        <v>4.76</v>
      </c>
      <c r="Q1398">
        <f t="shared" si="200"/>
        <v>3.51</v>
      </c>
      <c r="R1398">
        <f t="shared" si="200"/>
        <v>0.4</v>
      </c>
      <c r="S1398">
        <f t="shared" si="200"/>
        <v>3.75</v>
      </c>
      <c r="T1398">
        <f t="shared" si="200"/>
        <v>0.44</v>
      </c>
    </row>
    <row r="1399" spans="1:21" x14ac:dyDescent="0.2">
      <c r="B1399" s="3" t="str">
        <f>A1395&amp;"r"</f>
        <v>10279r</v>
      </c>
    </row>
    <row r="1400" spans="1:21" x14ac:dyDescent="0.2">
      <c r="A1400">
        <v>10280</v>
      </c>
      <c r="B1400" s="3" t="s">
        <v>1369</v>
      </c>
      <c r="C1400" s="1">
        <f>ROUND(J1400*JL*Frto/8,4)</f>
        <v>30</v>
      </c>
      <c r="D1400" t="s">
        <v>174</v>
      </c>
      <c r="E1400">
        <f>SUM($O1403:$U1403)</f>
        <v>15.420000000000002</v>
      </c>
      <c r="F1400">
        <f>SUMIF($O1400:$U1400,"&lt;22501",$O1403:$U1403)</f>
        <v>10.78</v>
      </c>
      <c r="G1400">
        <f>SUMIFS($O1403:$U1403,$O1400:$U1400,"&gt;30000",$O1400:$U1400,"&lt;50001")</f>
        <v>4.0999999999999996</v>
      </c>
      <c r="H1400">
        <f>SUMIFS($O1403:$U1403,$O1400:$U1400,"&gt;60000",$O1400:$U1400,"&lt;70001")</f>
        <v>0</v>
      </c>
      <c r="I1400">
        <v>7</v>
      </c>
      <c r="J1400">
        <v>30</v>
      </c>
      <c r="O1400">
        <v>10001</v>
      </c>
      <c r="P1400">
        <v>10002</v>
      </c>
      <c r="Q1400">
        <v>10008</v>
      </c>
      <c r="R1400">
        <v>30305</v>
      </c>
      <c r="S1400">
        <v>30367</v>
      </c>
      <c r="T1400">
        <v>30368</v>
      </c>
      <c r="U1400">
        <v>70001</v>
      </c>
    </row>
    <row r="1401" spans="1:21" x14ac:dyDescent="0.2">
      <c r="B1401" s="3" t="str">
        <f>A1400&amp;"C"</f>
        <v>10280C</v>
      </c>
      <c r="O1401">
        <v>0.1</v>
      </c>
      <c r="P1401">
        <v>1</v>
      </c>
      <c r="Q1401">
        <v>1</v>
      </c>
      <c r="R1401">
        <v>0.05</v>
      </c>
      <c r="S1401">
        <v>1</v>
      </c>
      <c r="T1401">
        <v>1</v>
      </c>
      <c r="U1401">
        <v>5</v>
      </c>
    </row>
    <row r="1402" spans="1:21" x14ac:dyDescent="0.2">
      <c r="O1402">
        <f>IF(O1404&gt;10000,HLOOKUP(O1404,N1400:$O1403,4,FALSE),IF(OR(AND(22500&lt;O1400,O1400&lt;25001),AND(50000&lt;O1400,O1400&lt;53501),AND(70000&lt;O1400,O1400&lt;72501)),$F1400,IF(OR(AND(25001&lt;O1400,O1400&lt;27501),AND(53500&lt;O1400,O1400&lt;57001),AND(72500&lt;O1400,O1400&lt;75001)),$G1400,IF(OR(AND(27500&lt;O1400,O1400&lt;30001),AND(57000&lt;O1400,O1400&lt;60001),AND(75000&lt;O1400,O1400&lt;77500)),$H1400,VLOOKUP(O1400,BDins,6,FALSE)))))</f>
        <v>24.97</v>
      </c>
      <c r="P1402">
        <f>IF(P1404&gt;10000,HLOOKUP(P1404,O1400:$O1403,4,FALSE),IF(OR(AND(22500&lt;P1400,P1400&lt;25001),AND(50000&lt;P1400,P1400&lt;53501),AND(70000&lt;P1400,P1400&lt;72501)),$F1400,IF(OR(AND(25001&lt;P1400,P1400&lt;27501),AND(53500&lt;P1400,P1400&lt;57001),AND(72500&lt;P1400,P1400&lt;75001)),$G1400,IF(OR(AND(27500&lt;P1400,P1400&lt;30001),AND(57000&lt;P1400,P1400&lt;60001),AND(75000&lt;P1400,P1400&lt;77500)),$H1400,VLOOKUP(P1400,BDins,6,FALSE)))))</f>
        <v>20.81</v>
      </c>
      <c r="Q1402">
        <f>IF(Q1404&gt;10000,HLOOKUP(Q1404,$O1400:P1403,4,FALSE),IF(OR(AND(22500&lt;Q1400,Q1400&lt;25001),AND(50000&lt;Q1400,Q1400&lt;53501),AND(70000&lt;Q1400,Q1400&lt;72501)),$F1400,IF(OR(AND(25001&lt;Q1400,Q1400&lt;27501),AND(53500&lt;Q1400,Q1400&lt;57001),AND(72500&lt;Q1400,Q1400&lt;75001)),$G1400,IF(OR(AND(27500&lt;Q1400,Q1400&lt;30001),AND(57000&lt;Q1400,Q1400&lt;60001),AND(75000&lt;Q1400,Q1400&lt;77500)),$H1400,VLOOKUP(Q1400,BDins,6,FALSE)))))</f>
        <v>17.09</v>
      </c>
      <c r="R1402">
        <f>IF(R1404&gt;10000,HLOOKUP(R1404,$O1400:Q1403,4,FALSE),IF(OR(AND(22500&lt;R1400,R1400&lt;25001),AND(50000&lt;R1400,R1400&lt;53501),AND(70000&lt;R1400,R1400&lt;72501)),$F1400,IF(OR(AND(25001&lt;R1400,R1400&lt;27501),AND(53500&lt;R1400,R1400&lt;57001),AND(72500&lt;R1400,R1400&lt;75001)),$G1400,IF(OR(AND(27500&lt;R1400,R1400&lt;30001),AND(57000&lt;R1400,R1400&lt;60001),AND(75000&lt;R1400,R1400&lt;77500)),$H1400,VLOOKUP(R1400,BDins,6,FALSE)))))</f>
        <v>8</v>
      </c>
      <c r="S1402">
        <f>IF(S1404&gt;10000,HLOOKUP(S1404,$O1400:R1403,4,FALSE),IF(OR(AND(22500&lt;S1400,S1400&lt;25001),AND(50000&lt;S1400,S1400&lt;53501),AND(70000&lt;S1400,S1400&lt;72501)),$F1400,IF(OR(AND(25001&lt;S1400,S1400&lt;27501),AND(53500&lt;S1400,S1400&lt;57001),AND(72500&lt;S1400,S1400&lt;75001)),$G1400,IF(OR(AND(27500&lt;S1400,S1400&lt;30001),AND(57000&lt;S1400,S1400&lt;60001),AND(75000&lt;S1400,S1400&lt;77500)),$H1400,VLOOKUP(S1400,BDins,6,FALSE)))))</f>
        <v>0.8</v>
      </c>
      <c r="T1402">
        <f>IF(T1404&gt;10000,HLOOKUP(T1404,$O1400:S1403,4,FALSE),IF(OR(AND(22500&lt;T1400,T1400&lt;25001),AND(50000&lt;T1400,T1400&lt;53501),AND(70000&lt;T1400,T1400&lt;72501)),$F1400,IF(OR(AND(25001&lt;T1400,T1400&lt;27501),AND(53500&lt;T1400,T1400&lt;57001),AND(72500&lt;T1400,T1400&lt;75001)),$G1400,IF(OR(AND(27500&lt;T1400,T1400&lt;30001),AND(57000&lt;T1400,T1400&lt;60001),AND(75000&lt;T1400,T1400&lt;77500)),$H1400,VLOOKUP(T1400,BDins,6,FALSE)))))</f>
        <v>2.9</v>
      </c>
      <c r="U1402">
        <f>IF(U1404&gt;10000,HLOOKUP(U1404,$O1400:T1403,4,FALSE),IF(OR(AND(22500&lt;U1400,U1400&lt;25001),AND(50000&lt;U1400,U1400&lt;53501),AND(70000&lt;U1400,U1400&lt;72501)),$F1400,IF(OR(AND(25001&lt;U1400,U1400&lt;27501),AND(53500&lt;U1400,U1400&lt;57001),AND(72500&lt;U1400,U1400&lt;75001)),$G1400,IF(OR(AND(27500&lt;U1400,U1400&lt;30001),AND(57000&lt;U1400,U1400&lt;60001),AND(75000&lt;U1400,U1400&lt;77500)),$H1400,VLOOKUP(U1400,BDins,6,FALSE)))))</f>
        <v>10.78</v>
      </c>
    </row>
    <row r="1403" spans="1:21" x14ac:dyDescent="0.2">
      <c r="O1403">
        <f t="shared" ref="O1403:U1403" si="201">IF($K1400&gt;0,ROUND(O1401*$E1400/100,DpCU),IF(O1404&gt;10000,ROUND(HLOOKUP(O1404,$O1400:$U1403,4,FALSE)/100*O1401,DpCU),IF(OR(O1400&lt;20001,O1400&gt;95000,AND(60000&lt;O1400,O1400&lt;70001)),ROUND(ROUND(O1401*JL/$C1400,DcCU)*O1402,DpCU),IF(OR(AND(20000&lt;O1400,O1400&lt;22501),AND(30000&lt;O1400,O1400&lt;50001),77500&lt;O1400),ROUND(O1402*O1401,DpCU),IF(OR(AND(22500&lt;O1400,O1400&lt;25001),AND(50000&lt;O1400,O1400&lt;53501),AND(70000&lt;O1400,O1400&lt;72501)),ROUND($F1400/100*O1401,DpCU),IF(OR(AND(25000&lt;O1400,O1400&lt;27501),AND(53500&lt;O1400,O1400&lt;57001),AND(72500&lt;O1400,O1400&lt;75001)),ROUND($G1400/100*O1401,DpCU),ROUND($H1400/100*O1401,DpCU)))))))</f>
        <v>0.67</v>
      </c>
      <c r="P1403">
        <f t="shared" si="201"/>
        <v>5.55</v>
      </c>
      <c r="Q1403">
        <f t="shared" si="201"/>
        <v>4.5599999999999996</v>
      </c>
      <c r="R1403">
        <f t="shared" si="201"/>
        <v>0.4</v>
      </c>
      <c r="S1403">
        <f t="shared" si="201"/>
        <v>0.8</v>
      </c>
      <c r="T1403">
        <f t="shared" si="201"/>
        <v>2.9</v>
      </c>
      <c r="U1403">
        <f t="shared" si="201"/>
        <v>0.54</v>
      </c>
    </row>
    <row r="1404" spans="1:21" x14ac:dyDescent="0.2">
      <c r="B1404" s="3" t="str">
        <f>A1400&amp;"r"</f>
        <v>10280r</v>
      </c>
    </row>
    <row r="1405" spans="1:21" x14ac:dyDescent="0.2">
      <c r="A1405">
        <v>10281</v>
      </c>
      <c r="B1405" s="3" t="s">
        <v>1373</v>
      </c>
      <c r="C1405" s="1">
        <f>ROUND(J1405*JL*Frto/8,4)</f>
        <v>15</v>
      </c>
      <c r="D1405" t="s">
        <v>174</v>
      </c>
      <c r="E1405">
        <f>SUM($O1408:$T1408)</f>
        <v>110.03999999999999</v>
      </c>
      <c r="F1405">
        <f>SUMIF($O1405:$T1405,"&lt;22501",$O1408:$T1408)</f>
        <v>32.61</v>
      </c>
      <c r="G1405">
        <f>SUMIFS($O1408:$T1408,$O1405:$T1405,"&gt;30000",$O1405:$T1405,"&lt;50001")</f>
        <v>75.8</v>
      </c>
      <c r="H1405">
        <f>SUMIFS($O1408:$T1408,$O1405:$T1405,"&gt;60000",$O1405:$T1405,"&lt;70001")</f>
        <v>0</v>
      </c>
      <c r="I1405">
        <v>6</v>
      </c>
      <c r="J1405">
        <v>15</v>
      </c>
      <c r="O1405">
        <v>10001</v>
      </c>
      <c r="P1405">
        <v>10002</v>
      </c>
      <c r="Q1405">
        <v>10003</v>
      </c>
      <c r="R1405">
        <v>30305</v>
      </c>
      <c r="S1405">
        <v>30369</v>
      </c>
      <c r="T1405">
        <v>70001</v>
      </c>
    </row>
    <row r="1406" spans="1:21" x14ac:dyDescent="0.2">
      <c r="B1406" s="3" t="str">
        <f>A1405&amp;"C"</f>
        <v>10281C</v>
      </c>
      <c r="O1406">
        <v>1</v>
      </c>
      <c r="P1406">
        <v>1</v>
      </c>
      <c r="Q1406">
        <v>1</v>
      </c>
      <c r="R1406">
        <v>0.1</v>
      </c>
      <c r="S1406">
        <v>1</v>
      </c>
      <c r="T1406">
        <v>5</v>
      </c>
    </row>
    <row r="1407" spans="1:21" x14ac:dyDescent="0.2">
      <c r="O1407">
        <f>IF(O1409&gt;10000,HLOOKUP(O1409,N1405:$O1408,4,FALSE),IF(OR(AND(22500&lt;O1405,O1405&lt;25001),AND(50000&lt;O1405,O1405&lt;53501),AND(70000&lt;O1405,O1405&lt;72501)),$F1405,IF(OR(AND(25001&lt;O1405,O1405&lt;27501),AND(53500&lt;O1405,O1405&lt;57001),AND(72500&lt;O1405,O1405&lt;75001)),$G1405,IF(OR(AND(27500&lt;O1405,O1405&lt;30001),AND(57000&lt;O1405,O1405&lt;60001),AND(75000&lt;O1405,O1405&lt;77500)),$H1405,VLOOKUP(O1405,BDins,6,FALSE)))))</f>
        <v>24.97</v>
      </c>
      <c r="P1407">
        <f>IF(P1409&gt;10000,HLOOKUP(P1409,O1405:$O1408,4,FALSE),IF(OR(AND(22500&lt;P1405,P1405&lt;25001),AND(50000&lt;P1405,P1405&lt;53501),AND(70000&lt;P1405,P1405&lt;72501)),$F1405,IF(OR(AND(25001&lt;P1405,P1405&lt;27501),AND(53500&lt;P1405,P1405&lt;57001),AND(72500&lt;P1405,P1405&lt;75001)),$G1405,IF(OR(AND(27500&lt;P1405,P1405&lt;30001),AND(57000&lt;P1405,P1405&lt;60001),AND(75000&lt;P1405,P1405&lt;77500)),$H1405,VLOOKUP(P1405,BDins,6,FALSE)))))</f>
        <v>20.81</v>
      </c>
      <c r="Q1407">
        <f>IF(Q1409&gt;10000,HLOOKUP(Q1409,$O1405:P1408,4,FALSE),IF(OR(AND(22500&lt;Q1405,Q1405&lt;25001),AND(50000&lt;Q1405,Q1405&lt;53501),AND(70000&lt;Q1405,Q1405&lt;72501)),$F1405,IF(OR(AND(25001&lt;Q1405,Q1405&lt;27501),AND(53500&lt;Q1405,Q1405&lt;57001),AND(72500&lt;Q1405,Q1405&lt;75001)),$G1405,IF(OR(AND(27500&lt;Q1405,Q1405&lt;30001),AND(57000&lt;Q1405,Q1405&lt;60001),AND(75000&lt;Q1405,Q1405&lt;77500)),$H1405,VLOOKUP(Q1405,BDins,6,FALSE)))))</f>
        <v>15.36</v>
      </c>
      <c r="R1407">
        <f>IF(R1409&gt;10000,HLOOKUP(R1409,$O1405:Q1408,4,FALSE),IF(OR(AND(22500&lt;R1405,R1405&lt;25001),AND(50000&lt;R1405,R1405&lt;53501),AND(70000&lt;R1405,R1405&lt;72501)),$F1405,IF(OR(AND(25001&lt;R1405,R1405&lt;27501),AND(53500&lt;R1405,R1405&lt;57001),AND(72500&lt;R1405,R1405&lt;75001)),$G1405,IF(OR(AND(27500&lt;R1405,R1405&lt;30001),AND(57000&lt;R1405,R1405&lt;60001),AND(75000&lt;R1405,R1405&lt;77500)),$H1405,VLOOKUP(R1405,BDins,6,FALSE)))))</f>
        <v>8</v>
      </c>
      <c r="S1407">
        <f>IF(S1409&gt;10000,HLOOKUP(S1409,$O1405:R1408,4,FALSE),IF(OR(AND(22500&lt;S1405,S1405&lt;25001),AND(50000&lt;S1405,S1405&lt;53501),AND(70000&lt;S1405,S1405&lt;72501)),$F1405,IF(OR(AND(25001&lt;S1405,S1405&lt;27501),AND(53500&lt;S1405,S1405&lt;57001),AND(72500&lt;S1405,S1405&lt;75001)),$G1405,IF(OR(AND(27500&lt;S1405,S1405&lt;30001),AND(57000&lt;S1405,S1405&lt;60001),AND(75000&lt;S1405,S1405&lt;77500)),$H1405,VLOOKUP(S1405,BDins,6,FALSE)))))</f>
        <v>75</v>
      </c>
      <c r="T1407">
        <f>IF(T1409&gt;10000,HLOOKUP(T1409,$O1405:S1408,4,FALSE),IF(OR(AND(22500&lt;T1405,T1405&lt;25001),AND(50000&lt;T1405,T1405&lt;53501),AND(70000&lt;T1405,T1405&lt;72501)),$F1405,IF(OR(AND(25001&lt;T1405,T1405&lt;27501),AND(53500&lt;T1405,T1405&lt;57001),AND(72500&lt;T1405,T1405&lt;75001)),$G1405,IF(OR(AND(27500&lt;T1405,T1405&lt;30001),AND(57000&lt;T1405,T1405&lt;60001),AND(75000&lt;T1405,T1405&lt;77500)),$H1405,VLOOKUP(T1405,BDins,6,FALSE)))))</f>
        <v>32.61</v>
      </c>
    </row>
    <row r="1408" spans="1:21" x14ac:dyDescent="0.2">
      <c r="O1408">
        <f t="shared" ref="O1408:T1408" si="202">IF($K1405&gt;0,ROUND(O1406*$E1405/100,DpCU),IF(O1409&gt;10000,ROUND(HLOOKUP(O1409,$O1405:$T1408,4,FALSE)/100*O1406,DpCU),IF(OR(O1405&lt;20001,O1405&gt;95000,AND(60000&lt;O1405,O1405&lt;70001)),ROUND(ROUND(O1406*JL/$C1405,DcCU)*O1407,DpCU),IF(OR(AND(20000&lt;O1405,O1405&lt;22501),AND(30000&lt;O1405,O1405&lt;50001),77500&lt;O1405),ROUND(O1407*O1406,DpCU),IF(OR(AND(22500&lt;O1405,O1405&lt;25001),AND(50000&lt;O1405,O1405&lt;53501),AND(70000&lt;O1405,O1405&lt;72501)),ROUND($F1405/100*O1406,DpCU),IF(OR(AND(25000&lt;O1405,O1405&lt;27501),AND(53500&lt;O1405,O1405&lt;57001),AND(72500&lt;O1405,O1405&lt;75001)),ROUND($G1405/100*O1406,DpCU),ROUND($H1405/100*O1406,DpCU)))))))</f>
        <v>13.32</v>
      </c>
      <c r="P1408">
        <f t="shared" si="202"/>
        <v>11.1</v>
      </c>
      <c r="Q1408">
        <f t="shared" si="202"/>
        <v>8.19</v>
      </c>
      <c r="R1408">
        <f t="shared" si="202"/>
        <v>0.8</v>
      </c>
      <c r="S1408">
        <f t="shared" si="202"/>
        <v>75</v>
      </c>
      <c r="T1408">
        <f t="shared" si="202"/>
        <v>1.63</v>
      </c>
    </row>
    <row r="1409" spans="1:20" x14ac:dyDescent="0.2">
      <c r="B1409" s="3" t="str">
        <f>A1405&amp;"r"</f>
        <v>10281r</v>
      </c>
    </row>
    <row r="1410" spans="1:20" x14ac:dyDescent="0.2">
      <c r="A1410">
        <v>10282</v>
      </c>
      <c r="B1410" s="3" t="s">
        <v>1376</v>
      </c>
      <c r="C1410" s="1">
        <f>ROUND(J1410*JL*Frto/8,4)</f>
        <v>15</v>
      </c>
      <c r="D1410" t="s">
        <v>174</v>
      </c>
      <c r="E1410">
        <f>SUM($O1413:$T1413)</f>
        <v>60.04</v>
      </c>
      <c r="F1410">
        <f>SUMIF($O1410:$T1410,"&lt;22501",$O1413:$T1413)</f>
        <v>32.61</v>
      </c>
      <c r="G1410">
        <f>SUMIFS($O1413:$T1413,$O1410:$T1410,"&gt;30000",$O1410:$T1410,"&lt;50001")</f>
        <v>25.8</v>
      </c>
      <c r="H1410">
        <f>SUMIFS($O1413:$T1413,$O1410:$T1410,"&gt;60000",$O1410:$T1410,"&lt;70001")</f>
        <v>0</v>
      </c>
      <c r="I1410">
        <v>6</v>
      </c>
      <c r="J1410">
        <v>15</v>
      </c>
      <c r="O1410">
        <v>10001</v>
      </c>
      <c r="P1410">
        <v>10002</v>
      </c>
      <c r="Q1410">
        <v>10003</v>
      </c>
      <c r="R1410">
        <v>30305</v>
      </c>
      <c r="S1410">
        <v>30370</v>
      </c>
      <c r="T1410">
        <v>70001</v>
      </c>
    </row>
    <row r="1411" spans="1:20" x14ac:dyDescent="0.2">
      <c r="B1411" s="3" t="str">
        <f>A1410&amp;"C"</f>
        <v>10282C</v>
      </c>
      <c r="O1411">
        <v>1</v>
      </c>
      <c r="P1411">
        <v>1</v>
      </c>
      <c r="Q1411">
        <v>1</v>
      </c>
      <c r="R1411">
        <v>0.1</v>
      </c>
      <c r="S1411">
        <v>1</v>
      </c>
      <c r="T1411">
        <v>5</v>
      </c>
    </row>
    <row r="1412" spans="1:20" x14ac:dyDescent="0.2">
      <c r="O1412">
        <f>IF(O1414&gt;10000,HLOOKUP(O1414,N1410:$O1413,4,FALSE),IF(OR(AND(22500&lt;O1410,O1410&lt;25001),AND(50000&lt;O1410,O1410&lt;53501),AND(70000&lt;O1410,O1410&lt;72501)),$F1410,IF(OR(AND(25001&lt;O1410,O1410&lt;27501),AND(53500&lt;O1410,O1410&lt;57001),AND(72500&lt;O1410,O1410&lt;75001)),$G1410,IF(OR(AND(27500&lt;O1410,O1410&lt;30001),AND(57000&lt;O1410,O1410&lt;60001),AND(75000&lt;O1410,O1410&lt;77500)),$H1410,VLOOKUP(O1410,BDins,6,FALSE)))))</f>
        <v>24.97</v>
      </c>
      <c r="P1412">
        <f>IF(P1414&gt;10000,HLOOKUP(P1414,O1410:$O1413,4,FALSE),IF(OR(AND(22500&lt;P1410,P1410&lt;25001),AND(50000&lt;P1410,P1410&lt;53501),AND(70000&lt;P1410,P1410&lt;72501)),$F1410,IF(OR(AND(25001&lt;P1410,P1410&lt;27501),AND(53500&lt;P1410,P1410&lt;57001),AND(72500&lt;P1410,P1410&lt;75001)),$G1410,IF(OR(AND(27500&lt;P1410,P1410&lt;30001),AND(57000&lt;P1410,P1410&lt;60001),AND(75000&lt;P1410,P1410&lt;77500)),$H1410,VLOOKUP(P1410,BDins,6,FALSE)))))</f>
        <v>20.81</v>
      </c>
      <c r="Q1412">
        <f>IF(Q1414&gt;10000,HLOOKUP(Q1414,$O1410:P1413,4,FALSE),IF(OR(AND(22500&lt;Q1410,Q1410&lt;25001),AND(50000&lt;Q1410,Q1410&lt;53501),AND(70000&lt;Q1410,Q1410&lt;72501)),$F1410,IF(OR(AND(25001&lt;Q1410,Q1410&lt;27501),AND(53500&lt;Q1410,Q1410&lt;57001),AND(72500&lt;Q1410,Q1410&lt;75001)),$G1410,IF(OR(AND(27500&lt;Q1410,Q1410&lt;30001),AND(57000&lt;Q1410,Q1410&lt;60001),AND(75000&lt;Q1410,Q1410&lt;77500)),$H1410,VLOOKUP(Q1410,BDins,6,FALSE)))))</f>
        <v>15.36</v>
      </c>
      <c r="R1412">
        <f>IF(R1414&gt;10000,HLOOKUP(R1414,$O1410:Q1413,4,FALSE),IF(OR(AND(22500&lt;R1410,R1410&lt;25001),AND(50000&lt;R1410,R1410&lt;53501),AND(70000&lt;R1410,R1410&lt;72501)),$F1410,IF(OR(AND(25001&lt;R1410,R1410&lt;27501),AND(53500&lt;R1410,R1410&lt;57001),AND(72500&lt;R1410,R1410&lt;75001)),$G1410,IF(OR(AND(27500&lt;R1410,R1410&lt;30001),AND(57000&lt;R1410,R1410&lt;60001),AND(75000&lt;R1410,R1410&lt;77500)),$H1410,VLOOKUP(R1410,BDins,6,FALSE)))))</f>
        <v>8</v>
      </c>
      <c r="S1412">
        <f>IF(S1414&gt;10000,HLOOKUP(S1414,$O1410:R1413,4,FALSE),IF(OR(AND(22500&lt;S1410,S1410&lt;25001),AND(50000&lt;S1410,S1410&lt;53501),AND(70000&lt;S1410,S1410&lt;72501)),$F1410,IF(OR(AND(25001&lt;S1410,S1410&lt;27501),AND(53500&lt;S1410,S1410&lt;57001),AND(72500&lt;S1410,S1410&lt;75001)),$G1410,IF(OR(AND(27500&lt;S1410,S1410&lt;30001),AND(57000&lt;S1410,S1410&lt;60001),AND(75000&lt;S1410,S1410&lt;77500)),$H1410,VLOOKUP(S1410,BDins,6,FALSE)))))</f>
        <v>25</v>
      </c>
      <c r="T1412">
        <f>IF(T1414&gt;10000,HLOOKUP(T1414,$O1410:S1413,4,FALSE),IF(OR(AND(22500&lt;T1410,T1410&lt;25001),AND(50000&lt;T1410,T1410&lt;53501),AND(70000&lt;T1410,T1410&lt;72501)),$F1410,IF(OR(AND(25001&lt;T1410,T1410&lt;27501),AND(53500&lt;T1410,T1410&lt;57001),AND(72500&lt;T1410,T1410&lt;75001)),$G1410,IF(OR(AND(27500&lt;T1410,T1410&lt;30001),AND(57000&lt;T1410,T1410&lt;60001),AND(75000&lt;T1410,T1410&lt;77500)),$H1410,VLOOKUP(T1410,BDins,6,FALSE)))))</f>
        <v>32.61</v>
      </c>
    </row>
    <row r="1413" spans="1:20" x14ac:dyDescent="0.2">
      <c r="O1413">
        <f t="shared" ref="O1413:T1413" si="203">IF($K1410&gt;0,ROUND(O1411*$E1410/100,DpCU),IF(O1414&gt;10000,ROUND(HLOOKUP(O1414,$O1410:$T1413,4,FALSE)/100*O1411,DpCU),IF(OR(O1410&lt;20001,O1410&gt;95000,AND(60000&lt;O1410,O1410&lt;70001)),ROUND(ROUND(O1411*JL/$C1410,DcCU)*O1412,DpCU),IF(OR(AND(20000&lt;O1410,O1410&lt;22501),AND(30000&lt;O1410,O1410&lt;50001),77500&lt;O1410),ROUND(O1412*O1411,DpCU),IF(OR(AND(22500&lt;O1410,O1410&lt;25001),AND(50000&lt;O1410,O1410&lt;53501),AND(70000&lt;O1410,O1410&lt;72501)),ROUND($F1410/100*O1411,DpCU),IF(OR(AND(25000&lt;O1410,O1410&lt;27501),AND(53500&lt;O1410,O1410&lt;57001),AND(72500&lt;O1410,O1410&lt;75001)),ROUND($G1410/100*O1411,DpCU),ROUND($H1410/100*O1411,DpCU)))))))</f>
        <v>13.32</v>
      </c>
      <c r="P1413">
        <f t="shared" si="203"/>
        <v>11.1</v>
      </c>
      <c r="Q1413">
        <f t="shared" si="203"/>
        <v>8.19</v>
      </c>
      <c r="R1413">
        <f t="shared" si="203"/>
        <v>0.8</v>
      </c>
      <c r="S1413">
        <f t="shared" si="203"/>
        <v>25</v>
      </c>
      <c r="T1413">
        <f t="shared" si="203"/>
        <v>1.63</v>
      </c>
    </row>
    <row r="1414" spans="1:20" x14ac:dyDescent="0.2">
      <c r="B1414" s="3" t="str">
        <f>A1410&amp;"r"</f>
        <v>10282r</v>
      </c>
    </row>
    <row r="1415" spans="1:20" x14ac:dyDescent="0.2">
      <c r="A1415">
        <v>10283</v>
      </c>
      <c r="B1415" s="3" t="s">
        <v>1378</v>
      </c>
      <c r="C1415" s="1">
        <f>ROUND(J1415*JL*Frto/8,4)</f>
        <v>15</v>
      </c>
      <c r="D1415" t="s">
        <v>174</v>
      </c>
      <c r="E1415">
        <f>SUM($O1418:$T1418)</f>
        <v>80.039999999999992</v>
      </c>
      <c r="F1415">
        <f>SUMIF($O1415:$T1415,"&lt;22501",$O1418:$T1418)</f>
        <v>32.61</v>
      </c>
      <c r="G1415">
        <f>SUMIFS($O1418:$T1418,$O1415:$T1415,"&gt;30000",$O1415:$T1415,"&lt;50001")</f>
        <v>45.8</v>
      </c>
      <c r="H1415">
        <f>SUMIFS($O1418:$T1418,$O1415:$T1415,"&gt;60000",$O1415:$T1415,"&lt;70001")</f>
        <v>0</v>
      </c>
      <c r="I1415">
        <v>6</v>
      </c>
      <c r="J1415">
        <v>15</v>
      </c>
      <c r="O1415">
        <v>10001</v>
      </c>
      <c r="P1415">
        <v>10002</v>
      </c>
      <c r="Q1415">
        <v>10003</v>
      </c>
      <c r="R1415">
        <v>30305</v>
      </c>
      <c r="S1415">
        <v>30371</v>
      </c>
      <c r="T1415">
        <v>70001</v>
      </c>
    </row>
    <row r="1416" spans="1:20" x14ac:dyDescent="0.2">
      <c r="B1416" s="3" t="str">
        <f>A1415&amp;"C"</f>
        <v>10283C</v>
      </c>
      <c r="O1416">
        <v>1</v>
      </c>
      <c r="P1416">
        <v>1</v>
      </c>
      <c r="Q1416">
        <v>1</v>
      </c>
      <c r="R1416">
        <v>0.1</v>
      </c>
      <c r="S1416">
        <v>1</v>
      </c>
      <c r="T1416">
        <v>5</v>
      </c>
    </row>
    <row r="1417" spans="1:20" x14ac:dyDescent="0.2">
      <c r="O1417">
        <f>IF(O1419&gt;10000,HLOOKUP(O1419,N1415:$O1418,4,FALSE),IF(OR(AND(22500&lt;O1415,O1415&lt;25001),AND(50000&lt;O1415,O1415&lt;53501),AND(70000&lt;O1415,O1415&lt;72501)),$F1415,IF(OR(AND(25001&lt;O1415,O1415&lt;27501),AND(53500&lt;O1415,O1415&lt;57001),AND(72500&lt;O1415,O1415&lt;75001)),$G1415,IF(OR(AND(27500&lt;O1415,O1415&lt;30001),AND(57000&lt;O1415,O1415&lt;60001),AND(75000&lt;O1415,O1415&lt;77500)),$H1415,VLOOKUP(O1415,BDins,6,FALSE)))))</f>
        <v>24.97</v>
      </c>
      <c r="P1417">
        <f>IF(P1419&gt;10000,HLOOKUP(P1419,O1415:$O1418,4,FALSE),IF(OR(AND(22500&lt;P1415,P1415&lt;25001),AND(50000&lt;P1415,P1415&lt;53501),AND(70000&lt;P1415,P1415&lt;72501)),$F1415,IF(OR(AND(25001&lt;P1415,P1415&lt;27501),AND(53500&lt;P1415,P1415&lt;57001),AND(72500&lt;P1415,P1415&lt;75001)),$G1415,IF(OR(AND(27500&lt;P1415,P1415&lt;30001),AND(57000&lt;P1415,P1415&lt;60001),AND(75000&lt;P1415,P1415&lt;77500)),$H1415,VLOOKUP(P1415,BDins,6,FALSE)))))</f>
        <v>20.81</v>
      </c>
      <c r="Q1417">
        <f>IF(Q1419&gt;10000,HLOOKUP(Q1419,$O1415:P1418,4,FALSE),IF(OR(AND(22500&lt;Q1415,Q1415&lt;25001),AND(50000&lt;Q1415,Q1415&lt;53501),AND(70000&lt;Q1415,Q1415&lt;72501)),$F1415,IF(OR(AND(25001&lt;Q1415,Q1415&lt;27501),AND(53500&lt;Q1415,Q1415&lt;57001),AND(72500&lt;Q1415,Q1415&lt;75001)),$G1415,IF(OR(AND(27500&lt;Q1415,Q1415&lt;30001),AND(57000&lt;Q1415,Q1415&lt;60001),AND(75000&lt;Q1415,Q1415&lt;77500)),$H1415,VLOOKUP(Q1415,BDins,6,FALSE)))))</f>
        <v>15.36</v>
      </c>
      <c r="R1417">
        <f>IF(R1419&gt;10000,HLOOKUP(R1419,$O1415:Q1418,4,FALSE),IF(OR(AND(22500&lt;R1415,R1415&lt;25001),AND(50000&lt;R1415,R1415&lt;53501),AND(70000&lt;R1415,R1415&lt;72501)),$F1415,IF(OR(AND(25001&lt;R1415,R1415&lt;27501),AND(53500&lt;R1415,R1415&lt;57001),AND(72500&lt;R1415,R1415&lt;75001)),$G1415,IF(OR(AND(27500&lt;R1415,R1415&lt;30001),AND(57000&lt;R1415,R1415&lt;60001),AND(75000&lt;R1415,R1415&lt;77500)),$H1415,VLOOKUP(R1415,BDins,6,FALSE)))))</f>
        <v>8</v>
      </c>
      <c r="S1417">
        <f>IF(S1419&gt;10000,HLOOKUP(S1419,$O1415:R1418,4,FALSE),IF(OR(AND(22500&lt;S1415,S1415&lt;25001),AND(50000&lt;S1415,S1415&lt;53501),AND(70000&lt;S1415,S1415&lt;72501)),$F1415,IF(OR(AND(25001&lt;S1415,S1415&lt;27501),AND(53500&lt;S1415,S1415&lt;57001),AND(72500&lt;S1415,S1415&lt;75001)),$G1415,IF(OR(AND(27500&lt;S1415,S1415&lt;30001),AND(57000&lt;S1415,S1415&lt;60001),AND(75000&lt;S1415,S1415&lt;77500)),$H1415,VLOOKUP(S1415,BDins,6,FALSE)))))</f>
        <v>45</v>
      </c>
      <c r="T1417">
        <f>IF(T1419&gt;10000,HLOOKUP(T1419,$O1415:S1418,4,FALSE),IF(OR(AND(22500&lt;T1415,T1415&lt;25001),AND(50000&lt;T1415,T1415&lt;53501),AND(70000&lt;T1415,T1415&lt;72501)),$F1415,IF(OR(AND(25001&lt;T1415,T1415&lt;27501),AND(53500&lt;T1415,T1415&lt;57001),AND(72500&lt;T1415,T1415&lt;75001)),$G1415,IF(OR(AND(27500&lt;T1415,T1415&lt;30001),AND(57000&lt;T1415,T1415&lt;60001),AND(75000&lt;T1415,T1415&lt;77500)),$H1415,VLOOKUP(T1415,BDins,6,FALSE)))))</f>
        <v>32.61</v>
      </c>
    </row>
    <row r="1418" spans="1:20" x14ac:dyDescent="0.2">
      <c r="O1418">
        <f t="shared" ref="O1418:T1418" si="204">IF($K1415&gt;0,ROUND(O1416*$E1415/100,DpCU),IF(O1419&gt;10000,ROUND(HLOOKUP(O1419,$O1415:$T1418,4,FALSE)/100*O1416,DpCU),IF(OR(O1415&lt;20001,O1415&gt;95000,AND(60000&lt;O1415,O1415&lt;70001)),ROUND(ROUND(O1416*JL/$C1415,DcCU)*O1417,DpCU),IF(OR(AND(20000&lt;O1415,O1415&lt;22501),AND(30000&lt;O1415,O1415&lt;50001),77500&lt;O1415),ROUND(O1417*O1416,DpCU),IF(OR(AND(22500&lt;O1415,O1415&lt;25001),AND(50000&lt;O1415,O1415&lt;53501),AND(70000&lt;O1415,O1415&lt;72501)),ROUND($F1415/100*O1416,DpCU),IF(OR(AND(25000&lt;O1415,O1415&lt;27501),AND(53500&lt;O1415,O1415&lt;57001),AND(72500&lt;O1415,O1415&lt;75001)),ROUND($G1415/100*O1416,DpCU),ROUND($H1415/100*O1416,DpCU)))))))</f>
        <v>13.32</v>
      </c>
      <c r="P1418">
        <f t="shared" si="204"/>
        <v>11.1</v>
      </c>
      <c r="Q1418">
        <f t="shared" si="204"/>
        <v>8.19</v>
      </c>
      <c r="R1418">
        <f t="shared" si="204"/>
        <v>0.8</v>
      </c>
      <c r="S1418">
        <f t="shared" si="204"/>
        <v>45</v>
      </c>
      <c r="T1418">
        <f t="shared" si="204"/>
        <v>1.63</v>
      </c>
    </row>
    <row r="1419" spans="1:20" x14ac:dyDescent="0.2">
      <c r="B1419" s="3" t="str">
        <f>A1415&amp;"r"</f>
        <v>10283r</v>
      </c>
    </row>
    <row r="1420" spans="1:20" x14ac:dyDescent="0.2">
      <c r="A1420">
        <v>10284</v>
      </c>
      <c r="B1420" s="3" t="s">
        <v>1380</v>
      </c>
      <c r="C1420" s="1">
        <f>ROUND(J1420*JL*Frto/8,4)</f>
        <v>15</v>
      </c>
      <c r="D1420" t="s">
        <v>7</v>
      </c>
      <c r="E1420">
        <f>SUM($O1423:$S1423)</f>
        <v>80.53</v>
      </c>
      <c r="F1420">
        <f>SUMIF($O1420:$S1420,"&lt;22501",$O1423:$S1423)</f>
        <v>20.619999999999997</v>
      </c>
      <c r="G1420">
        <f>SUMIFS($O1423:$S1423,$O1420:$S1420,"&gt;30000",$O1420:$S1420,"&lt;50001")</f>
        <v>59.5</v>
      </c>
      <c r="H1420">
        <f>SUMIFS($O1423:$S1423,$O1420:$S1420,"&gt;60000",$O1420:$S1420,"&lt;70001")</f>
        <v>0</v>
      </c>
      <c r="I1420">
        <v>5</v>
      </c>
      <c r="J1420">
        <v>15</v>
      </c>
      <c r="O1420">
        <v>10001</v>
      </c>
      <c r="P1420">
        <v>10002</v>
      </c>
      <c r="Q1420">
        <v>10003</v>
      </c>
      <c r="R1420">
        <v>30372</v>
      </c>
      <c r="S1420">
        <v>70001</v>
      </c>
    </row>
    <row r="1421" spans="1:20" x14ac:dyDescent="0.2">
      <c r="B1421" s="3" t="str">
        <f>A1420&amp;"C"</f>
        <v>10284C</v>
      </c>
      <c r="O1421">
        <v>0.1</v>
      </c>
      <c r="P1421">
        <v>1</v>
      </c>
      <c r="Q1421">
        <v>1</v>
      </c>
      <c r="R1421">
        <v>1</v>
      </c>
      <c r="S1421">
        <v>2</v>
      </c>
    </row>
    <row r="1422" spans="1:20" x14ac:dyDescent="0.2">
      <c r="O1422">
        <f>IF(O1424&gt;10000,HLOOKUP(O1424,N1420:$O1423,4,FALSE),IF(OR(AND(22500&lt;O1420,O1420&lt;25001),AND(50000&lt;O1420,O1420&lt;53501),AND(70000&lt;O1420,O1420&lt;72501)),$F1420,IF(OR(AND(25001&lt;O1420,O1420&lt;27501),AND(53500&lt;O1420,O1420&lt;57001),AND(72500&lt;O1420,O1420&lt;75001)),$G1420,IF(OR(AND(27500&lt;O1420,O1420&lt;30001),AND(57000&lt;O1420,O1420&lt;60001),AND(75000&lt;O1420,O1420&lt;77500)),$H1420,VLOOKUP(O1420,BDins,6,FALSE)))))</f>
        <v>24.97</v>
      </c>
      <c r="P1422">
        <f>IF(P1424&gt;10000,HLOOKUP(P1424,O1420:$O1423,4,FALSE),IF(OR(AND(22500&lt;P1420,P1420&lt;25001),AND(50000&lt;P1420,P1420&lt;53501),AND(70000&lt;P1420,P1420&lt;72501)),$F1420,IF(OR(AND(25001&lt;P1420,P1420&lt;27501),AND(53500&lt;P1420,P1420&lt;57001),AND(72500&lt;P1420,P1420&lt;75001)),$G1420,IF(OR(AND(27500&lt;P1420,P1420&lt;30001),AND(57000&lt;P1420,P1420&lt;60001),AND(75000&lt;P1420,P1420&lt;77500)),$H1420,VLOOKUP(P1420,BDins,6,FALSE)))))</f>
        <v>20.81</v>
      </c>
      <c r="Q1422">
        <f>IF(Q1424&gt;10000,HLOOKUP(Q1424,$O1420:P1423,4,FALSE),IF(OR(AND(22500&lt;Q1420,Q1420&lt;25001),AND(50000&lt;Q1420,Q1420&lt;53501),AND(70000&lt;Q1420,Q1420&lt;72501)),$F1420,IF(OR(AND(25001&lt;Q1420,Q1420&lt;27501),AND(53500&lt;Q1420,Q1420&lt;57001),AND(72500&lt;Q1420,Q1420&lt;75001)),$G1420,IF(OR(AND(27500&lt;Q1420,Q1420&lt;30001),AND(57000&lt;Q1420,Q1420&lt;60001),AND(75000&lt;Q1420,Q1420&lt;77500)),$H1420,VLOOKUP(Q1420,BDins,6,FALSE)))))</f>
        <v>15.36</v>
      </c>
      <c r="R1422">
        <f>IF(R1424&gt;10000,HLOOKUP(R1424,$O1420:Q1423,4,FALSE),IF(OR(AND(22500&lt;R1420,R1420&lt;25001),AND(50000&lt;R1420,R1420&lt;53501),AND(70000&lt;R1420,R1420&lt;72501)),$F1420,IF(OR(AND(25001&lt;R1420,R1420&lt;27501),AND(53500&lt;R1420,R1420&lt;57001),AND(72500&lt;R1420,R1420&lt;75001)),$G1420,IF(OR(AND(27500&lt;R1420,R1420&lt;30001),AND(57000&lt;R1420,R1420&lt;60001),AND(75000&lt;R1420,R1420&lt;77500)),$H1420,VLOOKUP(R1420,BDins,6,FALSE)))))</f>
        <v>59.5</v>
      </c>
      <c r="S1422">
        <f>IF(S1424&gt;10000,HLOOKUP(S1424,$O1420:R1423,4,FALSE),IF(OR(AND(22500&lt;S1420,S1420&lt;25001),AND(50000&lt;S1420,S1420&lt;53501),AND(70000&lt;S1420,S1420&lt;72501)),$F1420,IF(OR(AND(25001&lt;S1420,S1420&lt;27501),AND(53500&lt;S1420,S1420&lt;57001),AND(72500&lt;S1420,S1420&lt;75001)),$G1420,IF(OR(AND(27500&lt;S1420,S1420&lt;30001),AND(57000&lt;S1420,S1420&lt;60001),AND(75000&lt;S1420,S1420&lt;77500)),$H1420,VLOOKUP(S1420,BDins,6,FALSE)))))</f>
        <v>20.619999999999997</v>
      </c>
    </row>
    <row r="1423" spans="1:20" x14ac:dyDescent="0.2">
      <c r="O1423">
        <f>IF($K1420&gt;0,ROUND(O1421*$E1420/100,DpCU),IF(O1424&gt;10000,ROUND(HLOOKUP(O1424,$O1420:$S1423,4,FALSE)/100*O1421,DpCU),IF(OR(O1420&lt;20001,O1420&gt;95000,AND(60000&lt;O1420,O1420&lt;70001)),ROUND(ROUND(O1421*JL/$C1420,DcCU)*O1422,DpCU),IF(OR(AND(20000&lt;O1420,O1420&lt;22501),AND(30000&lt;O1420,O1420&lt;50001),77500&lt;O1420),ROUND(O1422*O1421,DpCU),IF(OR(AND(22500&lt;O1420,O1420&lt;25001),AND(50000&lt;O1420,O1420&lt;53501),AND(70000&lt;O1420,O1420&lt;72501)),ROUND($F1420/100*O1421,DpCU),IF(OR(AND(25000&lt;O1420,O1420&lt;27501),AND(53500&lt;O1420,O1420&lt;57001),AND(72500&lt;O1420,O1420&lt;75001)),ROUND($G1420/100*O1421,DpCU),ROUND($H1420/100*O1421,DpCU)))))))</f>
        <v>1.33</v>
      </c>
      <c r="P1423">
        <f>IF($K1420&gt;0,ROUND(P1421*$E1420/100,DpCU),IF(P1424&gt;10000,ROUND(HLOOKUP(P1424,$O1420:$S1423,4,FALSE)/100*P1421,DpCU),IF(OR(P1420&lt;20001,P1420&gt;95000,AND(60000&lt;P1420,P1420&lt;70001)),ROUND(ROUND(P1421*JL/$C1420,DcCU)*P1422,DpCU),IF(OR(AND(20000&lt;P1420,P1420&lt;22501),AND(30000&lt;P1420,P1420&lt;50001),77500&lt;P1420),ROUND(P1422*P1421,DpCU),IF(OR(AND(22500&lt;P1420,P1420&lt;25001),AND(50000&lt;P1420,P1420&lt;53501),AND(70000&lt;P1420,P1420&lt;72501)),ROUND($F1420/100*P1421,DpCU),IF(OR(AND(25000&lt;P1420,P1420&lt;27501),AND(53500&lt;P1420,P1420&lt;57001),AND(72500&lt;P1420,P1420&lt;75001)),ROUND($G1420/100*P1421,DpCU),ROUND($H1420/100*P1421,DpCU)))))))</f>
        <v>11.1</v>
      </c>
      <c r="Q1423">
        <f>IF($K1420&gt;0,ROUND(Q1421*$E1420/100,DpCU),IF(Q1424&gt;10000,ROUND(HLOOKUP(Q1424,$O1420:$S1423,4,FALSE)/100*Q1421,DpCU),IF(OR(Q1420&lt;20001,Q1420&gt;95000,AND(60000&lt;Q1420,Q1420&lt;70001)),ROUND(ROUND(Q1421*JL/$C1420,DcCU)*Q1422,DpCU),IF(OR(AND(20000&lt;Q1420,Q1420&lt;22501),AND(30000&lt;Q1420,Q1420&lt;50001),77500&lt;Q1420),ROUND(Q1422*Q1421,DpCU),IF(OR(AND(22500&lt;Q1420,Q1420&lt;25001),AND(50000&lt;Q1420,Q1420&lt;53501),AND(70000&lt;Q1420,Q1420&lt;72501)),ROUND($F1420/100*Q1421,DpCU),IF(OR(AND(25000&lt;Q1420,Q1420&lt;27501),AND(53500&lt;Q1420,Q1420&lt;57001),AND(72500&lt;Q1420,Q1420&lt;75001)),ROUND($G1420/100*Q1421,DpCU),ROUND($H1420/100*Q1421,DpCU)))))))</f>
        <v>8.19</v>
      </c>
      <c r="R1423">
        <f>IF($K1420&gt;0,ROUND(R1421*$E1420/100,DpCU),IF(R1424&gt;10000,ROUND(HLOOKUP(R1424,$O1420:$S1423,4,FALSE)/100*R1421,DpCU),IF(OR(R1420&lt;20001,R1420&gt;95000,AND(60000&lt;R1420,R1420&lt;70001)),ROUND(ROUND(R1421*JL/$C1420,DcCU)*R1422,DpCU),IF(OR(AND(20000&lt;R1420,R1420&lt;22501),AND(30000&lt;R1420,R1420&lt;50001),77500&lt;R1420),ROUND(R1422*R1421,DpCU),IF(OR(AND(22500&lt;R1420,R1420&lt;25001),AND(50000&lt;R1420,R1420&lt;53501),AND(70000&lt;R1420,R1420&lt;72501)),ROUND($F1420/100*R1421,DpCU),IF(OR(AND(25000&lt;R1420,R1420&lt;27501),AND(53500&lt;R1420,R1420&lt;57001),AND(72500&lt;R1420,R1420&lt;75001)),ROUND($G1420/100*R1421,DpCU),ROUND($H1420/100*R1421,DpCU)))))))</f>
        <v>59.5</v>
      </c>
      <c r="S1423">
        <f>IF($K1420&gt;0,ROUND(S1421*$E1420/100,DpCU),IF(S1424&gt;10000,ROUND(HLOOKUP(S1424,$O1420:$S1423,4,FALSE)/100*S1421,DpCU),IF(OR(S1420&lt;20001,S1420&gt;95000,AND(60000&lt;S1420,S1420&lt;70001)),ROUND(ROUND(S1421*JL/$C1420,DcCU)*S1422,DpCU),IF(OR(AND(20000&lt;S1420,S1420&lt;22501),AND(30000&lt;S1420,S1420&lt;50001),77500&lt;S1420),ROUND(S1422*S1421,DpCU),IF(OR(AND(22500&lt;S1420,S1420&lt;25001),AND(50000&lt;S1420,S1420&lt;53501),AND(70000&lt;S1420,S1420&lt;72501)),ROUND($F1420/100*S1421,DpCU),IF(OR(AND(25000&lt;S1420,S1420&lt;27501),AND(53500&lt;S1420,S1420&lt;57001),AND(72500&lt;S1420,S1420&lt;75001)),ROUND($G1420/100*S1421,DpCU),ROUND($H1420/100*S1421,DpCU)))))))</f>
        <v>0.41</v>
      </c>
    </row>
    <row r="1424" spans="1:20" x14ac:dyDescent="0.2">
      <c r="B1424" s="3" t="str">
        <f>A1420&amp;"r"</f>
        <v>10284r</v>
      </c>
    </row>
    <row r="1425" spans="1:41" x14ac:dyDescent="0.2">
      <c r="A1425">
        <v>10285</v>
      </c>
      <c r="B1425" s="3" t="s">
        <v>1386</v>
      </c>
      <c r="C1425" s="1">
        <f>ROUND(J1425*JL*Frto/8,4)</f>
        <v>0.35</v>
      </c>
      <c r="D1425" t="s">
        <v>1387</v>
      </c>
      <c r="E1425">
        <f>SUM($O1428:$AO1428)</f>
        <v>4402.18</v>
      </c>
      <c r="F1425">
        <f>SUMIF($O1425:$AO1425,"&lt;22501",$O1428:$AO1428)</f>
        <v>923.36</v>
      </c>
      <c r="G1425">
        <f>SUMIFS($O1428:$AO1428,$O1425:$AO1425,"&gt;30000",$O1425:$AO1425,"&lt;50001")</f>
        <v>3127.9</v>
      </c>
      <c r="H1425">
        <f>SUMIFS($O1428:$AO1428,$O1425:$AO1425,"&gt;60000",$O1425:$AO1425,"&lt;70001")</f>
        <v>0</v>
      </c>
      <c r="I1425">
        <v>27</v>
      </c>
      <c r="J1425">
        <v>0.35</v>
      </c>
      <c r="O1425">
        <v>10001</v>
      </c>
      <c r="P1425">
        <v>10002</v>
      </c>
      <c r="Q1425">
        <v>10008</v>
      </c>
      <c r="R1425">
        <v>30180</v>
      </c>
      <c r="S1425">
        <v>30373</v>
      </c>
      <c r="T1425">
        <v>30374</v>
      </c>
      <c r="U1425">
        <v>30375</v>
      </c>
      <c r="V1425">
        <v>30376</v>
      </c>
      <c r="W1425">
        <v>30377</v>
      </c>
      <c r="X1425">
        <v>30378</v>
      </c>
      <c r="Y1425">
        <v>30379</v>
      </c>
      <c r="Z1425">
        <v>30380</v>
      </c>
      <c r="AA1425">
        <v>30381</v>
      </c>
      <c r="AB1425">
        <v>30382</v>
      </c>
      <c r="AC1425">
        <v>30383</v>
      </c>
      <c r="AD1425">
        <v>30384</v>
      </c>
      <c r="AE1425">
        <v>30385</v>
      </c>
      <c r="AF1425">
        <v>30386</v>
      </c>
      <c r="AG1425">
        <v>30387</v>
      </c>
      <c r="AH1425">
        <v>30388</v>
      </c>
      <c r="AI1425">
        <v>30389</v>
      </c>
      <c r="AJ1425">
        <v>30390</v>
      </c>
      <c r="AK1425">
        <v>30391</v>
      </c>
      <c r="AL1425">
        <v>30392</v>
      </c>
      <c r="AM1425">
        <v>30393</v>
      </c>
      <c r="AN1425">
        <v>70001</v>
      </c>
      <c r="AO1425">
        <v>77512</v>
      </c>
    </row>
    <row r="1426" spans="1:41" x14ac:dyDescent="0.2">
      <c r="B1426" s="3" t="str">
        <f>A1425&amp;"C"</f>
        <v>10285C</v>
      </c>
      <c r="O1426">
        <v>0.1</v>
      </c>
      <c r="P1426">
        <v>1</v>
      </c>
      <c r="Q1426">
        <v>1</v>
      </c>
      <c r="R1426">
        <v>20</v>
      </c>
      <c r="S1426">
        <v>1</v>
      </c>
      <c r="T1426">
        <v>1</v>
      </c>
      <c r="U1426">
        <v>6</v>
      </c>
      <c r="V1426">
        <v>2</v>
      </c>
      <c r="W1426">
        <v>2</v>
      </c>
      <c r="X1426">
        <v>2</v>
      </c>
      <c r="Y1426">
        <v>2</v>
      </c>
      <c r="Z1426">
        <v>2</v>
      </c>
      <c r="AA1426">
        <v>4</v>
      </c>
      <c r="AB1426">
        <v>2</v>
      </c>
      <c r="AC1426">
        <v>4</v>
      </c>
      <c r="AD1426">
        <v>2</v>
      </c>
      <c r="AE1426">
        <v>2</v>
      </c>
      <c r="AF1426">
        <v>2</v>
      </c>
      <c r="AG1426">
        <v>6</v>
      </c>
      <c r="AH1426">
        <v>4</v>
      </c>
      <c r="AI1426">
        <v>2</v>
      </c>
      <c r="AJ1426">
        <v>2</v>
      </c>
      <c r="AK1426">
        <v>2</v>
      </c>
      <c r="AL1426">
        <v>2</v>
      </c>
      <c r="AM1426">
        <v>2</v>
      </c>
      <c r="AN1426">
        <v>20</v>
      </c>
      <c r="AO1426">
        <v>8.7499999999999994E-2</v>
      </c>
    </row>
    <row r="1427" spans="1:41" x14ac:dyDescent="0.2">
      <c r="O1427">
        <f>IF(O1429&gt;10000,HLOOKUP(O1429,N1425:$O1428,4,FALSE),IF(OR(AND(22500&lt;O1425,O1425&lt;25001),AND(50000&lt;O1425,O1425&lt;53501),AND(70000&lt;O1425,O1425&lt;72501)),$F1425,IF(OR(AND(25001&lt;O1425,O1425&lt;27501),AND(53500&lt;O1425,O1425&lt;57001),AND(72500&lt;O1425,O1425&lt;75001)),$G1425,IF(OR(AND(27500&lt;O1425,O1425&lt;30001),AND(57000&lt;O1425,O1425&lt;60001),AND(75000&lt;O1425,O1425&lt;77500)),$H1425,VLOOKUP(O1425,BDins,6,FALSE)))))</f>
        <v>24.97</v>
      </c>
      <c r="P1427">
        <f>IF(P1429&gt;10000,HLOOKUP(P1429,O1425:$O1428,4,FALSE),IF(OR(AND(22500&lt;P1425,P1425&lt;25001),AND(50000&lt;P1425,P1425&lt;53501),AND(70000&lt;P1425,P1425&lt;72501)),$F1425,IF(OR(AND(25001&lt;P1425,P1425&lt;27501),AND(53500&lt;P1425,P1425&lt;57001),AND(72500&lt;P1425,P1425&lt;75001)),$G1425,IF(OR(AND(27500&lt;P1425,P1425&lt;30001),AND(57000&lt;P1425,P1425&lt;60001),AND(75000&lt;P1425,P1425&lt;77500)),$H1425,VLOOKUP(P1425,BDins,6,FALSE)))))</f>
        <v>20.81</v>
      </c>
      <c r="Q1427">
        <f>IF(Q1429&gt;10000,HLOOKUP(Q1429,$O1425:P1428,4,FALSE),IF(OR(AND(22500&lt;Q1425,Q1425&lt;25001),AND(50000&lt;Q1425,Q1425&lt;53501),AND(70000&lt;Q1425,Q1425&lt;72501)),$F1425,IF(OR(AND(25001&lt;Q1425,Q1425&lt;27501),AND(53500&lt;Q1425,Q1425&lt;57001),AND(72500&lt;Q1425,Q1425&lt;75001)),$G1425,IF(OR(AND(27500&lt;Q1425,Q1425&lt;30001),AND(57000&lt;Q1425,Q1425&lt;60001),AND(75000&lt;Q1425,Q1425&lt;77500)),$H1425,VLOOKUP(Q1425,BDins,6,FALSE)))))</f>
        <v>17.09</v>
      </c>
      <c r="R1427">
        <f>IF(R1429&gt;10000,HLOOKUP(R1429,$O1425:Q1428,4,FALSE),IF(OR(AND(22500&lt;R1425,R1425&lt;25001),AND(50000&lt;R1425,R1425&lt;53501),AND(70000&lt;R1425,R1425&lt;72501)),$F1425,IF(OR(AND(25001&lt;R1425,R1425&lt;27501),AND(53500&lt;R1425,R1425&lt;57001),AND(72500&lt;R1425,R1425&lt;75001)),$G1425,IF(OR(AND(27500&lt;R1425,R1425&lt;30001),AND(57000&lt;R1425,R1425&lt;60001),AND(75000&lt;R1425,R1425&lt;77500)),$H1425,VLOOKUP(R1425,BDins,6,FALSE)))))</f>
        <v>3.25</v>
      </c>
      <c r="S1427">
        <f>IF(S1429&gt;10000,HLOOKUP(S1429,$O1425:R1428,4,FALSE),IF(OR(AND(22500&lt;S1425,S1425&lt;25001),AND(50000&lt;S1425,S1425&lt;53501),AND(70000&lt;S1425,S1425&lt;72501)),$F1425,IF(OR(AND(25001&lt;S1425,S1425&lt;27501),AND(53500&lt;S1425,S1425&lt;57001),AND(72500&lt;S1425,S1425&lt;75001)),$G1425,IF(OR(AND(27500&lt;S1425,S1425&lt;30001),AND(57000&lt;S1425,S1425&lt;60001),AND(75000&lt;S1425,S1425&lt;77500)),$H1425,VLOOKUP(S1425,BDins,6,FALSE)))))</f>
        <v>550</v>
      </c>
      <c r="T1427">
        <f>IF(T1429&gt;10000,HLOOKUP(T1429,$O1425:S1428,4,FALSE),IF(OR(AND(22500&lt;T1425,T1425&lt;25001),AND(50000&lt;T1425,T1425&lt;53501),AND(70000&lt;T1425,T1425&lt;72501)),$F1425,IF(OR(AND(25001&lt;T1425,T1425&lt;27501),AND(53500&lt;T1425,T1425&lt;57001),AND(72500&lt;T1425,T1425&lt;75001)),$G1425,IF(OR(AND(27500&lt;T1425,T1425&lt;30001),AND(57000&lt;T1425,T1425&lt;60001),AND(75000&lt;T1425,T1425&lt;77500)),$H1425,VLOOKUP(T1425,BDins,6,FALSE)))))</f>
        <v>47.5</v>
      </c>
      <c r="U1427">
        <f>IF(U1429&gt;10000,HLOOKUP(U1429,$O1425:T1428,4,FALSE),IF(OR(AND(22500&lt;U1425,U1425&lt;25001),AND(50000&lt;U1425,U1425&lt;53501),AND(70000&lt;U1425,U1425&lt;72501)),$F1425,IF(OR(AND(25001&lt;U1425,U1425&lt;27501),AND(53500&lt;U1425,U1425&lt;57001),AND(72500&lt;U1425,U1425&lt;75001)),$G1425,IF(OR(AND(27500&lt;U1425,U1425&lt;30001),AND(57000&lt;U1425,U1425&lt;60001),AND(75000&lt;U1425,U1425&lt;77500)),$H1425,VLOOKUP(U1425,BDins,6,FALSE)))))</f>
        <v>10.5</v>
      </c>
      <c r="V1427">
        <f>IF(V1429&gt;10000,HLOOKUP(V1429,$O1425:U1428,4,FALSE),IF(OR(AND(22500&lt;V1425,V1425&lt;25001),AND(50000&lt;V1425,V1425&lt;53501),AND(70000&lt;V1425,V1425&lt;72501)),$F1425,IF(OR(AND(25001&lt;V1425,V1425&lt;27501),AND(53500&lt;V1425,V1425&lt;57001),AND(72500&lt;V1425,V1425&lt;75001)),$G1425,IF(OR(AND(27500&lt;V1425,V1425&lt;30001),AND(57000&lt;V1425,V1425&lt;60001),AND(75000&lt;V1425,V1425&lt;77500)),$H1425,VLOOKUP(V1425,BDins,6,FALSE)))))</f>
        <v>15.3</v>
      </c>
      <c r="W1427">
        <f>IF(W1429&gt;10000,HLOOKUP(W1429,$O1425:V1428,4,FALSE),IF(OR(AND(22500&lt;W1425,W1425&lt;25001),AND(50000&lt;W1425,W1425&lt;53501),AND(70000&lt;W1425,W1425&lt;72501)),$F1425,IF(OR(AND(25001&lt;W1425,W1425&lt;27501),AND(53500&lt;W1425,W1425&lt;57001),AND(72500&lt;W1425,W1425&lt;75001)),$G1425,IF(OR(AND(27500&lt;W1425,W1425&lt;30001),AND(57000&lt;W1425,W1425&lt;60001),AND(75000&lt;W1425,W1425&lt;77500)),$H1425,VLOOKUP(W1425,BDins,6,FALSE)))))</f>
        <v>15.2</v>
      </c>
      <c r="X1427">
        <f>IF(X1429&gt;10000,HLOOKUP(X1429,$O1425:W1428,4,FALSE),IF(OR(AND(22500&lt;X1425,X1425&lt;25001),AND(50000&lt;X1425,X1425&lt;53501),AND(70000&lt;X1425,X1425&lt;72501)),$F1425,IF(OR(AND(25001&lt;X1425,X1425&lt;27501),AND(53500&lt;X1425,X1425&lt;57001),AND(72500&lt;X1425,X1425&lt;75001)),$G1425,IF(OR(AND(27500&lt;X1425,X1425&lt;30001),AND(57000&lt;X1425,X1425&lt;60001),AND(75000&lt;X1425,X1425&lt;77500)),$H1425,VLOOKUP(X1425,BDins,6,FALSE)))))</f>
        <v>19.899999999999999</v>
      </c>
      <c r="Y1427">
        <f>IF(Y1429&gt;10000,HLOOKUP(Y1429,$O1425:X1428,4,FALSE),IF(OR(AND(22500&lt;Y1425,Y1425&lt;25001),AND(50000&lt;Y1425,Y1425&lt;53501),AND(70000&lt;Y1425,Y1425&lt;72501)),$F1425,IF(OR(AND(25001&lt;Y1425,Y1425&lt;27501),AND(53500&lt;Y1425,Y1425&lt;57001),AND(72500&lt;Y1425,Y1425&lt;75001)),$G1425,IF(OR(AND(27500&lt;Y1425,Y1425&lt;30001),AND(57000&lt;Y1425,Y1425&lt;60001),AND(75000&lt;Y1425,Y1425&lt;77500)),$H1425,VLOOKUP(Y1425,BDins,6,FALSE)))))</f>
        <v>9.5</v>
      </c>
      <c r="Z1427">
        <f>IF(Z1429&gt;10000,HLOOKUP(Z1429,$O1425:Y1428,4,FALSE),IF(OR(AND(22500&lt;Z1425,Z1425&lt;25001),AND(50000&lt;Z1425,Z1425&lt;53501),AND(70000&lt;Z1425,Z1425&lt;72501)),$F1425,IF(OR(AND(25001&lt;Z1425,Z1425&lt;27501),AND(53500&lt;Z1425,Z1425&lt;57001),AND(72500&lt;Z1425,Z1425&lt;75001)),$G1425,IF(OR(AND(27500&lt;Z1425,Z1425&lt;30001),AND(57000&lt;Z1425,Z1425&lt;60001),AND(75000&lt;Z1425,Z1425&lt;77500)),$H1425,VLOOKUP(Z1425,BDins,6,FALSE)))))</f>
        <v>14.7</v>
      </c>
      <c r="AA1427">
        <f>IF(AA1429&gt;10000,HLOOKUP(AA1429,$O1425:Z1428,4,FALSE),IF(OR(AND(22500&lt;AA1425,AA1425&lt;25001),AND(50000&lt;AA1425,AA1425&lt;53501),AND(70000&lt;AA1425,AA1425&lt;72501)),$F1425,IF(OR(AND(25001&lt;AA1425,AA1425&lt;27501),AND(53500&lt;AA1425,AA1425&lt;57001),AND(72500&lt;AA1425,AA1425&lt;75001)),$G1425,IF(OR(AND(27500&lt;AA1425,AA1425&lt;30001),AND(57000&lt;AA1425,AA1425&lt;60001),AND(75000&lt;AA1425,AA1425&lt;77500)),$H1425,VLOOKUP(AA1425,BDins,6,FALSE)))))</f>
        <v>12.9</v>
      </c>
      <c r="AB1427">
        <f>IF(AB1429&gt;10000,HLOOKUP(AB1429,$O1425:AA1428,4,FALSE),IF(OR(AND(22500&lt;AB1425,AB1425&lt;25001),AND(50000&lt;AB1425,AB1425&lt;53501),AND(70000&lt;AB1425,AB1425&lt;72501)),$F1425,IF(OR(AND(25001&lt;AB1425,AB1425&lt;27501),AND(53500&lt;AB1425,AB1425&lt;57001),AND(72500&lt;AB1425,AB1425&lt;75001)),$G1425,IF(OR(AND(27500&lt;AB1425,AB1425&lt;30001),AND(57000&lt;AB1425,AB1425&lt;60001),AND(75000&lt;AB1425,AB1425&lt;77500)),$H1425,VLOOKUP(AB1425,BDins,6,FALSE)))))</f>
        <v>15.3</v>
      </c>
      <c r="AC1427">
        <f>IF(AC1429&gt;10000,HLOOKUP(AC1429,$O1425:AB1428,4,FALSE),IF(OR(AND(22500&lt;AC1425,AC1425&lt;25001),AND(50000&lt;AC1425,AC1425&lt;53501),AND(70000&lt;AC1425,AC1425&lt;72501)),$F1425,IF(OR(AND(25001&lt;AC1425,AC1425&lt;27501),AND(53500&lt;AC1425,AC1425&lt;57001),AND(72500&lt;AC1425,AC1425&lt;75001)),$G1425,IF(OR(AND(27500&lt;AC1425,AC1425&lt;30001),AND(57000&lt;AC1425,AC1425&lt;60001),AND(75000&lt;AC1425,AC1425&lt;77500)),$H1425,VLOOKUP(AC1425,BDins,6,FALSE)))))</f>
        <v>7.5</v>
      </c>
      <c r="AD1427">
        <f>IF(AD1429&gt;10000,HLOOKUP(AD1429,$O1425:AC1428,4,FALSE),IF(OR(AND(22500&lt;AD1425,AD1425&lt;25001),AND(50000&lt;AD1425,AD1425&lt;53501),AND(70000&lt;AD1425,AD1425&lt;72501)),$F1425,IF(OR(AND(25001&lt;AD1425,AD1425&lt;27501),AND(53500&lt;AD1425,AD1425&lt;57001),AND(72500&lt;AD1425,AD1425&lt;75001)),$G1425,IF(OR(AND(27500&lt;AD1425,AD1425&lt;30001),AND(57000&lt;AD1425,AD1425&lt;60001),AND(75000&lt;AD1425,AD1425&lt;77500)),$H1425,VLOOKUP(AD1425,BDins,6,FALSE)))))</f>
        <v>15</v>
      </c>
      <c r="AE1427">
        <f>IF(AE1429&gt;10000,HLOOKUP(AE1429,$O1425:AD1428,4,FALSE),IF(OR(AND(22500&lt;AE1425,AE1425&lt;25001),AND(50000&lt;AE1425,AE1425&lt;53501),AND(70000&lt;AE1425,AE1425&lt;72501)),$F1425,IF(OR(AND(25001&lt;AE1425,AE1425&lt;27501),AND(53500&lt;AE1425,AE1425&lt;57001),AND(72500&lt;AE1425,AE1425&lt;75001)),$G1425,IF(OR(AND(27500&lt;AE1425,AE1425&lt;30001),AND(57000&lt;AE1425,AE1425&lt;60001),AND(75000&lt;AE1425,AE1425&lt;77500)),$H1425,VLOOKUP(AE1425,BDins,6,FALSE)))))</f>
        <v>14.5</v>
      </c>
      <c r="AF1427">
        <f>IF(AF1429&gt;10000,HLOOKUP(AF1429,$O1425:AE1428,4,FALSE),IF(OR(AND(22500&lt;AF1425,AF1425&lt;25001),AND(50000&lt;AF1425,AF1425&lt;53501),AND(70000&lt;AF1425,AF1425&lt;72501)),$F1425,IF(OR(AND(25001&lt;AF1425,AF1425&lt;27501),AND(53500&lt;AF1425,AF1425&lt;57001),AND(72500&lt;AF1425,AF1425&lt;75001)),$G1425,IF(OR(AND(27500&lt;AF1425,AF1425&lt;30001),AND(57000&lt;AF1425,AF1425&lt;60001),AND(75000&lt;AF1425,AF1425&lt;77500)),$H1425,VLOOKUP(AF1425,BDins,6,FALSE)))))</f>
        <v>135</v>
      </c>
      <c r="AG1427">
        <f>IF(AG1429&gt;10000,HLOOKUP(AG1429,$O1425:AF1428,4,FALSE),IF(OR(AND(22500&lt;AG1425,AG1425&lt;25001),AND(50000&lt;AG1425,AG1425&lt;53501),AND(70000&lt;AG1425,AG1425&lt;72501)),$F1425,IF(OR(AND(25001&lt;AG1425,AG1425&lt;27501),AND(53500&lt;AG1425,AG1425&lt;57001),AND(72500&lt;AG1425,AG1425&lt;75001)),$G1425,IF(OR(AND(27500&lt;AG1425,AG1425&lt;30001),AND(57000&lt;AG1425,AG1425&lt;60001),AND(75000&lt;AG1425,AG1425&lt;77500)),$H1425,VLOOKUP(AG1425,BDins,6,FALSE)))))</f>
        <v>16.5</v>
      </c>
      <c r="AH1427">
        <f>IF(AH1429&gt;10000,HLOOKUP(AH1429,$O1425:AG1428,4,FALSE),IF(OR(AND(22500&lt;AH1425,AH1425&lt;25001),AND(50000&lt;AH1425,AH1425&lt;53501),AND(70000&lt;AH1425,AH1425&lt;72501)),$F1425,IF(OR(AND(25001&lt;AH1425,AH1425&lt;27501),AND(53500&lt;AH1425,AH1425&lt;57001),AND(72500&lt;AH1425,AH1425&lt;75001)),$G1425,IF(OR(AND(27500&lt;AH1425,AH1425&lt;30001),AND(57000&lt;AH1425,AH1425&lt;60001),AND(75000&lt;AH1425,AH1425&lt;77500)),$H1425,VLOOKUP(AH1425,BDins,6,FALSE)))))</f>
        <v>6.5</v>
      </c>
      <c r="AI1427">
        <f>IF(AI1429&gt;10000,HLOOKUP(AI1429,$O1425:AH1428,4,FALSE),IF(OR(AND(22500&lt;AI1425,AI1425&lt;25001),AND(50000&lt;AI1425,AI1425&lt;53501),AND(70000&lt;AI1425,AI1425&lt;72501)),$F1425,IF(OR(AND(25001&lt;AI1425,AI1425&lt;27501),AND(53500&lt;AI1425,AI1425&lt;57001),AND(72500&lt;AI1425,AI1425&lt;75001)),$G1425,IF(OR(AND(27500&lt;AI1425,AI1425&lt;30001),AND(57000&lt;AI1425,AI1425&lt;60001),AND(75000&lt;AI1425,AI1425&lt;77500)),$H1425,VLOOKUP(AI1425,BDins,6,FALSE)))))</f>
        <v>3.5</v>
      </c>
      <c r="AJ1427">
        <f>IF(AJ1429&gt;10000,HLOOKUP(AJ1429,$O1425:AI1428,4,FALSE),IF(OR(AND(22500&lt;AJ1425,AJ1425&lt;25001),AND(50000&lt;AJ1425,AJ1425&lt;53501),AND(70000&lt;AJ1425,AJ1425&lt;72501)),$F1425,IF(OR(AND(25001&lt;AJ1425,AJ1425&lt;27501),AND(53500&lt;AJ1425,AJ1425&lt;57001),AND(72500&lt;AJ1425,AJ1425&lt;75001)),$G1425,IF(OR(AND(27500&lt;AJ1425,AJ1425&lt;30001),AND(57000&lt;AJ1425,AJ1425&lt;60001),AND(75000&lt;AJ1425,AJ1425&lt;77500)),$H1425,VLOOKUP(AJ1425,BDins,6,FALSE)))))</f>
        <v>199</v>
      </c>
      <c r="AK1427">
        <f>IF(AK1429&gt;10000,HLOOKUP(AK1429,$O1425:AJ1428,4,FALSE),IF(OR(AND(22500&lt;AK1425,AK1425&lt;25001),AND(50000&lt;AK1425,AK1425&lt;53501),AND(70000&lt;AK1425,AK1425&lt;72501)),$F1425,IF(OR(AND(25001&lt;AK1425,AK1425&lt;27501),AND(53500&lt;AK1425,AK1425&lt;57001),AND(72500&lt;AK1425,AK1425&lt;75001)),$G1425,IF(OR(AND(27500&lt;AK1425,AK1425&lt;30001),AND(57000&lt;AK1425,AK1425&lt;60001),AND(75000&lt;AK1425,AK1425&lt;77500)),$H1425,VLOOKUP(AK1425,BDins,6,FALSE)))))</f>
        <v>225</v>
      </c>
      <c r="AL1427">
        <f>IF(AL1429&gt;10000,HLOOKUP(AL1429,$O1425:AK1428,4,FALSE),IF(OR(AND(22500&lt;AL1425,AL1425&lt;25001),AND(50000&lt;AL1425,AL1425&lt;53501),AND(70000&lt;AL1425,AL1425&lt;72501)),$F1425,IF(OR(AND(25001&lt;AL1425,AL1425&lt;27501),AND(53500&lt;AL1425,AL1425&lt;57001),AND(72500&lt;AL1425,AL1425&lt;75001)),$G1425,IF(OR(AND(27500&lt;AL1425,AL1425&lt;30001),AND(57000&lt;AL1425,AL1425&lt;60001),AND(75000&lt;AL1425,AL1425&lt;77500)),$H1425,VLOOKUP(AL1425,BDins,6,FALSE)))))</f>
        <v>196</v>
      </c>
      <c r="AM1427">
        <f>IF(AM1429&gt;10000,HLOOKUP(AM1429,$O1425:AL1428,4,FALSE),IF(OR(AND(22500&lt;AM1425,AM1425&lt;25001),AND(50000&lt;AM1425,AM1425&lt;53501),AND(70000&lt;AM1425,AM1425&lt;72501)),$F1425,IF(OR(AND(25001&lt;AM1425,AM1425&lt;27501),AND(53500&lt;AM1425,AM1425&lt;57001),AND(72500&lt;AM1425,AM1425&lt;75001)),$G1425,IF(OR(AND(27500&lt;AM1425,AM1425&lt;30001),AND(57000&lt;AM1425,AM1425&lt;60001),AND(75000&lt;AM1425,AM1425&lt;77500)),$H1425,VLOOKUP(AM1425,BDins,6,FALSE)))))</f>
        <v>220</v>
      </c>
      <c r="AN1427">
        <f>IF(AN1429&gt;10000,HLOOKUP(AN1429,$O1425:AM1428,4,FALSE),IF(OR(AND(22500&lt;AN1425,AN1425&lt;25001),AND(50000&lt;AN1425,AN1425&lt;53501),AND(70000&lt;AN1425,AN1425&lt;72501)),$F1425,IF(OR(AND(25001&lt;AN1425,AN1425&lt;27501),AND(53500&lt;AN1425,AN1425&lt;57001),AND(72500&lt;AN1425,AN1425&lt;75001)),$G1425,IF(OR(AND(27500&lt;AN1425,AN1425&lt;30001),AND(57000&lt;AN1425,AN1425&lt;60001),AND(75000&lt;AN1425,AN1425&lt;77500)),$H1425,VLOOKUP(AN1425,BDins,6,FALSE)))))</f>
        <v>923.36</v>
      </c>
      <c r="AO1427">
        <f>IF(AO1429&gt;10000,HLOOKUP(AO1429,$O1425:AN1428,4,FALSE),IF(OR(AND(22500&lt;AO1425,AO1425&lt;25001),AND(50000&lt;AO1425,AO1425&lt;53501),AND(70000&lt;AO1425,AO1425&lt;72501)),$F1425,IF(OR(AND(25001&lt;AO1425,AO1425&lt;27501),AND(53500&lt;AO1425,AO1425&lt;57001),AND(72500&lt;AO1425,AO1425&lt;75001)),$G1425,IF(OR(AND(27500&lt;AO1425,AO1425&lt;30001),AND(57000&lt;AO1425,AO1425&lt;60001),AND(75000&lt;AO1425,AO1425&lt;77500)),$H1425,VLOOKUP(AO1425,BDins,6,FALSE)))))</f>
        <v>1900</v>
      </c>
    </row>
    <row r="1428" spans="1:41" x14ac:dyDescent="0.2">
      <c r="O1428">
        <f t="shared" ref="O1428:AO1428" si="205">IF($K1425&gt;0,ROUND(O1426*$E1425/100,DpCU),IF(O1429&gt;10000,ROUND(HLOOKUP(O1429,$O1425:$AO1428,4,FALSE)/100*O1426,DpCU),IF(OR(O1425&lt;20001,O1425&gt;95000,AND(60000&lt;O1425,O1425&lt;70001)),ROUND(ROUND(O1426*JL/$C1425,DcCU)*O1427,DpCU),IF(OR(AND(20000&lt;O1425,O1425&lt;22501),AND(30000&lt;O1425,O1425&lt;50001),77500&lt;O1425),ROUND(O1427*O1426,DpCU),IF(OR(AND(22500&lt;O1425,O1425&lt;25001),AND(50000&lt;O1425,O1425&lt;53501),AND(70000&lt;O1425,O1425&lt;72501)),ROUND($F1425/100*O1426,DpCU),IF(OR(AND(25000&lt;O1425,O1425&lt;27501),AND(53500&lt;O1425,O1425&lt;57001),AND(72500&lt;O1425,O1425&lt;75001)),ROUND($G1425/100*O1426,DpCU),ROUND($H1425/100*O1426,DpCU)))))))</f>
        <v>57.07</v>
      </c>
      <c r="P1428">
        <f t="shared" si="205"/>
        <v>475.66</v>
      </c>
      <c r="Q1428">
        <f t="shared" si="205"/>
        <v>390.63</v>
      </c>
      <c r="R1428">
        <f t="shared" si="205"/>
        <v>65</v>
      </c>
      <c r="S1428">
        <f t="shared" si="205"/>
        <v>550</v>
      </c>
      <c r="T1428">
        <f t="shared" si="205"/>
        <v>47.5</v>
      </c>
      <c r="U1428">
        <f t="shared" si="205"/>
        <v>63</v>
      </c>
      <c r="V1428">
        <f t="shared" si="205"/>
        <v>30.6</v>
      </c>
      <c r="W1428">
        <f t="shared" si="205"/>
        <v>30.4</v>
      </c>
      <c r="X1428">
        <f t="shared" si="205"/>
        <v>39.799999999999997</v>
      </c>
      <c r="Y1428">
        <f t="shared" si="205"/>
        <v>19</v>
      </c>
      <c r="Z1428">
        <f t="shared" si="205"/>
        <v>29.4</v>
      </c>
      <c r="AA1428">
        <f t="shared" si="205"/>
        <v>51.6</v>
      </c>
      <c r="AB1428">
        <f t="shared" si="205"/>
        <v>30.6</v>
      </c>
      <c r="AC1428">
        <f t="shared" si="205"/>
        <v>30</v>
      </c>
      <c r="AD1428">
        <f t="shared" si="205"/>
        <v>30</v>
      </c>
      <c r="AE1428">
        <f t="shared" si="205"/>
        <v>29</v>
      </c>
      <c r="AF1428">
        <f t="shared" si="205"/>
        <v>270</v>
      </c>
      <c r="AG1428">
        <f t="shared" si="205"/>
        <v>99</v>
      </c>
      <c r="AH1428">
        <f t="shared" si="205"/>
        <v>26</v>
      </c>
      <c r="AI1428">
        <f t="shared" si="205"/>
        <v>7</v>
      </c>
      <c r="AJ1428">
        <f t="shared" si="205"/>
        <v>398</v>
      </c>
      <c r="AK1428">
        <f t="shared" si="205"/>
        <v>450</v>
      </c>
      <c r="AL1428">
        <f t="shared" si="205"/>
        <v>392</v>
      </c>
      <c r="AM1428">
        <f t="shared" si="205"/>
        <v>440</v>
      </c>
      <c r="AN1428">
        <f t="shared" si="205"/>
        <v>184.67</v>
      </c>
      <c r="AO1428">
        <f t="shared" si="205"/>
        <v>166.25</v>
      </c>
    </row>
    <row r="1429" spans="1:41" x14ac:dyDescent="0.2">
      <c r="B1429" s="3" t="str">
        <f>A1425&amp;"r"</f>
        <v>10285r</v>
      </c>
    </row>
    <row r="1430" spans="1:41" x14ac:dyDescent="0.2">
      <c r="A1430">
        <v>10286</v>
      </c>
      <c r="B1430" s="3" t="s">
        <v>1413</v>
      </c>
      <c r="C1430" s="1">
        <f>ROUND(J1430*JL*Frto/8,4)</f>
        <v>1</v>
      </c>
      <c r="D1430" t="s">
        <v>1387</v>
      </c>
      <c r="E1430">
        <f>SUM($O1433:$AG1433)</f>
        <v>2072.94</v>
      </c>
      <c r="F1430">
        <f>SUMIF($O1430:$AG1430,"&lt;22501",$O1433:$AG1433)</f>
        <v>323.17999999999995</v>
      </c>
      <c r="G1430">
        <f>SUMIFS($O1433:$AG1433,$O1430:$AG1430,"&gt;30000",$O1430:$AG1430,"&lt;50001")</f>
        <v>1358.6</v>
      </c>
      <c r="H1430">
        <f>SUMIFS($O1433:$AG1433,$O1430:$AG1430,"&gt;60000",$O1430:$AG1430,"&lt;70001")</f>
        <v>0</v>
      </c>
      <c r="I1430">
        <v>19</v>
      </c>
      <c r="J1430">
        <v>1</v>
      </c>
      <c r="O1430">
        <v>10001</v>
      </c>
      <c r="P1430">
        <v>10002</v>
      </c>
      <c r="Q1430">
        <v>10008</v>
      </c>
      <c r="R1430">
        <v>30374</v>
      </c>
      <c r="S1430">
        <v>30394</v>
      </c>
      <c r="T1430">
        <v>30395</v>
      </c>
      <c r="U1430">
        <v>30396</v>
      </c>
      <c r="V1430">
        <v>30397</v>
      </c>
      <c r="W1430">
        <v>30398</v>
      </c>
      <c r="X1430">
        <v>30399</v>
      </c>
      <c r="Y1430">
        <v>30400</v>
      </c>
      <c r="Z1430">
        <v>30401</v>
      </c>
      <c r="AA1430">
        <v>30402</v>
      </c>
      <c r="AB1430">
        <v>30403</v>
      </c>
      <c r="AC1430">
        <v>30404</v>
      </c>
      <c r="AD1430">
        <v>30405</v>
      </c>
      <c r="AE1430">
        <v>30406</v>
      </c>
      <c r="AF1430">
        <v>70001</v>
      </c>
      <c r="AG1430">
        <v>77513</v>
      </c>
    </row>
    <row r="1431" spans="1:41" x14ac:dyDescent="0.2">
      <c r="B1431" s="3" t="str">
        <f>A1430&amp;"C"</f>
        <v>10286C</v>
      </c>
      <c r="O1431">
        <v>0.1</v>
      </c>
      <c r="P1431">
        <v>1</v>
      </c>
      <c r="Q1431">
        <v>1</v>
      </c>
      <c r="R1431">
        <v>2</v>
      </c>
      <c r="S1431">
        <v>1</v>
      </c>
      <c r="T1431">
        <v>3</v>
      </c>
      <c r="U1431">
        <v>1</v>
      </c>
      <c r="V1431">
        <v>3</v>
      </c>
      <c r="W1431">
        <v>1</v>
      </c>
      <c r="X1431">
        <v>2</v>
      </c>
      <c r="Y1431">
        <v>2</v>
      </c>
      <c r="Z1431">
        <v>2</v>
      </c>
      <c r="AA1431">
        <v>1</v>
      </c>
      <c r="AB1431">
        <v>3</v>
      </c>
      <c r="AC1431">
        <v>3</v>
      </c>
      <c r="AD1431">
        <v>2</v>
      </c>
      <c r="AE1431">
        <v>2</v>
      </c>
      <c r="AF1431">
        <v>5</v>
      </c>
      <c r="AG1431">
        <v>0.25</v>
      </c>
    </row>
    <row r="1432" spans="1:41" x14ac:dyDescent="0.2">
      <c r="O1432">
        <f>IF(O1434&gt;10000,HLOOKUP(O1434,N1430:$O1433,4,FALSE),IF(OR(AND(22500&lt;O1430,O1430&lt;25001),AND(50000&lt;O1430,O1430&lt;53501),AND(70000&lt;O1430,O1430&lt;72501)),$F1430,IF(OR(AND(25001&lt;O1430,O1430&lt;27501),AND(53500&lt;O1430,O1430&lt;57001),AND(72500&lt;O1430,O1430&lt;75001)),$G1430,IF(OR(AND(27500&lt;O1430,O1430&lt;30001),AND(57000&lt;O1430,O1430&lt;60001),AND(75000&lt;O1430,O1430&lt;77500)),$H1430,VLOOKUP(O1430,BDins,6,FALSE)))))</f>
        <v>24.97</v>
      </c>
      <c r="P1432">
        <f>IF(P1434&gt;10000,HLOOKUP(P1434,O1430:$O1433,4,FALSE),IF(OR(AND(22500&lt;P1430,P1430&lt;25001),AND(50000&lt;P1430,P1430&lt;53501),AND(70000&lt;P1430,P1430&lt;72501)),$F1430,IF(OR(AND(25001&lt;P1430,P1430&lt;27501),AND(53500&lt;P1430,P1430&lt;57001),AND(72500&lt;P1430,P1430&lt;75001)),$G1430,IF(OR(AND(27500&lt;P1430,P1430&lt;30001),AND(57000&lt;P1430,P1430&lt;60001),AND(75000&lt;P1430,P1430&lt;77500)),$H1430,VLOOKUP(P1430,BDins,6,FALSE)))))</f>
        <v>20.81</v>
      </c>
      <c r="Q1432">
        <f>IF(Q1434&gt;10000,HLOOKUP(Q1434,$O1430:P1433,4,FALSE),IF(OR(AND(22500&lt;Q1430,Q1430&lt;25001),AND(50000&lt;Q1430,Q1430&lt;53501),AND(70000&lt;Q1430,Q1430&lt;72501)),$F1430,IF(OR(AND(25001&lt;Q1430,Q1430&lt;27501),AND(53500&lt;Q1430,Q1430&lt;57001),AND(72500&lt;Q1430,Q1430&lt;75001)),$G1430,IF(OR(AND(27500&lt;Q1430,Q1430&lt;30001),AND(57000&lt;Q1430,Q1430&lt;60001),AND(75000&lt;Q1430,Q1430&lt;77500)),$H1430,VLOOKUP(Q1430,BDins,6,FALSE)))))</f>
        <v>17.09</v>
      </c>
      <c r="R1432">
        <f>IF(R1434&gt;10000,HLOOKUP(R1434,$O1430:Q1433,4,FALSE),IF(OR(AND(22500&lt;R1430,R1430&lt;25001),AND(50000&lt;R1430,R1430&lt;53501),AND(70000&lt;R1430,R1430&lt;72501)),$F1430,IF(OR(AND(25001&lt;R1430,R1430&lt;27501),AND(53500&lt;R1430,R1430&lt;57001),AND(72500&lt;R1430,R1430&lt;75001)),$G1430,IF(OR(AND(27500&lt;R1430,R1430&lt;30001),AND(57000&lt;R1430,R1430&lt;60001),AND(75000&lt;R1430,R1430&lt;77500)),$H1430,VLOOKUP(R1430,BDins,6,FALSE)))))</f>
        <v>47.5</v>
      </c>
      <c r="S1432">
        <f>IF(S1434&gt;10000,HLOOKUP(S1434,$O1430:R1433,4,FALSE),IF(OR(AND(22500&lt;S1430,S1430&lt;25001),AND(50000&lt;S1430,S1430&lt;53501),AND(70000&lt;S1430,S1430&lt;72501)),$F1430,IF(OR(AND(25001&lt;S1430,S1430&lt;27501),AND(53500&lt;S1430,S1430&lt;57001),AND(72500&lt;S1430,S1430&lt;75001)),$G1430,IF(OR(AND(27500&lt;S1430,S1430&lt;30001),AND(57000&lt;S1430,S1430&lt;60001),AND(75000&lt;S1430,S1430&lt;77500)),$H1430,VLOOKUP(S1430,BDins,6,FALSE)))))</f>
        <v>350</v>
      </c>
      <c r="T1432">
        <f>IF(T1434&gt;10000,HLOOKUP(T1434,$O1430:S1433,4,FALSE),IF(OR(AND(22500&lt;T1430,T1430&lt;25001),AND(50000&lt;T1430,T1430&lt;53501),AND(70000&lt;T1430,T1430&lt;72501)),$F1430,IF(OR(AND(25001&lt;T1430,T1430&lt;27501),AND(53500&lt;T1430,T1430&lt;57001),AND(72500&lt;T1430,T1430&lt;75001)),$G1430,IF(OR(AND(27500&lt;T1430,T1430&lt;30001),AND(57000&lt;T1430,T1430&lt;60001),AND(75000&lt;T1430,T1430&lt;77500)),$H1430,VLOOKUP(T1430,BDins,6,FALSE)))))</f>
        <v>10</v>
      </c>
      <c r="U1432">
        <f>IF(U1434&gt;10000,HLOOKUP(U1434,$O1430:T1433,4,FALSE),IF(OR(AND(22500&lt;U1430,U1430&lt;25001),AND(50000&lt;U1430,U1430&lt;53501),AND(70000&lt;U1430,U1430&lt;72501)),$F1430,IF(OR(AND(25001&lt;U1430,U1430&lt;27501),AND(53500&lt;U1430,U1430&lt;57001),AND(72500&lt;U1430,U1430&lt;75001)),$G1430,IF(OR(AND(27500&lt;U1430,U1430&lt;30001),AND(57000&lt;U1430,U1430&lt;60001),AND(75000&lt;U1430,U1430&lt;77500)),$H1430,VLOOKUP(U1430,BDins,6,FALSE)))))</f>
        <v>5</v>
      </c>
      <c r="V1432">
        <f>IF(V1434&gt;10000,HLOOKUP(V1434,$O1430:U1433,4,FALSE),IF(OR(AND(22500&lt;V1430,V1430&lt;25001),AND(50000&lt;V1430,V1430&lt;53501),AND(70000&lt;V1430,V1430&lt;72501)),$F1430,IF(OR(AND(25001&lt;V1430,V1430&lt;27501),AND(53500&lt;V1430,V1430&lt;57001),AND(72500&lt;V1430,V1430&lt;75001)),$G1430,IF(OR(AND(27500&lt;V1430,V1430&lt;30001),AND(57000&lt;V1430,V1430&lt;60001),AND(75000&lt;V1430,V1430&lt;77500)),$H1430,VLOOKUP(V1430,BDins,6,FALSE)))))</f>
        <v>19</v>
      </c>
      <c r="W1432">
        <f>IF(W1434&gt;10000,HLOOKUP(W1434,$O1430:V1433,4,FALSE),IF(OR(AND(22500&lt;W1430,W1430&lt;25001),AND(50000&lt;W1430,W1430&lt;53501),AND(70000&lt;W1430,W1430&lt;72501)),$F1430,IF(OR(AND(25001&lt;W1430,W1430&lt;27501),AND(53500&lt;W1430,W1430&lt;57001),AND(72500&lt;W1430,W1430&lt;75001)),$G1430,IF(OR(AND(27500&lt;W1430,W1430&lt;30001),AND(57000&lt;W1430,W1430&lt;60001),AND(75000&lt;W1430,W1430&lt;77500)),$H1430,VLOOKUP(W1430,BDins,6,FALSE)))))</f>
        <v>5</v>
      </c>
      <c r="X1432">
        <f>IF(X1434&gt;10000,HLOOKUP(X1434,$O1430:W1433,4,FALSE),IF(OR(AND(22500&lt;X1430,X1430&lt;25001),AND(50000&lt;X1430,X1430&lt;53501),AND(70000&lt;X1430,X1430&lt;72501)),$F1430,IF(OR(AND(25001&lt;X1430,X1430&lt;27501),AND(53500&lt;X1430,X1430&lt;57001),AND(72500&lt;X1430,X1430&lt;75001)),$G1430,IF(OR(AND(27500&lt;X1430,X1430&lt;30001),AND(57000&lt;X1430,X1430&lt;60001),AND(75000&lt;X1430,X1430&lt;77500)),$H1430,VLOOKUP(X1430,BDins,6,FALSE)))))</f>
        <v>5</v>
      </c>
      <c r="Y1432">
        <f>IF(Y1434&gt;10000,HLOOKUP(Y1434,$O1430:X1433,4,FALSE),IF(OR(AND(22500&lt;Y1430,Y1430&lt;25001),AND(50000&lt;Y1430,Y1430&lt;53501),AND(70000&lt;Y1430,Y1430&lt;72501)),$F1430,IF(OR(AND(25001&lt;Y1430,Y1430&lt;27501),AND(53500&lt;Y1430,Y1430&lt;57001),AND(72500&lt;Y1430,Y1430&lt;75001)),$G1430,IF(OR(AND(27500&lt;Y1430,Y1430&lt;30001),AND(57000&lt;Y1430,Y1430&lt;60001),AND(75000&lt;Y1430,Y1430&lt;77500)),$H1430,VLOOKUP(Y1430,BDins,6,FALSE)))))</f>
        <v>4</v>
      </c>
      <c r="Z1432">
        <f>IF(Z1434&gt;10000,HLOOKUP(Z1434,$O1430:Y1433,4,FALSE),IF(OR(AND(22500&lt;Z1430,Z1430&lt;25001),AND(50000&lt;Z1430,Z1430&lt;53501),AND(70000&lt;Z1430,Z1430&lt;72501)),$F1430,IF(OR(AND(25001&lt;Z1430,Z1430&lt;27501),AND(53500&lt;Z1430,Z1430&lt;57001),AND(72500&lt;Z1430,Z1430&lt;75001)),$G1430,IF(OR(AND(27500&lt;Z1430,Z1430&lt;30001),AND(57000&lt;Z1430,Z1430&lt;60001),AND(75000&lt;Z1430,Z1430&lt;77500)),$H1430,VLOOKUP(Z1430,BDins,6,FALSE)))))</f>
        <v>4.5</v>
      </c>
      <c r="AA1432">
        <f>IF(AA1434&gt;10000,HLOOKUP(AA1434,$O1430:Z1433,4,FALSE),IF(OR(AND(22500&lt;AA1430,AA1430&lt;25001),AND(50000&lt;AA1430,AA1430&lt;53501),AND(70000&lt;AA1430,AA1430&lt;72501)),$F1430,IF(OR(AND(25001&lt;AA1430,AA1430&lt;27501),AND(53500&lt;AA1430,AA1430&lt;57001),AND(72500&lt;AA1430,AA1430&lt;75001)),$G1430,IF(OR(AND(27500&lt;AA1430,AA1430&lt;30001),AND(57000&lt;AA1430,AA1430&lt;60001),AND(75000&lt;AA1430,AA1430&lt;77500)),$H1430,VLOOKUP(AA1430,BDins,6,FALSE)))))</f>
        <v>29.5</v>
      </c>
      <c r="AB1432">
        <f>IF(AB1434&gt;10000,HLOOKUP(AB1434,$O1430:AA1433,4,FALSE),IF(OR(AND(22500&lt;AB1430,AB1430&lt;25001),AND(50000&lt;AB1430,AB1430&lt;53501),AND(70000&lt;AB1430,AB1430&lt;72501)),$F1430,IF(OR(AND(25001&lt;AB1430,AB1430&lt;27501),AND(53500&lt;AB1430,AB1430&lt;57001),AND(72500&lt;AB1430,AB1430&lt;75001)),$G1430,IF(OR(AND(27500&lt;AB1430,AB1430&lt;30001),AND(57000&lt;AB1430,AB1430&lt;60001),AND(75000&lt;AB1430,AB1430&lt;77500)),$H1430,VLOOKUP(AB1430,BDins,6,FALSE)))))</f>
        <v>3</v>
      </c>
      <c r="AC1432">
        <f>IF(AC1434&gt;10000,HLOOKUP(AC1434,$O1430:AB1433,4,FALSE),IF(OR(AND(22500&lt;AC1430,AC1430&lt;25001),AND(50000&lt;AC1430,AC1430&lt;53501),AND(70000&lt;AC1430,AC1430&lt;72501)),$F1430,IF(OR(AND(25001&lt;AC1430,AC1430&lt;27501),AND(53500&lt;AC1430,AC1430&lt;57001),AND(72500&lt;AC1430,AC1430&lt;75001)),$G1430,IF(OR(AND(27500&lt;AC1430,AC1430&lt;30001),AND(57000&lt;AC1430,AC1430&lt;60001),AND(75000&lt;AC1430,AC1430&lt;77500)),$H1430,VLOOKUP(AC1430,BDins,6,FALSE)))))</f>
        <v>43.7</v>
      </c>
      <c r="AD1432">
        <f>IF(AD1434&gt;10000,HLOOKUP(AD1434,$O1430:AC1433,4,FALSE),IF(OR(AND(22500&lt;AD1430,AD1430&lt;25001),AND(50000&lt;AD1430,AD1430&lt;53501),AND(70000&lt;AD1430,AD1430&lt;72501)),$F1430,IF(OR(AND(25001&lt;AD1430,AD1430&lt;27501),AND(53500&lt;AD1430,AD1430&lt;57001),AND(72500&lt;AD1430,AD1430&lt;75001)),$G1430,IF(OR(AND(27500&lt;AD1430,AD1430&lt;30001),AND(57000&lt;AD1430,AD1430&lt;60001),AND(75000&lt;AD1430,AD1430&lt;77500)),$H1430,VLOOKUP(AD1430,BDins,6,FALSE)))))</f>
        <v>150</v>
      </c>
      <c r="AE1432">
        <f>IF(AE1434&gt;10000,HLOOKUP(AE1434,$O1430:AD1433,4,FALSE),IF(OR(AND(22500&lt;AE1430,AE1430&lt;25001),AND(50000&lt;AE1430,AE1430&lt;53501),AND(70000&lt;AE1430,AE1430&lt;72501)),$F1430,IF(OR(AND(25001&lt;AE1430,AE1430&lt;27501),AND(53500&lt;AE1430,AE1430&lt;57001),AND(72500&lt;AE1430,AE1430&lt;75001)),$G1430,IF(OR(AND(27500&lt;AE1430,AE1430&lt;30001),AND(57000&lt;AE1430,AE1430&lt;60001),AND(75000&lt;AE1430,AE1430&lt;77500)),$H1430,VLOOKUP(AE1430,BDins,6,FALSE)))))</f>
        <v>160</v>
      </c>
      <c r="AF1432">
        <f>IF(AF1434&gt;10000,HLOOKUP(AF1434,$O1430:AE1433,4,FALSE),IF(OR(AND(22500&lt;AF1430,AF1430&lt;25001),AND(50000&lt;AF1430,AF1430&lt;53501),AND(70000&lt;AF1430,AF1430&lt;72501)),$F1430,IF(OR(AND(25001&lt;AF1430,AF1430&lt;27501),AND(53500&lt;AF1430,AF1430&lt;57001),AND(72500&lt;AF1430,AF1430&lt;75001)),$G1430,IF(OR(AND(27500&lt;AF1430,AF1430&lt;30001),AND(57000&lt;AF1430,AF1430&lt;60001),AND(75000&lt;AF1430,AF1430&lt;77500)),$H1430,VLOOKUP(AF1430,BDins,6,FALSE)))))</f>
        <v>323.17999999999995</v>
      </c>
      <c r="AG1432">
        <f>IF(AG1434&gt;10000,HLOOKUP(AG1434,$O1430:AF1433,4,FALSE),IF(OR(AND(22500&lt;AG1430,AG1430&lt;25001),AND(50000&lt;AG1430,AG1430&lt;53501),AND(70000&lt;AG1430,AG1430&lt;72501)),$F1430,IF(OR(AND(25001&lt;AG1430,AG1430&lt;27501),AND(53500&lt;AG1430,AG1430&lt;57001),AND(72500&lt;AG1430,AG1430&lt;75001)),$G1430,IF(OR(AND(27500&lt;AG1430,AG1430&lt;30001),AND(57000&lt;AG1430,AG1430&lt;60001),AND(75000&lt;AG1430,AG1430&lt;77500)),$H1430,VLOOKUP(AG1430,BDins,6,FALSE)))))</f>
        <v>1500</v>
      </c>
    </row>
    <row r="1433" spans="1:41" x14ac:dyDescent="0.2">
      <c r="O1433">
        <f t="shared" ref="O1433:AG1433" si="206">IF($K1430&gt;0,ROUND(O1431*$E1430/100,DpCU),IF(O1434&gt;10000,ROUND(HLOOKUP(O1434,$O1430:$AG1433,4,FALSE)/100*O1431,DpCU),IF(OR(O1430&lt;20001,O1430&gt;95000,AND(60000&lt;O1430,O1430&lt;70001)),ROUND(ROUND(O1431*JL/$C1430,DcCU)*O1432,DpCU),IF(OR(AND(20000&lt;O1430,O1430&lt;22501),AND(30000&lt;O1430,O1430&lt;50001),77500&lt;O1430),ROUND(O1432*O1431,DpCU),IF(OR(AND(22500&lt;O1430,O1430&lt;25001),AND(50000&lt;O1430,O1430&lt;53501),AND(70000&lt;O1430,O1430&lt;72501)),ROUND($F1430/100*O1431,DpCU),IF(OR(AND(25000&lt;O1430,O1430&lt;27501),AND(53500&lt;O1430,O1430&lt;57001),AND(72500&lt;O1430,O1430&lt;75001)),ROUND($G1430/100*O1431,DpCU),ROUND($H1430/100*O1431,DpCU)))))))</f>
        <v>19.98</v>
      </c>
      <c r="P1433">
        <f t="shared" si="206"/>
        <v>166.48</v>
      </c>
      <c r="Q1433">
        <f t="shared" si="206"/>
        <v>136.72</v>
      </c>
      <c r="R1433">
        <f t="shared" si="206"/>
        <v>95</v>
      </c>
      <c r="S1433">
        <f t="shared" si="206"/>
        <v>350</v>
      </c>
      <c r="T1433">
        <f t="shared" si="206"/>
        <v>30</v>
      </c>
      <c r="U1433">
        <f t="shared" si="206"/>
        <v>5</v>
      </c>
      <c r="V1433">
        <f t="shared" si="206"/>
        <v>57</v>
      </c>
      <c r="W1433">
        <f t="shared" si="206"/>
        <v>5</v>
      </c>
      <c r="X1433">
        <f t="shared" si="206"/>
        <v>10</v>
      </c>
      <c r="Y1433">
        <f t="shared" si="206"/>
        <v>8</v>
      </c>
      <c r="Z1433">
        <f t="shared" si="206"/>
        <v>9</v>
      </c>
      <c r="AA1433">
        <f t="shared" si="206"/>
        <v>29.5</v>
      </c>
      <c r="AB1433">
        <f t="shared" si="206"/>
        <v>9</v>
      </c>
      <c r="AC1433">
        <f t="shared" si="206"/>
        <v>131.1</v>
      </c>
      <c r="AD1433">
        <f t="shared" si="206"/>
        <v>300</v>
      </c>
      <c r="AE1433">
        <f t="shared" si="206"/>
        <v>320</v>
      </c>
      <c r="AF1433">
        <f t="shared" si="206"/>
        <v>16.16</v>
      </c>
      <c r="AG1433">
        <f t="shared" si="206"/>
        <v>375</v>
      </c>
    </row>
    <row r="1434" spans="1:41" x14ac:dyDescent="0.2">
      <c r="B1434" s="3" t="str">
        <f>A1430&amp;"r"</f>
        <v>10286r</v>
      </c>
    </row>
    <row r="1435" spans="1:41" x14ac:dyDescent="0.2">
      <c r="A1435">
        <v>10287</v>
      </c>
      <c r="B1435" s="3" t="s">
        <v>1431</v>
      </c>
      <c r="C1435" s="1">
        <f>ROUND(J1435*JL*Frto/8,4)</f>
        <v>1</v>
      </c>
      <c r="D1435" t="s">
        <v>1387</v>
      </c>
      <c r="E1435">
        <f>SUM($O1438:$O1438)</f>
        <v>4500</v>
      </c>
      <c r="F1435">
        <f>SUMIF($O1435:$O1435,"&lt;22501",$O1438:$O1438)</f>
        <v>0</v>
      </c>
      <c r="G1435">
        <f>SUMIFS($O1438:$O1438,$O1435:$O1435,"&gt;30000",$O1435:$O1435,"&lt;50001")</f>
        <v>4500</v>
      </c>
      <c r="H1435">
        <f>SUMIFS($O1438:$O1438,$O1435:$O1435,"&gt;60000",$O1435:$O1435,"&lt;70001")</f>
        <v>0</v>
      </c>
      <c r="I1435">
        <v>1</v>
      </c>
      <c r="J1435">
        <v>1</v>
      </c>
      <c r="O1435">
        <v>30407</v>
      </c>
    </row>
    <row r="1436" spans="1:41" x14ac:dyDescent="0.2">
      <c r="B1436" s="3" t="str">
        <f>A1435&amp;"C"</f>
        <v>10287C</v>
      </c>
      <c r="O1436">
        <v>1</v>
      </c>
    </row>
    <row r="1437" spans="1:41" x14ac:dyDescent="0.2">
      <c r="O1437">
        <f>IF(O1439&gt;10000,HLOOKUP(O1439,N1435:$O1438,4,FALSE),IF(OR(AND(22500&lt;O1435,O1435&lt;25001),AND(50000&lt;O1435,O1435&lt;53501),AND(70000&lt;O1435,O1435&lt;72501)),$F1435,IF(OR(AND(25001&lt;O1435,O1435&lt;27501),AND(53500&lt;O1435,O1435&lt;57001),AND(72500&lt;O1435,O1435&lt;75001)),$G1435,IF(OR(AND(27500&lt;O1435,O1435&lt;30001),AND(57000&lt;O1435,O1435&lt;60001),AND(75000&lt;O1435,O1435&lt;77500)),$H1435,VLOOKUP(O1435,BDins,6,FALSE)))))</f>
        <v>4500</v>
      </c>
    </row>
    <row r="1438" spans="1:41" x14ac:dyDescent="0.2">
      <c r="O1438">
        <f>IF($K1435&gt;0,ROUND(O1436*$E1435/100,DpCU),IF(O1439&gt;10000,ROUND(HLOOKUP(O1439,$O1435:$O1438,4,FALSE)/100*O1436,DpCU),IF(OR(O1435&lt;20001,O1435&gt;95000,AND(60000&lt;O1435,O1435&lt;70001)),ROUND(ROUND(O1436*JL/$C1435,DcCU)*O1437,DpCU),IF(OR(AND(20000&lt;O1435,O1435&lt;22501),AND(30000&lt;O1435,O1435&lt;50001),77500&lt;O1435),ROUND(O1437*O1436,DpCU),IF(OR(AND(22500&lt;O1435,O1435&lt;25001),AND(50000&lt;O1435,O1435&lt;53501),AND(70000&lt;O1435,O1435&lt;72501)),ROUND($F1435/100*O1436,DpCU),IF(OR(AND(25000&lt;O1435,O1435&lt;27501),AND(53500&lt;O1435,O1435&lt;57001),AND(72500&lt;O1435,O1435&lt;75001)),ROUND($G1435/100*O1436,DpCU),ROUND($H1435/100*O1436,DpCU)))))))</f>
        <v>4500</v>
      </c>
    </row>
    <row r="1439" spans="1:41" x14ac:dyDescent="0.2">
      <c r="B1439" s="3" t="str">
        <f>A1435&amp;"r"</f>
        <v>10287r</v>
      </c>
    </row>
    <row r="1440" spans="1:41" x14ac:dyDescent="0.2">
      <c r="A1440">
        <v>10288</v>
      </c>
      <c r="B1440" s="3" t="s">
        <v>1435</v>
      </c>
      <c r="C1440" s="1">
        <f>ROUND(J1440*JL*Frto/8,4)</f>
        <v>1</v>
      </c>
      <c r="D1440" t="s">
        <v>1387</v>
      </c>
      <c r="E1440">
        <f>SUM($O1443:$P1443)</f>
        <v>1255.5999999999999</v>
      </c>
      <c r="F1440">
        <f>SUMIF($O1440:$P1440,"&lt;22501",$O1443:$P1443)</f>
        <v>0</v>
      </c>
      <c r="G1440">
        <f>SUMIFS($O1443:$P1443,$O1440:$P1440,"&gt;30000",$O1440:$P1440,"&lt;50001")</f>
        <v>1255.5999999999999</v>
      </c>
      <c r="H1440">
        <f>SUMIFS($O1443:$P1443,$O1440:$P1440,"&gt;60000",$O1440:$P1440,"&lt;70001")</f>
        <v>0</v>
      </c>
      <c r="I1440">
        <v>2</v>
      </c>
      <c r="J1440">
        <v>1</v>
      </c>
      <c r="O1440">
        <v>30408</v>
      </c>
      <c r="P1440">
        <v>30409</v>
      </c>
    </row>
    <row r="1441" spans="1:23" x14ac:dyDescent="0.2">
      <c r="B1441" s="3" t="str">
        <f>A1440&amp;"C"</f>
        <v>10288C</v>
      </c>
      <c r="O1441">
        <v>16</v>
      </c>
      <c r="P1441">
        <v>1</v>
      </c>
    </row>
    <row r="1442" spans="1:23" x14ac:dyDescent="0.2">
      <c r="O1442">
        <f>IF(O1444&gt;10000,HLOOKUP(O1444,N1440:$O1443,4,FALSE),IF(OR(AND(22500&lt;O1440,O1440&lt;25001),AND(50000&lt;O1440,O1440&lt;53501),AND(70000&lt;O1440,O1440&lt;72501)),$F1440,IF(OR(AND(25001&lt;O1440,O1440&lt;27501),AND(53500&lt;O1440,O1440&lt;57001),AND(72500&lt;O1440,O1440&lt;75001)),$G1440,IF(OR(AND(27500&lt;O1440,O1440&lt;30001),AND(57000&lt;O1440,O1440&lt;60001),AND(75000&lt;O1440,O1440&lt;77500)),$H1440,VLOOKUP(O1440,BDins,6,FALSE)))))</f>
        <v>46.6</v>
      </c>
      <c r="P1442">
        <f>IF(P1444&gt;10000,HLOOKUP(P1444,O1440:$O1443,4,FALSE),IF(OR(AND(22500&lt;P1440,P1440&lt;25001),AND(50000&lt;P1440,P1440&lt;53501),AND(70000&lt;P1440,P1440&lt;72501)),$F1440,IF(OR(AND(25001&lt;P1440,P1440&lt;27501),AND(53500&lt;P1440,P1440&lt;57001),AND(72500&lt;P1440,P1440&lt;75001)),$G1440,IF(OR(AND(27500&lt;P1440,P1440&lt;30001),AND(57000&lt;P1440,P1440&lt;60001),AND(75000&lt;P1440,P1440&lt;77500)),$H1440,VLOOKUP(P1440,BDins,6,FALSE)))))</f>
        <v>510</v>
      </c>
    </row>
    <row r="1443" spans="1:23" x14ac:dyDescent="0.2">
      <c r="O1443">
        <f>IF($K1440&gt;0,ROUND(O1441*$E1440/100,DpCU),IF(O1444&gt;10000,ROUND(HLOOKUP(O1444,$O1440:$P1443,4,FALSE)/100*O1441,DpCU),IF(OR(O1440&lt;20001,O1440&gt;95000,AND(60000&lt;O1440,O1440&lt;70001)),ROUND(ROUND(O1441*JL/$C1440,DcCU)*O1442,DpCU),IF(OR(AND(20000&lt;O1440,O1440&lt;22501),AND(30000&lt;O1440,O1440&lt;50001),77500&lt;O1440),ROUND(O1442*O1441,DpCU),IF(OR(AND(22500&lt;O1440,O1440&lt;25001),AND(50000&lt;O1440,O1440&lt;53501),AND(70000&lt;O1440,O1440&lt;72501)),ROUND($F1440/100*O1441,DpCU),IF(OR(AND(25000&lt;O1440,O1440&lt;27501),AND(53500&lt;O1440,O1440&lt;57001),AND(72500&lt;O1440,O1440&lt;75001)),ROUND($G1440/100*O1441,DpCU),ROUND($H1440/100*O1441,DpCU)))))))</f>
        <v>745.6</v>
      </c>
      <c r="P1443">
        <f>IF($K1440&gt;0,ROUND(P1441*$E1440/100,DpCU),IF(P1444&gt;10000,ROUND(HLOOKUP(P1444,$O1440:$P1443,4,FALSE)/100*P1441,DpCU),IF(OR(P1440&lt;20001,P1440&gt;95000,AND(60000&lt;P1440,P1440&lt;70001)),ROUND(ROUND(P1441*JL/$C1440,DcCU)*P1442,DpCU),IF(OR(AND(20000&lt;P1440,P1440&lt;22501),AND(30000&lt;P1440,P1440&lt;50001),77500&lt;P1440),ROUND(P1442*P1441,DpCU),IF(OR(AND(22500&lt;P1440,P1440&lt;25001),AND(50000&lt;P1440,P1440&lt;53501),AND(70000&lt;P1440,P1440&lt;72501)),ROUND($F1440/100*P1441,DpCU),IF(OR(AND(25000&lt;P1440,P1440&lt;27501),AND(53500&lt;P1440,P1440&lt;57001),AND(72500&lt;P1440,P1440&lt;75001)),ROUND($G1440/100*P1441,DpCU),ROUND($H1440/100*P1441,DpCU)))))))</f>
        <v>510</v>
      </c>
    </row>
    <row r="1444" spans="1:23" x14ac:dyDescent="0.2">
      <c r="B1444" s="3" t="str">
        <f>A1440&amp;"r"</f>
        <v>10288r</v>
      </c>
    </row>
    <row r="1445" spans="1:23" x14ac:dyDescent="0.2">
      <c r="A1445">
        <v>10289</v>
      </c>
      <c r="B1445" s="3" t="s">
        <v>1441</v>
      </c>
      <c r="C1445" s="1">
        <f>ROUND(J1445*JL*Frto/8,4)</f>
        <v>10</v>
      </c>
      <c r="D1445" t="s">
        <v>7</v>
      </c>
      <c r="E1445">
        <f>SUM($O1448:$W1448)</f>
        <v>37.969999999999992</v>
      </c>
      <c r="F1445">
        <f>SUMIF($O1445:$W1445,"&lt;22501",$O1448:$W1448)</f>
        <v>30.939999999999998</v>
      </c>
      <c r="G1445">
        <f>SUMIFS($O1448:$W1448,$O1445:$W1445,"&gt;30000",$O1445:$W1445,"&lt;50001")</f>
        <v>5.48</v>
      </c>
      <c r="H1445">
        <f>SUMIFS($O1448:$W1448,$O1445:$W1445,"&gt;60000",$O1445:$W1445,"&lt;70001")</f>
        <v>0</v>
      </c>
      <c r="I1445">
        <v>9</v>
      </c>
      <c r="J1445">
        <v>10</v>
      </c>
      <c r="O1445">
        <v>10001</v>
      </c>
      <c r="P1445">
        <v>10002</v>
      </c>
      <c r="Q1445">
        <v>10003</v>
      </c>
      <c r="R1445">
        <v>30216</v>
      </c>
      <c r="S1445">
        <v>30311</v>
      </c>
      <c r="T1445">
        <v>30312</v>
      </c>
      <c r="U1445">
        <v>30313</v>
      </c>
      <c r="V1445">
        <v>30410</v>
      </c>
      <c r="W1445">
        <v>70001</v>
      </c>
    </row>
    <row r="1446" spans="1:23" x14ac:dyDescent="0.2">
      <c r="B1446" s="3" t="str">
        <f>A1445&amp;"C"</f>
        <v>10289C</v>
      </c>
      <c r="O1446">
        <v>0.1</v>
      </c>
      <c r="P1446">
        <v>1</v>
      </c>
      <c r="Q1446">
        <v>1</v>
      </c>
      <c r="R1446">
        <v>0.01</v>
      </c>
      <c r="S1446">
        <v>2</v>
      </c>
      <c r="T1446">
        <v>2</v>
      </c>
      <c r="U1446">
        <v>2</v>
      </c>
      <c r="V1446">
        <v>1</v>
      </c>
      <c r="W1446">
        <v>5</v>
      </c>
    </row>
    <row r="1447" spans="1:23" x14ac:dyDescent="0.2">
      <c r="O1447">
        <f>IF(O1449&gt;10000,HLOOKUP(O1449,N1445:$O1448,4,FALSE),IF(OR(AND(22500&lt;O1445,O1445&lt;25001),AND(50000&lt;O1445,O1445&lt;53501),AND(70000&lt;O1445,O1445&lt;72501)),$F1445,IF(OR(AND(25001&lt;O1445,O1445&lt;27501),AND(53500&lt;O1445,O1445&lt;57001),AND(72500&lt;O1445,O1445&lt;75001)),$G1445,IF(OR(AND(27500&lt;O1445,O1445&lt;30001),AND(57000&lt;O1445,O1445&lt;60001),AND(75000&lt;O1445,O1445&lt;77500)),$H1445,VLOOKUP(O1445,BDins,6,FALSE)))))</f>
        <v>24.97</v>
      </c>
      <c r="P1447">
        <f>IF(P1449&gt;10000,HLOOKUP(P1449,O1445:$O1448,4,FALSE),IF(OR(AND(22500&lt;P1445,P1445&lt;25001),AND(50000&lt;P1445,P1445&lt;53501),AND(70000&lt;P1445,P1445&lt;72501)),$F1445,IF(OR(AND(25001&lt;P1445,P1445&lt;27501),AND(53500&lt;P1445,P1445&lt;57001),AND(72500&lt;P1445,P1445&lt;75001)),$G1445,IF(OR(AND(27500&lt;P1445,P1445&lt;30001),AND(57000&lt;P1445,P1445&lt;60001),AND(75000&lt;P1445,P1445&lt;77500)),$H1445,VLOOKUP(P1445,BDins,6,FALSE)))))</f>
        <v>20.81</v>
      </c>
      <c r="Q1447">
        <f>IF(Q1449&gt;10000,HLOOKUP(Q1449,$O1445:P1448,4,FALSE),IF(OR(AND(22500&lt;Q1445,Q1445&lt;25001),AND(50000&lt;Q1445,Q1445&lt;53501),AND(70000&lt;Q1445,Q1445&lt;72501)),$F1445,IF(OR(AND(25001&lt;Q1445,Q1445&lt;27501),AND(53500&lt;Q1445,Q1445&lt;57001),AND(72500&lt;Q1445,Q1445&lt;75001)),$G1445,IF(OR(AND(27500&lt;Q1445,Q1445&lt;30001),AND(57000&lt;Q1445,Q1445&lt;60001),AND(75000&lt;Q1445,Q1445&lt;77500)),$H1445,VLOOKUP(Q1445,BDins,6,FALSE)))))</f>
        <v>15.36</v>
      </c>
      <c r="R1447">
        <f>IF(R1449&gt;10000,HLOOKUP(R1449,$O1445:Q1448,4,FALSE),IF(OR(AND(22500&lt;R1445,R1445&lt;25001),AND(50000&lt;R1445,R1445&lt;53501),AND(70000&lt;R1445,R1445&lt;72501)),$F1445,IF(OR(AND(25001&lt;R1445,R1445&lt;27501),AND(53500&lt;R1445,R1445&lt;57001),AND(72500&lt;R1445,R1445&lt;75001)),$G1445,IF(OR(AND(27500&lt;R1445,R1445&lt;30001),AND(57000&lt;R1445,R1445&lt;60001),AND(75000&lt;R1445,R1445&lt;77500)),$H1445,VLOOKUP(R1445,BDins,6,FALSE)))))</f>
        <v>116</v>
      </c>
      <c r="S1447">
        <f>IF(S1449&gt;10000,HLOOKUP(S1449,$O1445:R1448,4,FALSE),IF(OR(AND(22500&lt;S1445,S1445&lt;25001),AND(50000&lt;S1445,S1445&lt;53501),AND(70000&lt;S1445,S1445&lt;72501)),$F1445,IF(OR(AND(25001&lt;S1445,S1445&lt;27501),AND(53500&lt;S1445,S1445&lt;57001),AND(72500&lt;S1445,S1445&lt;75001)),$G1445,IF(OR(AND(27500&lt;S1445,S1445&lt;30001),AND(57000&lt;S1445,S1445&lt;60001),AND(75000&lt;S1445,S1445&lt;77500)),$H1445,VLOOKUP(S1445,BDins,6,FALSE)))))</f>
        <v>0.3</v>
      </c>
      <c r="T1447">
        <f>IF(T1449&gt;10000,HLOOKUP(T1449,$O1445:S1448,4,FALSE),IF(OR(AND(22500&lt;T1445,T1445&lt;25001),AND(50000&lt;T1445,T1445&lt;53501),AND(70000&lt;T1445,T1445&lt;72501)),$F1445,IF(OR(AND(25001&lt;T1445,T1445&lt;27501),AND(53500&lt;T1445,T1445&lt;57001),AND(72500&lt;T1445,T1445&lt;75001)),$G1445,IF(OR(AND(27500&lt;T1445,T1445&lt;30001),AND(57000&lt;T1445,T1445&lt;60001),AND(75000&lt;T1445,T1445&lt;77500)),$H1445,VLOOKUP(T1445,BDins,6,FALSE)))))</f>
        <v>0.6</v>
      </c>
      <c r="U1447">
        <f>IF(U1449&gt;10000,HLOOKUP(U1449,$O1445:T1448,4,FALSE),IF(OR(AND(22500&lt;U1445,U1445&lt;25001),AND(50000&lt;U1445,U1445&lt;53501),AND(70000&lt;U1445,U1445&lt;72501)),$F1445,IF(OR(AND(25001&lt;U1445,U1445&lt;27501),AND(53500&lt;U1445,U1445&lt;57001),AND(72500&lt;U1445,U1445&lt;75001)),$G1445,IF(OR(AND(27500&lt;U1445,U1445&lt;30001),AND(57000&lt;U1445,U1445&lt;60001),AND(75000&lt;U1445,U1445&lt;77500)),$H1445,VLOOKUP(U1445,BDins,6,FALSE)))))</f>
        <v>0.81</v>
      </c>
      <c r="V1447">
        <f>IF(V1449&gt;10000,HLOOKUP(V1449,$O1445:U1448,4,FALSE),IF(OR(AND(22500&lt;V1445,V1445&lt;25001),AND(50000&lt;V1445,V1445&lt;53501),AND(70000&lt;V1445,V1445&lt;72501)),$F1445,IF(OR(AND(25001&lt;V1445,V1445&lt;27501),AND(53500&lt;V1445,V1445&lt;57001),AND(72500&lt;V1445,V1445&lt;75001)),$G1445,IF(OR(AND(27500&lt;V1445,V1445&lt;30001),AND(57000&lt;V1445,V1445&lt;60001),AND(75000&lt;V1445,V1445&lt;77500)),$H1445,VLOOKUP(V1445,BDins,6,FALSE)))))</f>
        <v>0.9</v>
      </c>
      <c r="W1447">
        <f>IF(W1449&gt;10000,HLOOKUP(W1449,$O1445:V1448,4,FALSE),IF(OR(AND(22500&lt;W1445,W1445&lt;25001),AND(50000&lt;W1445,W1445&lt;53501),AND(70000&lt;W1445,W1445&lt;72501)),$F1445,IF(OR(AND(25001&lt;W1445,W1445&lt;27501),AND(53500&lt;W1445,W1445&lt;57001),AND(72500&lt;W1445,W1445&lt;75001)),$G1445,IF(OR(AND(27500&lt;W1445,W1445&lt;30001),AND(57000&lt;W1445,W1445&lt;60001),AND(75000&lt;W1445,W1445&lt;77500)),$H1445,VLOOKUP(W1445,BDins,6,FALSE)))))</f>
        <v>30.939999999999998</v>
      </c>
    </row>
    <row r="1448" spans="1:23" x14ac:dyDescent="0.2">
      <c r="O1448">
        <f t="shared" ref="O1448:W1448" si="207">IF($K1445&gt;0,ROUND(O1446*$E1445/100,DpCU),IF(O1449&gt;10000,ROUND(HLOOKUP(O1449,$O1445:$W1448,4,FALSE)/100*O1446,DpCU),IF(OR(O1445&lt;20001,O1445&gt;95000,AND(60000&lt;O1445,O1445&lt;70001)),ROUND(ROUND(O1446*JL/$C1445,DcCU)*O1447,DpCU),IF(OR(AND(20000&lt;O1445,O1445&lt;22501),AND(30000&lt;O1445,O1445&lt;50001),77500&lt;O1445),ROUND(O1447*O1446,DpCU),IF(OR(AND(22500&lt;O1445,O1445&lt;25001),AND(50000&lt;O1445,O1445&lt;53501),AND(70000&lt;O1445,O1445&lt;72501)),ROUND($F1445/100*O1446,DpCU),IF(OR(AND(25000&lt;O1445,O1445&lt;27501),AND(53500&lt;O1445,O1445&lt;57001),AND(72500&lt;O1445,O1445&lt;75001)),ROUND($G1445/100*O1446,DpCU),ROUND($H1445/100*O1446,DpCU)))))))</f>
        <v>2</v>
      </c>
      <c r="P1448">
        <f t="shared" si="207"/>
        <v>16.649999999999999</v>
      </c>
      <c r="Q1448">
        <f t="shared" si="207"/>
        <v>12.29</v>
      </c>
      <c r="R1448">
        <f t="shared" si="207"/>
        <v>1.1599999999999999</v>
      </c>
      <c r="S1448">
        <f t="shared" si="207"/>
        <v>0.6</v>
      </c>
      <c r="T1448">
        <f t="shared" si="207"/>
        <v>1.2</v>
      </c>
      <c r="U1448">
        <f t="shared" si="207"/>
        <v>1.62</v>
      </c>
      <c r="V1448">
        <f t="shared" si="207"/>
        <v>0.9</v>
      </c>
      <c r="W1448">
        <f t="shared" si="207"/>
        <v>1.55</v>
      </c>
    </row>
    <row r="1449" spans="1:23" x14ac:dyDescent="0.2">
      <c r="B1449" s="3" t="str">
        <f>A1445&amp;"r"</f>
        <v>10289r</v>
      </c>
    </row>
    <row r="1450" spans="1:23" x14ac:dyDescent="0.2">
      <c r="A1450">
        <v>10290</v>
      </c>
      <c r="B1450" s="3" t="s">
        <v>1444</v>
      </c>
      <c r="C1450" s="1">
        <f>ROUND(J1450*JL*Frto/8,4)</f>
        <v>15</v>
      </c>
      <c r="D1450" t="s">
        <v>7</v>
      </c>
      <c r="E1450">
        <f>SUM($O1453:$W1453)</f>
        <v>26.31</v>
      </c>
      <c r="F1450">
        <f>SUMIF($O1450:$W1450,"&lt;22501",$O1453:$W1453)</f>
        <v>20.619999999999997</v>
      </c>
      <c r="G1450">
        <f>SUMIFS($O1453:$W1453,$O1450:$W1450,"&gt;30000",$O1450:$W1450,"&lt;50001")</f>
        <v>4.66</v>
      </c>
      <c r="H1450">
        <f>SUMIFS($O1453:$W1453,$O1450:$W1450,"&gt;60000",$O1450:$W1450,"&lt;70001")</f>
        <v>0</v>
      </c>
      <c r="I1450">
        <v>9</v>
      </c>
      <c r="J1450">
        <v>15</v>
      </c>
      <c r="O1450">
        <v>10001</v>
      </c>
      <c r="P1450">
        <v>10002</v>
      </c>
      <c r="Q1450">
        <v>10003</v>
      </c>
      <c r="R1450">
        <v>30216</v>
      </c>
      <c r="S1450">
        <v>30319</v>
      </c>
      <c r="T1450">
        <v>30320</v>
      </c>
      <c r="U1450">
        <v>30321</v>
      </c>
      <c r="V1450">
        <v>30410</v>
      </c>
      <c r="W1450">
        <v>70001</v>
      </c>
    </row>
    <row r="1451" spans="1:23" x14ac:dyDescent="0.2">
      <c r="B1451" s="3" t="str">
        <f>A1450&amp;"C"</f>
        <v>10290C</v>
      </c>
      <c r="O1451">
        <v>0.1</v>
      </c>
      <c r="P1451">
        <v>1</v>
      </c>
      <c r="Q1451">
        <v>1</v>
      </c>
      <c r="R1451">
        <v>0.01</v>
      </c>
      <c r="S1451">
        <v>2</v>
      </c>
      <c r="T1451">
        <v>2</v>
      </c>
      <c r="U1451">
        <v>2</v>
      </c>
      <c r="V1451">
        <v>1</v>
      </c>
      <c r="W1451">
        <v>5</v>
      </c>
    </row>
    <row r="1452" spans="1:23" x14ac:dyDescent="0.2">
      <c r="O1452">
        <f>IF(O1454&gt;10000,HLOOKUP(O1454,N1450:$O1453,4,FALSE),IF(OR(AND(22500&lt;O1450,O1450&lt;25001),AND(50000&lt;O1450,O1450&lt;53501),AND(70000&lt;O1450,O1450&lt;72501)),$F1450,IF(OR(AND(25001&lt;O1450,O1450&lt;27501),AND(53500&lt;O1450,O1450&lt;57001),AND(72500&lt;O1450,O1450&lt;75001)),$G1450,IF(OR(AND(27500&lt;O1450,O1450&lt;30001),AND(57000&lt;O1450,O1450&lt;60001),AND(75000&lt;O1450,O1450&lt;77500)),$H1450,VLOOKUP(O1450,BDins,6,FALSE)))))</f>
        <v>24.97</v>
      </c>
      <c r="P1452">
        <f>IF(P1454&gt;10000,HLOOKUP(P1454,O1450:$O1453,4,FALSE),IF(OR(AND(22500&lt;P1450,P1450&lt;25001),AND(50000&lt;P1450,P1450&lt;53501),AND(70000&lt;P1450,P1450&lt;72501)),$F1450,IF(OR(AND(25001&lt;P1450,P1450&lt;27501),AND(53500&lt;P1450,P1450&lt;57001),AND(72500&lt;P1450,P1450&lt;75001)),$G1450,IF(OR(AND(27500&lt;P1450,P1450&lt;30001),AND(57000&lt;P1450,P1450&lt;60001),AND(75000&lt;P1450,P1450&lt;77500)),$H1450,VLOOKUP(P1450,BDins,6,FALSE)))))</f>
        <v>20.81</v>
      </c>
      <c r="Q1452">
        <f>IF(Q1454&gt;10000,HLOOKUP(Q1454,$O1450:P1453,4,FALSE),IF(OR(AND(22500&lt;Q1450,Q1450&lt;25001),AND(50000&lt;Q1450,Q1450&lt;53501),AND(70000&lt;Q1450,Q1450&lt;72501)),$F1450,IF(OR(AND(25001&lt;Q1450,Q1450&lt;27501),AND(53500&lt;Q1450,Q1450&lt;57001),AND(72500&lt;Q1450,Q1450&lt;75001)),$G1450,IF(OR(AND(27500&lt;Q1450,Q1450&lt;30001),AND(57000&lt;Q1450,Q1450&lt;60001),AND(75000&lt;Q1450,Q1450&lt;77500)),$H1450,VLOOKUP(Q1450,BDins,6,FALSE)))))</f>
        <v>15.36</v>
      </c>
      <c r="R1452">
        <f>IF(R1454&gt;10000,HLOOKUP(R1454,$O1450:Q1453,4,FALSE),IF(OR(AND(22500&lt;R1450,R1450&lt;25001),AND(50000&lt;R1450,R1450&lt;53501),AND(70000&lt;R1450,R1450&lt;72501)),$F1450,IF(OR(AND(25001&lt;R1450,R1450&lt;27501),AND(53500&lt;R1450,R1450&lt;57001),AND(72500&lt;R1450,R1450&lt;75001)),$G1450,IF(OR(AND(27500&lt;R1450,R1450&lt;30001),AND(57000&lt;R1450,R1450&lt;60001),AND(75000&lt;R1450,R1450&lt;77500)),$H1450,VLOOKUP(R1450,BDins,6,FALSE)))))</f>
        <v>116</v>
      </c>
      <c r="S1452">
        <f>IF(S1454&gt;10000,HLOOKUP(S1454,$O1450:R1453,4,FALSE),IF(OR(AND(22500&lt;S1450,S1450&lt;25001),AND(50000&lt;S1450,S1450&lt;53501),AND(70000&lt;S1450,S1450&lt;72501)),$F1450,IF(OR(AND(25001&lt;S1450,S1450&lt;27501),AND(53500&lt;S1450,S1450&lt;57001),AND(72500&lt;S1450,S1450&lt;75001)),$G1450,IF(OR(AND(27500&lt;S1450,S1450&lt;30001),AND(57000&lt;S1450,S1450&lt;60001),AND(75000&lt;S1450,S1450&lt;77500)),$H1450,VLOOKUP(S1450,BDins,6,FALSE)))))</f>
        <v>0.5</v>
      </c>
      <c r="T1452">
        <f>IF(T1454&gt;10000,HLOOKUP(T1454,$O1450:S1453,4,FALSE),IF(OR(AND(22500&lt;T1450,T1450&lt;25001),AND(50000&lt;T1450,T1450&lt;53501),AND(70000&lt;T1450,T1450&lt;72501)),$F1450,IF(OR(AND(25001&lt;T1450,T1450&lt;27501),AND(53500&lt;T1450,T1450&lt;57001),AND(72500&lt;T1450,T1450&lt;75001)),$G1450,IF(OR(AND(27500&lt;T1450,T1450&lt;30001),AND(57000&lt;T1450,T1450&lt;60001),AND(75000&lt;T1450,T1450&lt;77500)),$H1450,VLOOKUP(T1450,BDins,6,FALSE)))))</f>
        <v>0.4</v>
      </c>
      <c r="U1452">
        <f>IF(U1454&gt;10000,HLOOKUP(U1454,$O1450:T1453,4,FALSE),IF(OR(AND(22500&lt;U1450,U1450&lt;25001),AND(50000&lt;U1450,U1450&lt;53501),AND(70000&lt;U1450,U1450&lt;72501)),$F1450,IF(OR(AND(25001&lt;U1450,U1450&lt;27501),AND(53500&lt;U1450,U1450&lt;57001),AND(72500&lt;U1450,U1450&lt;75001)),$G1450,IF(OR(AND(27500&lt;U1450,U1450&lt;30001),AND(57000&lt;U1450,U1450&lt;60001),AND(75000&lt;U1450,U1450&lt;77500)),$H1450,VLOOKUP(U1450,BDins,6,FALSE)))))</f>
        <v>0.4</v>
      </c>
      <c r="V1452">
        <f>IF(V1454&gt;10000,HLOOKUP(V1454,$O1450:U1453,4,FALSE),IF(OR(AND(22500&lt;V1450,V1450&lt;25001),AND(50000&lt;V1450,V1450&lt;53501),AND(70000&lt;V1450,V1450&lt;72501)),$F1450,IF(OR(AND(25001&lt;V1450,V1450&lt;27501),AND(53500&lt;V1450,V1450&lt;57001),AND(72500&lt;V1450,V1450&lt;75001)),$G1450,IF(OR(AND(27500&lt;V1450,V1450&lt;30001),AND(57000&lt;V1450,V1450&lt;60001),AND(75000&lt;V1450,V1450&lt;77500)),$H1450,VLOOKUP(V1450,BDins,6,FALSE)))))</f>
        <v>0.9</v>
      </c>
      <c r="W1452">
        <f>IF(W1454&gt;10000,HLOOKUP(W1454,$O1450:V1453,4,FALSE),IF(OR(AND(22500&lt;W1450,W1450&lt;25001),AND(50000&lt;W1450,W1450&lt;53501),AND(70000&lt;W1450,W1450&lt;72501)),$F1450,IF(OR(AND(25001&lt;W1450,W1450&lt;27501),AND(53500&lt;W1450,W1450&lt;57001),AND(72500&lt;W1450,W1450&lt;75001)),$G1450,IF(OR(AND(27500&lt;W1450,W1450&lt;30001),AND(57000&lt;W1450,W1450&lt;60001),AND(75000&lt;W1450,W1450&lt;77500)),$H1450,VLOOKUP(W1450,BDins,6,FALSE)))))</f>
        <v>20.619999999999997</v>
      </c>
    </row>
    <row r="1453" spans="1:23" x14ac:dyDescent="0.2">
      <c r="O1453">
        <f t="shared" ref="O1453:W1453" si="208">IF($K1450&gt;0,ROUND(O1451*$E1450/100,DpCU),IF(O1454&gt;10000,ROUND(HLOOKUP(O1454,$O1450:$W1453,4,FALSE)/100*O1451,DpCU),IF(OR(O1450&lt;20001,O1450&gt;95000,AND(60000&lt;O1450,O1450&lt;70001)),ROUND(ROUND(O1451*JL/$C1450,DcCU)*O1452,DpCU),IF(OR(AND(20000&lt;O1450,O1450&lt;22501),AND(30000&lt;O1450,O1450&lt;50001),77500&lt;O1450),ROUND(O1452*O1451,DpCU),IF(OR(AND(22500&lt;O1450,O1450&lt;25001),AND(50000&lt;O1450,O1450&lt;53501),AND(70000&lt;O1450,O1450&lt;72501)),ROUND($F1450/100*O1451,DpCU),IF(OR(AND(25000&lt;O1450,O1450&lt;27501),AND(53500&lt;O1450,O1450&lt;57001),AND(72500&lt;O1450,O1450&lt;75001)),ROUND($G1450/100*O1451,DpCU),ROUND($H1450/100*O1451,DpCU)))))))</f>
        <v>1.33</v>
      </c>
      <c r="P1453">
        <f t="shared" si="208"/>
        <v>11.1</v>
      </c>
      <c r="Q1453">
        <f t="shared" si="208"/>
        <v>8.19</v>
      </c>
      <c r="R1453">
        <f t="shared" si="208"/>
        <v>1.1599999999999999</v>
      </c>
      <c r="S1453">
        <f t="shared" si="208"/>
        <v>1</v>
      </c>
      <c r="T1453">
        <f t="shared" si="208"/>
        <v>0.8</v>
      </c>
      <c r="U1453">
        <f t="shared" si="208"/>
        <v>0.8</v>
      </c>
      <c r="V1453">
        <f t="shared" si="208"/>
        <v>0.9</v>
      </c>
      <c r="W1453">
        <f t="shared" si="208"/>
        <v>1.03</v>
      </c>
    </row>
    <row r="1454" spans="1:23" x14ac:dyDescent="0.2">
      <c r="B1454" s="3" t="str">
        <f>A1450&amp;"r"</f>
        <v>10290r</v>
      </c>
    </row>
    <row r="1455" spans="1:23" x14ac:dyDescent="0.2">
      <c r="A1455">
        <v>10291</v>
      </c>
      <c r="B1455" s="3" t="s">
        <v>1446</v>
      </c>
      <c r="C1455" s="1">
        <f>ROUND(J1455*JL*Frto/8,4)</f>
        <v>15</v>
      </c>
      <c r="D1455" t="s">
        <v>7</v>
      </c>
      <c r="E1455">
        <f>SUM($O1458:$W1458)</f>
        <v>26.31</v>
      </c>
      <c r="F1455">
        <f>SUMIF($O1455:$W1455,"&lt;22501",$O1458:$W1458)</f>
        <v>20.619999999999997</v>
      </c>
      <c r="G1455">
        <f>SUMIFS($O1458:$W1458,$O1455:$W1455,"&gt;30000",$O1455:$W1455,"&lt;50001")</f>
        <v>4.66</v>
      </c>
      <c r="H1455">
        <f>SUMIFS($O1458:$W1458,$O1455:$W1455,"&gt;60000",$O1455:$W1455,"&lt;70001")</f>
        <v>0</v>
      </c>
      <c r="I1455">
        <v>9</v>
      </c>
      <c r="J1455">
        <v>15</v>
      </c>
      <c r="O1455">
        <v>10001</v>
      </c>
      <c r="P1455">
        <v>10002</v>
      </c>
      <c r="Q1455">
        <v>10003</v>
      </c>
      <c r="R1455">
        <v>30216</v>
      </c>
      <c r="S1455">
        <v>30319</v>
      </c>
      <c r="T1455">
        <v>30320</v>
      </c>
      <c r="U1455">
        <v>30321</v>
      </c>
      <c r="V1455">
        <v>30410</v>
      </c>
      <c r="W1455">
        <v>70001</v>
      </c>
    </row>
    <row r="1456" spans="1:23" x14ac:dyDescent="0.2">
      <c r="B1456" s="3" t="str">
        <f>A1455&amp;"C"</f>
        <v>10291C</v>
      </c>
      <c r="O1456">
        <v>0.1</v>
      </c>
      <c r="P1456">
        <v>1</v>
      </c>
      <c r="Q1456">
        <v>1</v>
      </c>
      <c r="R1456">
        <v>0.01</v>
      </c>
      <c r="S1456">
        <v>2</v>
      </c>
      <c r="T1456">
        <v>2</v>
      </c>
      <c r="U1456">
        <v>2</v>
      </c>
      <c r="V1456">
        <v>1</v>
      </c>
      <c r="W1456">
        <v>5</v>
      </c>
    </row>
    <row r="1457" spans="1:24" x14ac:dyDescent="0.2">
      <c r="O1457">
        <f>IF(O1459&gt;10000,HLOOKUP(O1459,N1455:$O1458,4,FALSE),IF(OR(AND(22500&lt;O1455,O1455&lt;25001),AND(50000&lt;O1455,O1455&lt;53501),AND(70000&lt;O1455,O1455&lt;72501)),$F1455,IF(OR(AND(25001&lt;O1455,O1455&lt;27501),AND(53500&lt;O1455,O1455&lt;57001),AND(72500&lt;O1455,O1455&lt;75001)),$G1455,IF(OR(AND(27500&lt;O1455,O1455&lt;30001),AND(57000&lt;O1455,O1455&lt;60001),AND(75000&lt;O1455,O1455&lt;77500)),$H1455,VLOOKUP(O1455,BDins,6,FALSE)))))</f>
        <v>24.97</v>
      </c>
      <c r="P1457">
        <f>IF(P1459&gt;10000,HLOOKUP(P1459,O1455:$O1458,4,FALSE),IF(OR(AND(22500&lt;P1455,P1455&lt;25001),AND(50000&lt;P1455,P1455&lt;53501),AND(70000&lt;P1455,P1455&lt;72501)),$F1455,IF(OR(AND(25001&lt;P1455,P1455&lt;27501),AND(53500&lt;P1455,P1455&lt;57001),AND(72500&lt;P1455,P1455&lt;75001)),$G1455,IF(OR(AND(27500&lt;P1455,P1455&lt;30001),AND(57000&lt;P1455,P1455&lt;60001),AND(75000&lt;P1455,P1455&lt;77500)),$H1455,VLOOKUP(P1455,BDins,6,FALSE)))))</f>
        <v>20.81</v>
      </c>
      <c r="Q1457">
        <f>IF(Q1459&gt;10000,HLOOKUP(Q1459,$O1455:P1458,4,FALSE),IF(OR(AND(22500&lt;Q1455,Q1455&lt;25001),AND(50000&lt;Q1455,Q1455&lt;53501),AND(70000&lt;Q1455,Q1455&lt;72501)),$F1455,IF(OR(AND(25001&lt;Q1455,Q1455&lt;27501),AND(53500&lt;Q1455,Q1455&lt;57001),AND(72500&lt;Q1455,Q1455&lt;75001)),$G1455,IF(OR(AND(27500&lt;Q1455,Q1455&lt;30001),AND(57000&lt;Q1455,Q1455&lt;60001),AND(75000&lt;Q1455,Q1455&lt;77500)),$H1455,VLOOKUP(Q1455,BDins,6,FALSE)))))</f>
        <v>15.36</v>
      </c>
      <c r="R1457">
        <f>IF(R1459&gt;10000,HLOOKUP(R1459,$O1455:Q1458,4,FALSE),IF(OR(AND(22500&lt;R1455,R1455&lt;25001),AND(50000&lt;R1455,R1455&lt;53501),AND(70000&lt;R1455,R1455&lt;72501)),$F1455,IF(OR(AND(25001&lt;R1455,R1455&lt;27501),AND(53500&lt;R1455,R1455&lt;57001),AND(72500&lt;R1455,R1455&lt;75001)),$G1455,IF(OR(AND(27500&lt;R1455,R1455&lt;30001),AND(57000&lt;R1455,R1455&lt;60001),AND(75000&lt;R1455,R1455&lt;77500)),$H1455,VLOOKUP(R1455,BDins,6,FALSE)))))</f>
        <v>116</v>
      </c>
      <c r="S1457">
        <f>IF(S1459&gt;10000,HLOOKUP(S1459,$O1455:R1458,4,FALSE),IF(OR(AND(22500&lt;S1455,S1455&lt;25001),AND(50000&lt;S1455,S1455&lt;53501),AND(70000&lt;S1455,S1455&lt;72501)),$F1455,IF(OR(AND(25001&lt;S1455,S1455&lt;27501),AND(53500&lt;S1455,S1455&lt;57001),AND(72500&lt;S1455,S1455&lt;75001)),$G1455,IF(OR(AND(27500&lt;S1455,S1455&lt;30001),AND(57000&lt;S1455,S1455&lt;60001),AND(75000&lt;S1455,S1455&lt;77500)),$H1455,VLOOKUP(S1455,BDins,6,FALSE)))))</f>
        <v>0.5</v>
      </c>
      <c r="T1457">
        <f>IF(T1459&gt;10000,HLOOKUP(T1459,$O1455:S1458,4,FALSE),IF(OR(AND(22500&lt;T1455,T1455&lt;25001),AND(50000&lt;T1455,T1455&lt;53501),AND(70000&lt;T1455,T1455&lt;72501)),$F1455,IF(OR(AND(25001&lt;T1455,T1455&lt;27501),AND(53500&lt;T1455,T1455&lt;57001),AND(72500&lt;T1455,T1455&lt;75001)),$G1455,IF(OR(AND(27500&lt;T1455,T1455&lt;30001),AND(57000&lt;T1455,T1455&lt;60001),AND(75000&lt;T1455,T1455&lt;77500)),$H1455,VLOOKUP(T1455,BDins,6,FALSE)))))</f>
        <v>0.4</v>
      </c>
      <c r="U1457">
        <f>IF(U1459&gt;10000,HLOOKUP(U1459,$O1455:T1458,4,FALSE),IF(OR(AND(22500&lt;U1455,U1455&lt;25001),AND(50000&lt;U1455,U1455&lt;53501),AND(70000&lt;U1455,U1455&lt;72501)),$F1455,IF(OR(AND(25001&lt;U1455,U1455&lt;27501),AND(53500&lt;U1455,U1455&lt;57001),AND(72500&lt;U1455,U1455&lt;75001)),$G1455,IF(OR(AND(27500&lt;U1455,U1455&lt;30001),AND(57000&lt;U1455,U1455&lt;60001),AND(75000&lt;U1455,U1455&lt;77500)),$H1455,VLOOKUP(U1455,BDins,6,FALSE)))))</f>
        <v>0.4</v>
      </c>
      <c r="V1457">
        <f>IF(V1459&gt;10000,HLOOKUP(V1459,$O1455:U1458,4,FALSE),IF(OR(AND(22500&lt;V1455,V1455&lt;25001),AND(50000&lt;V1455,V1455&lt;53501),AND(70000&lt;V1455,V1455&lt;72501)),$F1455,IF(OR(AND(25001&lt;V1455,V1455&lt;27501),AND(53500&lt;V1455,V1455&lt;57001),AND(72500&lt;V1455,V1455&lt;75001)),$G1455,IF(OR(AND(27500&lt;V1455,V1455&lt;30001),AND(57000&lt;V1455,V1455&lt;60001),AND(75000&lt;V1455,V1455&lt;77500)),$H1455,VLOOKUP(V1455,BDins,6,FALSE)))))</f>
        <v>0.9</v>
      </c>
      <c r="W1457">
        <f>IF(W1459&gt;10000,HLOOKUP(W1459,$O1455:V1458,4,FALSE),IF(OR(AND(22500&lt;W1455,W1455&lt;25001),AND(50000&lt;W1455,W1455&lt;53501),AND(70000&lt;W1455,W1455&lt;72501)),$F1455,IF(OR(AND(25001&lt;W1455,W1455&lt;27501),AND(53500&lt;W1455,W1455&lt;57001),AND(72500&lt;W1455,W1455&lt;75001)),$G1455,IF(OR(AND(27500&lt;W1455,W1455&lt;30001),AND(57000&lt;W1455,W1455&lt;60001),AND(75000&lt;W1455,W1455&lt;77500)),$H1455,VLOOKUP(W1455,BDins,6,FALSE)))))</f>
        <v>20.619999999999997</v>
      </c>
    </row>
    <row r="1458" spans="1:24" x14ac:dyDescent="0.2">
      <c r="O1458">
        <f t="shared" ref="O1458:W1458" si="209">IF($K1455&gt;0,ROUND(O1456*$E1455/100,DpCU),IF(O1459&gt;10000,ROUND(HLOOKUP(O1459,$O1455:$W1458,4,FALSE)/100*O1456,DpCU),IF(OR(O1455&lt;20001,O1455&gt;95000,AND(60000&lt;O1455,O1455&lt;70001)),ROUND(ROUND(O1456*JL/$C1455,DcCU)*O1457,DpCU),IF(OR(AND(20000&lt;O1455,O1455&lt;22501),AND(30000&lt;O1455,O1455&lt;50001),77500&lt;O1455),ROUND(O1457*O1456,DpCU),IF(OR(AND(22500&lt;O1455,O1455&lt;25001),AND(50000&lt;O1455,O1455&lt;53501),AND(70000&lt;O1455,O1455&lt;72501)),ROUND($F1455/100*O1456,DpCU),IF(OR(AND(25000&lt;O1455,O1455&lt;27501),AND(53500&lt;O1455,O1455&lt;57001),AND(72500&lt;O1455,O1455&lt;75001)),ROUND($G1455/100*O1456,DpCU),ROUND($H1455/100*O1456,DpCU)))))))</f>
        <v>1.33</v>
      </c>
      <c r="P1458">
        <f t="shared" si="209"/>
        <v>11.1</v>
      </c>
      <c r="Q1458">
        <f t="shared" si="209"/>
        <v>8.19</v>
      </c>
      <c r="R1458">
        <f t="shared" si="209"/>
        <v>1.1599999999999999</v>
      </c>
      <c r="S1458">
        <f t="shared" si="209"/>
        <v>1</v>
      </c>
      <c r="T1458">
        <f t="shared" si="209"/>
        <v>0.8</v>
      </c>
      <c r="U1458">
        <f t="shared" si="209"/>
        <v>0.8</v>
      </c>
      <c r="V1458">
        <f t="shared" si="209"/>
        <v>0.9</v>
      </c>
      <c r="W1458">
        <f t="shared" si="209"/>
        <v>1.03</v>
      </c>
    </row>
    <row r="1459" spans="1:24" x14ac:dyDescent="0.2">
      <c r="B1459" s="3" t="str">
        <f>A1455&amp;"r"</f>
        <v>10291r</v>
      </c>
    </row>
    <row r="1460" spans="1:24" x14ac:dyDescent="0.2">
      <c r="A1460">
        <v>10292</v>
      </c>
      <c r="B1460" s="3" t="s">
        <v>1448</v>
      </c>
      <c r="C1460" s="1">
        <f>ROUND(J1460*JL*Frto/8,4)</f>
        <v>15</v>
      </c>
      <c r="D1460" t="s">
        <v>7</v>
      </c>
      <c r="E1460">
        <f>SUM($O1463:$W1463)</f>
        <v>31.41</v>
      </c>
      <c r="F1460">
        <f>SUMIF($O1460:$W1460,"&lt;22501",$O1463:$W1463)</f>
        <v>20.619999999999997</v>
      </c>
      <c r="G1460">
        <f>SUMIFS($O1463:$W1463,$O1460:$W1460,"&gt;30000",$O1460:$W1460,"&lt;50001")</f>
        <v>9.76</v>
      </c>
      <c r="H1460">
        <f>SUMIFS($O1463:$W1463,$O1460:$W1460,"&gt;60000",$O1460:$W1460,"&lt;70001")</f>
        <v>0</v>
      </c>
      <c r="I1460">
        <v>9</v>
      </c>
      <c r="J1460">
        <v>15</v>
      </c>
      <c r="O1460">
        <v>10001</v>
      </c>
      <c r="P1460">
        <v>10002</v>
      </c>
      <c r="Q1460">
        <v>10003</v>
      </c>
      <c r="R1460">
        <v>30216</v>
      </c>
      <c r="S1460">
        <v>30319</v>
      </c>
      <c r="T1460">
        <v>30320</v>
      </c>
      <c r="U1460">
        <v>30321</v>
      </c>
      <c r="V1460">
        <v>30411</v>
      </c>
      <c r="W1460">
        <v>70001</v>
      </c>
    </row>
    <row r="1461" spans="1:24" x14ac:dyDescent="0.2">
      <c r="B1461" s="3" t="str">
        <f>A1460&amp;"C"</f>
        <v>10292C</v>
      </c>
      <c r="O1461">
        <v>0.1</v>
      </c>
      <c r="P1461">
        <v>1</v>
      </c>
      <c r="Q1461">
        <v>1</v>
      </c>
      <c r="R1461">
        <v>0.01</v>
      </c>
      <c r="S1461">
        <v>2</v>
      </c>
      <c r="T1461">
        <v>2</v>
      </c>
      <c r="U1461">
        <v>2</v>
      </c>
      <c r="V1461">
        <v>1</v>
      </c>
      <c r="W1461">
        <v>5</v>
      </c>
    </row>
    <row r="1462" spans="1:24" x14ac:dyDescent="0.2">
      <c r="O1462">
        <f>IF(O1464&gt;10000,HLOOKUP(O1464,N1460:$O1463,4,FALSE),IF(OR(AND(22500&lt;O1460,O1460&lt;25001),AND(50000&lt;O1460,O1460&lt;53501),AND(70000&lt;O1460,O1460&lt;72501)),$F1460,IF(OR(AND(25001&lt;O1460,O1460&lt;27501),AND(53500&lt;O1460,O1460&lt;57001),AND(72500&lt;O1460,O1460&lt;75001)),$G1460,IF(OR(AND(27500&lt;O1460,O1460&lt;30001),AND(57000&lt;O1460,O1460&lt;60001),AND(75000&lt;O1460,O1460&lt;77500)),$H1460,VLOOKUP(O1460,BDins,6,FALSE)))))</f>
        <v>24.97</v>
      </c>
      <c r="P1462">
        <f>IF(P1464&gt;10000,HLOOKUP(P1464,O1460:$O1463,4,FALSE),IF(OR(AND(22500&lt;P1460,P1460&lt;25001),AND(50000&lt;P1460,P1460&lt;53501),AND(70000&lt;P1460,P1460&lt;72501)),$F1460,IF(OR(AND(25001&lt;P1460,P1460&lt;27501),AND(53500&lt;P1460,P1460&lt;57001),AND(72500&lt;P1460,P1460&lt;75001)),$G1460,IF(OR(AND(27500&lt;P1460,P1460&lt;30001),AND(57000&lt;P1460,P1460&lt;60001),AND(75000&lt;P1460,P1460&lt;77500)),$H1460,VLOOKUP(P1460,BDins,6,FALSE)))))</f>
        <v>20.81</v>
      </c>
      <c r="Q1462">
        <f>IF(Q1464&gt;10000,HLOOKUP(Q1464,$O1460:P1463,4,FALSE),IF(OR(AND(22500&lt;Q1460,Q1460&lt;25001),AND(50000&lt;Q1460,Q1460&lt;53501),AND(70000&lt;Q1460,Q1460&lt;72501)),$F1460,IF(OR(AND(25001&lt;Q1460,Q1460&lt;27501),AND(53500&lt;Q1460,Q1460&lt;57001),AND(72500&lt;Q1460,Q1460&lt;75001)),$G1460,IF(OR(AND(27500&lt;Q1460,Q1460&lt;30001),AND(57000&lt;Q1460,Q1460&lt;60001),AND(75000&lt;Q1460,Q1460&lt;77500)),$H1460,VLOOKUP(Q1460,BDins,6,FALSE)))))</f>
        <v>15.36</v>
      </c>
      <c r="R1462">
        <f>IF(R1464&gt;10000,HLOOKUP(R1464,$O1460:Q1463,4,FALSE),IF(OR(AND(22500&lt;R1460,R1460&lt;25001),AND(50000&lt;R1460,R1460&lt;53501),AND(70000&lt;R1460,R1460&lt;72501)),$F1460,IF(OR(AND(25001&lt;R1460,R1460&lt;27501),AND(53500&lt;R1460,R1460&lt;57001),AND(72500&lt;R1460,R1460&lt;75001)),$G1460,IF(OR(AND(27500&lt;R1460,R1460&lt;30001),AND(57000&lt;R1460,R1460&lt;60001),AND(75000&lt;R1460,R1460&lt;77500)),$H1460,VLOOKUP(R1460,BDins,6,FALSE)))))</f>
        <v>116</v>
      </c>
      <c r="S1462">
        <f>IF(S1464&gt;10000,HLOOKUP(S1464,$O1460:R1463,4,FALSE),IF(OR(AND(22500&lt;S1460,S1460&lt;25001),AND(50000&lt;S1460,S1460&lt;53501),AND(70000&lt;S1460,S1460&lt;72501)),$F1460,IF(OR(AND(25001&lt;S1460,S1460&lt;27501),AND(53500&lt;S1460,S1460&lt;57001),AND(72500&lt;S1460,S1460&lt;75001)),$G1460,IF(OR(AND(27500&lt;S1460,S1460&lt;30001),AND(57000&lt;S1460,S1460&lt;60001),AND(75000&lt;S1460,S1460&lt;77500)),$H1460,VLOOKUP(S1460,BDins,6,FALSE)))))</f>
        <v>0.5</v>
      </c>
      <c r="T1462">
        <f>IF(T1464&gt;10000,HLOOKUP(T1464,$O1460:S1463,4,FALSE),IF(OR(AND(22500&lt;T1460,T1460&lt;25001),AND(50000&lt;T1460,T1460&lt;53501),AND(70000&lt;T1460,T1460&lt;72501)),$F1460,IF(OR(AND(25001&lt;T1460,T1460&lt;27501),AND(53500&lt;T1460,T1460&lt;57001),AND(72500&lt;T1460,T1460&lt;75001)),$G1460,IF(OR(AND(27500&lt;T1460,T1460&lt;30001),AND(57000&lt;T1460,T1460&lt;60001),AND(75000&lt;T1460,T1460&lt;77500)),$H1460,VLOOKUP(T1460,BDins,6,FALSE)))))</f>
        <v>0.4</v>
      </c>
      <c r="U1462">
        <f>IF(U1464&gt;10000,HLOOKUP(U1464,$O1460:T1463,4,FALSE),IF(OR(AND(22500&lt;U1460,U1460&lt;25001),AND(50000&lt;U1460,U1460&lt;53501),AND(70000&lt;U1460,U1460&lt;72501)),$F1460,IF(OR(AND(25001&lt;U1460,U1460&lt;27501),AND(53500&lt;U1460,U1460&lt;57001),AND(72500&lt;U1460,U1460&lt;75001)),$G1460,IF(OR(AND(27500&lt;U1460,U1460&lt;30001),AND(57000&lt;U1460,U1460&lt;60001),AND(75000&lt;U1460,U1460&lt;77500)),$H1460,VLOOKUP(U1460,BDins,6,FALSE)))))</f>
        <v>0.4</v>
      </c>
      <c r="V1462">
        <f>IF(V1464&gt;10000,HLOOKUP(V1464,$O1460:U1463,4,FALSE),IF(OR(AND(22500&lt;V1460,V1460&lt;25001),AND(50000&lt;V1460,V1460&lt;53501),AND(70000&lt;V1460,V1460&lt;72501)),$F1460,IF(OR(AND(25001&lt;V1460,V1460&lt;27501),AND(53500&lt;V1460,V1460&lt;57001),AND(72500&lt;V1460,V1460&lt;75001)),$G1460,IF(OR(AND(27500&lt;V1460,V1460&lt;30001),AND(57000&lt;V1460,V1460&lt;60001),AND(75000&lt;V1460,V1460&lt;77500)),$H1460,VLOOKUP(V1460,BDins,6,FALSE)))))</f>
        <v>6</v>
      </c>
      <c r="W1462">
        <f>IF(W1464&gt;10000,HLOOKUP(W1464,$O1460:V1463,4,FALSE),IF(OR(AND(22500&lt;W1460,W1460&lt;25001),AND(50000&lt;W1460,W1460&lt;53501),AND(70000&lt;W1460,W1460&lt;72501)),$F1460,IF(OR(AND(25001&lt;W1460,W1460&lt;27501),AND(53500&lt;W1460,W1460&lt;57001),AND(72500&lt;W1460,W1460&lt;75001)),$G1460,IF(OR(AND(27500&lt;W1460,W1460&lt;30001),AND(57000&lt;W1460,W1460&lt;60001),AND(75000&lt;W1460,W1460&lt;77500)),$H1460,VLOOKUP(W1460,BDins,6,FALSE)))))</f>
        <v>20.619999999999997</v>
      </c>
    </row>
    <row r="1463" spans="1:24" x14ac:dyDescent="0.2">
      <c r="O1463">
        <f t="shared" ref="O1463:W1463" si="210">IF($K1460&gt;0,ROUND(O1461*$E1460/100,DpCU),IF(O1464&gt;10000,ROUND(HLOOKUP(O1464,$O1460:$W1463,4,FALSE)/100*O1461,DpCU),IF(OR(O1460&lt;20001,O1460&gt;95000,AND(60000&lt;O1460,O1460&lt;70001)),ROUND(ROUND(O1461*JL/$C1460,DcCU)*O1462,DpCU),IF(OR(AND(20000&lt;O1460,O1460&lt;22501),AND(30000&lt;O1460,O1460&lt;50001),77500&lt;O1460),ROUND(O1462*O1461,DpCU),IF(OR(AND(22500&lt;O1460,O1460&lt;25001),AND(50000&lt;O1460,O1460&lt;53501),AND(70000&lt;O1460,O1460&lt;72501)),ROUND($F1460/100*O1461,DpCU),IF(OR(AND(25000&lt;O1460,O1460&lt;27501),AND(53500&lt;O1460,O1460&lt;57001),AND(72500&lt;O1460,O1460&lt;75001)),ROUND($G1460/100*O1461,DpCU),ROUND($H1460/100*O1461,DpCU)))))))</f>
        <v>1.33</v>
      </c>
      <c r="P1463">
        <f t="shared" si="210"/>
        <v>11.1</v>
      </c>
      <c r="Q1463">
        <f t="shared" si="210"/>
        <v>8.19</v>
      </c>
      <c r="R1463">
        <f t="shared" si="210"/>
        <v>1.1599999999999999</v>
      </c>
      <c r="S1463">
        <f t="shared" si="210"/>
        <v>1</v>
      </c>
      <c r="T1463">
        <f t="shared" si="210"/>
        <v>0.8</v>
      </c>
      <c r="U1463">
        <f t="shared" si="210"/>
        <v>0.8</v>
      </c>
      <c r="V1463">
        <f t="shared" si="210"/>
        <v>6</v>
      </c>
      <c r="W1463">
        <f t="shared" si="210"/>
        <v>1.03</v>
      </c>
    </row>
    <row r="1464" spans="1:24" x14ac:dyDescent="0.2">
      <c r="B1464" s="3" t="str">
        <f>A1460&amp;"r"</f>
        <v>10292r</v>
      </c>
    </row>
    <row r="1465" spans="1:24" x14ac:dyDescent="0.2">
      <c r="A1465">
        <v>10293</v>
      </c>
      <c r="B1465" s="3" t="s">
        <v>1460</v>
      </c>
      <c r="C1465" s="1">
        <f>ROUND(J1465*JL*Frto/8,4)</f>
        <v>15</v>
      </c>
      <c r="D1465" t="s">
        <v>7</v>
      </c>
      <c r="E1465">
        <f>SUM($O1468:$X1468)</f>
        <v>31.229999999999997</v>
      </c>
      <c r="F1465">
        <f>SUMIF($O1465:$X1465,"&lt;22501",$O1468:$X1468)</f>
        <v>20.619999999999997</v>
      </c>
      <c r="G1465">
        <f>SUMIFS($O1468:$X1468,$O1465:$X1465,"&gt;30000",$O1465:$X1465,"&lt;50001")</f>
        <v>9.58</v>
      </c>
      <c r="H1465">
        <f>SUMIFS($O1468:$X1468,$O1465:$X1465,"&gt;60000",$O1465:$X1465,"&lt;70001")</f>
        <v>0</v>
      </c>
      <c r="I1465">
        <v>10</v>
      </c>
      <c r="J1465">
        <v>15</v>
      </c>
      <c r="O1465">
        <v>10001</v>
      </c>
      <c r="P1465">
        <v>10002</v>
      </c>
      <c r="Q1465">
        <v>10003</v>
      </c>
      <c r="R1465">
        <v>30216</v>
      </c>
      <c r="S1465">
        <v>30319</v>
      </c>
      <c r="T1465">
        <v>30320</v>
      </c>
      <c r="U1465">
        <v>30321</v>
      </c>
      <c r="V1465">
        <v>30358</v>
      </c>
      <c r="W1465">
        <v>30412</v>
      </c>
      <c r="X1465">
        <v>70001</v>
      </c>
    </row>
    <row r="1466" spans="1:24" x14ac:dyDescent="0.2">
      <c r="B1466" s="3" t="str">
        <f>A1465&amp;"C"</f>
        <v>10293C</v>
      </c>
      <c r="O1466">
        <v>0.1</v>
      </c>
      <c r="P1466">
        <v>1</v>
      </c>
      <c r="Q1466">
        <v>1</v>
      </c>
      <c r="R1466">
        <v>5.0000000000000001E-3</v>
      </c>
      <c r="S1466">
        <v>2</v>
      </c>
      <c r="T1466">
        <v>1</v>
      </c>
      <c r="U1466">
        <v>1.5</v>
      </c>
      <c r="V1466">
        <v>1</v>
      </c>
      <c r="W1466">
        <v>1</v>
      </c>
      <c r="X1466">
        <v>5</v>
      </c>
    </row>
    <row r="1467" spans="1:24" x14ac:dyDescent="0.2">
      <c r="O1467">
        <f>IF(O1469&gt;10000,HLOOKUP(O1469,N1465:$O1468,4,FALSE),IF(OR(AND(22500&lt;O1465,O1465&lt;25001),AND(50000&lt;O1465,O1465&lt;53501),AND(70000&lt;O1465,O1465&lt;72501)),$F1465,IF(OR(AND(25001&lt;O1465,O1465&lt;27501),AND(53500&lt;O1465,O1465&lt;57001),AND(72500&lt;O1465,O1465&lt;75001)),$G1465,IF(OR(AND(27500&lt;O1465,O1465&lt;30001),AND(57000&lt;O1465,O1465&lt;60001),AND(75000&lt;O1465,O1465&lt;77500)),$H1465,VLOOKUP(O1465,BDins,6,FALSE)))))</f>
        <v>24.97</v>
      </c>
      <c r="P1467">
        <f>IF(P1469&gt;10000,HLOOKUP(P1469,O1465:$O1468,4,FALSE),IF(OR(AND(22500&lt;P1465,P1465&lt;25001),AND(50000&lt;P1465,P1465&lt;53501),AND(70000&lt;P1465,P1465&lt;72501)),$F1465,IF(OR(AND(25001&lt;P1465,P1465&lt;27501),AND(53500&lt;P1465,P1465&lt;57001),AND(72500&lt;P1465,P1465&lt;75001)),$G1465,IF(OR(AND(27500&lt;P1465,P1465&lt;30001),AND(57000&lt;P1465,P1465&lt;60001),AND(75000&lt;P1465,P1465&lt;77500)),$H1465,VLOOKUP(P1465,BDins,6,FALSE)))))</f>
        <v>20.81</v>
      </c>
      <c r="Q1467">
        <f>IF(Q1469&gt;10000,HLOOKUP(Q1469,$O1465:P1468,4,FALSE),IF(OR(AND(22500&lt;Q1465,Q1465&lt;25001),AND(50000&lt;Q1465,Q1465&lt;53501),AND(70000&lt;Q1465,Q1465&lt;72501)),$F1465,IF(OR(AND(25001&lt;Q1465,Q1465&lt;27501),AND(53500&lt;Q1465,Q1465&lt;57001),AND(72500&lt;Q1465,Q1465&lt;75001)),$G1465,IF(OR(AND(27500&lt;Q1465,Q1465&lt;30001),AND(57000&lt;Q1465,Q1465&lt;60001),AND(75000&lt;Q1465,Q1465&lt;77500)),$H1465,VLOOKUP(Q1465,BDins,6,FALSE)))))</f>
        <v>15.36</v>
      </c>
      <c r="R1467">
        <f>IF(R1469&gt;10000,HLOOKUP(R1469,$O1465:Q1468,4,FALSE),IF(OR(AND(22500&lt;R1465,R1465&lt;25001),AND(50000&lt;R1465,R1465&lt;53501),AND(70000&lt;R1465,R1465&lt;72501)),$F1465,IF(OR(AND(25001&lt;R1465,R1465&lt;27501),AND(53500&lt;R1465,R1465&lt;57001),AND(72500&lt;R1465,R1465&lt;75001)),$G1465,IF(OR(AND(27500&lt;R1465,R1465&lt;30001),AND(57000&lt;R1465,R1465&lt;60001),AND(75000&lt;R1465,R1465&lt;77500)),$H1465,VLOOKUP(R1465,BDins,6,FALSE)))))</f>
        <v>116</v>
      </c>
      <c r="S1467">
        <f>IF(S1469&gt;10000,HLOOKUP(S1469,$O1465:R1468,4,FALSE),IF(OR(AND(22500&lt;S1465,S1465&lt;25001),AND(50000&lt;S1465,S1465&lt;53501),AND(70000&lt;S1465,S1465&lt;72501)),$F1465,IF(OR(AND(25001&lt;S1465,S1465&lt;27501),AND(53500&lt;S1465,S1465&lt;57001),AND(72500&lt;S1465,S1465&lt;75001)),$G1465,IF(OR(AND(27500&lt;S1465,S1465&lt;30001),AND(57000&lt;S1465,S1465&lt;60001),AND(75000&lt;S1465,S1465&lt;77500)),$H1465,VLOOKUP(S1465,BDins,6,FALSE)))))</f>
        <v>0.5</v>
      </c>
      <c r="T1467">
        <f>IF(T1469&gt;10000,HLOOKUP(T1469,$O1465:S1468,4,FALSE),IF(OR(AND(22500&lt;T1465,T1465&lt;25001),AND(50000&lt;T1465,T1465&lt;53501),AND(70000&lt;T1465,T1465&lt;72501)),$F1465,IF(OR(AND(25001&lt;T1465,T1465&lt;27501),AND(53500&lt;T1465,T1465&lt;57001),AND(72500&lt;T1465,T1465&lt;75001)),$G1465,IF(OR(AND(27500&lt;T1465,T1465&lt;30001),AND(57000&lt;T1465,T1465&lt;60001),AND(75000&lt;T1465,T1465&lt;77500)),$H1465,VLOOKUP(T1465,BDins,6,FALSE)))))</f>
        <v>0.4</v>
      </c>
      <c r="U1467">
        <f>IF(U1469&gt;10000,HLOOKUP(U1469,$O1465:T1468,4,FALSE),IF(OR(AND(22500&lt;U1465,U1465&lt;25001),AND(50000&lt;U1465,U1465&lt;53501),AND(70000&lt;U1465,U1465&lt;72501)),$F1465,IF(OR(AND(25001&lt;U1465,U1465&lt;27501),AND(53500&lt;U1465,U1465&lt;57001),AND(72500&lt;U1465,U1465&lt;75001)),$G1465,IF(OR(AND(27500&lt;U1465,U1465&lt;30001),AND(57000&lt;U1465,U1465&lt;60001),AND(75000&lt;U1465,U1465&lt;77500)),$H1465,VLOOKUP(U1465,BDins,6,FALSE)))))</f>
        <v>0.4</v>
      </c>
      <c r="V1467">
        <f>IF(V1469&gt;10000,HLOOKUP(V1469,$O1465:U1468,4,FALSE),IF(OR(AND(22500&lt;V1465,V1465&lt;25001),AND(50000&lt;V1465,V1465&lt;53501),AND(70000&lt;V1465,V1465&lt;72501)),$F1465,IF(OR(AND(25001&lt;V1465,V1465&lt;27501),AND(53500&lt;V1465,V1465&lt;57001),AND(72500&lt;V1465,V1465&lt;75001)),$G1465,IF(OR(AND(27500&lt;V1465,V1465&lt;30001),AND(57000&lt;V1465,V1465&lt;60001),AND(75000&lt;V1465,V1465&lt;77500)),$H1465,VLOOKUP(V1465,BDins,6,FALSE)))))</f>
        <v>3.3</v>
      </c>
      <c r="W1467">
        <f>IF(W1469&gt;10000,HLOOKUP(W1469,$O1465:V1468,4,FALSE),IF(OR(AND(22500&lt;W1465,W1465&lt;25001),AND(50000&lt;W1465,W1465&lt;53501),AND(70000&lt;W1465,W1465&lt;72501)),$F1465,IF(OR(AND(25001&lt;W1465,W1465&lt;27501),AND(53500&lt;W1465,W1465&lt;57001),AND(72500&lt;W1465,W1465&lt;75001)),$G1465,IF(OR(AND(27500&lt;W1465,W1465&lt;30001),AND(57000&lt;W1465,W1465&lt;60001),AND(75000&lt;W1465,W1465&lt;77500)),$H1465,VLOOKUP(W1465,BDins,6,FALSE)))))</f>
        <v>3.7</v>
      </c>
      <c r="X1467">
        <f>IF(X1469&gt;10000,HLOOKUP(X1469,$O1465:W1468,4,FALSE),IF(OR(AND(22500&lt;X1465,X1465&lt;25001),AND(50000&lt;X1465,X1465&lt;53501),AND(70000&lt;X1465,X1465&lt;72501)),$F1465,IF(OR(AND(25001&lt;X1465,X1465&lt;27501),AND(53500&lt;X1465,X1465&lt;57001),AND(72500&lt;X1465,X1465&lt;75001)),$G1465,IF(OR(AND(27500&lt;X1465,X1465&lt;30001),AND(57000&lt;X1465,X1465&lt;60001),AND(75000&lt;X1465,X1465&lt;77500)),$H1465,VLOOKUP(X1465,BDins,6,FALSE)))))</f>
        <v>20.619999999999997</v>
      </c>
    </row>
    <row r="1468" spans="1:24" x14ac:dyDescent="0.2">
      <c r="O1468">
        <f t="shared" ref="O1468:X1468" si="211">IF($K1465&gt;0,ROUND(O1466*$E1465/100,DpCU),IF(O1469&gt;10000,ROUND(HLOOKUP(O1469,$O1465:$X1468,4,FALSE)/100*O1466,DpCU),IF(OR(O1465&lt;20001,O1465&gt;95000,AND(60000&lt;O1465,O1465&lt;70001)),ROUND(ROUND(O1466*JL/$C1465,DcCU)*O1467,DpCU),IF(OR(AND(20000&lt;O1465,O1465&lt;22501),AND(30000&lt;O1465,O1465&lt;50001),77500&lt;O1465),ROUND(O1467*O1466,DpCU),IF(OR(AND(22500&lt;O1465,O1465&lt;25001),AND(50000&lt;O1465,O1465&lt;53501),AND(70000&lt;O1465,O1465&lt;72501)),ROUND($F1465/100*O1466,DpCU),IF(OR(AND(25000&lt;O1465,O1465&lt;27501),AND(53500&lt;O1465,O1465&lt;57001),AND(72500&lt;O1465,O1465&lt;75001)),ROUND($G1465/100*O1466,DpCU),ROUND($H1465/100*O1466,DpCU)))))))</f>
        <v>1.33</v>
      </c>
      <c r="P1468">
        <f t="shared" si="211"/>
        <v>11.1</v>
      </c>
      <c r="Q1468">
        <f t="shared" si="211"/>
        <v>8.19</v>
      </c>
      <c r="R1468">
        <f t="shared" si="211"/>
        <v>0.57999999999999996</v>
      </c>
      <c r="S1468">
        <f t="shared" si="211"/>
        <v>1</v>
      </c>
      <c r="T1468">
        <f t="shared" si="211"/>
        <v>0.4</v>
      </c>
      <c r="U1468">
        <f t="shared" si="211"/>
        <v>0.6</v>
      </c>
      <c r="V1468">
        <f t="shared" si="211"/>
        <v>3.3</v>
      </c>
      <c r="W1468">
        <f t="shared" si="211"/>
        <v>3.7</v>
      </c>
      <c r="X1468">
        <f t="shared" si="211"/>
        <v>1.03</v>
      </c>
    </row>
    <row r="1469" spans="1:24" x14ac:dyDescent="0.2">
      <c r="B1469" s="3" t="str">
        <f>A1465&amp;"r"</f>
        <v>10293r</v>
      </c>
    </row>
    <row r="1470" spans="1:24" x14ac:dyDescent="0.2">
      <c r="A1470">
        <v>10294</v>
      </c>
      <c r="B1470" s="3" t="s">
        <v>1465</v>
      </c>
      <c r="C1470" s="1">
        <f>ROUND(J1470*JL*Frto/8,4)</f>
        <v>15</v>
      </c>
      <c r="D1470" t="s">
        <v>7</v>
      </c>
      <c r="E1470">
        <f>SUM($O1473:$X1473)</f>
        <v>30.009999999999998</v>
      </c>
      <c r="F1470">
        <f>SUMIF($O1470:$X1470,"&lt;22501",$O1473:$X1473)</f>
        <v>20.619999999999997</v>
      </c>
      <c r="G1470">
        <f>SUMIFS($O1473:$X1473,$O1470:$X1470,"&gt;30000",$O1470:$X1470,"&lt;50001")</f>
        <v>8.36</v>
      </c>
      <c r="H1470">
        <f>SUMIFS($O1473:$X1473,$O1470:$X1470,"&gt;60000",$O1470:$X1470,"&lt;70001")</f>
        <v>0</v>
      </c>
      <c r="I1470">
        <v>10</v>
      </c>
      <c r="J1470">
        <v>15</v>
      </c>
      <c r="O1470">
        <v>10001</v>
      </c>
      <c r="P1470">
        <v>10002</v>
      </c>
      <c r="Q1470">
        <v>10003</v>
      </c>
      <c r="R1470">
        <v>30216</v>
      </c>
      <c r="S1470">
        <v>30319</v>
      </c>
      <c r="T1470">
        <v>30320</v>
      </c>
      <c r="U1470">
        <v>30321</v>
      </c>
      <c r="V1470">
        <v>30410</v>
      </c>
      <c r="W1470">
        <v>30413</v>
      </c>
      <c r="X1470">
        <v>70001</v>
      </c>
    </row>
    <row r="1471" spans="1:24" x14ac:dyDescent="0.2">
      <c r="B1471" s="3" t="str">
        <f>A1470&amp;"C"</f>
        <v>10294C</v>
      </c>
      <c r="O1471">
        <v>0.1</v>
      </c>
      <c r="P1471">
        <v>1</v>
      </c>
      <c r="Q1471">
        <v>1</v>
      </c>
      <c r="R1471">
        <v>0.01</v>
      </c>
      <c r="S1471">
        <v>2</v>
      </c>
      <c r="T1471">
        <v>2</v>
      </c>
      <c r="U1471">
        <v>2</v>
      </c>
      <c r="V1471">
        <v>1</v>
      </c>
      <c r="W1471">
        <v>1</v>
      </c>
      <c r="X1471">
        <v>5</v>
      </c>
    </row>
    <row r="1472" spans="1:24" x14ac:dyDescent="0.2">
      <c r="O1472">
        <f>IF(O1474&gt;10000,HLOOKUP(O1474,N1470:$O1473,4,FALSE),IF(OR(AND(22500&lt;O1470,O1470&lt;25001),AND(50000&lt;O1470,O1470&lt;53501),AND(70000&lt;O1470,O1470&lt;72501)),$F1470,IF(OR(AND(25001&lt;O1470,O1470&lt;27501),AND(53500&lt;O1470,O1470&lt;57001),AND(72500&lt;O1470,O1470&lt;75001)),$G1470,IF(OR(AND(27500&lt;O1470,O1470&lt;30001),AND(57000&lt;O1470,O1470&lt;60001),AND(75000&lt;O1470,O1470&lt;77500)),$H1470,VLOOKUP(O1470,BDins,6,FALSE)))))</f>
        <v>24.97</v>
      </c>
      <c r="P1472">
        <f>IF(P1474&gt;10000,HLOOKUP(P1474,O1470:$O1473,4,FALSE),IF(OR(AND(22500&lt;P1470,P1470&lt;25001),AND(50000&lt;P1470,P1470&lt;53501),AND(70000&lt;P1470,P1470&lt;72501)),$F1470,IF(OR(AND(25001&lt;P1470,P1470&lt;27501),AND(53500&lt;P1470,P1470&lt;57001),AND(72500&lt;P1470,P1470&lt;75001)),$G1470,IF(OR(AND(27500&lt;P1470,P1470&lt;30001),AND(57000&lt;P1470,P1470&lt;60001),AND(75000&lt;P1470,P1470&lt;77500)),$H1470,VLOOKUP(P1470,BDins,6,FALSE)))))</f>
        <v>20.81</v>
      </c>
      <c r="Q1472">
        <f>IF(Q1474&gt;10000,HLOOKUP(Q1474,$O1470:P1473,4,FALSE),IF(OR(AND(22500&lt;Q1470,Q1470&lt;25001),AND(50000&lt;Q1470,Q1470&lt;53501),AND(70000&lt;Q1470,Q1470&lt;72501)),$F1470,IF(OR(AND(25001&lt;Q1470,Q1470&lt;27501),AND(53500&lt;Q1470,Q1470&lt;57001),AND(72500&lt;Q1470,Q1470&lt;75001)),$G1470,IF(OR(AND(27500&lt;Q1470,Q1470&lt;30001),AND(57000&lt;Q1470,Q1470&lt;60001),AND(75000&lt;Q1470,Q1470&lt;77500)),$H1470,VLOOKUP(Q1470,BDins,6,FALSE)))))</f>
        <v>15.36</v>
      </c>
      <c r="R1472">
        <f>IF(R1474&gt;10000,HLOOKUP(R1474,$O1470:Q1473,4,FALSE),IF(OR(AND(22500&lt;R1470,R1470&lt;25001),AND(50000&lt;R1470,R1470&lt;53501),AND(70000&lt;R1470,R1470&lt;72501)),$F1470,IF(OR(AND(25001&lt;R1470,R1470&lt;27501),AND(53500&lt;R1470,R1470&lt;57001),AND(72500&lt;R1470,R1470&lt;75001)),$G1470,IF(OR(AND(27500&lt;R1470,R1470&lt;30001),AND(57000&lt;R1470,R1470&lt;60001),AND(75000&lt;R1470,R1470&lt;77500)),$H1470,VLOOKUP(R1470,BDins,6,FALSE)))))</f>
        <v>116</v>
      </c>
      <c r="S1472">
        <f>IF(S1474&gt;10000,HLOOKUP(S1474,$O1470:R1473,4,FALSE),IF(OR(AND(22500&lt;S1470,S1470&lt;25001),AND(50000&lt;S1470,S1470&lt;53501),AND(70000&lt;S1470,S1470&lt;72501)),$F1470,IF(OR(AND(25001&lt;S1470,S1470&lt;27501),AND(53500&lt;S1470,S1470&lt;57001),AND(72500&lt;S1470,S1470&lt;75001)),$G1470,IF(OR(AND(27500&lt;S1470,S1470&lt;30001),AND(57000&lt;S1470,S1470&lt;60001),AND(75000&lt;S1470,S1470&lt;77500)),$H1470,VLOOKUP(S1470,BDins,6,FALSE)))))</f>
        <v>0.5</v>
      </c>
      <c r="T1472">
        <f>IF(T1474&gt;10000,HLOOKUP(T1474,$O1470:S1473,4,FALSE),IF(OR(AND(22500&lt;T1470,T1470&lt;25001),AND(50000&lt;T1470,T1470&lt;53501),AND(70000&lt;T1470,T1470&lt;72501)),$F1470,IF(OR(AND(25001&lt;T1470,T1470&lt;27501),AND(53500&lt;T1470,T1470&lt;57001),AND(72500&lt;T1470,T1470&lt;75001)),$G1470,IF(OR(AND(27500&lt;T1470,T1470&lt;30001),AND(57000&lt;T1470,T1470&lt;60001),AND(75000&lt;T1470,T1470&lt;77500)),$H1470,VLOOKUP(T1470,BDins,6,FALSE)))))</f>
        <v>0.4</v>
      </c>
      <c r="U1472">
        <f>IF(U1474&gt;10000,HLOOKUP(U1474,$O1470:T1473,4,FALSE),IF(OR(AND(22500&lt;U1470,U1470&lt;25001),AND(50000&lt;U1470,U1470&lt;53501),AND(70000&lt;U1470,U1470&lt;72501)),$F1470,IF(OR(AND(25001&lt;U1470,U1470&lt;27501),AND(53500&lt;U1470,U1470&lt;57001),AND(72500&lt;U1470,U1470&lt;75001)),$G1470,IF(OR(AND(27500&lt;U1470,U1470&lt;30001),AND(57000&lt;U1470,U1470&lt;60001),AND(75000&lt;U1470,U1470&lt;77500)),$H1470,VLOOKUP(U1470,BDins,6,FALSE)))))</f>
        <v>0.4</v>
      </c>
      <c r="V1472">
        <f>IF(V1474&gt;10000,HLOOKUP(V1474,$O1470:U1473,4,FALSE),IF(OR(AND(22500&lt;V1470,V1470&lt;25001),AND(50000&lt;V1470,V1470&lt;53501),AND(70000&lt;V1470,V1470&lt;72501)),$F1470,IF(OR(AND(25001&lt;V1470,V1470&lt;27501),AND(53500&lt;V1470,V1470&lt;57001),AND(72500&lt;V1470,V1470&lt;75001)),$G1470,IF(OR(AND(27500&lt;V1470,V1470&lt;30001),AND(57000&lt;V1470,V1470&lt;60001),AND(75000&lt;V1470,V1470&lt;77500)),$H1470,VLOOKUP(V1470,BDins,6,FALSE)))))</f>
        <v>0.9</v>
      </c>
      <c r="W1472">
        <f>IF(W1474&gt;10000,HLOOKUP(W1474,$O1470:V1473,4,FALSE),IF(OR(AND(22500&lt;W1470,W1470&lt;25001),AND(50000&lt;W1470,W1470&lt;53501),AND(70000&lt;W1470,W1470&lt;72501)),$F1470,IF(OR(AND(25001&lt;W1470,W1470&lt;27501),AND(53500&lt;W1470,W1470&lt;57001),AND(72500&lt;W1470,W1470&lt;75001)),$G1470,IF(OR(AND(27500&lt;W1470,W1470&lt;30001),AND(57000&lt;W1470,W1470&lt;60001),AND(75000&lt;W1470,W1470&lt;77500)),$H1470,VLOOKUP(W1470,BDins,6,FALSE)))))</f>
        <v>3.7</v>
      </c>
      <c r="X1472">
        <f>IF(X1474&gt;10000,HLOOKUP(X1474,$O1470:W1473,4,FALSE),IF(OR(AND(22500&lt;X1470,X1470&lt;25001),AND(50000&lt;X1470,X1470&lt;53501),AND(70000&lt;X1470,X1470&lt;72501)),$F1470,IF(OR(AND(25001&lt;X1470,X1470&lt;27501),AND(53500&lt;X1470,X1470&lt;57001),AND(72500&lt;X1470,X1470&lt;75001)),$G1470,IF(OR(AND(27500&lt;X1470,X1470&lt;30001),AND(57000&lt;X1470,X1470&lt;60001),AND(75000&lt;X1470,X1470&lt;77500)),$H1470,VLOOKUP(X1470,BDins,6,FALSE)))))</f>
        <v>20.619999999999997</v>
      </c>
    </row>
    <row r="1473" spans="1:24" x14ac:dyDescent="0.2">
      <c r="O1473">
        <f t="shared" ref="O1473:X1473" si="212">IF($K1470&gt;0,ROUND(O1471*$E1470/100,DpCU),IF(O1474&gt;10000,ROUND(HLOOKUP(O1474,$O1470:$X1473,4,FALSE)/100*O1471,DpCU),IF(OR(O1470&lt;20001,O1470&gt;95000,AND(60000&lt;O1470,O1470&lt;70001)),ROUND(ROUND(O1471*JL/$C1470,DcCU)*O1472,DpCU),IF(OR(AND(20000&lt;O1470,O1470&lt;22501),AND(30000&lt;O1470,O1470&lt;50001),77500&lt;O1470),ROUND(O1472*O1471,DpCU),IF(OR(AND(22500&lt;O1470,O1470&lt;25001),AND(50000&lt;O1470,O1470&lt;53501),AND(70000&lt;O1470,O1470&lt;72501)),ROUND($F1470/100*O1471,DpCU),IF(OR(AND(25000&lt;O1470,O1470&lt;27501),AND(53500&lt;O1470,O1470&lt;57001),AND(72500&lt;O1470,O1470&lt;75001)),ROUND($G1470/100*O1471,DpCU),ROUND($H1470/100*O1471,DpCU)))))))</f>
        <v>1.33</v>
      </c>
      <c r="P1473">
        <f t="shared" si="212"/>
        <v>11.1</v>
      </c>
      <c r="Q1473">
        <f t="shared" si="212"/>
        <v>8.19</v>
      </c>
      <c r="R1473">
        <f t="shared" si="212"/>
        <v>1.1599999999999999</v>
      </c>
      <c r="S1473">
        <f t="shared" si="212"/>
        <v>1</v>
      </c>
      <c r="T1473">
        <f t="shared" si="212"/>
        <v>0.8</v>
      </c>
      <c r="U1473">
        <f t="shared" si="212"/>
        <v>0.8</v>
      </c>
      <c r="V1473">
        <f t="shared" si="212"/>
        <v>0.9</v>
      </c>
      <c r="W1473">
        <f t="shared" si="212"/>
        <v>3.7</v>
      </c>
      <c r="X1473">
        <f t="shared" si="212"/>
        <v>1.03</v>
      </c>
    </row>
    <row r="1474" spans="1:24" x14ac:dyDescent="0.2">
      <c r="B1474" s="3" t="str">
        <f>A1470&amp;"r"</f>
        <v>10294r</v>
      </c>
    </row>
    <row r="1475" spans="1:24" x14ac:dyDescent="0.2">
      <c r="A1475">
        <v>10295</v>
      </c>
      <c r="B1475" s="3" t="s">
        <v>1470</v>
      </c>
      <c r="C1475" s="1">
        <f>ROUND(J1475*JL*Frto/8,4)</f>
        <v>15</v>
      </c>
      <c r="D1475" t="s">
        <v>7</v>
      </c>
      <c r="E1475">
        <f>SUM($O1478:$W1478)</f>
        <v>26.31</v>
      </c>
      <c r="F1475">
        <f>SUMIF($O1475:$W1475,"&lt;22501",$O1478:$W1478)</f>
        <v>20.619999999999997</v>
      </c>
      <c r="G1475">
        <f>SUMIFS($O1478:$W1478,$O1475:$W1475,"&gt;30000",$O1475:$W1475,"&lt;50001")</f>
        <v>4.66</v>
      </c>
      <c r="H1475">
        <f>SUMIFS($O1478:$W1478,$O1475:$W1475,"&gt;60000",$O1475:$W1475,"&lt;70001")</f>
        <v>0</v>
      </c>
      <c r="I1475">
        <v>9</v>
      </c>
      <c r="J1475">
        <v>15</v>
      </c>
      <c r="O1475">
        <v>10001</v>
      </c>
      <c r="P1475">
        <v>10002</v>
      </c>
      <c r="Q1475">
        <v>10003</v>
      </c>
      <c r="R1475">
        <v>30216</v>
      </c>
      <c r="S1475">
        <v>30319</v>
      </c>
      <c r="T1475">
        <v>30320</v>
      </c>
      <c r="U1475">
        <v>30321</v>
      </c>
      <c r="V1475">
        <v>30410</v>
      </c>
      <c r="W1475">
        <v>70001</v>
      </c>
    </row>
    <row r="1476" spans="1:24" x14ac:dyDescent="0.2">
      <c r="B1476" s="3" t="str">
        <f>A1475&amp;"C"</f>
        <v>10295C</v>
      </c>
      <c r="O1476">
        <v>0.1</v>
      </c>
      <c r="P1476">
        <v>1</v>
      </c>
      <c r="Q1476">
        <v>1</v>
      </c>
      <c r="R1476">
        <v>0.01</v>
      </c>
      <c r="S1476">
        <v>2</v>
      </c>
      <c r="T1476">
        <v>2</v>
      </c>
      <c r="U1476">
        <v>2</v>
      </c>
      <c r="V1476">
        <v>1</v>
      </c>
      <c r="W1476">
        <v>5</v>
      </c>
    </row>
    <row r="1477" spans="1:24" x14ac:dyDescent="0.2">
      <c r="O1477">
        <f>IF(O1479&gt;10000,HLOOKUP(O1479,N1475:$O1478,4,FALSE),IF(OR(AND(22500&lt;O1475,O1475&lt;25001),AND(50000&lt;O1475,O1475&lt;53501),AND(70000&lt;O1475,O1475&lt;72501)),$F1475,IF(OR(AND(25001&lt;O1475,O1475&lt;27501),AND(53500&lt;O1475,O1475&lt;57001),AND(72500&lt;O1475,O1475&lt;75001)),$G1475,IF(OR(AND(27500&lt;O1475,O1475&lt;30001),AND(57000&lt;O1475,O1475&lt;60001),AND(75000&lt;O1475,O1475&lt;77500)),$H1475,VLOOKUP(O1475,BDins,6,FALSE)))))</f>
        <v>24.97</v>
      </c>
      <c r="P1477">
        <f>IF(P1479&gt;10000,HLOOKUP(P1479,O1475:$O1478,4,FALSE),IF(OR(AND(22500&lt;P1475,P1475&lt;25001),AND(50000&lt;P1475,P1475&lt;53501),AND(70000&lt;P1475,P1475&lt;72501)),$F1475,IF(OR(AND(25001&lt;P1475,P1475&lt;27501),AND(53500&lt;P1475,P1475&lt;57001),AND(72500&lt;P1475,P1475&lt;75001)),$G1475,IF(OR(AND(27500&lt;P1475,P1475&lt;30001),AND(57000&lt;P1475,P1475&lt;60001),AND(75000&lt;P1475,P1475&lt;77500)),$H1475,VLOOKUP(P1475,BDins,6,FALSE)))))</f>
        <v>20.81</v>
      </c>
      <c r="Q1477">
        <f>IF(Q1479&gt;10000,HLOOKUP(Q1479,$O1475:P1478,4,FALSE),IF(OR(AND(22500&lt;Q1475,Q1475&lt;25001),AND(50000&lt;Q1475,Q1475&lt;53501),AND(70000&lt;Q1475,Q1475&lt;72501)),$F1475,IF(OR(AND(25001&lt;Q1475,Q1475&lt;27501),AND(53500&lt;Q1475,Q1475&lt;57001),AND(72500&lt;Q1475,Q1475&lt;75001)),$G1475,IF(OR(AND(27500&lt;Q1475,Q1475&lt;30001),AND(57000&lt;Q1475,Q1475&lt;60001),AND(75000&lt;Q1475,Q1475&lt;77500)),$H1475,VLOOKUP(Q1475,BDins,6,FALSE)))))</f>
        <v>15.36</v>
      </c>
      <c r="R1477">
        <f>IF(R1479&gt;10000,HLOOKUP(R1479,$O1475:Q1478,4,FALSE),IF(OR(AND(22500&lt;R1475,R1475&lt;25001),AND(50000&lt;R1475,R1475&lt;53501),AND(70000&lt;R1475,R1475&lt;72501)),$F1475,IF(OR(AND(25001&lt;R1475,R1475&lt;27501),AND(53500&lt;R1475,R1475&lt;57001),AND(72500&lt;R1475,R1475&lt;75001)),$G1475,IF(OR(AND(27500&lt;R1475,R1475&lt;30001),AND(57000&lt;R1475,R1475&lt;60001),AND(75000&lt;R1475,R1475&lt;77500)),$H1475,VLOOKUP(R1475,BDins,6,FALSE)))))</f>
        <v>116</v>
      </c>
      <c r="S1477">
        <f>IF(S1479&gt;10000,HLOOKUP(S1479,$O1475:R1478,4,FALSE),IF(OR(AND(22500&lt;S1475,S1475&lt;25001),AND(50000&lt;S1475,S1475&lt;53501),AND(70000&lt;S1475,S1475&lt;72501)),$F1475,IF(OR(AND(25001&lt;S1475,S1475&lt;27501),AND(53500&lt;S1475,S1475&lt;57001),AND(72500&lt;S1475,S1475&lt;75001)),$G1475,IF(OR(AND(27500&lt;S1475,S1475&lt;30001),AND(57000&lt;S1475,S1475&lt;60001),AND(75000&lt;S1475,S1475&lt;77500)),$H1475,VLOOKUP(S1475,BDins,6,FALSE)))))</f>
        <v>0.5</v>
      </c>
      <c r="T1477">
        <f>IF(T1479&gt;10000,HLOOKUP(T1479,$O1475:S1478,4,FALSE),IF(OR(AND(22500&lt;T1475,T1475&lt;25001),AND(50000&lt;T1475,T1475&lt;53501),AND(70000&lt;T1475,T1475&lt;72501)),$F1475,IF(OR(AND(25001&lt;T1475,T1475&lt;27501),AND(53500&lt;T1475,T1475&lt;57001),AND(72500&lt;T1475,T1475&lt;75001)),$G1475,IF(OR(AND(27500&lt;T1475,T1475&lt;30001),AND(57000&lt;T1475,T1475&lt;60001),AND(75000&lt;T1475,T1475&lt;77500)),$H1475,VLOOKUP(T1475,BDins,6,FALSE)))))</f>
        <v>0.4</v>
      </c>
      <c r="U1477">
        <f>IF(U1479&gt;10000,HLOOKUP(U1479,$O1475:T1478,4,FALSE),IF(OR(AND(22500&lt;U1475,U1475&lt;25001),AND(50000&lt;U1475,U1475&lt;53501),AND(70000&lt;U1475,U1475&lt;72501)),$F1475,IF(OR(AND(25001&lt;U1475,U1475&lt;27501),AND(53500&lt;U1475,U1475&lt;57001),AND(72500&lt;U1475,U1475&lt;75001)),$G1475,IF(OR(AND(27500&lt;U1475,U1475&lt;30001),AND(57000&lt;U1475,U1475&lt;60001),AND(75000&lt;U1475,U1475&lt;77500)),$H1475,VLOOKUP(U1475,BDins,6,FALSE)))))</f>
        <v>0.4</v>
      </c>
      <c r="V1477">
        <f>IF(V1479&gt;10000,HLOOKUP(V1479,$O1475:U1478,4,FALSE),IF(OR(AND(22500&lt;V1475,V1475&lt;25001),AND(50000&lt;V1475,V1475&lt;53501),AND(70000&lt;V1475,V1475&lt;72501)),$F1475,IF(OR(AND(25001&lt;V1475,V1475&lt;27501),AND(53500&lt;V1475,V1475&lt;57001),AND(72500&lt;V1475,V1475&lt;75001)),$G1475,IF(OR(AND(27500&lt;V1475,V1475&lt;30001),AND(57000&lt;V1475,V1475&lt;60001),AND(75000&lt;V1475,V1475&lt;77500)),$H1475,VLOOKUP(V1475,BDins,6,FALSE)))))</f>
        <v>0.9</v>
      </c>
      <c r="W1477">
        <f>IF(W1479&gt;10000,HLOOKUP(W1479,$O1475:V1478,4,FALSE),IF(OR(AND(22500&lt;W1475,W1475&lt;25001),AND(50000&lt;W1475,W1475&lt;53501),AND(70000&lt;W1475,W1475&lt;72501)),$F1475,IF(OR(AND(25001&lt;W1475,W1475&lt;27501),AND(53500&lt;W1475,W1475&lt;57001),AND(72500&lt;W1475,W1475&lt;75001)),$G1475,IF(OR(AND(27500&lt;W1475,W1475&lt;30001),AND(57000&lt;W1475,W1475&lt;60001),AND(75000&lt;W1475,W1475&lt;77500)),$H1475,VLOOKUP(W1475,BDins,6,FALSE)))))</f>
        <v>20.619999999999997</v>
      </c>
    </row>
    <row r="1478" spans="1:24" x14ac:dyDescent="0.2">
      <c r="O1478">
        <f t="shared" ref="O1478:W1478" si="213">IF($K1475&gt;0,ROUND(O1476*$E1475/100,DpCU),IF(O1479&gt;10000,ROUND(HLOOKUP(O1479,$O1475:$W1478,4,FALSE)/100*O1476,DpCU),IF(OR(O1475&lt;20001,O1475&gt;95000,AND(60000&lt;O1475,O1475&lt;70001)),ROUND(ROUND(O1476*JL/$C1475,DcCU)*O1477,DpCU),IF(OR(AND(20000&lt;O1475,O1475&lt;22501),AND(30000&lt;O1475,O1475&lt;50001),77500&lt;O1475),ROUND(O1477*O1476,DpCU),IF(OR(AND(22500&lt;O1475,O1475&lt;25001),AND(50000&lt;O1475,O1475&lt;53501),AND(70000&lt;O1475,O1475&lt;72501)),ROUND($F1475/100*O1476,DpCU),IF(OR(AND(25000&lt;O1475,O1475&lt;27501),AND(53500&lt;O1475,O1475&lt;57001),AND(72500&lt;O1475,O1475&lt;75001)),ROUND($G1475/100*O1476,DpCU),ROUND($H1475/100*O1476,DpCU)))))))</f>
        <v>1.33</v>
      </c>
      <c r="P1478">
        <f t="shared" si="213"/>
        <v>11.1</v>
      </c>
      <c r="Q1478">
        <f t="shared" si="213"/>
        <v>8.19</v>
      </c>
      <c r="R1478">
        <f t="shared" si="213"/>
        <v>1.1599999999999999</v>
      </c>
      <c r="S1478">
        <f t="shared" si="213"/>
        <v>1</v>
      </c>
      <c r="T1478">
        <f t="shared" si="213"/>
        <v>0.8</v>
      </c>
      <c r="U1478">
        <f t="shared" si="213"/>
        <v>0.8</v>
      </c>
      <c r="V1478">
        <f t="shared" si="213"/>
        <v>0.9</v>
      </c>
      <c r="W1478">
        <f t="shared" si="213"/>
        <v>1.03</v>
      </c>
    </row>
    <row r="1479" spans="1:24" x14ac:dyDescent="0.2">
      <c r="B1479" s="3" t="str">
        <f>A1475&amp;"r"</f>
        <v>10295r</v>
      </c>
    </row>
    <row r="1480" spans="1:24" x14ac:dyDescent="0.2">
      <c r="A1480">
        <v>10296</v>
      </c>
      <c r="B1480" s="3" t="s">
        <v>1474</v>
      </c>
      <c r="C1480" s="1">
        <f>ROUND(J1480*JL*Frto/8,4)</f>
        <v>10</v>
      </c>
      <c r="D1480" t="s">
        <v>7</v>
      </c>
      <c r="E1480">
        <f>SUM($O1483:$W1483)</f>
        <v>37.969999999999992</v>
      </c>
      <c r="F1480">
        <f>SUMIF($O1480:$W1480,"&lt;22501",$O1483:$W1483)</f>
        <v>30.939999999999998</v>
      </c>
      <c r="G1480">
        <f>SUMIFS($O1483:$W1483,$O1480:$W1480,"&gt;30000",$O1480:$W1480,"&lt;50001")</f>
        <v>5.48</v>
      </c>
      <c r="H1480">
        <f>SUMIFS($O1483:$W1483,$O1480:$W1480,"&gt;60000",$O1480:$W1480,"&lt;70001")</f>
        <v>0</v>
      </c>
      <c r="I1480">
        <v>9</v>
      </c>
      <c r="J1480">
        <v>10</v>
      </c>
      <c r="O1480">
        <v>10001</v>
      </c>
      <c r="P1480">
        <v>10002</v>
      </c>
      <c r="Q1480">
        <v>10003</v>
      </c>
      <c r="R1480">
        <v>30216</v>
      </c>
      <c r="S1480">
        <v>30311</v>
      </c>
      <c r="T1480">
        <v>30312</v>
      </c>
      <c r="U1480">
        <v>30313</v>
      </c>
      <c r="V1480">
        <v>30410</v>
      </c>
      <c r="W1480">
        <v>70001</v>
      </c>
    </row>
    <row r="1481" spans="1:24" x14ac:dyDescent="0.2">
      <c r="B1481" s="3" t="str">
        <f>A1480&amp;"C"</f>
        <v>10296C</v>
      </c>
      <c r="O1481">
        <v>0.1</v>
      </c>
      <c r="P1481">
        <v>1</v>
      </c>
      <c r="Q1481">
        <v>1</v>
      </c>
      <c r="R1481">
        <v>0.01</v>
      </c>
      <c r="S1481">
        <v>2</v>
      </c>
      <c r="T1481">
        <v>2</v>
      </c>
      <c r="U1481">
        <v>2</v>
      </c>
      <c r="V1481">
        <v>1</v>
      </c>
      <c r="W1481">
        <v>5</v>
      </c>
    </row>
    <row r="1482" spans="1:24" x14ac:dyDescent="0.2">
      <c r="O1482">
        <f>IF(O1484&gt;10000,HLOOKUP(O1484,N1480:$O1483,4,FALSE),IF(OR(AND(22500&lt;O1480,O1480&lt;25001),AND(50000&lt;O1480,O1480&lt;53501),AND(70000&lt;O1480,O1480&lt;72501)),$F1480,IF(OR(AND(25001&lt;O1480,O1480&lt;27501),AND(53500&lt;O1480,O1480&lt;57001),AND(72500&lt;O1480,O1480&lt;75001)),$G1480,IF(OR(AND(27500&lt;O1480,O1480&lt;30001),AND(57000&lt;O1480,O1480&lt;60001),AND(75000&lt;O1480,O1480&lt;77500)),$H1480,VLOOKUP(O1480,BDins,6,FALSE)))))</f>
        <v>24.97</v>
      </c>
      <c r="P1482">
        <f>IF(P1484&gt;10000,HLOOKUP(P1484,O1480:$O1483,4,FALSE),IF(OR(AND(22500&lt;P1480,P1480&lt;25001),AND(50000&lt;P1480,P1480&lt;53501),AND(70000&lt;P1480,P1480&lt;72501)),$F1480,IF(OR(AND(25001&lt;P1480,P1480&lt;27501),AND(53500&lt;P1480,P1480&lt;57001),AND(72500&lt;P1480,P1480&lt;75001)),$G1480,IF(OR(AND(27500&lt;P1480,P1480&lt;30001),AND(57000&lt;P1480,P1480&lt;60001),AND(75000&lt;P1480,P1480&lt;77500)),$H1480,VLOOKUP(P1480,BDins,6,FALSE)))))</f>
        <v>20.81</v>
      </c>
      <c r="Q1482">
        <f>IF(Q1484&gt;10000,HLOOKUP(Q1484,$O1480:P1483,4,FALSE),IF(OR(AND(22500&lt;Q1480,Q1480&lt;25001),AND(50000&lt;Q1480,Q1480&lt;53501),AND(70000&lt;Q1480,Q1480&lt;72501)),$F1480,IF(OR(AND(25001&lt;Q1480,Q1480&lt;27501),AND(53500&lt;Q1480,Q1480&lt;57001),AND(72500&lt;Q1480,Q1480&lt;75001)),$G1480,IF(OR(AND(27500&lt;Q1480,Q1480&lt;30001),AND(57000&lt;Q1480,Q1480&lt;60001),AND(75000&lt;Q1480,Q1480&lt;77500)),$H1480,VLOOKUP(Q1480,BDins,6,FALSE)))))</f>
        <v>15.36</v>
      </c>
      <c r="R1482">
        <f>IF(R1484&gt;10000,HLOOKUP(R1484,$O1480:Q1483,4,FALSE),IF(OR(AND(22500&lt;R1480,R1480&lt;25001),AND(50000&lt;R1480,R1480&lt;53501),AND(70000&lt;R1480,R1480&lt;72501)),$F1480,IF(OR(AND(25001&lt;R1480,R1480&lt;27501),AND(53500&lt;R1480,R1480&lt;57001),AND(72500&lt;R1480,R1480&lt;75001)),$G1480,IF(OR(AND(27500&lt;R1480,R1480&lt;30001),AND(57000&lt;R1480,R1480&lt;60001),AND(75000&lt;R1480,R1480&lt;77500)),$H1480,VLOOKUP(R1480,BDins,6,FALSE)))))</f>
        <v>116</v>
      </c>
      <c r="S1482">
        <f>IF(S1484&gt;10000,HLOOKUP(S1484,$O1480:R1483,4,FALSE),IF(OR(AND(22500&lt;S1480,S1480&lt;25001),AND(50000&lt;S1480,S1480&lt;53501),AND(70000&lt;S1480,S1480&lt;72501)),$F1480,IF(OR(AND(25001&lt;S1480,S1480&lt;27501),AND(53500&lt;S1480,S1480&lt;57001),AND(72500&lt;S1480,S1480&lt;75001)),$G1480,IF(OR(AND(27500&lt;S1480,S1480&lt;30001),AND(57000&lt;S1480,S1480&lt;60001),AND(75000&lt;S1480,S1480&lt;77500)),$H1480,VLOOKUP(S1480,BDins,6,FALSE)))))</f>
        <v>0.3</v>
      </c>
      <c r="T1482">
        <f>IF(T1484&gt;10000,HLOOKUP(T1484,$O1480:S1483,4,FALSE),IF(OR(AND(22500&lt;T1480,T1480&lt;25001),AND(50000&lt;T1480,T1480&lt;53501),AND(70000&lt;T1480,T1480&lt;72501)),$F1480,IF(OR(AND(25001&lt;T1480,T1480&lt;27501),AND(53500&lt;T1480,T1480&lt;57001),AND(72500&lt;T1480,T1480&lt;75001)),$G1480,IF(OR(AND(27500&lt;T1480,T1480&lt;30001),AND(57000&lt;T1480,T1480&lt;60001),AND(75000&lt;T1480,T1480&lt;77500)),$H1480,VLOOKUP(T1480,BDins,6,FALSE)))))</f>
        <v>0.6</v>
      </c>
      <c r="U1482">
        <f>IF(U1484&gt;10000,HLOOKUP(U1484,$O1480:T1483,4,FALSE),IF(OR(AND(22500&lt;U1480,U1480&lt;25001),AND(50000&lt;U1480,U1480&lt;53501),AND(70000&lt;U1480,U1480&lt;72501)),$F1480,IF(OR(AND(25001&lt;U1480,U1480&lt;27501),AND(53500&lt;U1480,U1480&lt;57001),AND(72500&lt;U1480,U1480&lt;75001)),$G1480,IF(OR(AND(27500&lt;U1480,U1480&lt;30001),AND(57000&lt;U1480,U1480&lt;60001),AND(75000&lt;U1480,U1480&lt;77500)),$H1480,VLOOKUP(U1480,BDins,6,FALSE)))))</f>
        <v>0.81</v>
      </c>
      <c r="V1482">
        <f>IF(V1484&gt;10000,HLOOKUP(V1484,$O1480:U1483,4,FALSE),IF(OR(AND(22500&lt;V1480,V1480&lt;25001),AND(50000&lt;V1480,V1480&lt;53501),AND(70000&lt;V1480,V1480&lt;72501)),$F1480,IF(OR(AND(25001&lt;V1480,V1480&lt;27501),AND(53500&lt;V1480,V1480&lt;57001),AND(72500&lt;V1480,V1480&lt;75001)),$G1480,IF(OR(AND(27500&lt;V1480,V1480&lt;30001),AND(57000&lt;V1480,V1480&lt;60001),AND(75000&lt;V1480,V1480&lt;77500)),$H1480,VLOOKUP(V1480,BDins,6,FALSE)))))</f>
        <v>0.9</v>
      </c>
      <c r="W1482">
        <f>IF(W1484&gt;10000,HLOOKUP(W1484,$O1480:V1483,4,FALSE),IF(OR(AND(22500&lt;W1480,W1480&lt;25001),AND(50000&lt;W1480,W1480&lt;53501),AND(70000&lt;W1480,W1480&lt;72501)),$F1480,IF(OR(AND(25001&lt;W1480,W1480&lt;27501),AND(53500&lt;W1480,W1480&lt;57001),AND(72500&lt;W1480,W1480&lt;75001)),$G1480,IF(OR(AND(27500&lt;W1480,W1480&lt;30001),AND(57000&lt;W1480,W1480&lt;60001),AND(75000&lt;W1480,W1480&lt;77500)),$H1480,VLOOKUP(W1480,BDins,6,FALSE)))))</f>
        <v>30.939999999999998</v>
      </c>
    </row>
    <row r="1483" spans="1:24" x14ac:dyDescent="0.2">
      <c r="O1483">
        <f t="shared" ref="O1483:W1483" si="214">IF($K1480&gt;0,ROUND(O1481*$E1480/100,DpCU),IF(O1484&gt;10000,ROUND(HLOOKUP(O1484,$O1480:$W1483,4,FALSE)/100*O1481,DpCU),IF(OR(O1480&lt;20001,O1480&gt;95000,AND(60000&lt;O1480,O1480&lt;70001)),ROUND(ROUND(O1481*JL/$C1480,DcCU)*O1482,DpCU),IF(OR(AND(20000&lt;O1480,O1480&lt;22501),AND(30000&lt;O1480,O1480&lt;50001),77500&lt;O1480),ROUND(O1482*O1481,DpCU),IF(OR(AND(22500&lt;O1480,O1480&lt;25001),AND(50000&lt;O1480,O1480&lt;53501),AND(70000&lt;O1480,O1480&lt;72501)),ROUND($F1480/100*O1481,DpCU),IF(OR(AND(25000&lt;O1480,O1480&lt;27501),AND(53500&lt;O1480,O1480&lt;57001),AND(72500&lt;O1480,O1480&lt;75001)),ROUND($G1480/100*O1481,DpCU),ROUND($H1480/100*O1481,DpCU)))))))</f>
        <v>2</v>
      </c>
      <c r="P1483">
        <f t="shared" si="214"/>
        <v>16.649999999999999</v>
      </c>
      <c r="Q1483">
        <f t="shared" si="214"/>
        <v>12.29</v>
      </c>
      <c r="R1483">
        <f t="shared" si="214"/>
        <v>1.1599999999999999</v>
      </c>
      <c r="S1483">
        <f t="shared" si="214"/>
        <v>0.6</v>
      </c>
      <c r="T1483">
        <f t="shared" si="214"/>
        <v>1.2</v>
      </c>
      <c r="U1483">
        <f t="shared" si="214"/>
        <v>1.62</v>
      </c>
      <c r="V1483">
        <f t="shared" si="214"/>
        <v>0.9</v>
      </c>
      <c r="W1483">
        <f t="shared" si="214"/>
        <v>1.55</v>
      </c>
    </row>
    <row r="1484" spans="1:24" x14ac:dyDescent="0.2">
      <c r="B1484" s="3" t="str">
        <f>A1480&amp;"r"</f>
        <v>10296r</v>
      </c>
    </row>
    <row r="1485" spans="1:24" x14ac:dyDescent="0.2">
      <c r="A1485">
        <v>10297</v>
      </c>
      <c r="B1485" s="3" t="s">
        <v>1476</v>
      </c>
      <c r="C1485" s="1">
        <f>ROUND(J1485*JL*Frto/8,4)</f>
        <v>15</v>
      </c>
      <c r="D1485" t="s">
        <v>7</v>
      </c>
      <c r="E1485">
        <f>SUM($O1488:$X1488)</f>
        <v>26.729999999999997</v>
      </c>
      <c r="F1485">
        <f>SUMIF($O1485:$X1485,"&lt;22501",$O1488:$X1488)</f>
        <v>20.619999999999997</v>
      </c>
      <c r="G1485">
        <f>SUMIFS($O1488:$X1488,$O1485:$X1485,"&gt;30000",$O1485:$X1485,"&lt;50001")</f>
        <v>5.08</v>
      </c>
      <c r="H1485">
        <f>SUMIFS($O1488:$X1488,$O1485:$X1485,"&gt;60000",$O1485:$X1485,"&lt;70001")</f>
        <v>0</v>
      </c>
      <c r="I1485">
        <v>10</v>
      </c>
      <c r="J1485">
        <v>15</v>
      </c>
      <c r="O1485">
        <v>10001</v>
      </c>
      <c r="P1485">
        <v>10002</v>
      </c>
      <c r="Q1485">
        <v>10003</v>
      </c>
      <c r="R1485">
        <v>30216</v>
      </c>
      <c r="S1485">
        <v>30319</v>
      </c>
      <c r="T1485">
        <v>30320</v>
      </c>
      <c r="U1485">
        <v>30321</v>
      </c>
      <c r="V1485">
        <v>30410</v>
      </c>
      <c r="W1485">
        <v>30414</v>
      </c>
      <c r="X1485">
        <v>70001</v>
      </c>
    </row>
    <row r="1486" spans="1:24" x14ac:dyDescent="0.2">
      <c r="B1486" s="3" t="str">
        <f>A1485&amp;"C"</f>
        <v>10297C</v>
      </c>
      <c r="O1486">
        <v>0.1</v>
      </c>
      <c r="P1486">
        <v>1</v>
      </c>
      <c r="Q1486">
        <v>1</v>
      </c>
      <c r="R1486">
        <v>5.0000000000000001E-3</v>
      </c>
      <c r="S1486">
        <v>2</v>
      </c>
      <c r="T1486">
        <v>2</v>
      </c>
      <c r="U1486">
        <v>2</v>
      </c>
      <c r="V1486">
        <v>1</v>
      </c>
      <c r="W1486">
        <v>0.5</v>
      </c>
      <c r="X1486">
        <v>5</v>
      </c>
    </row>
    <row r="1487" spans="1:24" x14ac:dyDescent="0.2">
      <c r="O1487">
        <f>IF(O1489&gt;10000,HLOOKUP(O1489,N1485:$O1488,4,FALSE),IF(OR(AND(22500&lt;O1485,O1485&lt;25001),AND(50000&lt;O1485,O1485&lt;53501),AND(70000&lt;O1485,O1485&lt;72501)),$F1485,IF(OR(AND(25001&lt;O1485,O1485&lt;27501),AND(53500&lt;O1485,O1485&lt;57001),AND(72500&lt;O1485,O1485&lt;75001)),$G1485,IF(OR(AND(27500&lt;O1485,O1485&lt;30001),AND(57000&lt;O1485,O1485&lt;60001),AND(75000&lt;O1485,O1485&lt;77500)),$H1485,VLOOKUP(O1485,BDins,6,FALSE)))))</f>
        <v>24.97</v>
      </c>
      <c r="P1487">
        <f>IF(P1489&gt;10000,HLOOKUP(P1489,O1485:$O1488,4,FALSE),IF(OR(AND(22500&lt;P1485,P1485&lt;25001),AND(50000&lt;P1485,P1485&lt;53501),AND(70000&lt;P1485,P1485&lt;72501)),$F1485,IF(OR(AND(25001&lt;P1485,P1485&lt;27501),AND(53500&lt;P1485,P1485&lt;57001),AND(72500&lt;P1485,P1485&lt;75001)),$G1485,IF(OR(AND(27500&lt;P1485,P1485&lt;30001),AND(57000&lt;P1485,P1485&lt;60001),AND(75000&lt;P1485,P1485&lt;77500)),$H1485,VLOOKUP(P1485,BDins,6,FALSE)))))</f>
        <v>20.81</v>
      </c>
      <c r="Q1487">
        <f>IF(Q1489&gt;10000,HLOOKUP(Q1489,$O1485:P1488,4,FALSE),IF(OR(AND(22500&lt;Q1485,Q1485&lt;25001),AND(50000&lt;Q1485,Q1485&lt;53501),AND(70000&lt;Q1485,Q1485&lt;72501)),$F1485,IF(OR(AND(25001&lt;Q1485,Q1485&lt;27501),AND(53500&lt;Q1485,Q1485&lt;57001),AND(72500&lt;Q1485,Q1485&lt;75001)),$G1485,IF(OR(AND(27500&lt;Q1485,Q1485&lt;30001),AND(57000&lt;Q1485,Q1485&lt;60001),AND(75000&lt;Q1485,Q1485&lt;77500)),$H1485,VLOOKUP(Q1485,BDins,6,FALSE)))))</f>
        <v>15.36</v>
      </c>
      <c r="R1487">
        <f>IF(R1489&gt;10000,HLOOKUP(R1489,$O1485:Q1488,4,FALSE),IF(OR(AND(22500&lt;R1485,R1485&lt;25001),AND(50000&lt;R1485,R1485&lt;53501),AND(70000&lt;R1485,R1485&lt;72501)),$F1485,IF(OR(AND(25001&lt;R1485,R1485&lt;27501),AND(53500&lt;R1485,R1485&lt;57001),AND(72500&lt;R1485,R1485&lt;75001)),$G1485,IF(OR(AND(27500&lt;R1485,R1485&lt;30001),AND(57000&lt;R1485,R1485&lt;60001),AND(75000&lt;R1485,R1485&lt;77500)),$H1485,VLOOKUP(R1485,BDins,6,FALSE)))))</f>
        <v>116</v>
      </c>
      <c r="S1487">
        <f>IF(S1489&gt;10000,HLOOKUP(S1489,$O1485:R1488,4,FALSE),IF(OR(AND(22500&lt;S1485,S1485&lt;25001),AND(50000&lt;S1485,S1485&lt;53501),AND(70000&lt;S1485,S1485&lt;72501)),$F1485,IF(OR(AND(25001&lt;S1485,S1485&lt;27501),AND(53500&lt;S1485,S1485&lt;57001),AND(72500&lt;S1485,S1485&lt;75001)),$G1485,IF(OR(AND(27500&lt;S1485,S1485&lt;30001),AND(57000&lt;S1485,S1485&lt;60001),AND(75000&lt;S1485,S1485&lt;77500)),$H1485,VLOOKUP(S1485,BDins,6,FALSE)))))</f>
        <v>0.5</v>
      </c>
      <c r="T1487">
        <f>IF(T1489&gt;10000,HLOOKUP(T1489,$O1485:S1488,4,FALSE),IF(OR(AND(22500&lt;T1485,T1485&lt;25001),AND(50000&lt;T1485,T1485&lt;53501),AND(70000&lt;T1485,T1485&lt;72501)),$F1485,IF(OR(AND(25001&lt;T1485,T1485&lt;27501),AND(53500&lt;T1485,T1485&lt;57001),AND(72500&lt;T1485,T1485&lt;75001)),$G1485,IF(OR(AND(27500&lt;T1485,T1485&lt;30001),AND(57000&lt;T1485,T1485&lt;60001),AND(75000&lt;T1485,T1485&lt;77500)),$H1485,VLOOKUP(T1485,BDins,6,FALSE)))))</f>
        <v>0.4</v>
      </c>
      <c r="U1487">
        <f>IF(U1489&gt;10000,HLOOKUP(U1489,$O1485:T1488,4,FALSE),IF(OR(AND(22500&lt;U1485,U1485&lt;25001),AND(50000&lt;U1485,U1485&lt;53501),AND(70000&lt;U1485,U1485&lt;72501)),$F1485,IF(OR(AND(25001&lt;U1485,U1485&lt;27501),AND(53500&lt;U1485,U1485&lt;57001),AND(72500&lt;U1485,U1485&lt;75001)),$G1485,IF(OR(AND(27500&lt;U1485,U1485&lt;30001),AND(57000&lt;U1485,U1485&lt;60001),AND(75000&lt;U1485,U1485&lt;77500)),$H1485,VLOOKUP(U1485,BDins,6,FALSE)))))</f>
        <v>0.4</v>
      </c>
      <c r="V1487">
        <f>IF(V1489&gt;10000,HLOOKUP(V1489,$O1485:U1488,4,FALSE),IF(OR(AND(22500&lt;V1485,V1485&lt;25001),AND(50000&lt;V1485,V1485&lt;53501),AND(70000&lt;V1485,V1485&lt;72501)),$F1485,IF(OR(AND(25001&lt;V1485,V1485&lt;27501),AND(53500&lt;V1485,V1485&lt;57001),AND(72500&lt;V1485,V1485&lt;75001)),$G1485,IF(OR(AND(27500&lt;V1485,V1485&lt;30001),AND(57000&lt;V1485,V1485&lt;60001),AND(75000&lt;V1485,V1485&lt;77500)),$H1485,VLOOKUP(V1485,BDins,6,FALSE)))))</f>
        <v>0.9</v>
      </c>
      <c r="W1487">
        <f>IF(W1489&gt;10000,HLOOKUP(W1489,$O1485:V1488,4,FALSE),IF(OR(AND(22500&lt;W1485,W1485&lt;25001),AND(50000&lt;W1485,W1485&lt;53501),AND(70000&lt;W1485,W1485&lt;72501)),$F1485,IF(OR(AND(25001&lt;W1485,W1485&lt;27501),AND(53500&lt;W1485,W1485&lt;57001),AND(72500&lt;W1485,W1485&lt;75001)),$G1485,IF(OR(AND(27500&lt;W1485,W1485&lt;30001),AND(57000&lt;W1485,W1485&lt;60001),AND(75000&lt;W1485,W1485&lt;77500)),$H1485,VLOOKUP(W1485,BDins,6,FALSE)))))</f>
        <v>2</v>
      </c>
      <c r="X1487">
        <f>IF(X1489&gt;10000,HLOOKUP(X1489,$O1485:W1488,4,FALSE),IF(OR(AND(22500&lt;X1485,X1485&lt;25001),AND(50000&lt;X1485,X1485&lt;53501),AND(70000&lt;X1485,X1485&lt;72501)),$F1485,IF(OR(AND(25001&lt;X1485,X1485&lt;27501),AND(53500&lt;X1485,X1485&lt;57001),AND(72500&lt;X1485,X1485&lt;75001)),$G1485,IF(OR(AND(27500&lt;X1485,X1485&lt;30001),AND(57000&lt;X1485,X1485&lt;60001),AND(75000&lt;X1485,X1485&lt;77500)),$H1485,VLOOKUP(X1485,BDins,6,FALSE)))))</f>
        <v>20.619999999999997</v>
      </c>
    </row>
    <row r="1488" spans="1:24" x14ac:dyDescent="0.2">
      <c r="O1488">
        <f t="shared" ref="O1488:X1488" si="215">IF($K1485&gt;0,ROUND(O1486*$E1485/100,DpCU),IF(O1489&gt;10000,ROUND(HLOOKUP(O1489,$O1485:$X1488,4,FALSE)/100*O1486,DpCU),IF(OR(O1485&lt;20001,O1485&gt;95000,AND(60000&lt;O1485,O1485&lt;70001)),ROUND(ROUND(O1486*JL/$C1485,DcCU)*O1487,DpCU),IF(OR(AND(20000&lt;O1485,O1485&lt;22501),AND(30000&lt;O1485,O1485&lt;50001),77500&lt;O1485),ROUND(O1487*O1486,DpCU),IF(OR(AND(22500&lt;O1485,O1485&lt;25001),AND(50000&lt;O1485,O1485&lt;53501),AND(70000&lt;O1485,O1485&lt;72501)),ROUND($F1485/100*O1486,DpCU),IF(OR(AND(25000&lt;O1485,O1485&lt;27501),AND(53500&lt;O1485,O1485&lt;57001),AND(72500&lt;O1485,O1485&lt;75001)),ROUND($G1485/100*O1486,DpCU),ROUND($H1485/100*O1486,DpCU)))))))</f>
        <v>1.33</v>
      </c>
      <c r="P1488">
        <f t="shared" si="215"/>
        <v>11.1</v>
      </c>
      <c r="Q1488">
        <f t="shared" si="215"/>
        <v>8.19</v>
      </c>
      <c r="R1488">
        <f t="shared" si="215"/>
        <v>0.57999999999999996</v>
      </c>
      <c r="S1488">
        <f t="shared" si="215"/>
        <v>1</v>
      </c>
      <c r="T1488">
        <f t="shared" si="215"/>
        <v>0.8</v>
      </c>
      <c r="U1488">
        <f t="shared" si="215"/>
        <v>0.8</v>
      </c>
      <c r="V1488">
        <f t="shared" si="215"/>
        <v>0.9</v>
      </c>
      <c r="W1488">
        <f t="shared" si="215"/>
        <v>1</v>
      </c>
      <c r="X1488">
        <f t="shared" si="215"/>
        <v>1.03</v>
      </c>
    </row>
    <row r="1489" spans="1:26" x14ac:dyDescent="0.2">
      <c r="B1489" s="3" t="str">
        <f>A1485&amp;"r"</f>
        <v>10297r</v>
      </c>
    </row>
    <row r="1490" spans="1:26" x14ac:dyDescent="0.2">
      <c r="A1490">
        <v>10298</v>
      </c>
      <c r="B1490" s="3" t="s">
        <v>1234</v>
      </c>
      <c r="C1490" s="1">
        <f>ROUND(J1490*JL*Frto/8,4)</f>
        <v>50</v>
      </c>
      <c r="D1490" t="s">
        <v>194</v>
      </c>
      <c r="E1490">
        <f>SUM($O1493:$W1493)</f>
        <v>10.940000000000001</v>
      </c>
      <c r="F1490">
        <f>SUMIF($O1490:$W1490,"&lt;22501",$O1493:$W1493)</f>
        <v>6.1899999999999995</v>
      </c>
      <c r="G1490">
        <f>SUMIFS($O1493:$W1493,$O1490:$W1490,"&gt;30000",$O1490:$W1490,"&lt;50001")</f>
        <v>4.4400000000000004</v>
      </c>
      <c r="H1490">
        <f>SUMIFS($O1493:$W1493,$O1490:$W1490,"&gt;60000",$O1490:$W1490,"&lt;70001")</f>
        <v>0</v>
      </c>
      <c r="I1490">
        <v>9</v>
      </c>
      <c r="J1490">
        <v>50</v>
      </c>
      <c r="O1490">
        <v>10001</v>
      </c>
      <c r="P1490">
        <v>10002</v>
      </c>
      <c r="Q1490">
        <v>10003</v>
      </c>
      <c r="R1490">
        <v>30216</v>
      </c>
      <c r="S1490">
        <v>30415</v>
      </c>
      <c r="T1490">
        <v>30416</v>
      </c>
      <c r="U1490">
        <v>30417</v>
      </c>
      <c r="V1490">
        <v>30418</v>
      </c>
      <c r="W1490">
        <v>70001</v>
      </c>
    </row>
    <row r="1491" spans="1:26" x14ac:dyDescent="0.2">
      <c r="B1491" s="3" t="str">
        <f>A1490&amp;"C"</f>
        <v>10298C</v>
      </c>
      <c r="O1491">
        <v>0.1</v>
      </c>
      <c r="P1491">
        <v>1</v>
      </c>
      <c r="Q1491">
        <v>1</v>
      </c>
      <c r="R1491">
        <v>1E-3</v>
      </c>
      <c r="S1491">
        <v>0.35</v>
      </c>
      <c r="T1491">
        <v>0.1</v>
      </c>
      <c r="U1491">
        <v>0.35</v>
      </c>
      <c r="V1491">
        <v>0.02</v>
      </c>
      <c r="W1491">
        <v>5</v>
      </c>
    </row>
    <row r="1492" spans="1:26" x14ac:dyDescent="0.2">
      <c r="O1492">
        <f>IF(O1494&gt;10000,HLOOKUP(O1494,N1490:$O1493,4,FALSE),IF(OR(AND(22500&lt;O1490,O1490&lt;25001),AND(50000&lt;O1490,O1490&lt;53501),AND(70000&lt;O1490,O1490&lt;72501)),$F1490,IF(OR(AND(25001&lt;O1490,O1490&lt;27501),AND(53500&lt;O1490,O1490&lt;57001),AND(72500&lt;O1490,O1490&lt;75001)),$G1490,IF(OR(AND(27500&lt;O1490,O1490&lt;30001),AND(57000&lt;O1490,O1490&lt;60001),AND(75000&lt;O1490,O1490&lt;77500)),$H1490,VLOOKUP(O1490,BDins,6,FALSE)))))</f>
        <v>24.97</v>
      </c>
      <c r="P1492">
        <f>IF(P1494&gt;10000,HLOOKUP(P1494,O1490:$O1493,4,FALSE),IF(OR(AND(22500&lt;P1490,P1490&lt;25001),AND(50000&lt;P1490,P1490&lt;53501),AND(70000&lt;P1490,P1490&lt;72501)),$F1490,IF(OR(AND(25001&lt;P1490,P1490&lt;27501),AND(53500&lt;P1490,P1490&lt;57001),AND(72500&lt;P1490,P1490&lt;75001)),$G1490,IF(OR(AND(27500&lt;P1490,P1490&lt;30001),AND(57000&lt;P1490,P1490&lt;60001),AND(75000&lt;P1490,P1490&lt;77500)),$H1490,VLOOKUP(P1490,BDins,6,FALSE)))))</f>
        <v>20.81</v>
      </c>
      <c r="Q1492">
        <f>IF(Q1494&gt;10000,HLOOKUP(Q1494,$O1490:P1493,4,FALSE),IF(OR(AND(22500&lt;Q1490,Q1490&lt;25001),AND(50000&lt;Q1490,Q1490&lt;53501),AND(70000&lt;Q1490,Q1490&lt;72501)),$F1490,IF(OR(AND(25001&lt;Q1490,Q1490&lt;27501),AND(53500&lt;Q1490,Q1490&lt;57001),AND(72500&lt;Q1490,Q1490&lt;75001)),$G1490,IF(OR(AND(27500&lt;Q1490,Q1490&lt;30001),AND(57000&lt;Q1490,Q1490&lt;60001),AND(75000&lt;Q1490,Q1490&lt;77500)),$H1490,VLOOKUP(Q1490,BDins,6,FALSE)))))</f>
        <v>15.36</v>
      </c>
      <c r="R1492">
        <f>IF(R1494&gt;10000,HLOOKUP(R1494,$O1490:Q1493,4,FALSE),IF(OR(AND(22500&lt;R1490,R1490&lt;25001),AND(50000&lt;R1490,R1490&lt;53501),AND(70000&lt;R1490,R1490&lt;72501)),$F1490,IF(OR(AND(25001&lt;R1490,R1490&lt;27501),AND(53500&lt;R1490,R1490&lt;57001),AND(72500&lt;R1490,R1490&lt;75001)),$G1490,IF(OR(AND(27500&lt;R1490,R1490&lt;30001),AND(57000&lt;R1490,R1490&lt;60001),AND(75000&lt;R1490,R1490&lt;77500)),$H1490,VLOOKUP(R1490,BDins,6,FALSE)))))</f>
        <v>116</v>
      </c>
      <c r="S1492">
        <f>IF(S1494&gt;10000,HLOOKUP(S1494,$O1490:R1493,4,FALSE),IF(OR(AND(22500&lt;S1490,S1490&lt;25001),AND(50000&lt;S1490,S1490&lt;53501),AND(70000&lt;S1490,S1490&lt;72501)),$F1490,IF(OR(AND(25001&lt;S1490,S1490&lt;27501),AND(53500&lt;S1490,S1490&lt;57001),AND(72500&lt;S1490,S1490&lt;75001)),$G1490,IF(OR(AND(27500&lt;S1490,S1490&lt;30001),AND(57000&lt;S1490,S1490&lt;60001),AND(75000&lt;S1490,S1490&lt;77500)),$H1490,VLOOKUP(S1490,BDins,6,FALSE)))))</f>
        <v>9.8000000000000007</v>
      </c>
      <c r="T1492">
        <f>IF(T1494&gt;10000,HLOOKUP(T1494,$O1490:S1493,4,FALSE),IF(OR(AND(22500&lt;T1490,T1490&lt;25001),AND(50000&lt;T1490,T1490&lt;53501),AND(70000&lt;T1490,T1490&lt;72501)),$F1490,IF(OR(AND(25001&lt;T1490,T1490&lt;27501),AND(53500&lt;T1490,T1490&lt;57001),AND(72500&lt;T1490,T1490&lt;75001)),$G1490,IF(OR(AND(27500&lt;T1490,T1490&lt;30001),AND(57000&lt;T1490,T1490&lt;60001),AND(75000&lt;T1490,T1490&lt;77500)),$H1490,VLOOKUP(T1490,BDins,6,FALSE)))))</f>
        <v>3</v>
      </c>
      <c r="U1492">
        <f>IF(U1494&gt;10000,HLOOKUP(U1494,$O1490:T1493,4,FALSE),IF(OR(AND(22500&lt;U1490,U1490&lt;25001),AND(50000&lt;U1490,U1490&lt;53501),AND(70000&lt;U1490,U1490&lt;72501)),$F1490,IF(OR(AND(25001&lt;U1490,U1490&lt;27501),AND(53500&lt;U1490,U1490&lt;57001),AND(72500&lt;U1490,U1490&lt;75001)),$G1490,IF(OR(AND(27500&lt;U1490,U1490&lt;30001),AND(57000&lt;U1490,U1490&lt;60001),AND(75000&lt;U1490,U1490&lt;77500)),$H1490,VLOOKUP(U1490,BDins,6,FALSE)))))</f>
        <v>1.6</v>
      </c>
      <c r="V1492">
        <f>IF(V1494&gt;10000,HLOOKUP(V1494,$O1490:U1493,4,FALSE),IF(OR(AND(22500&lt;V1490,V1490&lt;25001),AND(50000&lt;V1490,V1490&lt;53501),AND(70000&lt;V1490,V1490&lt;72501)),$F1490,IF(OR(AND(25001&lt;V1490,V1490&lt;27501),AND(53500&lt;V1490,V1490&lt;57001),AND(72500&lt;V1490,V1490&lt;75001)),$G1490,IF(OR(AND(27500&lt;V1490,V1490&lt;30001),AND(57000&lt;V1490,V1490&lt;60001),AND(75000&lt;V1490,V1490&lt;77500)),$H1490,VLOOKUP(V1490,BDins,6,FALSE)))))</f>
        <v>1.5</v>
      </c>
      <c r="W1492">
        <f>IF(W1494&gt;10000,HLOOKUP(W1494,$O1490:V1493,4,FALSE),IF(OR(AND(22500&lt;W1490,W1490&lt;25001),AND(50000&lt;W1490,W1490&lt;53501),AND(70000&lt;W1490,W1490&lt;72501)),$F1490,IF(OR(AND(25001&lt;W1490,W1490&lt;27501),AND(53500&lt;W1490,W1490&lt;57001),AND(72500&lt;W1490,W1490&lt;75001)),$G1490,IF(OR(AND(27500&lt;W1490,W1490&lt;30001),AND(57000&lt;W1490,W1490&lt;60001),AND(75000&lt;W1490,W1490&lt;77500)),$H1490,VLOOKUP(W1490,BDins,6,FALSE)))))</f>
        <v>6.1899999999999995</v>
      </c>
    </row>
    <row r="1493" spans="1:26" x14ac:dyDescent="0.2">
      <c r="O1493">
        <f t="shared" ref="O1493:W1493" si="216">IF($K1490&gt;0,ROUND(O1491*$E1490/100,DpCU),IF(O1494&gt;10000,ROUND(HLOOKUP(O1494,$O1490:$W1493,4,FALSE)/100*O1491,DpCU),IF(OR(O1490&lt;20001,O1490&gt;95000,AND(60000&lt;O1490,O1490&lt;70001)),ROUND(ROUND(O1491*JL/$C1490,DcCU)*O1492,DpCU),IF(OR(AND(20000&lt;O1490,O1490&lt;22501),AND(30000&lt;O1490,O1490&lt;50001),77500&lt;O1490),ROUND(O1492*O1491,DpCU),IF(OR(AND(22500&lt;O1490,O1490&lt;25001),AND(50000&lt;O1490,O1490&lt;53501),AND(70000&lt;O1490,O1490&lt;72501)),ROUND($F1490/100*O1491,DpCU),IF(OR(AND(25000&lt;O1490,O1490&lt;27501),AND(53500&lt;O1490,O1490&lt;57001),AND(72500&lt;O1490,O1490&lt;75001)),ROUND($G1490/100*O1491,DpCU),ROUND($H1490/100*O1491,DpCU)))))))</f>
        <v>0.4</v>
      </c>
      <c r="P1493">
        <f t="shared" si="216"/>
        <v>3.33</v>
      </c>
      <c r="Q1493">
        <f t="shared" si="216"/>
        <v>2.46</v>
      </c>
      <c r="R1493">
        <f t="shared" si="216"/>
        <v>0.12</v>
      </c>
      <c r="S1493">
        <f t="shared" si="216"/>
        <v>3.43</v>
      </c>
      <c r="T1493">
        <f t="shared" si="216"/>
        <v>0.3</v>
      </c>
      <c r="U1493">
        <f t="shared" si="216"/>
        <v>0.56000000000000005</v>
      </c>
      <c r="V1493">
        <f t="shared" si="216"/>
        <v>0.03</v>
      </c>
      <c r="W1493">
        <f t="shared" si="216"/>
        <v>0.31</v>
      </c>
    </row>
    <row r="1494" spans="1:26" x14ac:dyDescent="0.2">
      <c r="B1494" s="3" t="str">
        <f>A1490&amp;"r"</f>
        <v>10298r</v>
      </c>
    </row>
    <row r="1495" spans="1:26" x14ac:dyDescent="0.2">
      <c r="A1495">
        <v>10299</v>
      </c>
      <c r="B1495" s="3" t="s">
        <v>1513</v>
      </c>
      <c r="C1495" s="1">
        <f>ROUND(J1495*JL*Frto/8,4)</f>
        <v>0.3</v>
      </c>
      <c r="D1495" t="s">
        <v>1387</v>
      </c>
      <c r="E1495">
        <f>SUM($O1498:$S1498)</f>
        <v>2631.11</v>
      </c>
      <c r="F1495">
        <f>SUMIF($O1495:$S1495,"&lt;22501",$O1498:$S1498)</f>
        <v>1077.25</v>
      </c>
      <c r="G1495">
        <f>SUMIFS($O1498:$S1498,$O1495:$S1495,"&gt;30000",$O1495:$S1495,"&lt;50001")</f>
        <v>1500</v>
      </c>
      <c r="H1495">
        <f>SUMIFS($O1498:$S1498,$O1495:$S1495,"&gt;60000",$O1495:$S1495,"&lt;70001")</f>
        <v>0</v>
      </c>
      <c r="I1495">
        <v>5</v>
      </c>
      <c r="J1495">
        <v>0.3</v>
      </c>
      <c r="O1495">
        <v>10001</v>
      </c>
      <c r="P1495">
        <v>10002</v>
      </c>
      <c r="Q1495">
        <v>10008</v>
      </c>
      <c r="R1495">
        <v>30419</v>
      </c>
      <c r="S1495">
        <v>70001</v>
      </c>
    </row>
    <row r="1496" spans="1:26" x14ac:dyDescent="0.2">
      <c r="B1496" s="3" t="str">
        <f>A1495&amp;"C"</f>
        <v>10299C</v>
      </c>
      <c r="O1496">
        <v>0.1</v>
      </c>
      <c r="P1496">
        <v>1</v>
      </c>
      <c r="Q1496">
        <v>1</v>
      </c>
      <c r="R1496">
        <v>1</v>
      </c>
      <c r="S1496">
        <v>5</v>
      </c>
    </row>
    <row r="1497" spans="1:26" x14ac:dyDescent="0.2">
      <c r="O1497">
        <f>IF(O1499&gt;10000,HLOOKUP(O1499,N1495:$O1498,4,FALSE),IF(OR(AND(22500&lt;O1495,O1495&lt;25001),AND(50000&lt;O1495,O1495&lt;53501),AND(70000&lt;O1495,O1495&lt;72501)),$F1495,IF(OR(AND(25001&lt;O1495,O1495&lt;27501),AND(53500&lt;O1495,O1495&lt;57001),AND(72500&lt;O1495,O1495&lt;75001)),$G1495,IF(OR(AND(27500&lt;O1495,O1495&lt;30001),AND(57000&lt;O1495,O1495&lt;60001),AND(75000&lt;O1495,O1495&lt;77500)),$H1495,VLOOKUP(O1495,BDins,6,FALSE)))))</f>
        <v>24.97</v>
      </c>
      <c r="P1497">
        <f>IF(P1499&gt;10000,HLOOKUP(P1499,O1495:$O1498,4,FALSE),IF(OR(AND(22500&lt;P1495,P1495&lt;25001),AND(50000&lt;P1495,P1495&lt;53501),AND(70000&lt;P1495,P1495&lt;72501)),$F1495,IF(OR(AND(25001&lt;P1495,P1495&lt;27501),AND(53500&lt;P1495,P1495&lt;57001),AND(72500&lt;P1495,P1495&lt;75001)),$G1495,IF(OR(AND(27500&lt;P1495,P1495&lt;30001),AND(57000&lt;P1495,P1495&lt;60001),AND(75000&lt;P1495,P1495&lt;77500)),$H1495,VLOOKUP(P1495,BDins,6,FALSE)))))</f>
        <v>20.81</v>
      </c>
      <c r="Q1497">
        <f>IF(Q1499&gt;10000,HLOOKUP(Q1499,$O1495:P1498,4,FALSE),IF(OR(AND(22500&lt;Q1495,Q1495&lt;25001),AND(50000&lt;Q1495,Q1495&lt;53501),AND(70000&lt;Q1495,Q1495&lt;72501)),$F1495,IF(OR(AND(25001&lt;Q1495,Q1495&lt;27501),AND(53500&lt;Q1495,Q1495&lt;57001),AND(72500&lt;Q1495,Q1495&lt;75001)),$G1495,IF(OR(AND(27500&lt;Q1495,Q1495&lt;30001),AND(57000&lt;Q1495,Q1495&lt;60001),AND(75000&lt;Q1495,Q1495&lt;77500)),$H1495,VLOOKUP(Q1495,BDins,6,FALSE)))))</f>
        <v>17.09</v>
      </c>
      <c r="R1497">
        <f>IF(R1499&gt;10000,HLOOKUP(R1499,$O1495:Q1498,4,FALSE),IF(OR(AND(22500&lt;R1495,R1495&lt;25001),AND(50000&lt;R1495,R1495&lt;53501),AND(70000&lt;R1495,R1495&lt;72501)),$F1495,IF(OR(AND(25001&lt;R1495,R1495&lt;27501),AND(53500&lt;R1495,R1495&lt;57001),AND(72500&lt;R1495,R1495&lt;75001)),$G1495,IF(OR(AND(27500&lt;R1495,R1495&lt;30001),AND(57000&lt;R1495,R1495&lt;60001),AND(75000&lt;R1495,R1495&lt;77500)),$H1495,VLOOKUP(R1495,BDins,6,FALSE)))))</f>
        <v>1500</v>
      </c>
      <c r="S1497">
        <f>IF(S1499&gt;10000,HLOOKUP(S1499,$O1495:R1498,4,FALSE),IF(OR(AND(22500&lt;S1495,S1495&lt;25001),AND(50000&lt;S1495,S1495&lt;53501),AND(70000&lt;S1495,S1495&lt;72501)),$F1495,IF(OR(AND(25001&lt;S1495,S1495&lt;27501),AND(53500&lt;S1495,S1495&lt;57001),AND(72500&lt;S1495,S1495&lt;75001)),$G1495,IF(OR(AND(27500&lt;S1495,S1495&lt;30001),AND(57000&lt;S1495,S1495&lt;60001),AND(75000&lt;S1495,S1495&lt;77500)),$H1495,VLOOKUP(S1495,BDins,6,FALSE)))))</f>
        <v>1077.25</v>
      </c>
    </row>
    <row r="1498" spans="1:26" x14ac:dyDescent="0.2">
      <c r="O1498">
        <f>IF($K1495&gt;0,ROUND(O1496*$E1495/100,DpCU),IF(O1499&gt;10000,ROUND(HLOOKUP(O1499,$O1495:$S1498,4,FALSE)/100*O1496,DpCU),IF(OR(O1495&lt;20001,O1495&gt;95000,AND(60000&lt;O1495,O1495&lt;70001)),ROUND(ROUND(O1496*JL/$C1495,DcCU)*O1497,DpCU),IF(OR(AND(20000&lt;O1495,O1495&lt;22501),AND(30000&lt;O1495,O1495&lt;50001),77500&lt;O1495),ROUND(O1497*O1496,DpCU),IF(OR(AND(22500&lt;O1495,O1495&lt;25001),AND(50000&lt;O1495,O1495&lt;53501),AND(70000&lt;O1495,O1495&lt;72501)),ROUND($F1495/100*O1496,DpCU),IF(OR(AND(25000&lt;O1495,O1495&lt;27501),AND(53500&lt;O1495,O1495&lt;57001),AND(72500&lt;O1495,O1495&lt;75001)),ROUND($G1495/100*O1496,DpCU),ROUND($H1495/100*O1496,DpCU)))))))</f>
        <v>66.59</v>
      </c>
      <c r="P1498">
        <f>IF($K1495&gt;0,ROUND(P1496*$E1495/100,DpCU),IF(P1499&gt;10000,ROUND(HLOOKUP(P1499,$O1495:$S1498,4,FALSE)/100*P1496,DpCU),IF(OR(P1495&lt;20001,P1495&gt;95000,AND(60000&lt;P1495,P1495&lt;70001)),ROUND(ROUND(P1496*JL/$C1495,DcCU)*P1497,DpCU),IF(OR(AND(20000&lt;P1495,P1495&lt;22501),AND(30000&lt;P1495,P1495&lt;50001),77500&lt;P1495),ROUND(P1497*P1496,DpCU),IF(OR(AND(22500&lt;P1495,P1495&lt;25001),AND(50000&lt;P1495,P1495&lt;53501),AND(70000&lt;P1495,P1495&lt;72501)),ROUND($F1495/100*P1496,DpCU),IF(OR(AND(25000&lt;P1495,P1495&lt;27501),AND(53500&lt;P1495,P1495&lt;57001),AND(72500&lt;P1495,P1495&lt;75001)),ROUND($G1495/100*P1496,DpCU),ROUND($H1495/100*P1496,DpCU)))))))</f>
        <v>554.92999999999995</v>
      </c>
      <c r="Q1498">
        <f>IF($K1495&gt;0,ROUND(Q1496*$E1495/100,DpCU),IF(Q1499&gt;10000,ROUND(HLOOKUP(Q1499,$O1495:$S1498,4,FALSE)/100*Q1496,DpCU),IF(OR(Q1495&lt;20001,Q1495&gt;95000,AND(60000&lt;Q1495,Q1495&lt;70001)),ROUND(ROUND(Q1496*JL/$C1495,DcCU)*Q1497,DpCU),IF(OR(AND(20000&lt;Q1495,Q1495&lt;22501),AND(30000&lt;Q1495,Q1495&lt;50001),77500&lt;Q1495),ROUND(Q1497*Q1496,DpCU),IF(OR(AND(22500&lt;Q1495,Q1495&lt;25001),AND(50000&lt;Q1495,Q1495&lt;53501),AND(70000&lt;Q1495,Q1495&lt;72501)),ROUND($F1495/100*Q1496,DpCU),IF(OR(AND(25000&lt;Q1495,Q1495&lt;27501),AND(53500&lt;Q1495,Q1495&lt;57001),AND(72500&lt;Q1495,Q1495&lt;75001)),ROUND($G1495/100*Q1496,DpCU),ROUND($H1495/100*Q1496,DpCU)))))))</f>
        <v>455.73</v>
      </c>
      <c r="R1498">
        <f>IF($K1495&gt;0,ROUND(R1496*$E1495/100,DpCU),IF(R1499&gt;10000,ROUND(HLOOKUP(R1499,$O1495:$S1498,4,FALSE)/100*R1496,DpCU),IF(OR(R1495&lt;20001,R1495&gt;95000,AND(60000&lt;R1495,R1495&lt;70001)),ROUND(ROUND(R1496*JL/$C1495,DcCU)*R1497,DpCU),IF(OR(AND(20000&lt;R1495,R1495&lt;22501),AND(30000&lt;R1495,R1495&lt;50001),77500&lt;R1495),ROUND(R1497*R1496,DpCU),IF(OR(AND(22500&lt;R1495,R1495&lt;25001),AND(50000&lt;R1495,R1495&lt;53501),AND(70000&lt;R1495,R1495&lt;72501)),ROUND($F1495/100*R1496,DpCU),IF(OR(AND(25000&lt;R1495,R1495&lt;27501),AND(53500&lt;R1495,R1495&lt;57001),AND(72500&lt;R1495,R1495&lt;75001)),ROUND($G1495/100*R1496,DpCU),ROUND($H1495/100*R1496,DpCU)))))))</f>
        <v>1500</v>
      </c>
      <c r="S1498">
        <f>IF($K1495&gt;0,ROUND(S1496*$E1495/100,DpCU),IF(S1499&gt;10000,ROUND(HLOOKUP(S1499,$O1495:$S1498,4,FALSE)/100*S1496,DpCU),IF(OR(S1495&lt;20001,S1495&gt;95000,AND(60000&lt;S1495,S1495&lt;70001)),ROUND(ROUND(S1496*JL/$C1495,DcCU)*S1497,DpCU),IF(OR(AND(20000&lt;S1495,S1495&lt;22501),AND(30000&lt;S1495,S1495&lt;50001),77500&lt;S1495),ROUND(S1497*S1496,DpCU),IF(OR(AND(22500&lt;S1495,S1495&lt;25001),AND(50000&lt;S1495,S1495&lt;53501),AND(70000&lt;S1495,S1495&lt;72501)),ROUND($F1495/100*S1496,DpCU),IF(OR(AND(25000&lt;S1495,S1495&lt;27501),AND(53500&lt;S1495,S1495&lt;57001),AND(72500&lt;S1495,S1495&lt;75001)),ROUND($G1495/100*S1496,DpCU),ROUND($H1495/100*S1496,DpCU)))))))</f>
        <v>53.86</v>
      </c>
    </row>
    <row r="1499" spans="1:26" x14ac:dyDescent="0.2">
      <c r="B1499" s="3" t="str">
        <f>A1495&amp;"r"</f>
        <v>10299r</v>
      </c>
    </row>
    <row r="1500" spans="1:26" x14ac:dyDescent="0.2">
      <c r="A1500">
        <v>10300</v>
      </c>
      <c r="B1500" s="3" t="s">
        <v>1519</v>
      </c>
      <c r="C1500" s="1">
        <f>ROUND(J1500*JL*Frto/8,4)</f>
        <v>3</v>
      </c>
      <c r="D1500" t="s">
        <v>914</v>
      </c>
      <c r="E1500">
        <f>SUM($O1503:$Z1503)</f>
        <v>194.27</v>
      </c>
      <c r="F1500">
        <f>SUMIF($O1500:$Z1500,"&lt;22501",$O1503:$Z1503)</f>
        <v>103.11000000000001</v>
      </c>
      <c r="G1500">
        <f>SUMIFS($O1503:$Z1503,$O1500:$Z1500,"&gt;30000",$O1500:$Z1500,"&lt;50001")</f>
        <v>65.38</v>
      </c>
      <c r="H1500">
        <f>SUMIFS($O1503:$Z1503,$O1500:$Z1500,"&gt;60000",$O1500:$Z1500,"&lt;70001")</f>
        <v>0</v>
      </c>
      <c r="I1500">
        <v>12</v>
      </c>
      <c r="J1500">
        <v>3</v>
      </c>
      <c r="O1500">
        <v>10001</v>
      </c>
      <c r="P1500">
        <v>10002</v>
      </c>
      <c r="Q1500">
        <v>10003</v>
      </c>
      <c r="R1500">
        <v>30420</v>
      </c>
      <c r="S1500">
        <v>30421</v>
      </c>
      <c r="T1500">
        <v>30422</v>
      </c>
      <c r="U1500">
        <v>30423</v>
      </c>
      <c r="V1500">
        <v>30424</v>
      </c>
      <c r="W1500">
        <v>30425</v>
      </c>
      <c r="X1500">
        <v>30426</v>
      </c>
      <c r="Y1500">
        <v>30427</v>
      </c>
      <c r="Z1500">
        <v>70001</v>
      </c>
    </row>
    <row r="1501" spans="1:26" x14ac:dyDescent="0.2">
      <c r="B1501" s="3" t="str">
        <f>A1500&amp;"C"</f>
        <v>10300C</v>
      </c>
      <c r="O1501">
        <v>0.1</v>
      </c>
      <c r="P1501">
        <v>1</v>
      </c>
      <c r="Q1501">
        <v>1</v>
      </c>
      <c r="R1501">
        <v>1.7</v>
      </c>
      <c r="S1501">
        <v>0.12</v>
      </c>
      <c r="T1501">
        <v>1</v>
      </c>
      <c r="U1501">
        <v>1</v>
      </c>
      <c r="V1501">
        <v>1</v>
      </c>
      <c r="W1501">
        <v>1</v>
      </c>
      <c r="X1501">
        <v>1.5</v>
      </c>
      <c r="Y1501">
        <v>0.5</v>
      </c>
      <c r="Z1501">
        <v>25</v>
      </c>
    </row>
    <row r="1502" spans="1:26" x14ac:dyDescent="0.2">
      <c r="O1502">
        <f>IF(O1504&gt;10000,HLOOKUP(O1504,N1500:$O1503,4,FALSE),IF(OR(AND(22500&lt;O1500,O1500&lt;25001),AND(50000&lt;O1500,O1500&lt;53501),AND(70000&lt;O1500,O1500&lt;72501)),$F1500,IF(OR(AND(25001&lt;O1500,O1500&lt;27501),AND(53500&lt;O1500,O1500&lt;57001),AND(72500&lt;O1500,O1500&lt;75001)),$G1500,IF(OR(AND(27500&lt;O1500,O1500&lt;30001),AND(57000&lt;O1500,O1500&lt;60001),AND(75000&lt;O1500,O1500&lt;77500)),$H1500,VLOOKUP(O1500,BDins,6,FALSE)))))</f>
        <v>24.97</v>
      </c>
      <c r="P1502">
        <f>IF(P1504&gt;10000,HLOOKUP(P1504,O1500:$O1503,4,FALSE),IF(OR(AND(22500&lt;P1500,P1500&lt;25001),AND(50000&lt;P1500,P1500&lt;53501),AND(70000&lt;P1500,P1500&lt;72501)),$F1500,IF(OR(AND(25001&lt;P1500,P1500&lt;27501),AND(53500&lt;P1500,P1500&lt;57001),AND(72500&lt;P1500,P1500&lt;75001)),$G1500,IF(OR(AND(27500&lt;P1500,P1500&lt;30001),AND(57000&lt;P1500,P1500&lt;60001),AND(75000&lt;P1500,P1500&lt;77500)),$H1500,VLOOKUP(P1500,BDins,6,FALSE)))))</f>
        <v>20.81</v>
      </c>
      <c r="Q1502">
        <f>IF(Q1504&gt;10000,HLOOKUP(Q1504,$O1500:P1503,4,FALSE),IF(OR(AND(22500&lt;Q1500,Q1500&lt;25001),AND(50000&lt;Q1500,Q1500&lt;53501),AND(70000&lt;Q1500,Q1500&lt;72501)),$F1500,IF(OR(AND(25001&lt;Q1500,Q1500&lt;27501),AND(53500&lt;Q1500,Q1500&lt;57001),AND(72500&lt;Q1500,Q1500&lt;75001)),$G1500,IF(OR(AND(27500&lt;Q1500,Q1500&lt;30001),AND(57000&lt;Q1500,Q1500&lt;60001),AND(75000&lt;Q1500,Q1500&lt;77500)),$H1500,VLOOKUP(Q1500,BDins,6,FALSE)))))</f>
        <v>15.36</v>
      </c>
      <c r="R1502">
        <f>IF(R1504&gt;10000,HLOOKUP(R1504,$O1500:Q1503,4,FALSE),IF(OR(AND(22500&lt;R1500,R1500&lt;25001),AND(50000&lt;R1500,R1500&lt;53501),AND(70000&lt;R1500,R1500&lt;72501)),$F1500,IF(OR(AND(25001&lt;R1500,R1500&lt;27501),AND(53500&lt;R1500,R1500&lt;57001),AND(72500&lt;R1500,R1500&lt;75001)),$G1500,IF(OR(AND(27500&lt;R1500,R1500&lt;30001),AND(57000&lt;R1500,R1500&lt;60001),AND(75000&lt;R1500,R1500&lt;77500)),$H1500,VLOOKUP(R1500,BDins,6,FALSE)))))</f>
        <v>3</v>
      </c>
      <c r="S1502">
        <f>IF(S1504&gt;10000,HLOOKUP(S1504,$O1500:R1503,4,FALSE),IF(OR(AND(22500&lt;S1500,S1500&lt;25001),AND(50000&lt;S1500,S1500&lt;53501),AND(70000&lt;S1500,S1500&lt;72501)),$F1500,IF(OR(AND(25001&lt;S1500,S1500&lt;27501),AND(53500&lt;S1500,S1500&lt;57001),AND(72500&lt;S1500,S1500&lt;75001)),$G1500,IF(OR(AND(27500&lt;S1500,S1500&lt;30001),AND(57000&lt;S1500,S1500&lt;60001),AND(75000&lt;S1500,S1500&lt;77500)),$H1500,VLOOKUP(S1500,BDins,6,FALSE)))))</f>
        <v>75.25</v>
      </c>
      <c r="T1502">
        <f>IF(T1504&gt;10000,HLOOKUP(T1504,$O1500:S1503,4,FALSE),IF(OR(AND(22500&lt;T1500,T1500&lt;25001),AND(50000&lt;T1500,T1500&lt;53501),AND(70000&lt;T1500,T1500&lt;72501)),$F1500,IF(OR(AND(25001&lt;T1500,T1500&lt;27501),AND(53500&lt;T1500,T1500&lt;57001),AND(72500&lt;T1500,T1500&lt;75001)),$G1500,IF(OR(AND(27500&lt;T1500,T1500&lt;30001),AND(57000&lt;T1500,T1500&lt;60001),AND(75000&lt;T1500,T1500&lt;77500)),$H1500,VLOOKUP(T1500,BDins,6,FALSE)))))</f>
        <v>6.5</v>
      </c>
      <c r="U1502">
        <f>IF(U1504&gt;10000,HLOOKUP(U1504,$O1500:T1503,4,FALSE),IF(OR(AND(22500&lt;U1500,U1500&lt;25001),AND(50000&lt;U1500,U1500&lt;53501),AND(70000&lt;U1500,U1500&lt;72501)),$F1500,IF(OR(AND(25001&lt;U1500,U1500&lt;27501),AND(53500&lt;U1500,U1500&lt;57001),AND(72500&lt;U1500,U1500&lt;75001)),$G1500,IF(OR(AND(27500&lt;U1500,U1500&lt;30001),AND(57000&lt;U1500,U1500&lt;60001),AND(75000&lt;U1500,U1500&lt;77500)),$H1500,VLOOKUP(U1500,BDins,6,FALSE)))))</f>
        <v>6.5</v>
      </c>
      <c r="V1502">
        <f>IF(V1504&gt;10000,HLOOKUP(V1504,$O1500:U1503,4,FALSE),IF(OR(AND(22500&lt;V1500,V1500&lt;25001),AND(50000&lt;V1500,V1500&lt;53501),AND(70000&lt;V1500,V1500&lt;72501)),$F1500,IF(OR(AND(25001&lt;V1500,V1500&lt;27501),AND(53500&lt;V1500,V1500&lt;57001),AND(72500&lt;V1500,V1500&lt;75001)),$G1500,IF(OR(AND(27500&lt;V1500,V1500&lt;30001),AND(57000&lt;V1500,V1500&lt;60001),AND(75000&lt;V1500,V1500&lt;77500)),$H1500,VLOOKUP(V1500,BDins,6,FALSE)))))</f>
        <v>5.5</v>
      </c>
      <c r="W1502">
        <f>IF(W1504&gt;10000,HLOOKUP(W1504,$O1500:V1503,4,FALSE),IF(OR(AND(22500&lt;W1500,W1500&lt;25001),AND(50000&lt;W1500,W1500&lt;53501),AND(70000&lt;W1500,W1500&lt;72501)),$F1500,IF(OR(AND(25001&lt;W1500,W1500&lt;27501),AND(53500&lt;W1500,W1500&lt;57001),AND(72500&lt;W1500,W1500&lt;75001)),$G1500,IF(OR(AND(27500&lt;W1500,W1500&lt;30001),AND(57000&lt;W1500,W1500&lt;60001),AND(75000&lt;W1500,W1500&lt;77500)),$H1500,VLOOKUP(W1500,BDins,6,FALSE)))))</f>
        <v>6</v>
      </c>
      <c r="X1502">
        <f>IF(X1504&gt;10000,HLOOKUP(X1504,$O1500:W1503,4,FALSE),IF(OR(AND(22500&lt;X1500,X1500&lt;25001),AND(50000&lt;X1500,X1500&lt;53501),AND(70000&lt;X1500,X1500&lt;72501)),$F1500,IF(OR(AND(25001&lt;X1500,X1500&lt;27501),AND(53500&lt;X1500,X1500&lt;57001),AND(72500&lt;X1500,X1500&lt;75001)),$G1500,IF(OR(AND(27500&lt;X1500,X1500&lt;30001),AND(57000&lt;X1500,X1500&lt;60001),AND(75000&lt;X1500,X1500&lt;77500)),$H1500,VLOOKUP(X1500,BDins,6,FALSE)))))</f>
        <v>4.5</v>
      </c>
      <c r="Y1502">
        <f>IF(Y1504&gt;10000,HLOOKUP(Y1504,$O1500:X1503,4,FALSE),IF(OR(AND(22500&lt;Y1500,Y1500&lt;25001),AND(50000&lt;Y1500,Y1500&lt;53501),AND(70000&lt;Y1500,Y1500&lt;72501)),$F1500,IF(OR(AND(25001&lt;Y1500,Y1500&lt;27501),AND(53500&lt;Y1500,Y1500&lt;57001),AND(72500&lt;Y1500,Y1500&lt;75001)),$G1500,IF(OR(AND(27500&lt;Y1500,Y1500&lt;30001),AND(57000&lt;Y1500,Y1500&lt;60001),AND(75000&lt;Y1500,Y1500&lt;77500)),$H1500,VLOOKUP(Y1500,BDins,6,FALSE)))))</f>
        <v>40</v>
      </c>
      <c r="Z1502">
        <f>IF(Z1504&gt;10000,HLOOKUP(Z1504,$O1500:Y1503,4,FALSE),IF(OR(AND(22500&lt;Z1500,Z1500&lt;25001),AND(50000&lt;Z1500,Z1500&lt;53501),AND(70000&lt;Z1500,Z1500&lt;72501)),$F1500,IF(OR(AND(25001&lt;Z1500,Z1500&lt;27501),AND(53500&lt;Z1500,Z1500&lt;57001),AND(72500&lt;Z1500,Z1500&lt;75001)),$G1500,IF(OR(AND(27500&lt;Z1500,Z1500&lt;30001),AND(57000&lt;Z1500,Z1500&lt;60001),AND(75000&lt;Z1500,Z1500&lt;77500)),$H1500,VLOOKUP(Z1500,BDins,6,FALSE)))))</f>
        <v>103.11000000000001</v>
      </c>
    </row>
    <row r="1503" spans="1:26" x14ac:dyDescent="0.2">
      <c r="O1503">
        <f t="shared" ref="O1503:Z1503" si="217">IF($K1500&gt;0,ROUND(O1501*$E1500/100,DpCU),IF(O1504&gt;10000,ROUND(HLOOKUP(O1504,$O1500:$Z1503,4,FALSE)/100*O1501,DpCU),IF(OR(O1500&lt;20001,O1500&gt;95000,AND(60000&lt;O1500,O1500&lt;70001)),ROUND(ROUND(O1501*JL/$C1500,DcCU)*O1502,DpCU),IF(OR(AND(20000&lt;O1500,O1500&lt;22501),AND(30000&lt;O1500,O1500&lt;50001),77500&lt;O1500),ROUND(O1502*O1501,DpCU),IF(OR(AND(22500&lt;O1500,O1500&lt;25001),AND(50000&lt;O1500,O1500&lt;53501),AND(70000&lt;O1500,O1500&lt;72501)),ROUND($F1500/100*O1501,DpCU),IF(OR(AND(25000&lt;O1500,O1500&lt;27501),AND(53500&lt;O1500,O1500&lt;57001),AND(72500&lt;O1500,O1500&lt;75001)),ROUND($G1500/100*O1501,DpCU),ROUND($H1500/100*O1501,DpCU)))))))</f>
        <v>6.66</v>
      </c>
      <c r="P1503">
        <f t="shared" si="217"/>
        <v>55.49</v>
      </c>
      <c r="Q1503">
        <f t="shared" si="217"/>
        <v>40.96</v>
      </c>
      <c r="R1503">
        <f t="shared" si="217"/>
        <v>5.0999999999999996</v>
      </c>
      <c r="S1503">
        <f t="shared" si="217"/>
        <v>9.0299999999999994</v>
      </c>
      <c r="T1503">
        <f t="shared" si="217"/>
        <v>6.5</v>
      </c>
      <c r="U1503">
        <f t="shared" si="217"/>
        <v>6.5</v>
      </c>
      <c r="V1503">
        <f t="shared" si="217"/>
        <v>5.5</v>
      </c>
      <c r="W1503">
        <f t="shared" si="217"/>
        <v>6</v>
      </c>
      <c r="X1503">
        <f t="shared" si="217"/>
        <v>6.75</v>
      </c>
      <c r="Y1503">
        <f t="shared" si="217"/>
        <v>20</v>
      </c>
      <c r="Z1503">
        <f t="shared" si="217"/>
        <v>25.78</v>
      </c>
    </row>
    <row r="1504" spans="1:26" x14ac:dyDescent="0.2">
      <c r="B1504" s="3" t="str">
        <f>A1500&amp;"r"</f>
        <v>10300r</v>
      </c>
    </row>
    <row r="1505" spans="1:20" x14ac:dyDescent="0.2">
      <c r="A1505">
        <v>10301</v>
      </c>
      <c r="B1505" s="3" t="s">
        <v>1531</v>
      </c>
      <c r="C1505" s="1">
        <f>ROUND(J1505*JL*Frto/8,4)</f>
        <v>17.5</v>
      </c>
      <c r="D1505" t="s">
        <v>194</v>
      </c>
      <c r="E1505">
        <f>SUM($O1508:$T1508)</f>
        <v>35.6</v>
      </c>
      <c r="F1505">
        <f>SUMIF($O1505:$T1505,"&lt;22501",$O1508:$T1508)</f>
        <v>17.670000000000002</v>
      </c>
      <c r="G1505">
        <f>SUMIFS($O1508:$T1508,$O1505:$T1505,"&gt;30000",$O1505:$T1505,"&lt;50001")</f>
        <v>14.4</v>
      </c>
      <c r="H1505">
        <f>SUMIFS($O1508:$T1508,$O1505:$T1505,"&gt;60000",$O1505:$T1505,"&lt;70001")</f>
        <v>0</v>
      </c>
      <c r="I1505">
        <v>6</v>
      </c>
      <c r="J1505">
        <v>17.5</v>
      </c>
      <c r="O1505">
        <v>10001</v>
      </c>
      <c r="P1505">
        <v>10002</v>
      </c>
      <c r="Q1505">
        <v>10003</v>
      </c>
      <c r="R1505">
        <v>30428</v>
      </c>
      <c r="S1505">
        <v>30429</v>
      </c>
      <c r="T1505">
        <v>70001</v>
      </c>
    </row>
    <row r="1506" spans="1:20" x14ac:dyDescent="0.2">
      <c r="B1506" s="3" t="str">
        <f>A1505&amp;"C"</f>
        <v>10301C</v>
      </c>
      <c r="O1506">
        <v>0.1</v>
      </c>
      <c r="P1506">
        <v>1</v>
      </c>
      <c r="Q1506">
        <v>1</v>
      </c>
      <c r="R1506">
        <v>0.18</v>
      </c>
      <c r="S1506">
        <v>0.2</v>
      </c>
      <c r="T1506">
        <v>20</v>
      </c>
    </row>
    <row r="1507" spans="1:20" x14ac:dyDescent="0.2">
      <c r="O1507">
        <f>IF(O1509&gt;10000,HLOOKUP(O1509,N1505:$O1508,4,FALSE),IF(OR(AND(22500&lt;O1505,O1505&lt;25001),AND(50000&lt;O1505,O1505&lt;53501),AND(70000&lt;O1505,O1505&lt;72501)),$F1505,IF(OR(AND(25001&lt;O1505,O1505&lt;27501),AND(53500&lt;O1505,O1505&lt;57001),AND(72500&lt;O1505,O1505&lt;75001)),$G1505,IF(OR(AND(27500&lt;O1505,O1505&lt;30001),AND(57000&lt;O1505,O1505&lt;60001),AND(75000&lt;O1505,O1505&lt;77500)),$H1505,VLOOKUP(O1505,BDins,6,FALSE)))))</f>
        <v>24.97</v>
      </c>
      <c r="P1507">
        <f>IF(P1509&gt;10000,HLOOKUP(P1509,O1505:$O1508,4,FALSE),IF(OR(AND(22500&lt;P1505,P1505&lt;25001),AND(50000&lt;P1505,P1505&lt;53501),AND(70000&lt;P1505,P1505&lt;72501)),$F1505,IF(OR(AND(25001&lt;P1505,P1505&lt;27501),AND(53500&lt;P1505,P1505&lt;57001),AND(72500&lt;P1505,P1505&lt;75001)),$G1505,IF(OR(AND(27500&lt;P1505,P1505&lt;30001),AND(57000&lt;P1505,P1505&lt;60001),AND(75000&lt;P1505,P1505&lt;77500)),$H1505,VLOOKUP(P1505,BDins,6,FALSE)))))</f>
        <v>20.81</v>
      </c>
      <c r="Q1507">
        <f>IF(Q1509&gt;10000,HLOOKUP(Q1509,$O1505:P1508,4,FALSE),IF(OR(AND(22500&lt;Q1505,Q1505&lt;25001),AND(50000&lt;Q1505,Q1505&lt;53501),AND(70000&lt;Q1505,Q1505&lt;72501)),$F1505,IF(OR(AND(25001&lt;Q1505,Q1505&lt;27501),AND(53500&lt;Q1505,Q1505&lt;57001),AND(72500&lt;Q1505,Q1505&lt;75001)),$G1505,IF(OR(AND(27500&lt;Q1505,Q1505&lt;30001),AND(57000&lt;Q1505,Q1505&lt;60001),AND(75000&lt;Q1505,Q1505&lt;77500)),$H1505,VLOOKUP(Q1505,BDins,6,FALSE)))))</f>
        <v>15.36</v>
      </c>
      <c r="R1507">
        <f>IF(R1509&gt;10000,HLOOKUP(R1509,$O1505:Q1508,4,FALSE),IF(OR(AND(22500&lt;R1505,R1505&lt;25001),AND(50000&lt;R1505,R1505&lt;53501),AND(70000&lt;R1505,R1505&lt;72501)),$F1505,IF(OR(AND(25001&lt;R1505,R1505&lt;27501),AND(53500&lt;R1505,R1505&lt;57001),AND(72500&lt;R1505,R1505&lt;75001)),$G1505,IF(OR(AND(27500&lt;R1505,R1505&lt;30001),AND(57000&lt;R1505,R1505&lt;60001),AND(75000&lt;R1505,R1505&lt;77500)),$H1505,VLOOKUP(R1505,BDins,6,FALSE)))))</f>
        <v>75</v>
      </c>
      <c r="S1507">
        <f>IF(S1509&gt;10000,HLOOKUP(S1509,$O1505:R1508,4,FALSE),IF(OR(AND(22500&lt;S1505,S1505&lt;25001),AND(50000&lt;S1505,S1505&lt;53501),AND(70000&lt;S1505,S1505&lt;72501)),$F1505,IF(OR(AND(25001&lt;S1505,S1505&lt;27501),AND(53500&lt;S1505,S1505&lt;57001),AND(72500&lt;S1505,S1505&lt;75001)),$G1505,IF(OR(AND(27500&lt;S1505,S1505&lt;30001),AND(57000&lt;S1505,S1505&lt;60001),AND(75000&lt;S1505,S1505&lt;77500)),$H1505,VLOOKUP(S1505,BDins,6,FALSE)))))</f>
        <v>4.5</v>
      </c>
      <c r="T1507">
        <f>IF(T1509&gt;10000,HLOOKUP(T1509,$O1505:S1508,4,FALSE),IF(OR(AND(22500&lt;T1505,T1505&lt;25001),AND(50000&lt;T1505,T1505&lt;53501),AND(70000&lt;T1505,T1505&lt;72501)),$F1505,IF(OR(AND(25001&lt;T1505,T1505&lt;27501),AND(53500&lt;T1505,T1505&lt;57001),AND(72500&lt;T1505,T1505&lt;75001)),$G1505,IF(OR(AND(27500&lt;T1505,T1505&lt;30001),AND(57000&lt;T1505,T1505&lt;60001),AND(75000&lt;T1505,T1505&lt;77500)),$H1505,VLOOKUP(T1505,BDins,6,FALSE)))))</f>
        <v>17.670000000000002</v>
      </c>
    </row>
    <row r="1508" spans="1:20" x14ac:dyDescent="0.2">
      <c r="O1508">
        <f t="shared" ref="O1508:T1508" si="218">IF($K1505&gt;0,ROUND(O1506*$E1505/100,DpCU),IF(O1509&gt;10000,ROUND(HLOOKUP(O1509,$O1505:$T1508,4,FALSE)/100*O1506,DpCU),IF(OR(O1505&lt;20001,O1505&gt;95000,AND(60000&lt;O1505,O1505&lt;70001)),ROUND(ROUND(O1506*JL/$C1505,DcCU)*O1507,DpCU),IF(OR(AND(20000&lt;O1505,O1505&lt;22501),AND(30000&lt;O1505,O1505&lt;50001),77500&lt;O1505),ROUND(O1507*O1506,DpCU),IF(OR(AND(22500&lt;O1505,O1505&lt;25001),AND(50000&lt;O1505,O1505&lt;53501),AND(70000&lt;O1505,O1505&lt;72501)),ROUND($F1505/100*O1506,DpCU),IF(OR(AND(25000&lt;O1505,O1505&lt;27501),AND(53500&lt;O1505,O1505&lt;57001),AND(72500&lt;O1505,O1505&lt;75001)),ROUND($G1505/100*O1506,DpCU),ROUND($H1505/100*O1506,DpCU)))))))</f>
        <v>1.1399999999999999</v>
      </c>
      <c r="P1508">
        <f t="shared" si="218"/>
        <v>9.51</v>
      </c>
      <c r="Q1508">
        <f t="shared" si="218"/>
        <v>7.02</v>
      </c>
      <c r="R1508">
        <f t="shared" si="218"/>
        <v>13.5</v>
      </c>
      <c r="S1508">
        <f t="shared" si="218"/>
        <v>0.9</v>
      </c>
      <c r="T1508">
        <f t="shared" si="218"/>
        <v>3.53</v>
      </c>
    </row>
    <row r="1509" spans="1:20" x14ac:dyDescent="0.2">
      <c r="B1509" s="3" t="str">
        <f>A1505&amp;"r"</f>
        <v>10301r</v>
      </c>
    </row>
  </sheetData>
  <phoneticPr fontId="0" type="noConversion"/>
  <pageMargins left="0.75" right="0.75" top="1" bottom="1" header="0" footer="0"/>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L521"/>
  <sheetViews>
    <sheetView tabSelected="1" workbookViewId="0">
      <selection activeCell="C5" sqref="C5"/>
    </sheetView>
  </sheetViews>
  <sheetFormatPr baseColWidth="10" defaultRowHeight="12.75" x14ac:dyDescent="0.2"/>
  <cols>
    <col min="1" max="1" width="1.5703125" customWidth="1"/>
    <col min="2" max="2" width="10.140625" customWidth="1"/>
    <col min="3" max="3" width="59.5703125" customWidth="1"/>
    <col min="4" max="4" width="4.85546875" bestFit="1" customWidth="1"/>
    <col min="5" max="5" width="13.42578125" customWidth="1"/>
    <col min="6" max="6" width="14.42578125" style="128" customWidth="1"/>
    <col min="7" max="7" width="16.28515625" style="128" bestFit="1" customWidth="1"/>
    <col min="8" max="8" width="2" customWidth="1"/>
    <col min="9" max="9" width="8.42578125" style="1" bestFit="1" customWidth="1"/>
    <col min="10" max="10" width="11.42578125" style="124" hidden="1" customWidth="1"/>
    <col min="11" max="11" width="0" hidden="1" customWidth="1"/>
  </cols>
  <sheetData>
    <row r="1" spans="1:12" ht="18.75" customHeight="1" x14ac:dyDescent="0.2">
      <c r="A1" s="43"/>
      <c r="B1" s="84" t="str">
        <f>Datos!C7</f>
        <v>RW7o</v>
      </c>
      <c r="C1" s="44"/>
      <c r="D1" s="45"/>
      <c r="E1" s="49"/>
      <c r="F1" s="126"/>
      <c r="H1" s="44"/>
      <c r="I1" s="45"/>
    </row>
    <row r="2" spans="1:12" ht="20.25" x14ac:dyDescent="0.2">
      <c r="A2" s="35"/>
      <c r="B2" s="71" t="s">
        <v>45</v>
      </c>
      <c r="C2" s="72"/>
      <c r="D2" s="73"/>
      <c r="E2" s="72"/>
      <c r="F2" s="74"/>
      <c r="G2" s="74"/>
      <c r="H2" s="11"/>
      <c r="I2" s="8"/>
    </row>
    <row r="3" spans="1:12" ht="15" x14ac:dyDescent="0.2">
      <c r="A3" s="11"/>
      <c r="B3" s="53" t="s">
        <v>101</v>
      </c>
      <c r="C3" s="179" t="str">
        <f>Datos!C2</f>
        <v xml:space="preserve"> </v>
      </c>
      <c r="D3" s="179"/>
      <c r="E3" s="179"/>
      <c r="F3" s="179"/>
      <c r="G3" s="179"/>
      <c r="H3" s="11"/>
      <c r="I3" s="8"/>
    </row>
    <row r="4" spans="1:12" ht="15" x14ac:dyDescent="0.2">
      <c r="A4" s="11"/>
      <c r="B4" s="36" t="s">
        <v>104</v>
      </c>
      <c r="C4" s="76" t="str">
        <f>Datos!C3</f>
        <v xml:space="preserve"> </v>
      </c>
      <c r="D4" s="8"/>
      <c r="E4" s="50"/>
      <c r="F4" s="18"/>
      <c r="G4" s="18"/>
      <c r="H4" s="11"/>
      <c r="I4" s="8"/>
    </row>
    <row r="5" spans="1:12" ht="15" x14ac:dyDescent="0.2">
      <c r="A5" s="11"/>
      <c r="B5" s="36" t="s">
        <v>102</v>
      </c>
      <c r="C5" s="76" t="str">
        <f>Datos!C4</f>
        <v xml:space="preserve"> </v>
      </c>
      <c r="D5" s="8"/>
      <c r="E5" s="50"/>
      <c r="F5" s="18"/>
      <c r="G5" s="18"/>
      <c r="H5" s="11"/>
      <c r="I5" s="8"/>
    </row>
    <row r="6" spans="1:12" ht="15" x14ac:dyDescent="0.2">
      <c r="A6" s="11"/>
      <c r="B6" s="36" t="s">
        <v>103</v>
      </c>
      <c r="C6" s="75" t="str">
        <f>Datos!C5</f>
        <v xml:space="preserve"> </v>
      </c>
      <c r="D6" s="37"/>
      <c r="E6" s="50"/>
      <c r="F6" s="18"/>
      <c r="G6" s="18"/>
      <c r="H6" s="11"/>
      <c r="I6" s="8"/>
    </row>
    <row r="7" spans="1:12" ht="3" customHeight="1" x14ac:dyDescent="0.2">
      <c r="A7" s="11"/>
      <c r="B7" s="33"/>
      <c r="C7" s="35"/>
      <c r="D7" s="8"/>
      <c r="E7" s="50"/>
      <c r="F7" s="18"/>
      <c r="G7" s="18"/>
      <c r="H7" s="11"/>
      <c r="I7" s="8"/>
    </row>
    <row r="8" spans="1:12" ht="3.75" customHeight="1" x14ac:dyDescent="0.2">
      <c r="A8" s="11"/>
      <c r="B8" s="33"/>
      <c r="C8" s="11"/>
      <c r="D8" s="8"/>
      <c r="E8" s="50"/>
      <c r="F8" s="18"/>
      <c r="G8" s="18"/>
      <c r="H8" s="11"/>
      <c r="I8" s="8"/>
    </row>
    <row r="9" spans="1:12" ht="11.25" customHeight="1" x14ac:dyDescent="0.2">
      <c r="A9" s="35"/>
      <c r="B9" s="38"/>
      <c r="C9" s="39"/>
      <c r="D9" s="40"/>
      <c r="E9" s="51"/>
      <c r="F9" s="34"/>
      <c r="G9" s="34"/>
      <c r="H9" s="11"/>
      <c r="I9" s="8"/>
    </row>
    <row r="10" spans="1:12" x14ac:dyDescent="0.2">
      <c r="A10" s="11"/>
      <c r="B10" s="77"/>
      <c r="C10" s="78" t="s">
        <v>11</v>
      </c>
      <c r="D10" s="16" t="s">
        <v>7</v>
      </c>
      <c r="E10" s="16" t="s">
        <v>12</v>
      </c>
      <c r="F10" s="127" t="s">
        <v>10</v>
      </c>
      <c r="G10" s="127" t="s">
        <v>13</v>
      </c>
      <c r="H10" s="46"/>
      <c r="I10" s="58" t="s">
        <v>69</v>
      </c>
      <c r="J10" s="125" t="s">
        <v>94</v>
      </c>
      <c r="K10" s="58" t="s">
        <v>124</v>
      </c>
      <c r="L10" s="58"/>
    </row>
    <row r="11" spans="1:12" s="180" customFormat="1" x14ac:dyDescent="0.2">
      <c r="B11" s="181" t="str">
        <f>J11 &amp; "  " &amp; K11</f>
        <v>01  OBRAS PROVISIONALES, TRABAJOS PRELIMINARES, SEGURIDAD Y SALUD</v>
      </c>
      <c r="C11" s="261"/>
      <c r="D11" s="231"/>
      <c r="E11" s="231"/>
      <c r="F11" s="232"/>
      <c r="G11" s="233">
        <f>SUMIF(Pto!$I12:$I44,"&gt;10000",G12:G44)</f>
        <v>171443.52000000005</v>
      </c>
      <c r="H11" s="182"/>
      <c r="I11" s="183" t="s">
        <v>157</v>
      </c>
      <c r="J11" s="184" t="s">
        <v>158</v>
      </c>
      <c r="K11" s="182" t="s">
        <v>159</v>
      </c>
      <c r="L11" s="182"/>
    </row>
    <row r="12" spans="1:12" s="180" customFormat="1" x14ac:dyDescent="0.2">
      <c r="B12" s="185" t="str">
        <f>J12 &amp; "  " &amp; K12</f>
        <v>01.01  OBRAS PROVISIONALES Y TRABAJOS PRELIMINARES</v>
      </c>
      <c r="C12" s="262"/>
      <c r="D12" s="234"/>
      <c r="E12" s="234"/>
      <c r="F12" s="235"/>
      <c r="G12" s="236">
        <f>SUMIF(Pto!$I13:$I37,"&gt;10000",G13:G37)</f>
        <v>166153.25000000003</v>
      </c>
      <c r="H12" s="186"/>
      <c r="I12" s="187" t="s">
        <v>160</v>
      </c>
      <c r="J12" s="188" t="s">
        <v>161</v>
      </c>
      <c r="K12" s="186" t="s">
        <v>162</v>
      </c>
      <c r="L12" s="186"/>
    </row>
    <row r="13" spans="1:12" s="180" customFormat="1" x14ac:dyDescent="0.2">
      <c r="B13" s="189" t="str">
        <f>J13 &amp; "  " &amp; K13</f>
        <v>01.01.01  CONSTRUCCIONES PROVISIONALES</v>
      </c>
      <c r="C13" s="263"/>
      <c r="D13" s="237"/>
      <c r="E13" s="237"/>
      <c r="F13" s="238"/>
      <c r="G13" s="239">
        <f>SUM(G14:G20)</f>
        <v>84943.88</v>
      </c>
      <c r="H13" s="190"/>
      <c r="I13" s="191" t="s">
        <v>163</v>
      </c>
      <c r="J13" s="192" t="s">
        <v>164</v>
      </c>
      <c r="K13" s="190" t="s">
        <v>165</v>
      </c>
      <c r="L13" s="190"/>
    </row>
    <row r="14" spans="1:12" s="180" customFormat="1" x14ac:dyDescent="0.2">
      <c r="B14" s="193" t="str">
        <f t="shared" ref="B14:B20" si="0">J14 &amp; "  " &amp; VLOOKUP(I14,BDcuA,2,FALSE)</f>
        <v>01.01.01.01  OFICINA</v>
      </c>
      <c r="C14" s="264"/>
      <c r="D14" s="240" t="str">
        <f t="shared" ref="D14:D20" si="1">VLOOKUP(I14,BDcuA,4,FALSE)</f>
        <v>GLB</v>
      </c>
      <c r="E14" s="240">
        <v>1</v>
      </c>
      <c r="F14" s="241">
        <f t="shared" ref="F14:F20" si="2">VLOOKUP(I14,BDcuA,5,FALSE)</f>
        <v>1232.6400000000001</v>
      </c>
      <c r="G14" s="242">
        <f t="shared" ref="G14:G20" si="3">ROUND(F14*E14,DpP)</f>
        <v>1232.6400000000001</v>
      </c>
      <c r="I14" s="194">
        <v>10001</v>
      </c>
      <c r="J14" s="195" t="s">
        <v>166</v>
      </c>
    </row>
    <row r="15" spans="1:12" s="180" customFormat="1" x14ac:dyDescent="0.2">
      <c r="B15" s="193" t="str">
        <f t="shared" si="0"/>
        <v>01.01.01.02  ALMACEN Y GUARDIANIA</v>
      </c>
      <c r="C15" s="264"/>
      <c r="D15" s="240" t="str">
        <f t="shared" si="1"/>
        <v>GLB</v>
      </c>
      <c r="E15" s="240">
        <v>1</v>
      </c>
      <c r="F15" s="241">
        <f t="shared" si="2"/>
        <v>1976.5800000000002</v>
      </c>
      <c r="G15" s="242">
        <f t="shared" si="3"/>
        <v>1976.58</v>
      </c>
      <c r="I15" s="194">
        <v>10002</v>
      </c>
      <c r="J15" s="195" t="s">
        <v>177</v>
      </c>
    </row>
    <row r="16" spans="1:12" s="180" customFormat="1" x14ac:dyDescent="0.2">
      <c r="B16" s="193" t="str">
        <f t="shared" si="0"/>
        <v>01.01.01.03  SS. HH. PARA LA OBRA</v>
      </c>
      <c r="C16" s="264"/>
      <c r="D16" s="240" t="str">
        <f t="shared" si="1"/>
        <v>GLB</v>
      </c>
      <c r="E16" s="240">
        <v>33.5</v>
      </c>
      <c r="F16" s="241">
        <f t="shared" si="2"/>
        <v>2001.68</v>
      </c>
      <c r="G16" s="242">
        <f t="shared" si="3"/>
        <v>67056.28</v>
      </c>
      <c r="I16" s="194">
        <v>10003</v>
      </c>
      <c r="J16" s="195" t="s">
        <v>180</v>
      </c>
    </row>
    <row r="17" spans="2:12" s="180" customFormat="1" x14ac:dyDescent="0.2">
      <c r="B17" s="193" t="str">
        <f t="shared" si="0"/>
        <v>01.01.01.04  TRANSPORTE VERTICAL DE MATERIALES</v>
      </c>
      <c r="C17" s="264"/>
      <c r="D17" s="240" t="str">
        <f t="shared" si="1"/>
        <v>GLB</v>
      </c>
      <c r="E17" s="240">
        <v>1</v>
      </c>
      <c r="F17" s="241">
        <f t="shared" si="2"/>
        <v>1664.8</v>
      </c>
      <c r="G17" s="242">
        <f t="shared" si="3"/>
        <v>1664.8</v>
      </c>
      <c r="I17" s="194">
        <v>10004</v>
      </c>
      <c r="J17" s="195" t="s">
        <v>190</v>
      </c>
    </row>
    <row r="18" spans="2:12" s="180" customFormat="1" x14ac:dyDescent="0.2">
      <c r="B18" s="193" t="str">
        <f t="shared" si="0"/>
        <v>01.01.01.05  PROTECCION DE LINDEROS DE PANELES DE TRIPLAY  DE 1.20 X 2.40 M X 4 MM</v>
      </c>
      <c r="C18" s="264"/>
      <c r="D18" s="240" t="str">
        <f t="shared" si="1"/>
        <v>M</v>
      </c>
      <c r="E18" s="240">
        <v>31.6</v>
      </c>
      <c r="F18" s="241">
        <f t="shared" si="2"/>
        <v>76.53</v>
      </c>
      <c r="G18" s="242">
        <f t="shared" si="3"/>
        <v>2418.35</v>
      </c>
      <c r="I18" s="194">
        <v>10005</v>
      </c>
      <c r="J18" s="195" t="s">
        <v>192</v>
      </c>
    </row>
    <row r="19" spans="2:12" s="180" customFormat="1" x14ac:dyDescent="0.2">
      <c r="B19" s="193" t="str">
        <f t="shared" si="0"/>
        <v>01.01.01.06  LIMPIEZA PERMANENTE DE LA OBRA</v>
      </c>
      <c r="C19" s="264"/>
      <c r="D19" s="240" t="str">
        <f t="shared" si="1"/>
        <v>GLB</v>
      </c>
      <c r="E19" s="240">
        <v>1</v>
      </c>
      <c r="F19" s="241">
        <f t="shared" si="2"/>
        <v>2153.9</v>
      </c>
      <c r="G19" s="242">
        <f t="shared" si="3"/>
        <v>2153.9</v>
      </c>
      <c r="I19" s="194">
        <v>10006</v>
      </c>
      <c r="J19" s="195" t="s">
        <v>197</v>
      </c>
    </row>
    <row r="20" spans="2:12" s="180" customFormat="1" x14ac:dyDescent="0.2">
      <c r="B20" s="193" t="str">
        <f t="shared" si="0"/>
        <v>01.01.01.07  CERCO METALICO PLANCHA  ACANALADA</v>
      </c>
      <c r="C20" s="264"/>
      <c r="D20" s="240" t="str">
        <f t="shared" si="1"/>
        <v>M</v>
      </c>
      <c r="E20" s="240">
        <v>33.5</v>
      </c>
      <c r="F20" s="241">
        <f t="shared" si="2"/>
        <v>251.98</v>
      </c>
      <c r="G20" s="242">
        <f t="shared" si="3"/>
        <v>8441.33</v>
      </c>
      <c r="I20" s="194">
        <v>10007</v>
      </c>
      <c r="J20" s="195" t="s">
        <v>199</v>
      </c>
    </row>
    <row r="21" spans="2:12" s="180" customFormat="1" x14ac:dyDescent="0.2">
      <c r="B21" s="189" t="str">
        <f>J21 &amp; "  " &amp; K21</f>
        <v>01.01.02  INSTALACIONES  PROVISIONALES</v>
      </c>
      <c r="C21" s="263"/>
      <c r="D21" s="237"/>
      <c r="E21" s="237"/>
      <c r="F21" s="238"/>
      <c r="G21" s="239">
        <f>SUMIF(Pto!$I22:$I26,"&gt;10000",G22:G26)</f>
        <v>3900</v>
      </c>
      <c r="H21" s="190"/>
      <c r="I21" s="191" t="s">
        <v>163</v>
      </c>
      <c r="J21" s="192" t="s">
        <v>214</v>
      </c>
      <c r="K21" s="190" t="s">
        <v>215</v>
      </c>
      <c r="L21" s="190"/>
    </row>
    <row r="22" spans="2:12" s="180" customFormat="1" x14ac:dyDescent="0.2">
      <c r="B22" s="196" t="str">
        <f>J22 &amp; "  " &amp; K22</f>
        <v>01.01.02.01  AGUA PARA LA CONSTRUCCION</v>
      </c>
      <c r="C22" s="265"/>
      <c r="D22" s="243"/>
      <c r="E22" s="243"/>
      <c r="F22" s="244"/>
      <c r="G22" s="245">
        <f>SUM(G23:G23)</f>
        <v>1200</v>
      </c>
      <c r="H22" s="197"/>
      <c r="I22" s="198" t="s">
        <v>216</v>
      </c>
      <c r="J22" s="199" t="s">
        <v>217</v>
      </c>
      <c r="K22" s="197" t="s">
        <v>218</v>
      </c>
      <c r="L22" s="197"/>
    </row>
    <row r="23" spans="2:12" s="180" customFormat="1" x14ac:dyDescent="0.2">
      <c r="B23" s="200" t="str">
        <f>J23 &amp; "  " &amp; VLOOKUP(I23,BDcuA,2,FALSE)</f>
        <v>01.01.02.01.01  CONSUMO DE AGUA POTABLE DURANTE LA OBRA</v>
      </c>
      <c r="C23" s="264"/>
      <c r="D23" s="240" t="str">
        <f>VLOOKUP(I23,BDcuA,4,FALSE)</f>
        <v>MES</v>
      </c>
      <c r="E23" s="240">
        <v>8</v>
      </c>
      <c r="F23" s="241">
        <f>VLOOKUP(I23,BDcuA,5,FALSE)</f>
        <v>150</v>
      </c>
      <c r="G23" s="242">
        <f>ROUND(F23*E23,DpP)</f>
        <v>1200</v>
      </c>
      <c r="I23" s="194">
        <v>10008</v>
      </c>
      <c r="J23" s="195" t="s">
        <v>219</v>
      </c>
    </row>
    <row r="24" spans="2:12" s="205" customFormat="1" x14ac:dyDescent="0.2">
      <c r="B24" s="201" t="str">
        <f>J24 &amp; "  " &amp; K24</f>
        <v>01.01.02.02  ENERGIA ELECTRICA PARA LA OBRA</v>
      </c>
      <c r="C24" s="266"/>
      <c r="D24" s="246"/>
      <c r="E24" s="246"/>
      <c r="F24" s="247"/>
      <c r="G24" s="248">
        <f>SUM(G25:G26)</f>
        <v>2700</v>
      </c>
      <c r="H24" s="202"/>
      <c r="I24" s="203" t="s">
        <v>216</v>
      </c>
      <c r="J24" s="204" t="s">
        <v>223</v>
      </c>
      <c r="K24" s="202" t="s">
        <v>224</v>
      </c>
      <c r="L24" s="202"/>
    </row>
    <row r="25" spans="2:12" s="205" customFormat="1" x14ac:dyDescent="0.2">
      <c r="B25" s="206" t="str">
        <f>J25 &amp; "  " &amp; VLOOKUP(I25,BDcuA,2,FALSE)</f>
        <v>01.01.02.02.01  INSTALACIONES PROVISIONALES DE ENERGIA ELECTRICA</v>
      </c>
      <c r="C25" s="267"/>
      <c r="D25" s="249" t="str">
        <f>VLOOKUP(I25,BDcuA,4,FALSE)</f>
        <v>GLB</v>
      </c>
      <c r="E25" s="249">
        <v>1</v>
      </c>
      <c r="F25" s="250">
        <f>VLOOKUP(I25,BDcuA,5,FALSE)</f>
        <v>1500</v>
      </c>
      <c r="G25" s="251">
        <f>ROUND(F25*E25,DpP)</f>
        <v>1500</v>
      </c>
      <c r="I25" s="207">
        <v>10009</v>
      </c>
      <c r="J25" s="208" t="s">
        <v>225</v>
      </c>
    </row>
    <row r="26" spans="2:12" s="205" customFormat="1" x14ac:dyDescent="0.2">
      <c r="B26" s="206" t="str">
        <f>J26 &amp; "  " &amp; VLOOKUP(I26,BDcuA,2,FALSE)</f>
        <v>01.01.02.02.02  CONSUMO DE ENERGIA ELECTRICA DURANTE LA OBRA</v>
      </c>
      <c r="C26" s="267"/>
      <c r="D26" s="249" t="str">
        <f>VLOOKUP(I26,BDcuA,4,FALSE)</f>
        <v>MES</v>
      </c>
      <c r="E26" s="249">
        <v>8</v>
      </c>
      <c r="F26" s="250">
        <f>VLOOKUP(I26,BDcuA,5,FALSE)</f>
        <v>150</v>
      </c>
      <c r="G26" s="251">
        <f>ROUND(F26*E26,DpP)</f>
        <v>1200</v>
      </c>
      <c r="I26" s="207">
        <v>10010</v>
      </c>
      <c r="J26" s="208" t="s">
        <v>227</v>
      </c>
    </row>
    <row r="27" spans="2:12" s="205" customFormat="1" x14ac:dyDescent="0.2">
      <c r="B27" s="209" t="str">
        <f>J27 &amp; "  " &amp; K27</f>
        <v>01.01.03  TRABAJOS PRELIMINARES</v>
      </c>
      <c r="C27" s="268"/>
      <c r="D27" s="252"/>
      <c r="E27" s="252"/>
      <c r="F27" s="253"/>
      <c r="G27" s="254">
        <f>SUM(G28:G28)</f>
        <v>70248.44</v>
      </c>
      <c r="H27" s="210"/>
      <c r="I27" s="211" t="s">
        <v>163</v>
      </c>
      <c r="J27" s="212" t="s">
        <v>230</v>
      </c>
      <c r="K27" s="210" t="s">
        <v>231</v>
      </c>
      <c r="L27" s="210"/>
    </row>
    <row r="28" spans="2:12" s="205" customFormat="1" x14ac:dyDescent="0.2">
      <c r="B28" s="213" t="str">
        <f>J28 &amp; "  " &amp; VLOOKUP(I28,BDcuA,2,FALSE)</f>
        <v>01.01.03.01  LIMPIEZA  TERRENO</v>
      </c>
      <c r="C28" s="267"/>
      <c r="D28" s="249" t="str">
        <f>VLOOKUP(I28,BDcuA,4,FALSE)</f>
        <v>M3</v>
      </c>
      <c r="E28" s="249">
        <v>70.2</v>
      </c>
      <c r="F28" s="250">
        <f>VLOOKUP(I28,BDcuA,5,FALSE)</f>
        <v>1000.69</v>
      </c>
      <c r="G28" s="251">
        <f>ROUND(F28*E28,DpP)</f>
        <v>70248.44</v>
      </c>
      <c r="I28" s="207">
        <v>10011</v>
      </c>
      <c r="J28" s="208" t="s">
        <v>232</v>
      </c>
    </row>
    <row r="29" spans="2:12" s="205" customFormat="1" x14ac:dyDescent="0.2">
      <c r="B29" s="209" t="str">
        <f>J29 &amp; "  " &amp; K29</f>
        <v>01.01.04  DEMOLICIONES</v>
      </c>
      <c r="C29" s="268"/>
      <c r="D29" s="252"/>
      <c r="E29" s="252"/>
      <c r="F29" s="253"/>
      <c r="G29" s="254">
        <f>SUM(G30:G32)</f>
        <v>1666.87</v>
      </c>
      <c r="H29" s="210"/>
      <c r="I29" s="211" t="s">
        <v>163</v>
      </c>
      <c r="J29" s="212" t="s">
        <v>235</v>
      </c>
      <c r="K29" s="210" t="s">
        <v>236</v>
      </c>
      <c r="L29" s="210"/>
    </row>
    <row r="30" spans="2:12" s="205" customFormat="1" x14ac:dyDescent="0.2">
      <c r="B30" s="213" t="str">
        <f>J30 &amp; "  " &amp; VLOOKUP(I30,BDcuA,2,FALSE)</f>
        <v>01.01.04.01  DEMOLICION DE CIMIENTO DE CONCRETO CICLOPEO</v>
      </c>
      <c r="C30" s="267"/>
      <c r="D30" s="249" t="str">
        <f>VLOOKUP(I30,BDcuA,4,FALSE)</f>
        <v>M3</v>
      </c>
      <c r="E30" s="249">
        <v>2</v>
      </c>
      <c r="F30" s="250">
        <f>VLOOKUP(I30,BDcuA,5,FALSE)</f>
        <v>304.72999999999996</v>
      </c>
      <c r="G30" s="251">
        <f>ROUND(F30*E30,DpP)</f>
        <v>609.46</v>
      </c>
      <c r="I30" s="207">
        <v>10012</v>
      </c>
      <c r="J30" s="208" t="s">
        <v>237</v>
      </c>
    </row>
    <row r="31" spans="2:12" s="205" customFormat="1" x14ac:dyDescent="0.2">
      <c r="B31" s="213" t="str">
        <f>J31 &amp; "  " &amp; VLOOKUP(I31,BDcuA,2,FALSE)</f>
        <v>01.01.04.02  DEMOLICION DE SOBRECIMIENTOS</v>
      </c>
      <c r="C31" s="267"/>
      <c r="D31" s="249" t="str">
        <f>VLOOKUP(I31,BDcuA,4,FALSE)</f>
        <v>M3</v>
      </c>
      <c r="E31" s="249">
        <v>0.3</v>
      </c>
      <c r="F31" s="250">
        <f>VLOOKUP(I31,BDcuA,5,FALSE)</f>
        <v>189.71</v>
      </c>
      <c r="G31" s="251">
        <f>ROUND(F31*E31,DpP)</f>
        <v>56.91</v>
      </c>
      <c r="I31" s="207">
        <v>10013</v>
      </c>
      <c r="J31" s="208" t="s">
        <v>240</v>
      </c>
    </row>
    <row r="32" spans="2:12" s="205" customFormat="1" x14ac:dyDescent="0.2">
      <c r="B32" s="213" t="str">
        <f>J32 &amp; "  " &amp; VLOOKUP(I32,BDcuA,2,FALSE)</f>
        <v>01.01.04.03  ELIMINACION DE MATERIAL EXCEDENTE PROV. DE DEMOLICIONES</v>
      </c>
      <c r="C32" s="267"/>
      <c r="D32" s="249" t="str">
        <f>VLOOKUP(I32,BDcuA,4,FALSE)</f>
        <v>M3</v>
      </c>
      <c r="E32" s="249">
        <v>4.5999999999999996</v>
      </c>
      <c r="F32" s="250">
        <f>VLOOKUP(I32,BDcuA,5,FALSE)</f>
        <v>217.5</v>
      </c>
      <c r="G32" s="251">
        <f>ROUND(F32*E32,DpP)</f>
        <v>1000.5</v>
      </c>
      <c r="I32" s="207">
        <v>10014</v>
      </c>
      <c r="J32" s="208" t="s">
        <v>242</v>
      </c>
    </row>
    <row r="33" spans="2:12" s="205" customFormat="1" x14ac:dyDescent="0.2">
      <c r="B33" s="209" t="str">
        <f>J33 &amp; "  " &amp; K33</f>
        <v>01.01.05  MOVILIZACION DE CAMPAMENTO, MAQUINARIAS Y HERRAMIENTAS</v>
      </c>
      <c r="C33" s="268"/>
      <c r="D33" s="252"/>
      <c r="E33" s="252"/>
      <c r="F33" s="253"/>
      <c r="G33" s="254">
        <f>SUM(G34:G34)</f>
        <v>2276.92</v>
      </c>
      <c r="H33" s="210"/>
      <c r="I33" s="211" t="s">
        <v>163</v>
      </c>
      <c r="J33" s="212" t="s">
        <v>244</v>
      </c>
      <c r="K33" s="210" t="s">
        <v>245</v>
      </c>
      <c r="L33" s="210"/>
    </row>
    <row r="34" spans="2:12" s="205" customFormat="1" x14ac:dyDescent="0.2">
      <c r="B34" s="213" t="str">
        <f>J34 &amp; "  " &amp; VLOOKUP(I34,BDcuA,2,FALSE)</f>
        <v>01.01.05.01  MOVILIZACION Y DESMOVILIZACION DE MAQUINARIA  Y HERRAMIENTAS</v>
      </c>
      <c r="C34" s="267"/>
      <c r="D34" s="249" t="str">
        <f>VLOOKUP(I34,BDcuA,4,FALSE)</f>
        <v>GLB</v>
      </c>
      <c r="E34" s="249">
        <v>1</v>
      </c>
      <c r="F34" s="250">
        <f>VLOOKUP(I34,BDcuA,5,FALSE)</f>
        <v>2276.92</v>
      </c>
      <c r="G34" s="251">
        <f>ROUND(F34*E34,DpP)</f>
        <v>2276.92</v>
      </c>
      <c r="I34" s="207">
        <v>10015</v>
      </c>
      <c r="J34" s="208" t="s">
        <v>246</v>
      </c>
    </row>
    <row r="35" spans="2:12" s="205" customFormat="1" x14ac:dyDescent="0.2">
      <c r="B35" s="209" t="str">
        <f>J35 &amp; "  " &amp; K35</f>
        <v>01.01.06  TRAZOS, NIVELES Y REPLANTEO</v>
      </c>
      <c r="C35" s="268"/>
      <c r="D35" s="252"/>
      <c r="E35" s="252"/>
      <c r="F35" s="253"/>
      <c r="G35" s="254">
        <f>SUM(G36:G37)</f>
        <v>3117.14</v>
      </c>
      <c r="H35" s="210"/>
      <c r="I35" s="211" t="s">
        <v>163</v>
      </c>
      <c r="J35" s="212" t="s">
        <v>249</v>
      </c>
      <c r="K35" s="210" t="s">
        <v>250</v>
      </c>
      <c r="L35" s="210"/>
    </row>
    <row r="36" spans="2:12" s="205" customFormat="1" x14ac:dyDescent="0.2">
      <c r="B36" s="213" t="str">
        <f>J36 &amp; "  " &amp; VLOOKUP(I36,BDcuA,2,FALSE)</f>
        <v>01.01.06.01  TRAZO, NIVELES Y REPLANTEO PRELIMINAR CON VALLAS AISLADAS</v>
      </c>
      <c r="C36" s="267"/>
      <c r="D36" s="249" t="str">
        <f>VLOOKUP(I36,BDcuA,4,FALSE)</f>
        <v>M2</v>
      </c>
      <c r="E36" s="249">
        <v>451.1</v>
      </c>
      <c r="F36" s="250">
        <f>VLOOKUP(I36,BDcuA,5,FALSE)</f>
        <v>3.95</v>
      </c>
      <c r="G36" s="251">
        <f>ROUND(F36*E36,DpP)</f>
        <v>1781.85</v>
      </c>
      <c r="I36" s="207">
        <v>10016</v>
      </c>
      <c r="J36" s="208" t="s">
        <v>251</v>
      </c>
    </row>
    <row r="37" spans="2:12" s="205" customFormat="1" x14ac:dyDescent="0.2">
      <c r="B37" s="213" t="str">
        <f>J37 &amp; "  " &amp; VLOOKUP(I37,BDcuA,2,FALSE)</f>
        <v>01.01.06.02  TRAZO Y REPLANTEO DURANTE EL PROCESO DE LA OBRA</v>
      </c>
      <c r="C37" s="267"/>
      <c r="D37" s="249" t="str">
        <f>VLOOKUP(I37,BDcuA,4,FALSE)</f>
        <v>M2</v>
      </c>
      <c r="E37" s="249">
        <v>355.13</v>
      </c>
      <c r="F37" s="250">
        <f>VLOOKUP(I37,BDcuA,5,FALSE)</f>
        <v>3.76</v>
      </c>
      <c r="G37" s="251">
        <f>ROUND(F37*E37,DpP)</f>
        <v>1335.29</v>
      </c>
      <c r="I37" s="207">
        <v>10017</v>
      </c>
      <c r="J37" s="208" t="s">
        <v>258</v>
      </c>
    </row>
    <row r="38" spans="2:12" s="205" customFormat="1" x14ac:dyDescent="0.2">
      <c r="B38" s="214" t="str">
        <f>J38 &amp; "  " &amp; K38</f>
        <v>01.02  SEGURIDAD Y SALUD</v>
      </c>
      <c r="C38" s="269"/>
      <c r="D38" s="255"/>
      <c r="E38" s="255"/>
      <c r="F38" s="256"/>
      <c r="G38" s="257">
        <f>SUM(G39:G44)</f>
        <v>5290.2699999999995</v>
      </c>
      <c r="H38" s="215"/>
      <c r="I38" s="216" t="s">
        <v>160</v>
      </c>
      <c r="J38" s="217" t="s">
        <v>263</v>
      </c>
      <c r="K38" s="215" t="s">
        <v>264</v>
      </c>
      <c r="L38" s="215"/>
    </row>
    <row r="39" spans="2:12" s="205" customFormat="1" x14ac:dyDescent="0.2">
      <c r="B39" s="218" t="str">
        <f t="shared" ref="B39:B44" si="4">J39 &amp; "  " &amp; VLOOKUP(I39,BDcuA,2,FALSE)</f>
        <v>01.02.01  ELABORACION, IMPLEMENTACION Y ADMINISTRACION DEL PLAN DE SEGURIDAD Y SALUD EN EL TRABAJO</v>
      </c>
      <c r="C39" s="267"/>
      <c r="D39" s="249" t="str">
        <f t="shared" ref="D39:D44" si="5">VLOOKUP(I39,BDcuA,4,FALSE)</f>
        <v>GLB</v>
      </c>
      <c r="E39" s="249">
        <v>1</v>
      </c>
      <c r="F39" s="250">
        <f t="shared" ref="F39:F44" si="6">VLOOKUP(I39,BDcuA,5,FALSE)</f>
        <v>1271.19</v>
      </c>
      <c r="G39" s="251">
        <f t="shared" ref="G39:G44" si="7">ROUND(F39*E39,DpP)</f>
        <v>1271.19</v>
      </c>
      <c r="I39" s="207">
        <v>10018</v>
      </c>
      <c r="J39" s="208" t="s">
        <v>265</v>
      </c>
    </row>
    <row r="40" spans="2:12" s="205" customFormat="1" x14ac:dyDescent="0.2">
      <c r="B40" s="218" t="str">
        <f t="shared" si="4"/>
        <v>01.02.02  EQUIPOS DE PROTECCION INDIVIDUAL</v>
      </c>
      <c r="C40" s="267"/>
      <c r="D40" s="249" t="str">
        <f t="shared" si="5"/>
        <v>UND</v>
      </c>
      <c r="E40" s="249">
        <v>80</v>
      </c>
      <c r="F40" s="250">
        <f t="shared" si="6"/>
        <v>38.340000000000003</v>
      </c>
      <c r="G40" s="251">
        <f t="shared" si="7"/>
        <v>3067.2</v>
      </c>
      <c r="I40" s="207">
        <v>10019</v>
      </c>
      <c r="J40" s="208" t="s">
        <v>268</v>
      </c>
    </row>
    <row r="41" spans="2:12" s="205" customFormat="1" x14ac:dyDescent="0.2">
      <c r="B41" s="218" t="str">
        <f t="shared" si="4"/>
        <v>01.02.03  EQUIPOS DE PROTECCION COLECTIVA</v>
      </c>
      <c r="C41" s="267"/>
      <c r="D41" s="249" t="str">
        <f t="shared" si="5"/>
        <v>GLB</v>
      </c>
      <c r="E41" s="249">
        <v>1</v>
      </c>
      <c r="F41" s="250">
        <f t="shared" si="6"/>
        <v>485.63</v>
      </c>
      <c r="G41" s="251">
        <f t="shared" si="7"/>
        <v>485.63</v>
      </c>
      <c r="I41" s="207">
        <v>10020</v>
      </c>
      <c r="J41" s="208" t="s">
        <v>282</v>
      </c>
    </row>
    <row r="42" spans="2:12" s="205" customFormat="1" x14ac:dyDescent="0.2">
      <c r="B42" s="218" t="str">
        <f t="shared" si="4"/>
        <v>01.02.04  SEÑALIZACION TEMPORAL DE SEGURIDAD</v>
      </c>
      <c r="C42" s="267"/>
      <c r="D42" s="249" t="str">
        <f t="shared" si="5"/>
        <v>GLB</v>
      </c>
      <c r="E42" s="249">
        <v>1</v>
      </c>
      <c r="F42" s="250">
        <f t="shared" si="6"/>
        <v>158.75</v>
      </c>
      <c r="G42" s="251">
        <f t="shared" si="7"/>
        <v>158.75</v>
      </c>
      <c r="I42" s="207">
        <v>10021</v>
      </c>
      <c r="J42" s="208" t="s">
        <v>291</v>
      </c>
    </row>
    <row r="43" spans="2:12" s="205" customFormat="1" x14ac:dyDescent="0.2">
      <c r="B43" s="218" t="str">
        <f t="shared" si="4"/>
        <v>01.02.05  CAPACITACION EN SEGURIDAD Y SALUD</v>
      </c>
      <c r="C43" s="267"/>
      <c r="D43" s="249" t="str">
        <f t="shared" si="5"/>
        <v>GLB</v>
      </c>
      <c r="E43" s="249">
        <v>1</v>
      </c>
      <c r="F43" s="250">
        <f t="shared" si="6"/>
        <v>125</v>
      </c>
      <c r="G43" s="251">
        <f t="shared" si="7"/>
        <v>125</v>
      </c>
      <c r="I43" s="207">
        <v>10022</v>
      </c>
      <c r="J43" s="208" t="s">
        <v>297</v>
      </c>
    </row>
    <row r="44" spans="2:12" s="205" customFormat="1" x14ac:dyDescent="0.2">
      <c r="B44" s="218" t="str">
        <f t="shared" si="4"/>
        <v>01.02.06  RECURSOS PARA RESPUESTAS ANTE EMERGENCIA</v>
      </c>
      <c r="C44" s="267"/>
      <c r="D44" s="249" t="str">
        <f t="shared" si="5"/>
        <v>GLB</v>
      </c>
      <c r="E44" s="249">
        <v>1</v>
      </c>
      <c r="F44" s="250">
        <f t="shared" si="6"/>
        <v>182.5</v>
      </c>
      <c r="G44" s="251">
        <f t="shared" si="7"/>
        <v>182.5</v>
      </c>
      <c r="I44" s="207">
        <v>10023</v>
      </c>
      <c r="J44" s="208" t="s">
        <v>299</v>
      </c>
    </row>
    <row r="45" spans="2:12" s="205" customFormat="1" x14ac:dyDescent="0.2">
      <c r="B45" s="219" t="str">
        <f>J45 &amp; "  " &amp; K45</f>
        <v>02  ESTRUCTURAS</v>
      </c>
      <c r="C45" s="270"/>
      <c r="D45" s="258"/>
      <c r="E45" s="258"/>
      <c r="F45" s="259"/>
      <c r="G45" s="260">
        <f>SUMIF(Pto!$I46:$I143,"&gt;10000",G46:G143)</f>
        <v>1447369.4499999997</v>
      </c>
      <c r="H45" s="220"/>
      <c r="I45" s="221" t="s">
        <v>157</v>
      </c>
      <c r="J45" s="222" t="s">
        <v>306</v>
      </c>
      <c r="K45" s="220" t="s">
        <v>307</v>
      </c>
      <c r="L45" s="220"/>
    </row>
    <row r="46" spans="2:12" s="205" customFormat="1" x14ac:dyDescent="0.2">
      <c r="B46" s="214" t="str">
        <f>J46 &amp; "  " &amp; K46</f>
        <v>02.01  MOVIMIENTO DE TIERRAS</v>
      </c>
      <c r="C46" s="269"/>
      <c r="D46" s="255"/>
      <c r="E46" s="255"/>
      <c r="F46" s="256"/>
      <c r="G46" s="257">
        <f>SUMIF(Pto!$I47:$I61,"&gt;10000",G47:G61)</f>
        <v>449014.27999999997</v>
      </c>
      <c r="H46" s="215"/>
      <c r="I46" s="216" t="s">
        <v>160</v>
      </c>
      <c r="J46" s="217" t="s">
        <v>308</v>
      </c>
      <c r="K46" s="215" t="s">
        <v>309</v>
      </c>
      <c r="L46" s="215"/>
    </row>
    <row r="47" spans="2:12" s="205" customFormat="1" x14ac:dyDescent="0.2">
      <c r="B47" s="209" t="str">
        <f>J47 &amp; "  " &amp; K47</f>
        <v>02.01.01  EXCAVACIONES</v>
      </c>
      <c r="C47" s="268"/>
      <c r="D47" s="252"/>
      <c r="E47" s="252"/>
      <c r="F47" s="253"/>
      <c r="G47" s="254">
        <f>SUM(G48:G53)</f>
        <v>30777.469999999998</v>
      </c>
      <c r="H47" s="210"/>
      <c r="I47" s="211" t="s">
        <v>163</v>
      </c>
      <c r="J47" s="212" t="s">
        <v>310</v>
      </c>
      <c r="K47" s="210" t="s">
        <v>311</v>
      </c>
      <c r="L47" s="210"/>
    </row>
    <row r="48" spans="2:12" s="205" customFormat="1" x14ac:dyDescent="0.2">
      <c r="B48" s="213" t="str">
        <f t="shared" ref="B48:B53" si="8">J48 &amp; "  " &amp; VLOOKUP(I48,BDcuA,2,FALSE)</f>
        <v>02.01.01.01  EXCAVACION MASIVA A MAQUINA EN TERRENO NORMAL"C"/RETRO .5Y3</v>
      </c>
      <c r="C48" s="267"/>
      <c r="D48" s="249" t="str">
        <f t="shared" ref="D48:D53" si="9">VLOOKUP(I48,BDcuA,4,FALSE)</f>
        <v>M3</v>
      </c>
      <c r="E48" s="249">
        <v>666.12</v>
      </c>
      <c r="F48" s="250">
        <f t="shared" ref="F48:F53" si="10">VLOOKUP(I48,BDcuA,5,FALSE)</f>
        <v>21.71</v>
      </c>
      <c r="G48" s="251">
        <f t="shared" ref="G48:G53" si="11">ROUND(F48*E48,DpP)</f>
        <v>14461.47</v>
      </c>
      <c r="I48" s="207">
        <v>10024</v>
      </c>
      <c r="J48" s="208" t="s">
        <v>312</v>
      </c>
    </row>
    <row r="49" spans="2:12" s="205" customFormat="1" x14ac:dyDescent="0.2">
      <c r="B49" s="213" t="str">
        <f t="shared" si="8"/>
        <v>02.01.01.02  EXCAVACION DE PARA CALZADURAS</v>
      </c>
      <c r="C49" s="267"/>
      <c r="D49" s="249" t="str">
        <f t="shared" si="9"/>
        <v>M3</v>
      </c>
      <c r="E49" s="249">
        <v>196.84</v>
      </c>
      <c r="F49" s="250">
        <f t="shared" si="10"/>
        <v>60</v>
      </c>
      <c r="G49" s="251">
        <f t="shared" si="11"/>
        <v>11810.4</v>
      </c>
      <c r="I49" s="207">
        <v>10025</v>
      </c>
      <c r="J49" s="208" t="s">
        <v>315</v>
      </c>
    </row>
    <row r="50" spans="2:12" s="205" customFormat="1" x14ac:dyDescent="0.2">
      <c r="B50" s="213" t="str">
        <f t="shared" si="8"/>
        <v>02.01.01.03  EXCAVACION PARA CIMIENTOS HASTA 1.40 MT TERRENO NORMAL</v>
      </c>
      <c r="C50" s="267"/>
      <c r="D50" s="249" t="str">
        <f t="shared" si="9"/>
        <v>M3</v>
      </c>
      <c r="E50" s="249">
        <v>6.38</v>
      </c>
      <c r="F50" s="250">
        <f t="shared" si="10"/>
        <v>50.000000000000007</v>
      </c>
      <c r="G50" s="251">
        <f t="shared" si="11"/>
        <v>319</v>
      </c>
      <c r="I50" s="207">
        <v>10026</v>
      </c>
      <c r="J50" s="208" t="s">
        <v>317</v>
      </c>
    </row>
    <row r="51" spans="2:12" s="205" customFormat="1" x14ac:dyDescent="0.2">
      <c r="B51" s="213" t="str">
        <f t="shared" si="8"/>
        <v>02.01.01.04  EXCAVACION PARA ZAPATAS DE 1.00 MT A 1.40 MT DE PROFUNDIDAD</v>
      </c>
      <c r="C51" s="267"/>
      <c r="D51" s="249" t="str">
        <f t="shared" si="9"/>
        <v>M3</v>
      </c>
      <c r="E51" s="249">
        <v>62.86</v>
      </c>
      <c r="F51" s="250">
        <f t="shared" si="10"/>
        <v>50.000000000000007</v>
      </c>
      <c r="G51" s="251">
        <f t="shared" si="11"/>
        <v>3143</v>
      </c>
      <c r="I51" s="207">
        <v>10027</v>
      </c>
      <c r="J51" s="208" t="s">
        <v>319</v>
      </c>
    </row>
    <row r="52" spans="2:12" s="205" customFormat="1" x14ac:dyDescent="0.2">
      <c r="B52" s="213" t="str">
        <f t="shared" si="8"/>
        <v>02.01.01.05  EXCAVACION PARA CISTERNA HASTA 2 MTS DE PROFUNDIDAD</v>
      </c>
      <c r="C52" s="267"/>
      <c r="D52" s="249" t="str">
        <f t="shared" si="9"/>
        <v>M3</v>
      </c>
      <c r="E52" s="249">
        <v>19.72</v>
      </c>
      <c r="F52" s="250">
        <f t="shared" si="10"/>
        <v>50.000000000000007</v>
      </c>
      <c r="G52" s="251">
        <f t="shared" si="11"/>
        <v>986</v>
      </c>
      <c r="I52" s="207">
        <v>10028</v>
      </c>
      <c r="J52" s="208" t="s">
        <v>321</v>
      </c>
    </row>
    <row r="53" spans="2:12" s="205" customFormat="1" x14ac:dyDescent="0.2">
      <c r="B53" s="213" t="str">
        <f t="shared" si="8"/>
        <v>02.01.01.06  EXCAVACION PARA VIGAS DE CIMENTACION</v>
      </c>
      <c r="C53" s="267"/>
      <c r="D53" s="249" t="str">
        <f t="shared" si="9"/>
        <v>M3</v>
      </c>
      <c r="E53" s="249">
        <v>0.96</v>
      </c>
      <c r="F53" s="250">
        <f t="shared" si="10"/>
        <v>60</v>
      </c>
      <c r="G53" s="251">
        <f t="shared" si="11"/>
        <v>57.6</v>
      </c>
      <c r="I53" s="207">
        <v>10029</v>
      </c>
      <c r="J53" s="208" t="s">
        <v>323</v>
      </c>
    </row>
    <row r="54" spans="2:12" s="205" customFormat="1" x14ac:dyDescent="0.2">
      <c r="B54" s="209" t="str">
        <f>J54 &amp; "  " &amp; K54</f>
        <v>02.01.02  RELLENOS</v>
      </c>
      <c r="C54" s="268"/>
      <c r="D54" s="252"/>
      <c r="E54" s="252"/>
      <c r="F54" s="253"/>
      <c r="G54" s="254">
        <f>SUM(G55:G56)</f>
        <v>7703.32</v>
      </c>
      <c r="H54" s="210"/>
      <c r="I54" s="211" t="s">
        <v>163</v>
      </c>
      <c r="J54" s="212" t="s">
        <v>325</v>
      </c>
      <c r="K54" s="210" t="s">
        <v>326</v>
      </c>
      <c r="L54" s="210"/>
    </row>
    <row r="55" spans="2:12" s="205" customFormat="1" x14ac:dyDescent="0.2">
      <c r="B55" s="213" t="str">
        <f>J55 &amp; "  " &amp; VLOOKUP(I55,BDcuA,2,FALSE)</f>
        <v>02.01.02.01  RELLENO COMPACTADO PARA ESTRUCTURAS CON MATERIAL PROPIO</v>
      </c>
      <c r="C55" s="267"/>
      <c r="D55" s="249" t="str">
        <f>VLOOKUP(I55,BDcuA,4,FALSE)</f>
        <v>M3</v>
      </c>
      <c r="E55" s="249">
        <v>108.5</v>
      </c>
      <c r="F55" s="250">
        <f>VLOOKUP(I55,BDcuA,5,FALSE)</f>
        <v>47.03</v>
      </c>
      <c r="G55" s="251">
        <f>ROUND(F55*E55,DpP)</f>
        <v>5102.76</v>
      </c>
      <c r="I55" s="207">
        <v>10030</v>
      </c>
      <c r="J55" s="208" t="s">
        <v>327</v>
      </c>
    </row>
    <row r="56" spans="2:12" s="205" customFormat="1" x14ac:dyDescent="0.2">
      <c r="B56" s="213" t="str">
        <f>J56 &amp; "  " &amp; VLOOKUP(I56,BDcuA,2,FALSE)</f>
        <v>02.01.02.02  NIVELACION INTERIOR APISONADO C/EQUIPO</v>
      </c>
      <c r="C56" s="267"/>
      <c r="D56" s="249" t="str">
        <f>VLOOKUP(I56,BDcuA,4,FALSE)</f>
        <v>M2</v>
      </c>
      <c r="E56" s="249">
        <v>217.62</v>
      </c>
      <c r="F56" s="250">
        <f>VLOOKUP(I56,BDcuA,5,FALSE)</f>
        <v>11.95</v>
      </c>
      <c r="G56" s="251">
        <f>ROUND(F56*E56,DpP)</f>
        <v>2600.56</v>
      </c>
      <c r="I56" s="207">
        <v>10031</v>
      </c>
      <c r="J56" s="208" t="s">
        <v>330</v>
      </c>
    </row>
    <row r="57" spans="2:12" s="205" customFormat="1" x14ac:dyDescent="0.2">
      <c r="B57" s="209" t="str">
        <f>J57 &amp; "  " &amp; K57</f>
        <v>02.01.03  ACARREOS Y ELIMINACIONES</v>
      </c>
      <c r="C57" s="268"/>
      <c r="D57" s="252"/>
      <c r="E57" s="252"/>
      <c r="F57" s="253"/>
      <c r="G57" s="254">
        <f>SUM(G58:G59)</f>
        <v>407679.19</v>
      </c>
      <c r="H57" s="210"/>
      <c r="I57" s="211" t="s">
        <v>163</v>
      </c>
      <c r="J57" s="212" t="s">
        <v>333</v>
      </c>
      <c r="K57" s="210" t="s">
        <v>334</v>
      </c>
      <c r="L57" s="210"/>
    </row>
    <row r="58" spans="2:12" s="205" customFormat="1" x14ac:dyDescent="0.2">
      <c r="B58" s="213" t="str">
        <f>J58 &amp; "  " &amp; VLOOKUP(I58,BDcuA,2,FALSE)</f>
        <v>02.01.03.01  ACARREO DE MATERIAL EXCEDENTE DE EXCAVACION DE CISTERNA, ZANJAS, ZAPATAS</v>
      </c>
      <c r="C58" s="267"/>
      <c r="D58" s="249" t="str">
        <f>VLOOKUP(I58,BDcuA,4,FALSE)</f>
        <v>M3</v>
      </c>
      <c r="E58" s="249">
        <v>230.49</v>
      </c>
      <c r="F58" s="250">
        <f>VLOOKUP(I58,BDcuA,5,FALSE)</f>
        <v>18.75</v>
      </c>
      <c r="G58" s="251">
        <f>ROUND(F58*E58,DpP)</f>
        <v>4321.6899999999996</v>
      </c>
      <c r="I58" s="207">
        <v>10032</v>
      </c>
      <c r="J58" s="208" t="s">
        <v>335</v>
      </c>
    </row>
    <row r="59" spans="2:12" s="205" customFormat="1" x14ac:dyDescent="0.2">
      <c r="B59" s="213" t="str">
        <f>J59 &amp; "  " &amp; VLOOKUP(I59,BDcuA,2,FALSE)</f>
        <v>02.01.03.02  ELIMINACION DE MATERIAL EXEDENTE DE EXCAVACIONES</v>
      </c>
      <c r="C59" s="267"/>
      <c r="D59" s="249" t="str">
        <f>VLOOKUP(I59,BDcuA,4,FALSE)</f>
        <v>M3</v>
      </c>
      <c r="E59" s="249">
        <v>230.49</v>
      </c>
      <c r="F59" s="250">
        <f>VLOOKUP(I59,BDcuA,5,FALSE)</f>
        <v>1750</v>
      </c>
      <c r="G59" s="251">
        <f>ROUND(F59*E59,DpP)</f>
        <v>403357.5</v>
      </c>
      <c r="I59" s="207">
        <v>10033</v>
      </c>
      <c r="J59" s="208" t="s">
        <v>337</v>
      </c>
    </row>
    <row r="60" spans="2:12" s="205" customFormat="1" x14ac:dyDescent="0.2">
      <c r="B60" s="209" t="str">
        <f>J60 &amp; "  " &amp; K60</f>
        <v>02.01.04  BASES PARA PISOS</v>
      </c>
      <c r="C60" s="268"/>
      <c r="D60" s="252"/>
      <c r="E60" s="252"/>
      <c r="F60" s="253"/>
      <c r="G60" s="254">
        <f>SUM(G61:G61)</f>
        <v>2854.3</v>
      </c>
      <c r="H60" s="210"/>
      <c r="I60" s="211" t="s">
        <v>163</v>
      </c>
      <c r="J60" s="212" t="s">
        <v>340</v>
      </c>
      <c r="K60" s="210" t="s">
        <v>341</v>
      </c>
      <c r="L60" s="210"/>
    </row>
    <row r="61" spans="2:12" s="205" customFormat="1" x14ac:dyDescent="0.2">
      <c r="B61" s="213" t="str">
        <f>J61 &amp; "  " &amp; VLOOKUP(I61,BDcuA,2,FALSE)</f>
        <v>02.01.04.01  BASE DE MATERIAL AFIRMADO DE 4" , CON COMPACTADORA MANUAL</v>
      </c>
      <c r="C61" s="267"/>
      <c r="D61" s="249" t="str">
        <f>VLOOKUP(I61,BDcuA,4,FALSE)</f>
        <v>M2</v>
      </c>
      <c r="E61" s="249">
        <v>194.7</v>
      </c>
      <c r="F61" s="250">
        <f>VLOOKUP(I61,BDcuA,5,FALSE)</f>
        <v>14.66</v>
      </c>
      <c r="G61" s="251">
        <f>ROUND(F61*E61,DpP)</f>
        <v>2854.3</v>
      </c>
      <c r="I61" s="207">
        <v>10034</v>
      </c>
      <c r="J61" s="208" t="s">
        <v>342</v>
      </c>
    </row>
    <row r="62" spans="2:12" s="205" customFormat="1" x14ac:dyDescent="0.2">
      <c r="B62" s="214" t="str">
        <f>J62 &amp; "  " &amp; K62</f>
        <v>02.02  OBRAS DE CONCRETO SIMPLE</v>
      </c>
      <c r="C62" s="269"/>
      <c r="D62" s="255"/>
      <c r="E62" s="255"/>
      <c r="F62" s="256"/>
      <c r="G62" s="257">
        <f>SUMIF(Pto!$I63:$I83,"&gt;10000",G63:G83)</f>
        <v>50581.24</v>
      </c>
      <c r="H62" s="215"/>
      <c r="I62" s="216" t="s">
        <v>160</v>
      </c>
      <c r="J62" s="217" t="s">
        <v>346</v>
      </c>
      <c r="K62" s="215" t="s">
        <v>347</v>
      </c>
      <c r="L62" s="215"/>
    </row>
    <row r="63" spans="2:12" s="205" customFormat="1" x14ac:dyDescent="0.2">
      <c r="B63" s="209" t="str">
        <f>J63 &amp; "  " &amp; K63</f>
        <v>02.02.01  CALZADURAS</v>
      </c>
      <c r="C63" s="268"/>
      <c r="D63" s="252"/>
      <c r="E63" s="252"/>
      <c r="F63" s="253"/>
      <c r="G63" s="254">
        <f>SUM(G64:G65)</f>
        <v>30046.61</v>
      </c>
      <c r="H63" s="210"/>
      <c r="I63" s="211" t="s">
        <v>163</v>
      </c>
      <c r="J63" s="212" t="s">
        <v>348</v>
      </c>
      <c r="K63" s="210" t="s">
        <v>349</v>
      </c>
      <c r="L63" s="210"/>
    </row>
    <row r="64" spans="2:12" s="205" customFormat="1" x14ac:dyDescent="0.2">
      <c r="B64" s="213" t="str">
        <f>J64 &amp; "  " &amp; VLOOKUP(I64,BDcuA,2,FALSE)</f>
        <v>02.02.01.01  CONCRETO F'C=100 KG/CM2 + 30% DE P.G. PARA CALZADURAS</v>
      </c>
      <c r="C64" s="267"/>
      <c r="D64" s="249" t="str">
        <f>VLOOKUP(I64,BDcuA,4,FALSE)</f>
        <v>M3</v>
      </c>
      <c r="E64" s="249">
        <v>92.6</v>
      </c>
      <c r="F64" s="250">
        <f>VLOOKUP(I64,BDcuA,5,FALSE)</f>
        <v>256.45</v>
      </c>
      <c r="G64" s="251">
        <f>ROUND(F64*E64,DpP)</f>
        <v>23747.27</v>
      </c>
      <c r="I64" s="207">
        <v>10035</v>
      </c>
      <c r="J64" s="208" t="s">
        <v>350</v>
      </c>
    </row>
    <row r="65" spans="2:12" s="205" customFormat="1" x14ac:dyDescent="0.2">
      <c r="B65" s="213" t="str">
        <f>J65 &amp; "  " &amp; VLOOKUP(I65,BDcuA,2,FALSE)</f>
        <v>02.02.01.02  ENCOFRADO PARA CALZADURAS HASTA 2.00 M</v>
      </c>
      <c r="C65" s="267"/>
      <c r="D65" s="249" t="str">
        <f>VLOOKUP(I65,BDcuA,4,FALSE)</f>
        <v>M2</v>
      </c>
      <c r="E65" s="249">
        <v>124.37</v>
      </c>
      <c r="F65" s="250">
        <f>VLOOKUP(I65,BDcuA,5,FALSE)</f>
        <v>50.650000000000006</v>
      </c>
      <c r="G65" s="251">
        <f>ROUND(F65*E65,DpP)</f>
        <v>6299.34</v>
      </c>
      <c r="I65" s="207">
        <v>10036</v>
      </c>
      <c r="J65" s="208" t="s">
        <v>354</v>
      </c>
    </row>
    <row r="66" spans="2:12" s="205" customFormat="1" x14ac:dyDescent="0.2">
      <c r="B66" s="209" t="str">
        <f>J66 &amp; "  " &amp; K66</f>
        <v>02.02.02  FALSO CIMIENTOS</v>
      </c>
      <c r="C66" s="268"/>
      <c r="D66" s="252"/>
      <c r="E66" s="252"/>
      <c r="F66" s="253"/>
      <c r="G66" s="254">
        <f>SUM(G67:G68)</f>
        <v>3365.12</v>
      </c>
      <c r="H66" s="210"/>
      <c r="I66" s="211" t="s">
        <v>163</v>
      </c>
      <c r="J66" s="212" t="s">
        <v>359</v>
      </c>
      <c r="K66" s="210" t="s">
        <v>360</v>
      </c>
      <c r="L66" s="210"/>
    </row>
    <row r="67" spans="2:12" s="205" customFormat="1" x14ac:dyDescent="0.2">
      <c r="B67" s="213" t="str">
        <f>J67 &amp; "  " &amp; VLOOKUP(I67,BDcuA,2,FALSE)</f>
        <v>02.02.02.01  CONCRETO F'C=100 KG/CM2 PARA FALSO CIMIENTO</v>
      </c>
      <c r="C67" s="267"/>
      <c r="D67" s="249" t="str">
        <f>VLOOKUP(I67,BDcuA,4,FALSE)</f>
        <v>M3</v>
      </c>
      <c r="E67" s="249">
        <v>11.86</v>
      </c>
      <c r="F67" s="250">
        <f>VLOOKUP(I67,BDcuA,5,FALSE)</f>
        <v>243.01000000000002</v>
      </c>
      <c r="G67" s="251">
        <f>ROUND(F67*E67,DpP)</f>
        <v>2882.1</v>
      </c>
      <c r="I67" s="207">
        <v>10037</v>
      </c>
      <c r="J67" s="208" t="s">
        <v>361</v>
      </c>
    </row>
    <row r="68" spans="2:12" s="205" customFormat="1" x14ac:dyDescent="0.2">
      <c r="B68" s="213" t="str">
        <f>J68 &amp; "  " &amp; VLOOKUP(I68,BDcuA,2,FALSE)</f>
        <v>02.02.02.02  ENCOFRADO Y DEDESENCOFRADO DE FALSO CIMIENTO</v>
      </c>
      <c r="C68" s="267"/>
      <c r="D68" s="249" t="str">
        <f>VLOOKUP(I68,BDcuA,4,FALSE)</f>
        <v>M2</v>
      </c>
      <c r="E68" s="249">
        <v>10.31</v>
      </c>
      <c r="F68" s="250">
        <f>VLOOKUP(I68,BDcuA,5,FALSE)</f>
        <v>46.85</v>
      </c>
      <c r="G68" s="251">
        <f>ROUND(F68*E68,DpP)</f>
        <v>483.02</v>
      </c>
      <c r="I68" s="207">
        <v>10038</v>
      </c>
      <c r="J68" s="208" t="s">
        <v>363</v>
      </c>
    </row>
    <row r="69" spans="2:12" s="205" customFormat="1" x14ac:dyDescent="0.2">
      <c r="B69" s="209" t="str">
        <f>J69 &amp; "  " &amp; K69</f>
        <v>02.02.03  CIMIENTOS CORRIDOS</v>
      </c>
      <c r="C69" s="268"/>
      <c r="D69" s="252"/>
      <c r="E69" s="252"/>
      <c r="F69" s="253"/>
      <c r="G69" s="254">
        <f>SUM(G70:G70)</f>
        <v>791.46</v>
      </c>
      <c r="H69" s="210"/>
      <c r="I69" s="211" t="s">
        <v>163</v>
      </c>
      <c r="J69" s="212" t="s">
        <v>367</v>
      </c>
      <c r="K69" s="210" t="s">
        <v>368</v>
      </c>
      <c r="L69" s="210"/>
    </row>
    <row r="70" spans="2:12" s="205" customFormat="1" x14ac:dyDescent="0.2">
      <c r="B70" s="213" t="str">
        <f>J70 &amp; "  " &amp; VLOOKUP(I70,BDcuA,2,FALSE)</f>
        <v>02.02.03.01  CONCRETO FC=100 KG/CM2 + 30% P.G. PARA CIMIENTOS CORRIDOS</v>
      </c>
      <c r="C70" s="267"/>
      <c r="D70" s="249" t="str">
        <f>VLOOKUP(I70,BDcuA,4,FALSE)</f>
        <v>M3</v>
      </c>
      <c r="E70" s="249">
        <v>2.87</v>
      </c>
      <c r="F70" s="250">
        <f>VLOOKUP(I70,BDcuA,5,FALSE)</f>
        <v>275.76999999999992</v>
      </c>
      <c r="G70" s="251">
        <f>ROUND(F70*E70,DpP)</f>
        <v>791.46</v>
      </c>
      <c r="I70" s="207">
        <v>10039</v>
      </c>
      <c r="J70" s="208" t="s">
        <v>369</v>
      </c>
    </row>
    <row r="71" spans="2:12" s="205" customFormat="1" x14ac:dyDescent="0.2">
      <c r="B71" s="209" t="str">
        <f>J71 &amp; "  " &amp; K71</f>
        <v>02.02.04  SOBRECIMIENTOS</v>
      </c>
      <c r="C71" s="268"/>
      <c r="D71" s="252"/>
      <c r="E71" s="252"/>
      <c r="F71" s="253"/>
      <c r="G71" s="254">
        <f>SUM(G72:G73)</f>
        <v>1311.48</v>
      </c>
      <c r="H71" s="210"/>
      <c r="I71" s="211" t="s">
        <v>163</v>
      </c>
      <c r="J71" s="212" t="s">
        <v>373</v>
      </c>
      <c r="K71" s="210" t="s">
        <v>374</v>
      </c>
      <c r="L71" s="210"/>
    </row>
    <row r="72" spans="2:12" s="205" customFormat="1" x14ac:dyDescent="0.2">
      <c r="B72" s="213" t="str">
        <f>J72 &amp; "  " &amp; VLOOKUP(I72,BDcuA,2,FALSE)</f>
        <v>02.02.04.01  CONCRETO CEMENTO-HORMIGON 1:8  PARA SOBRECIMIENTOS</v>
      </c>
      <c r="C72" s="267"/>
      <c r="D72" s="249" t="str">
        <f>VLOOKUP(I72,BDcuA,4,FALSE)</f>
        <v>M3</v>
      </c>
      <c r="E72" s="249">
        <v>1.44</v>
      </c>
      <c r="F72" s="250">
        <f>VLOOKUP(I72,BDcuA,5,FALSE)</f>
        <v>280.19</v>
      </c>
      <c r="G72" s="251">
        <f>ROUND(F72*E72,DpP)</f>
        <v>403.47</v>
      </c>
      <c r="I72" s="207">
        <v>10040</v>
      </c>
      <c r="J72" s="208" t="s">
        <v>375</v>
      </c>
    </row>
    <row r="73" spans="2:12" s="205" customFormat="1" x14ac:dyDescent="0.2">
      <c r="B73" s="213" t="str">
        <f>J73 &amp; "  " &amp; VLOOKUP(I73,BDcuA,2,FALSE)</f>
        <v>02.02.04.02  ENCOFRADO Y DESENCOF. SOBRECIMIENTO DE 0.30 A 0.60 MT</v>
      </c>
      <c r="C73" s="267"/>
      <c r="D73" s="249" t="str">
        <f>VLOOKUP(I73,BDcuA,4,FALSE)</f>
        <v>M2</v>
      </c>
      <c r="E73" s="249">
        <v>19</v>
      </c>
      <c r="F73" s="250">
        <f>VLOOKUP(I73,BDcuA,5,FALSE)</f>
        <v>47.79</v>
      </c>
      <c r="G73" s="251">
        <f>ROUND(F73*E73,DpP)</f>
        <v>908.01</v>
      </c>
      <c r="I73" s="207">
        <v>10041</v>
      </c>
      <c r="J73" s="208" t="s">
        <v>377</v>
      </c>
    </row>
    <row r="74" spans="2:12" s="205" customFormat="1" x14ac:dyDescent="0.2">
      <c r="B74" s="209" t="str">
        <f>J74 &amp; "  " &amp; K74</f>
        <v>02.02.05  GRADAS DE ESCALERAS</v>
      </c>
      <c r="C74" s="268"/>
      <c r="D74" s="252"/>
      <c r="E74" s="252"/>
      <c r="F74" s="253"/>
      <c r="G74" s="254">
        <f>SUM(G75:G76)</f>
        <v>1617.6000000000001</v>
      </c>
      <c r="H74" s="210"/>
      <c r="I74" s="211" t="s">
        <v>163</v>
      </c>
      <c r="J74" s="212" t="s">
        <v>379</v>
      </c>
      <c r="K74" s="210" t="s">
        <v>380</v>
      </c>
      <c r="L74" s="210"/>
    </row>
    <row r="75" spans="2:12" s="205" customFormat="1" x14ac:dyDescent="0.2">
      <c r="B75" s="213" t="str">
        <f>J75 &amp; "  " &amp; VLOOKUP(I75,BDcuA,2,FALSE)</f>
        <v>02.02.05.01  CONCRETO CEMENTO-HORMIGON 1:8 PARA GRADAS (APOYADAS SOBRE EL TERRENO)</v>
      </c>
      <c r="C75" s="267"/>
      <c r="D75" s="249" t="str">
        <f>VLOOKUP(I75,BDcuA,4,FALSE)</f>
        <v>M3</v>
      </c>
      <c r="E75" s="249">
        <v>5</v>
      </c>
      <c r="F75" s="250">
        <f>VLOOKUP(I75,BDcuA,5,FALSE)</f>
        <v>280.72999999999996</v>
      </c>
      <c r="G75" s="251">
        <f>ROUND(F75*E75,DpP)</f>
        <v>1403.65</v>
      </c>
      <c r="I75" s="207">
        <v>10042</v>
      </c>
      <c r="J75" s="208" t="s">
        <v>381</v>
      </c>
    </row>
    <row r="76" spans="2:12" s="205" customFormat="1" x14ac:dyDescent="0.2">
      <c r="B76" s="213" t="str">
        <f>J76 &amp; "  " &amp; VLOOKUP(I76,BDcuA,2,FALSE)</f>
        <v>02.02.05.02  ENCOFRADO Y DESENCOFRADO PARA GRADAS (APOYADAS SOBRE TERRENO)</v>
      </c>
      <c r="C76" s="267"/>
      <c r="D76" s="249" t="str">
        <f>VLOOKUP(I76,BDcuA,4,FALSE)</f>
        <v>M2</v>
      </c>
      <c r="E76" s="249">
        <v>5</v>
      </c>
      <c r="F76" s="250">
        <f>VLOOKUP(I76,BDcuA,5,FALSE)</f>
        <v>42.79</v>
      </c>
      <c r="G76" s="251">
        <f>ROUND(F76*E76,DpP)</f>
        <v>213.95</v>
      </c>
      <c r="I76" s="207">
        <v>10043</v>
      </c>
      <c r="J76" s="208" t="s">
        <v>383</v>
      </c>
    </row>
    <row r="77" spans="2:12" s="205" customFormat="1" x14ac:dyDescent="0.2">
      <c r="B77" s="209" t="str">
        <f>J77 &amp; "  " &amp; K77</f>
        <v>02.02.06  SOLADOS</v>
      </c>
      <c r="C77" s="268"/>
      <c r="D77" s="252"/>
      <c r="E77" s="252"/>
      <c r="F77" s="253"/>
      <c r="G77" s="254">
        <f>SUM(G78:G78)</f>
        <v>2089.4</v>
      </c>
      <c r="H77" s="210"/>
      <c r="I77" s="211" t="s">
        <v>163</v>
      </c>
      <c r="J77" s="212" t="s">
        <v>385</v>
      </c>
      <c r="K77" s="210" t="s">
        <v>386</v>
      </c>
      <c r="L77" s="210"/>
    </row>
    <row r="78" spans="2:12" s="205" customFormat="1" x14ac:dyDescent="0.2">
      <c r="B78" s="213" t="str">
        <f>J78 &amp; "  " &amp; VLOOKUP(I78,BDcuA,2,FALSE)</f>
        <v>02.02.06.01  SOLADO PARA ZAPATAS DE 2" MEZCLA 1:12 CEMENTO-HORMIGON</v>
      </c>
      <c r="C78" s="267"/>
      <c r="D78" s="249" t="str">
        <f>VLOOKUP(I78,BDcuA,4,FALSE)</f>
        <v>M2</v>
      </c>
      <c r="E78" s="249">
        <v>98.93</v>
      </c>
      <c r="F78" s="250">
        <f>VLOOKUP(I78,BDcuA,5,FALSE)</f>
        <v>21.12</v>
      </c>
      <c r="G78" s="251">
        <f>ROUND(F78*E78,DpP)</f>
        <v>2089.4</v>
      </c>
      <c r="I78" s="207">
        <v>10044</v>
      </c>
      <c r="J78" s="208" t="s">
        <v>387</v>
      </c>
    </row>
    <row r="79" spans="2:12" s="205" customFormat="1" x14ac:dyDescent="0.2">
      <c r="B79" s="209" t="str">
        <f>J79 &amp; "  " &amp; K79</f>
        <v>02.02.07  LOSAS MACIZAS DE PISO</v>
      </c>
      <c r="C79" s="268"/>
      <c r="D79" s="252"/>
      <c r="E79" s="252"/>
      <c r="F79" s="253"/>
      <c r="G79" s="254">
        <f>SUM(G80:G81)</f>
        <v>4267.0999999999995</v>
      </c>
      <c r="H79" s="210"/>
      <c r="I79" s="211" t="s">
        <v>163</v>
      </c>
      <c r="J79" s="212" t="s">
        <v>391</v>
      </c>
      <c r="K79" s="210" t="s">
        <v>392</v>
      </c>
      <c r="L79" s="210"/>
    </row>
    <row r="80" spans="2:12" s="205" customFormat="1" x14ac:dyDescent="0.2">
      <c r="B80" s="213" t="str">
        <f>J80 &amp; "  " &amp; VLOOKUP(I80,BDcuA,2,FALSE)</f>
        <v>02.02.07.01  CONCRETO EN LOSA DE PISO F'C= 210 KG/CM2, H=0.10 M</v>
      </c>
      <c r="C80" s="267"/>
      <c r="D80" s="249" t="str">
        <f>VLOOKUP(I80,BDcuA,4,FALSE)</f>
        <v>M2</v>
      </c>
      <c r="E80" s="249">
        <v>88</v>
      </c>
      <c r="F80" s="250">
        <f>VLOOKUP(I80,BDcuA,5,FALSE)</f>
        <v>44.15</v>
      </c>
      <c r="G80" s="251">
        <f>ROUND(F80*E80,DpP)</f>
        <v>3885.2</v>
      </c>
      <c r="I80" s="207">
        <v>10045</v>
      </c>
      <c r="J80" s="208" t="s">
        <v>393</v>
      </c>
    </row>
    <row r="81" spans="2:12" s="205" customFormat="1" x14ac:dyDescent="0.2">
      <c r="B81" s="213" t="str">
        <f>J81 &amp; "  " &amp; VLOOKUP(I81,BDcuA,2,FALSE)</f>
        <v>02.02.07.02  ENCOFRADO Y DESENCOFRADO LOSA DE PISO</v>
      </c>
      <c r="C81" s="267"/>
      <c r="D81" s="249" t="str">
        <f>VLOOKUP(I81,BDcuA,4,FALSE)</f>
        <v>M2</v>
      </c>
      <c r="E81" s="249">
        <v>10</v>
      </c>
      <c r="F81" s="250">
        <f>VLOOKUP(I81,BDcuA,5,FALSE)</f>
        <v>38.19</v>
      </c>
      <c r="G81" s="251">
        <f>ROUND(F81*E81,DpP)</f>
        <v>381.9</v>
      </c>
      <c r="I81" s="207">
        <v>10046</v>
      </c>
      <c r="J81" s="208" t="s">
        <v>398</v>
      </c>
    </row>
    <row r="82" spans="2:12" s="205" customFormat="1" x14ac:dyDescent="0.2">
      <c r="B82" s="209" t="str">
        <f>J82 &amp; "  " &amp; K82</f>
        <v>02.02.08  FALSOS PISOS</v>
      </c>
      <c r="C82" s="268"/>
      <c r="D82" s="252"/>
      <c r="E82" s="252"/>
      <c r="F82" s="253"/>
      <c r="G82" s="254">
        <f>SUM(G83:G83)</f>
        <v>7092.47</v>
      </c>
      <c r="H82" s="210"/>
      <c r="I82" s="211" t="s">
        <v>163</v>
      </c>
      <c r="J82" s="212" t="s">
        <v>400</v>
      </c>
      <c r="K82" s="210" t="s">
        <v>401</v>
      </c>
      <c r="L82" s="210"/>
    </row>
    <row r="83" spans="2:12" s="205" customFormat="1" x14ac:dyDescent="0.2">
      <c r="B83" s="213" t="str">
        <f>J83 &amp; "  " &amp; VLOOKUP(I83,BDcuA,2,FALSE)</f>
        <v>02.02.08.01  FALSO PISO CONCRETO F'C=100 KG/CM2, E=0.10 M</v>
      </c>
      <c r="C83" s="267"/>
      <c r="D83" s="249" t="str">
        <f>VLOOKUP(I83,BDcuA,4,FALSE)</f>
        <v>M2</v>
      </c>
      <c r="E83" s="249">
        <v>106.75</v>
      </c>
      <c r="F83" s="250">
        <f>VLOOKUP(I83,BDcuA,5,FALSE)</f>
        <v>66.44</v>
      </c>
      <c r="G83" s="251">
        <f>ROUND(F83*E83,DpP)</f>
        <v>7092.47</v>
      </c>
      <c r="I83" s="207">
        <v>10047</v>
      </c>
      <c r="J83" s="208" t="s">
        <v>402</v>
      </c>
    </row>
    <row r="84" spans="2:12" s="205" customFormat="1" x14ac:dyDescent="0.2">
      <c r="B84" s="214" t="str">
        <f>J84 &amp; "  " &amp; K84</f>
        <v>02.03  OBRAS DE CONCRETO ARMADO</v>
      </c>
      <c r="C84" s="269"/>
      <c r="D84" s="255"/>
      <c r="E84" s="255"/>
      <c r="F84" s="256"/>
      <c r="G84" s="257">
        <f>SUMIF(Pto!$I85:$I139,"&gt;10000",G85:G139)</f>
        <v>947009.57999999984</v>
      </c>
      <c r="H84" s="215"/>
      <c r="I84" s="216" t="s">
        <v>160</v>
      </c>
      <c r="J84" s="217" t="s">
        <v>404</v>
      </c>
      <c r="K84" s="215" t="s">
        <v>405</v>
      </c>
      <c r="L84" s="215"/>
    </row>
    <row r="85" spans="2:12" s="205" customFormat="1" x14ac:dyDescent="0.2">
      <c r="B85" s="209" t="str">
        <f>J85 &amp; "  " &amp; K85</f>
        <v>02.03.01  CIMIENTOS CORRIDOS REFORZADOS</v>
      </c>
      <c r="C85" s="268"/>
      <c r="D85" s="252"/>
      <c r="E85" s="252"/>
      <c r="F85" s="253"/>
      <c r="G85" s="254">
        <f>SUM(G86:G86)</f>
        <v>1674.15</v>
      </c>
      <c r="H85" s="210"/>
      <c r="I85" s="211" t="s">
        <v>163</v>
      </c>
      <c r="J85" s="212" t="s">
        <v>406</v>
      </c>
      <c r="K85" s="210" t="s">
        <v>407</v>
      </c>
      <c r="L85" s="210"/>
    </row>
    <row r="86" spans="2:12" s="205" customFormat="1" x14ac:dyDescent="0.2">
      <c r="B86" s="213" t="str">
        <f>J86 &amp; "  " &amp; VLOOKUP(I86,BDcuA,2,FALSE)</f>
        <v>02.03.01.01  CONCRETO EN CIMIENTOS CORRIDOS  F'C= 210 KG/CM2</v>
      </c>
      <c r="C86" s="267"/>
      <c r="D86" s="249" t="str">
        <f>VLOOKUP(I86,BDcuA,4,FALSE)</f>
        <v>M3</v>
      </c>
      <c r="E86" s="249">
        <v>5</v>
      </c>
      <c r="F86" s="250">
        <f>VLOOKUP(I86,BDcuA,5,FALSE)</f>
        <v>334.83</v>
      </c>
      <c r="G86" s="251">
        <f>ROUND(F86*E86,DpP)</f>
        <v>1674.15</v>
      </c>
      <c r="I86" s="207">
        <v>10048</v>
      </c>
      <c r="J86" s="208" t="s">
        <v>408</v>
      </c>
    </row>
    <row r="87" spans="2:12" s="205" customFormat="1" x14ac:dyDescent="0.2">
      <c r="B87" s="209" t="str">
        <f>J87 &amp; "  " &amp; K87</f>
        <v>02.03.02  VIGAS DE CIMENTACION</v>
      </c>
      <c r="C87" s="268"/>
      <c r="D87" s="252"/>
      <c r="E87" s="252"/>
      <c r="F87" s="253"/>
      <c r="G87" s="254">
        <f>SUM(G88:G90)</f>
        <v>2562.33</v>
      </c>
      <c r="H87" s="210"/>
      <c r="I87" s="211" t="s">
        <v>163</v>
      </c>
      <c r="J87" s="212" t="s">
        <v>410</v>
      </c>
      <c r="K87" s="210" t="s">
        <v>411</v>
      </c>
      <c r="L87" s="210"/>
    </row>
    <row r="88" spans="2:12" s="205" customFormat="1" x14ac:dyDescent="0.2">
      <c r="B88" s="213" t="str">
        <f>J88 &amp; "  " &amp; VLOOKUP(I88,BDcuA,2,FALSE)</f>
        <v>02.03.02.01  CONCRETO F'C=210 KG/CM2 PARA VIGAS DE CIMENTACION</v>
      </c>
      <c r="C88" s="267"/>
      <c r="D88" s="249" t="str">
        <f>VLOOKUP(I88,BDcuA,4,FALSE)</f>
        <v>M3</v>
      </c>
      <c r="E88" s="249">
        <v>1.83</v>
      </c>
      <c r="F88" s="250">
        <f>VLOOKUP(I88,BDcuA,5,FALSE)</f>
        <v>401.87</v>
      </c>
      <c r="G88" s="251">
        <f>ROUND(F88*E88,DpP)</f>
        <v>735.42</v>
      </c>
      <c r="I88" s="207">
        <v>10049</v>
      </c>
      <c r="J88" s="208" t="s">
        <v>412</v>
      </c>
    </row>
    <row r="89" spans="2:12" s="205" customFormat="1" x14ac:dyDescent="0.2">
      <c r="B89" s="213" t="str">
        <f>J89 &amp; "  " &amp; VLOOKUP(I89,BDcuA,2,FALSE)</f>
        <v>02.03.02.02  ENCOFRADO Y DESENCOFRADO NORMAL PARA VIGAS DE CIMENTACION</v>
      </c>
      <c r="C89" s="267"/>
      <c r="D89" s="249" t="str">
        <f>VLOOKUP(I89,BDcuA,4,FALSE)</f>
        <v>M2</v>
      </c>
      <c r="E89" s="249">
        <v>12.81</v>
      </c>
      <c r="F89" s="250">
        <f>VLOOKUP(I89,BDcuA,5,FALSE)</f>
        <v>28.610000000000003</v>
      </c>
      <c r="G89" s="251">
        <f>ROUND(F89*E89,DpP)</f>
        <v>366.49</v>
      </c>
      <c r="I89" s="207">
        <v>10050</v>
      </c>
      <c r="J89" s="208" t="s">
        <v>414</v>
      </c>
    </row>
    <row r="90" spans="2:12" s="205" customFormat="1" x14ac:dyDescent="0.2">
      <c r="B90" s="213" t="str">
        <f>J90 &amp; "  " &amp; VLOOKUP(I90,BDcuA,2,FALSE)</f>
        <v>02.03.02.03  ACERO ESTRUCTURAL TRABAJADO PARA VIGAS DE CIMENTACION</v>
      </c>
      <c r="C90" s="267"/>
      <c r="D90" s="249" t="str">
        <f>VLOOKUP(I90,BDcuA,4,FALSE)</f>
        <v>KG</v>
      </c>
      <c r="E90" s="249">
        <v>277.12</v>
      </c>
      <c r="F90" s="250">
        <f>VLOOKUP(I90,BDcuA,5,FALSE)</f>
        <v>5.2700000000000005</v>
      </c>
      <c r="G90" s="251">
        <f>ROUND(F90*E90,DpP)</f>
        <v>1460.42</v>
      </c>
      <c r="I90" s="207">
        <v>10051</v>
      </c>
      <c r="J90" s="208" t="s">
        <v>416</v>
      </c>
    </row>
    <row r="91" spans="2:12" s="205" customFormat="1" x14ac:dyDescent="0.2">
      <c r="B91" s="209" t="str">
        <f>J91 &amp; "  " &amp; K91</f>
        <v>02.03.03  ZAPATAS</v>
      </c>
      <c r="C91" s="268"/>
      <c r="D91" s="252"/>
      <c r="E91" s="252"/>
      <c r="F91" s="253"/>
      <c r="G91" s="254">
        <f>SUM(G92:G94)</f>
        <v>24235.590000000004</v>
      </c>
      <c r="H91" s="210"/>
      <c r="I91" s="211" t="s">
        <v>163</v>
      </c>
      <c r="J91" s="212" t="s">
        <v>421</v>
      </c>
      <c r="K91" s="210" t="s">
        <v>422</v>
      </c>
      <c r="L91" s="210"/>
    </row>
    <row r="92" spans="2:12" s="205" customFormat="1" x14ac:dyDescent="0.2">
      <c r="B92" s="213" t="str">
        <f>J92 &amp; "  " &amp; VLOOKUP(I92,BDcuA,2,FALSE)</f>
        <v>02.03.03.01  CONCRETO F'C= 210 KG/CM2 PARA ZAPATAS</v>
      </c>
      <c r="C92" s="267"/>
      <c r="D92" s="249" t="str">
        <f>VLOOKUP(I92,BDcuA,4,FALSE)</f>
        <v>M3</v>
      </c>
      <c r="E92" s="249">
        <v>39.229999999999997</v>
      </c>
      <c r="F92" s="250">
        <f>VLOOKUP(I92,BDcuA,5,FALSE)</f>
        <v>345.78</v>
      </c>
      <c r="G92" s="251">
        <f>ROUND(F92*E92,DpP)</f>
        <v>13564.95</v>
      </c>
      <c r="I92" s="207">
        <v>10052</v>
      </c>
      <c r="J92" s="208" t="s">
        <v>423</v>
      </c>
    </row>
    <row r="93" spans="2:12" s="205" customFormat="1" x14ac:dyDescent="0.2">
      <c r="B93" s="213" t="str">
        <f>J93 &amp; "  " &amp; VLOOKUP(I93,BDcuA,2,FALSE)</f>
        <v>02.03.03.02  ENCOFRADO Y DESENCOFRADO NORMAL PARA ZAPATAS</v>
      </c>
      <c r="C93" s="267"/>
      <c r="D93" s="249" t="str">
        <f>VLOOKUP(I93,BDcuA,4,FALSE)</f>
        <v>M2</v>
      </c>
      <c r="E93" s="249">
        <v>5</v>
      </c>
      <c r="F93" s="250">
        <f>VLOOKUP(I93,BDcuA,5,FALSE)</f>
        <v>39.67</v>
      </c>
      <c r="G93" s="251">
        <f>ROUND(F93*E93,DpP)</f>
        <v>198.35</v>
      </c>
      <c r="I93" s="207">
        <v>10053</v>
      </c>
      <c r="J93" s="208" t="s">
        <v>425</v>
      </c>
    </row>
    <row r="94" spans="2:12" s="205" customFormat="1" x14ac:dyDescent="0.2">
      <c r="B94" s="213" t="str">
        <f>J94 &amp; "  " &amp; VLOOKUP(I94,BDcuA,2,FALSE)</f>
        <v>02.03.03.03  ACERO ESTRUCTURAL TRABAJADO PARA ZAPATAS</v>
      </c>
      <c r="C94" s="267"/>
      <c r="D94" s="249" t="str">
        <f>VLOOKUP(I94,BDcuA,4,FALSE)</f>
        <v>KG</v>
      </c>
      <c r="E94" s="249">
        <v>1121.23</v>
      </c>
      <c r="F94" s="250">
        <f>VLOOKUP(I94,BDcuA,5,FALSE)</f>
        <v>9.34</v>
      </c>
      <c r="G94" s="251">
        <f>ROUND(F94*E94,DpP)</f>
        <v>10472.290000000001</v>
      </c>
      <c r="I94" s="207">
        <v>10054</v>
      </c>
      <c r="J94" s="208" t="s">
        <v>427</v>
      </c>
    </row>
    <row r="95" spans="2:12" s="205" customFormat="1" x14ac:dyDescent="0.2">
      <c r="B95" s="209" t="str">
        <f>J95 &amp; "  " &amp; K95</f>
        <v>02.03.04  COLUMNAS AISLADAS</v>
      </c>
      <c r="C95" s="268"/>
      <c r="D95" s="252"/>
      <c r="E95" s="252"/>
      <c r="F95" s="253"/>
      <c r="G95" s="254">
        <f>SUM(G96:G98)</f>
        <v>72828.51999999999</v>
      </c>
      <c r="H95" s="210"/>
      <c r="I95" s="211" t="s">
        <v>163</v>
      </c>
      <c r="J95" s="212" t="s">
        <v>429</v>
      </c>
      <c r="K95" s="210" t="s">
        <v>430</v>
      </c>
      <c r="L95" s="210"/>
    </row>
    <row r="96" spans="2:12" s="205" customFormat="1" x14ac:dyDescent="0.2">
      <c r="B96" s="213" t="str">
        <f>J96 &amp; "  " &amp; VLOOKUP(I96,BDcuA,2,FALSE)</f>
        <v>02.03.04.01  CONCRETO F'C=210 KG/CM2 PARA COLUMNAS</v>
      </c>
      <c r="C96" s="267"/>
      <c r="D96" s="249" t="str">
        <f>VLOOKUP(I96,BDcuA,4,FALSE)</f>
        <v>M3</v>
      </c>
      <c r="E96" s="249">
        <v>23.7</v>
      </c>
      <c r="F96" s="250">
        <f>VLOOKUP(I96,BDcuA,5,FALSE)</f>
        <v>485.84000000000003</v>
      </c>
      <c r="G96" s="251">
        <f>ROUND(F96*E96,DpP)</f>
        <v>11514.41</v>
      </c>
      <c r="I96" s="207">
        <v>10055</v>
      </c>
      <c r="J96" s="208" t="s">
        <v>431</v>
      </c>
    </row>
    <row r="97" spans="2:12" s="205" customFormat="1" x14ac:dyDescent="0.2">
      <c r="B97" s="213" t="str">
        <f>J97 &amp; "  " &amp; VLOOKUP(I97,BDcuA,2,FALSE)</f>
        <v>02.03.04.02  ENCOFRADO Y DESENCOFRADO NORMAL DE COLUMNAS AISLADAS</v>
      </c>
      <c r="C97" s="267"/>
      <c r="D97" s="249" t="str">
        <f>VLOOKUP(I97,BDcuA,4,FALSE)</f>
        <v>M2</v>
      </c>
      <c r="E97" s="249">
        <v>325.22000000000003</v>
      </c>
      <c r="F97" s="250">
        <f>VLOOKUP(I97,BDcuA,5,FALSE)</f>
        <v>39.68</v>
      </c>
      <c r="G97" s="251">
        <f>ROUND(F97*E97,DpP)</f>
        <v>12904.73</v>
      </c>
      <c r="I97" s="207">
        <v>10056</v>
      </c>
      <c r="J97" s="208" t="s">
        <v>436</v>
      </c>
    </row>
    <row r="98" spans="2:12" s="205" customFormat="1" x14ac:dyDescent="0.2">
      <c r="B98" s="213" t="str">
        <f>J98 &amp; "  " &amp; VLOOKUP(I98,BDcuA,2,FALSE)</f>
        <v>02.03.04.03  ACERO ESTRUCTURAL TRABAJADO PARA COLUMNAS AISLADAS</v>
      </c>
      <c r="C98" s="267"/>
      <c r="D98" s="249" t="str">
        <f>VLOOKUP(I98,BDcuA,4,FALSE)</f>
        <v>KG</v>
      </c>
      <c r="E98" s="249">
        <v>5139</v>
      </c>
      <c r="F98" s="250">
        <f>VLOOKUP(I98,BDcuA,5,FALSE)</f>
        <v>9.42</v>
      </c>
      <c r="G98" s="251">
        <f>ROUND(F98*E98,DpP)</f>
        <v>48409.38</v>
      </c>
      <c r="I98" s="207">
        <v>10057</v>
      </c>
      <c r="J98" s="208" t="s">
        <v>438</v>
      </c>
    </row>
    <row r="99" spans="2:12" s="205" customFormat="1" x14ac:dyDescent="0.2">
      <c r="B99" s="209" t="str">
        <f>J99 &amp; "  " &amp; K99</f>
        <v>02.03.05  PLACAS</v>
      </c>
      <c r="C99" s="268"/>
      <c r="D99" s="252"/>
      <c r="E99" s="252"/>
      <c r="F99" s="253"/>
      <c r="G99" s="254">
        <f>SUM(G100:G103)</f>
        <v>323572.36</v>
      </c>
      <c r="H99" s="210"/>
      <c r="I99" s="211" t="s">
        <v>163</v>
      </c>
      <c r="J99" s="212" t="s">
        <v>441</v>
      </c>
      <c r="K99" s="210" t="s">
        <v>442</v>
      </c>
      <c r="L99" s="210"/>
    </row>
    <row r="100" spans="2:12" s="205" customFormat="1" x14ac:dyDescent="0.2">
      <c r="B100" s="213" t="str">
        <f>J100 &amp; "  " &amp; VLOOKUP(I100,BDcuA,2,FALSE)</f>
        <v>02.03.05.01  CONCRETO F'C=210 KG/CM2 PARA MUROS Y PLACAS</v>
      </c>
      <c r="C100" s="267"/>
      <c r="D100" s="249" t="str">
        <f>VLOOKUP(I100,BDcuA,4,FALSE)</f>
        <v>M3</v>
      </c>
      <c r="E100" s="249">
        <v>171.31</v>
      </c>
      <c r="F100" s="250">
        <f>VLOOKUP(I100,BDcuA,5,FALSE)</f>
        <v>485.84000000000003</v>
      </c>
      <c r="G100" s="251">
        <f>ROUND(F100*E100,DpP)</f>
        <v>83229.25</v>
      </c>
      <c r="I100" s="207">
        <v>10058</v>
      </c>
      <c r="J100" s="208" t="s">
        <v>443</v>
      </c>
    </row>
    <row r="101" spans="2:12" s="205" customFormat="1" x14ac:dyDescent="0.2">
      <c r="B101" s="213" t="str">
        <f>J101 &amp; "  " &amp; VLOOKUP(I101,BDcuA,2,FALSE)</f>
        <v>02.03.05.02  ENCOFRADO Y DESENCOFRADO MUROS, 1 CARA, SISTEMA EFCO</v>
      </c>
      <c r="C101" s="267"/>
      <c r="D101" s="249" t="str">
        <f>VLOOKUP(I101,BDcuA,4,FALSE)</f>
        <v>M2</v>
      </c>
      <c r="E101" s="249">
        <v>118.09</v>
      </c>
      <c r="F101" s="250">
        <f>VLOOKUP(I101,BDcuA,5,FALSE)</f>
        <v>38.419999999999995</v>
      </c>
      <c r="G101" s="251">
        <f>ROUND(F101*E101,DpP)</f>
        <v>4537.0200000000004</v>
      </c>
      <c r="I101" s="207">
        <v>10059</v>
      </c>
      <c r="J101" s="208" t="s">
        <v>445</v>
      </c>
    </row>
    <row r="102" spans="2:12" s="205" customFormat="1" x14ac:dyDescent="0.2">
      <c r="B102" s="213" t="str">
        <f>J102 &amp; "  " &amp; VLOOKUP(I102,BDcuA,2,FALSE)</f>
        <v>02.03.05.03  ENCOFRADO Y DESENCOFRADO MUROS, 2 CARAS, SISTEMA EFCO</v>
      </c>
      <c r="C102" s="267"/>
      <c r="D102" s="249" t="str">
        <f>VLOOKUP(I102,BDcuA,4,FALSE)</f>
        <v>M2</v>
      </c>
      <c r="E102" s="249">
        <v>1641.72</v>
      </c>
      <c r="F102" s="250">
        <f>VLOOKUP(I102,BDcuA,5,FALSE)</f>
        <v>33.409999999999997</v>
      </c>
      <c r="G102" s="251">
        <f>ROUND(F102*E102,DpP)</f>
        <v>54849.87</v>
      </c>
      <c r="I102" s="207">
        <v>10060</v>
      </c>
      <c r="J102" s="208" t="s">
        <v>453</v>
      </c>
    </row>
    <row r="103" spans="2:12" s="205" customFormat="1" x14ac:dyDescent="0.2">
      <c r="B103" s="213" t="str">
        <f>J103 &amp; "  " &amp; VLOOKUP(I103,BDcuA,2,FALSE)</f>
        <v>02.03.05.04  ACERO ESTRUCTURAL TRABAJADO PARA MUROS</v>
      </c>
      <c r="C103" s="267"/>
      <c r="D103" s="249" t="str">
        <f>VLOOKUP(I103,BDcuA,4,FALSE)</f>
        <v>KG</v>
      </c>
      <c r="E103" s="249">
        <v>19209.79</v>
      </c>
      <c r="F103" s="250">
        <f>VLOOKUP(I103,BDcuA,5,FALSE)</f>
        <v>9.42</v>
      </c>
      <c r="G103" s="251">
        <f>ROUND(F103*E103,DpP)</f>
        <v>180956.22</v>
      </c>
      <c r="I103" s="207">
        <v>10061</v>
      </c>
      <c r="J103" s="208" t="s">
        <v>455</v>
      </c>
    </row>
    <row r="104" spans="2:12" s="205" customFormat="1" x14ac:dyDescent="0.2">
      <c r="B104" s="209" t="str">
        <f>J104 &amp; "  " &amp; K104</f>
        <v>02.03.06  COLUMNAS DE CONFINAMIENTO</v>
      </c>
      <c r="C104" s="268"/>
      <c r="D104" s="252"/>
      <c r="E104" s="252"/>
      <c r="F104" s="253"/>
      <c r="G104" s="254">
        <f>SUM(G105:G107)</f>
        <v>2444.5100000000002</v>
      </c>
      <c r="H104" s="210"/>
      <c r="I104" s="211" t="s">
        <v>163</v>
      </c>
      <c r="J104" s="212" t="s">
        <v>457</v>
      </c>
      <c r="K104" s="210" t="s">
        <v>458</v>
      </c>
      <c r="L104" s="210"/>
    </row>
    <row r="105" spans="2:12" s="205" customFormat="1" x14ac:dyDescent="0.2">
      <c r="B105" s="213" t="str">
        <f>J105 &amp; "  " &amp; VLOOKUP(I105,BDcuA,2,FALSE)</f>
        <v>02.03.06.01  CONCRETO F'C=210 KG/CM2. PARA COLUMNAS DE CONFINAMIENTO</v>
      </c>
      <c r="C105" s="267"/>
      <c r="D105" s="249" t="str">
        <f>VLOOKUP(I105,BDcuA,4,FALSE)</f>
        <v>M3</v>
      </c>
      <c r="E105" s="249">
        <v>1.07</v>
      </c>
      <c r="F105" s="250">
        <f>VLOOKUP(I105,BDcuA,5,FALSE)</f>
        <v>357.79</v>
      </c>
      <c r="G105" s="251">
        <f>ROUND(F105*E105,DpP)</f>
        <v>382.84</v>
      </c>
      <c r="I105" s="207">
        <v>10062</v>
      </c>
      <c r="J105" s="208" t="s">
        <v>459</v>
      </c>
    </row>
    <row r="106" spans="2:12" s="205" customFormat="1" x14ac:dyDescent="0.2">
      <c r="B106" s="213" t="str">
        <f>J106 &amp; "  " &amp; VLOOKUP(I106,BDcuA,2,FALSE)</f>
        <v>02.03.06.02  ENCOFRADO Y DESENCOFRADO NORMAL DE COLUMNAS DE CONFINAMIENTO</v>
      </c>
      <c r="C106" s="267"/>
      <c r="D106" s="249" t="str">
        <f>VLOOKUP(I106,BDcuA,4,FALSE)</f>
        <v>M2</v>
      </c>
      <c r="E106" s="249">
        <v>21.46</v>
      </c>
      <c r="F106" s="250">
        <f>VLOOKUP(I106,BDcuA,5,FALSE)</f>
        <v>45.339999999999996</v>
      </c>
      <c r="G106" s="251">
        <f>ROUND(F106*E106,DpP)</f>
        <v>973</v>
      </c>
      <c r="I106" s="207">
        <v>10063</v>
      </c>
      <c r="J106" s="208" t="s">
        <v>461</v>
      </c>
    </row>
    <row r="107" spans="2:12" s="205" customFormat="1" x14ac:dyDescent="0.2">
      <c r="B107" s="213" t="str">
        <f>J107 &amp; "  " &amp; VLOOKUP(I107,BDcuA,2,FALSE)</f>
        <v>02.03.06.03  ACERO ESTRUCTURAL TRABAJADO PARA COLUMNAS DE CONFINAMIENTO</v>
      </c>
      <c r="C107" s="267"/>
      <c r="D107" s="249" t="str">
        <f>VLOOKUP(I107,BDcuA,4,FALSE)</f>
        <v>KG</v>
      </c>
      <c r="E107" s="249">
        <v>115.57</v>
      </c>
      <c r="F107" s="250">
        <f>VLOOKUP(I107,BDcuA,5,FALSE)</f>
        <v>9.42</v>
      </c>
      <c r="G107" s="251">
        <f>ROUND(F107*E107,DpP)</f>
        <v>1088.67</v>
      </c>
      <c r="I107" s="207">
        <v>10064</v>
      </c>
      <c r="J107" s="208" t="s">
        <v>463</v>
      </c>
    </row>
    <row r="108" spans="2:12" s="205" customFormat="1" x14ac:dyDescent="0.2">
      <c r="B108" s="209" t="str">
        <f>J108 &amp; "  " &amp; K108</f>
        <v>02.03.07  VIGAS</v>
      </c>
      <c r="C108" s="268"/>
      <c r="D108" s="252"/>
      <c r="E108" s="252"/>
      <c r="F108" s="253"/>
      <c r="G108" s="254">
        <f>SUM(G109:G111)</f>
        <v>253056.05000000002</v>
      </c>
      <c r="H108" s="210"/>
      <c r="I108" s="211" t="s">
        <v>163</v>
      </c>
      <c r="J108" s="212" t="s">
        <v>465</v>
      </c>
      <c r="K108" s="210" t="s">
        <v>466</v>
      </c>
      <c r="L108" s="210"/>
    </row>
    <row r="109" spans="2:12" s="205" customFormat="1" x14ac:dyDescent="0.2">
      <c r="B109" s="213" t="str">
        <f>J109 &amp; "  " &amp; VLOOKUP(I109,BDcuA,2,FALSE)</f>
        <v>02.03.07.01  CONCRETO PREMEZCLADO EN VIGAS F'C=210 KG/CM2</v>
      </c>
      <c r="C109" s="267"/>
      <c r="D109" s="249" t="str">
        <f>VLOOKUP(I109,BDcuA,4,FALSE)</f>
        <v>M3</v>
      </c>
      <c r="E109" s="249">
        <v>121.93</v>
      </c>
      <c r="F109" s="250">
        <f>VLOOKUP(I109,BDcuA,5,FALSE)</f>
        <v>509.16</v>
      </c>
      <c r="G109" s="251">
        <f>ROUND(F109*E109,DpP)</f>
        <v>62081.88</v>
      </c>
      <c r="I109" s="207">
        <v>10065</v>
      </c>
      <c r="J109" s="208" t="s">
        <v>467</v>
      </c>
    </row>
    <row r="110" spans="2:12" s="205" customFormat="1" x14ac:dyDescent="0.2">
      <c r="B110" s="213" t="str">
        <f>J110 &amp; "  " &amp; VLOOKUP(I110,BDcuA,2,FALSE)</f>
        <v>02.03.07.02  ENCOFRADO Y DESENCOFRADO PARA VIGAS RECTAS Y DINTELES</v>
      </c>
      <c r="C110" s="267"/>
      <c r="D110" s="249" t="str">
        <f>VLOOKUP(I110,BDcuA,4,FALSE)</f>
        <v>M2</v>
      </c>
      <c r="E110" s="249">
        <v>875.35</v>
      </c>
      <c r="F110" s="250">
        <f>VLOOKUP(I110,BDcuA,5,FALSE)</f>
        <v>42.769999999999996</v>
      </c>
      <c r="G110" s="251">
        <f>ROUND(F110*E110,DpP)</f>
        <v>37438.720000000001</v>
      </c>
      <c r="I110" s="207">
        <v>10066</v>
      </c>
      <c r="J110" s="208" t="s">
        <v>473</v>
      </c>
    </row>
    <row r="111" spans="2:12" s="205" customFormat="1" x14ac:dyDescent="0.2">
      <c r="B111" s="213" t="str">
        <f>J111 &amp; "  " &amp; VLOOKUP(I111,BDcuA,2,FALSE)</f>
        <v>02.03.07.03  ACERO ESTRUCTURAL TRABAJADO PARA VIGAS Y DINTELES</v>
      </c>
      <c r="C111" s="267"/>
      <c r="D111" s="249" t="str">
        <f>VLOOKUP(I111,BDcuA,4,FALSE)</f>
        <v>KG</v>
      </c>
      <c r="E111" s="249">
        <v>16298.88</v>
      </c>
      <c r="F111" s="250">
        <f>VLOOKUP(I111,BDcuA,5,FALSE)</f>
        <v>9.42</v>
      </c>
      <c r="G111" s="251">
        <f>ROUND(F111*E111,DpP)</f>
        <v>153535.45000000001</v>
      </c>
      <c r="I111" s="207">
        <v>10067</v>
      </c>
      <c r="J111" s="208" t="s">
        <v>477</v>
      </c>
    </row>
    <row r="112" spans="2:12" s="205" customFormat="1" x14ac:dyDescent="0.2">
      <c r="B112" s="209" t="str">
        <f>J112 &amp; "  " &amp; K112</f>
        <v>02.03.08  LOSAS MACIZAS</v>
      </c>
      <c r="C112" s="268"/>
      <c r="D112" s="252"/>
      <c r="E112" s="252"/>
      <c r="F112" s="253"/>
      <c r="G112" s="254">
        <f>SUM(G113:G115)</f>
        <v>12403.04</v>
      </c>
      <c r="H112" s="210"/>
      <c r="I112" s="211" t="s">
        <v>163</v>
      </c>
      <c r="J112" s="212" t="s">
        <v>479</v>
      </c>
      <c r="K112" s="210" t="s">
        <v>480</v>
      </c>
      <c r="L112" s="210"/>
    </row>
    <row r="113" spans="2:12" s="205" customFormat="1" x14ac:dyDescent="0.2">
      <c r="B113" s="213" t="str">
        <f>J113 &amp; "  " &amp; VLOOKUP(I113,BDcuA,2,FALSE)</f>
        <v>02.03.08.01  CONCRETO PREMEZCLADO EN LOSAS MACIZAS F'C=210 KG/CM2</v>
      </c>
      <c r="C113" s="267"/>
      <c r="D113" s="249" t="str">
        <f>VLOOKUP(I113,BDcuA,4,FALSE)</f>
        <v>M3</v>
      </c>
      <c r="E113" s="249">
        <v>8.59</v>
      </c>
      <c r="F113" s="250">
        <f>VLOOKUP(I113,BDcuA,5,FALSE)</f>
        <v>509.16</v>
      </c>
      <c r="G113" s="251">
        <f>ROUND(F113*E113,DpP)</f>
        <v>4373.68</v>
      </c>
      <c r="I113" s="207">
        <v>10068</v>
      </c>
      <c r="J113" s="208" t="s">
        <v>481</v>
      </c>
    </row>
    <row r="114" spans="2:12" s="205" customFormat="1" x14ac:dyDescent="0.2">
      <c r="B114" s="213" t="str">
        <f>J114 &amp; "  " &amp; VLOOKUP(I114,BDcuA,2,FALSE)</f>
        <v>02.03.08.02  ENCOFRADO Y DESENCOFRADO PARA LOSAS MACIZAS</v>
      </c>
      <c r="C114" s="267"/>
      <c r="D114" s="249" t="str">
        <f>VLOOKUP(I114,BDcuA,4,FALSE)</f>
        <v>M2</v>
      </c>
      <c r="E114" s="249">
        <v>42.39</v>
      </c>
      <c r="F114" s="250">
        <f>VLOOKUP(I114,BDcuA,5,FALSE)</f>
        <v>45.93</v>
      </c>
      <c r="G114" s="251">
        <f>ROUND(F114*E114,DpP)</f>
        <v>1946.97</v>
      </c>
      <c r="I114" s="207">
        <v>10069</v>
      </c>
      <c r="J114" s="208" t="s">
        <v>484</v>
      </c>
    </row>
    <row r="115" spans="2:12" s="205" customFormat="1" x14ac:dyDescent="0.2">
      <c r="B115" s="213" t="str">
        <f>J115 &amp; "  " &amp; VLOOKUP(I115,BDcuA,2,FALSE)</f>
        <v>02.03.08.03  ACERO ESTRUCTURAL TRABAJADO PARA LOSAS MACIZAS</v>
      </c>
      <c r="C115" s="267"/>
      <c r="D115" s="249" t="str">
        <f>VLOOKUP(I115,BDcuA,4,FALSE)</f>
        <v>KG</v>
      </c>
      <c r="E115" s="249">
        <v>651.22</v>
      </c>
      <c r="F115" s="250">
        <f>VLOOKUP(I115,BDcuA,5,FALSE)</f>
        <v>9.34</v>
      </c>
      <c r="G115" s="251">
        <f>ROUND(F115*E115,DpP)</f>
        <v>6082.39</v>
      </c>
      <c r="I115" s="207">
        <v>10070</v>
      </c>
      <c r="J115" s="208" t="s">
        <v>486</v>
      </c>
    </row>
    <row r="116" spans="2:12" s="205" customFormat="1" x14ac:dyDescent="0.2">
      <c r="B116" s="209" t="str">
        <f>J116 &amp; "  " &amp; K116</f>
        <v>02.03.09  LOSAS ALIGERADAS</v>
      </c>
      <c r="C116" s="268"/>
      <c r="D116" s="252"/>
      <c r="E116" s="252"/>
      <c r="F116" s="253"/>
      <c r="G116" s="254">
        <f>SUM(G117:G123)</f>
        <v>175807.52000000002</v>
      </c>
      <c r="H116" s="210"/>
      <c r="I116" s="211" t="s">
        <v>163</v>
      </c>
      <c r="J116" s="212" t="s">
        <v>488</v>
      </c>
      <c r="K116" s="210" t="s">
        <v>489</v>
      </c>
      <c r="L116" s="210"/>
    </row>
    <row r="117" spans="2:12" s="205" customFormat="1" x14ac:dyDescent="0.2">
      <c r="B117" s="213" t="str">
        <f t="shared" ref="B117:B123" si="12">J117 &amp; "  " &amp; VLOOKUP(I117,BDcuA,2,FALSE)</f>
        <v>02.03.09.01  CONCRETO PREMEZCLADO EN LOSAS ALIGERADAS F'C=210 KG/CM2</v>
      </c>
      <c r="C117" s="267"/>
      <c r="D117" s="249" t="str">
        <f t="shared" ref="D117:D123" si="13">VLOOKUP(I117,BDcuA,4,FALSE)</f>
        <v>M3</v>
      </c>
      <c r="E117" s="249">
        <v>93.69</v>
      </c>
      <c r="F117" s="250">
        <f t="shared" ref="F117:F123" si="14">VLOOKUP(I117,BDcuA,5,FALSE)</f>
        <v>509.16</v>
      </c>
      <c r="G117" s="251">
        <f t="shared" ref="G117:G123" si="15">ROUND(F117*E117,DpP)</f>
        <v>47703.199999999997</v>
      </c>
      <c r="I117" s="207">
        <v>10071</v>
      </c>
      <c r="J117" s="208" t="s">
        <v>490</v>
      </c>
    </row>
    <row r="118" spans="2:12" s="205" customFormat="1" x14ac:dyDescent="0.2">
      <c r="B118" s="213" t="str">
        <f t="shared" si="12"/>
        <v>02.03.09.02  VIGUETA PRETENSADA 101 CONCREMAX</v>
      </c>
      <c r="C118" s="267"/>
      <c r="D118" s="249" t="str">
        <f t="shared" si="13"/>
        <v>M</v>
      </c>
      <c r="E118" s="249">
        <v>1295.8499999999999</v>
      </c>
      <c r="F118" s="250">
        <f t="shared" si="14"/>
        <v>14.82</v>
      </c>
      <c r="G118" s="251">
        <f t="shared" si="15"/>
        <v>19204.5</v>
      </c>
      <c r="I118" s="207">
        <v>10072</v>
      </c>
      <c r="J118" s="208" t="s">
        <v>493</v>
      </c>
    </row>
    <row r="119" spans="2:12" s="205" customFormat="1" x14ac:dyDescent="0.2">
      <c r="B119" s="213" t="str">
        <f t="shared" si="12"/>
        <v>02.03.09.03  VIGUETA PRETENSADA 102 CONCREMAX</v>
      </c>
      <c r="C119" s="267"/>
      <c r="D119" s="249" t="str">
        <f t="shared" si="13"/>
        <v>M</v>
      </c>
      <c r="E119" s="249">
        <v>154.05000000000001</v>
      </c>
      <c r="F119" s="250">
        <f t="shared" si="14"/>
        <v>16.32</v>
      </c>
      <c r="G119" s="251">
        <f t="shared" si="15"/>
        <v>2514.1</v>
      </c>
      <c r="I119" s="207">
        <v>10073</v>
      </c>
      <c r="J119" s="208" t="s">
        <v>496</v>
      </c>
    </row>
    <row r="120" spans="2:12" s="205" customFormat="1" x14ac:dyDescent="0.2">
      <c r="B120" s="213" t="str">
        <f t="shared" si="12"/>
        <v>02.03.09.04  VIGUETA PRETENSADA 103 CONCREMAX</v>
      </c>
      <c r="C120" s="267"/>
      <c r="D120" s="249" t="str">
        <f t="shared" si="13"/>
        <v>M</v>
      </c>
      <c r="E120" s="249">
        <v>591.6</v>
      </c>
      <c r="F120" s="250">
        <f t="shared" si="14"/>
        <v>17.72</v>
      </c>
      <c r="G120" s="251">
        <f t="shared" si="15"/>
        <v>10483.15</v>
      </c>
      <c r="I120" s="207">
        <v>10074</v>
      </c>
      <c r="J120" s="208" t="s">
        <v>499</v>
      </c>
    </row>
    <row r="121" spans="2:12" s="205" customFormat="1" x14ac:dyDescent="0.2">
      <c r="B121" s="213" t="str">
        <f t="shared" si="12"/>
        <v>02.03.09.05  APUNTALAMIENTO Y SOLERAS DE LOSA ALIGERADA</v>
      </c>
      <c r="C121" s="267"/>
      <c r="D121" s="249" t="str">
        <f t="shared" si="13"/>
        <v>M2</v>
      </c>
      <c r="E121" s="249">
        <v>993.75</v>
      </c>
      <c r="F121" s="250">
        <f t="shared" si="14"/>
        <v>18.54</v>
      </c>
      <c r="G121" s="251">
        <f t="shared" si="15"/>
        <v>18424.13</v>
      </c>
      <c r="I121" s="207">
        <v>10075</v>
      </c>
      <c r="J121" s="208" t="s">
        <v>502</v>
      </c>
    </row>
    <row r="122" spans="2:12" s="205" customFormat="1" x14ac:dyDescent="0.2">
      <c r="B122" s="213" t="str">
        <f t="shared" si="12"/>
        <v>02.03.09.06  BOVEDILLA DE ARCILLA 15 CM @ 50 CM</v>
      </c>
      <c r="C122" s="267"/>
      <c r="D122" s="249" t="str">
        <f t="shared" si="13"/>
        <v>UND</v>
      </c>
      <c r="E122" s="249">
        <v>8415</v>
      </c>
      <c r="F122" s="250">
        <f t="shared" si="14"/>
        <v>3.9</v>
      </c>
      <c r="G122" s="251">
        <f t="shared" si="15"/>
        <v>32818.5</v>
      </c>
      <c r="I122" s="207">
        <v>10076</v>
      </c>
      <c r="J122" s="208" t="s">
        <v>504</v>
      </c>
    </row>
    <row r="123" spans="2:12" s="205" customFormat="1" x14ac:dyDescent="0.2">
      <c r="B123" s="213" t="str">
        <f t="shared" si="12"/>
        <v>02.03.09.07  ACERO ESTRUCTURAL TRABAJADO PARA LOSAS ALIGERADAS</v>
      </c>
      <c r="C123" s="267"/>
      <c r="D123" s="249" t="str">
        <f t="shared" si="13"/>
        <v>KG</v>
      </c>
      <c r="E123" s="249">
        <v>4740.97</v>
      </c>
      <c r="F123" s="250">
        <f t="shared" si="14"/>
        <v>9.42</v>
      </c>
      <c r="G123" s="251">
        <f t="shared" si="15"/>
        <v>44659.94</v>
      </c>
      <c r="I123" s="207">
        <v>10077</v>
      </c>
      <c r="J123" s="208" t="s">
        <v>507</v>
      </c>
    </row>
    <row r="124" spans="2:12" s="205" customFormat="1" x14ac:dyDescent="0.2">
      <c r="B124" s="209" t="str">
        <f>J124 &amp; "  " &amp; K124</f>
        <v>02.03.10  ESCALERAS</v>
      </c>
      <c r="C124" s="268"/>
      <c r="D124" s="252"/>
      <c r="E124" s="252"/>
      <c r="F124" s="253"/>
      <c r="G124" s="254">
        <f>SUM(G125:G127)</f>
        <v>29347.96</v>
      </c>
      <c r="H124" s="210"/>
      <c r="I124" s="211" t="s">
        <v>163</v>
      </c>
      <c r="J124" s="212" t="s">
        <v>509</v>
      </c>
      <c r="K124" s="210" t="s">
        <v>510</v>
      </c>
      <c r="L124" s="210"/>
    </row>
    <row r="125" spans="2:12" s="205" customFormat="1" x14ac:dyDescent="0.2">
      <c r="B125" s="213" t="str">
        <f>J125 &amp; "  " &amp; VLOOKUP(I125,BDcuA,2,FALSE)</f>
        <v>02.03.10.01  CONCRETO F'C=210 KG/CM2. PARA ESCALERAS</v>
      </c>
      <c r="C125" s="267"/>
      <c r="D125" s="249" t="str">
        <f>VLOOKUP(I125,BDcuA,4,FALSE)</f>
        <v>M3</v>
      </c>
      <c r="E125" s="249">
        <v>29.88</v>
      </c>
      <c r="F125" s="250">
        <f>VLOOKUP(I125,BDcuA,5,FALSE)</f>
        <v>354.54</v>
      </c>
      <c r="G125" s="251">
        <f>ROUND(F125*E125,DpP)</f>
        <v>10593.66</v>
      </c>
      <c r="I125" s="207">
        <v>10078</v>
      </c>
      <c r="J125" s="208" t="s">
        <v>511</v>
      </c>
    </row>
    <row r="126" spans="2:12" s="205" customFormat="1" x14ac:dyDescent="0.2">
      <c r="B126" s="213" t="str">
        <f>J126 &amp; "  " &amp; VLOOKUP(I126,BDcuA,2,FALSE)</f>
        <v>02.03.10.02  ENCOFRADO Y DESENCOFRADO PARA ESCALERAS</v>
      </c>
      <c r="C126" s="267"/>
      <c r="D126" s="249" t="str">
        <f>VLOOKUP(I126,BDcuA,4,FALSE)</f>
        <v>M2</v>
      </c>
      <c r="E126" s="249">
        <v>146.08000000000001</v>
      </c>
      <c r="F126" s="250">
        <f>VLOOKUP(I126,BDcuA,5,FALSE)</f>
        <v>45.959999999999994</v>
      </c>
      <c r="G126" s="251">
        <f>ROUND(F126*E126,DpP)</f>
        <v>6713.84</v>
      </c>
      <c r="I126" s="207">
        <v>10079</v>
      </c>
      <c r="J126" s="208" t="s">
        <v>515</v>
      </c>
    </row>
    <row r="127" spans="2:12" s="205" customFormat="1" x14ac:dyDescent="0.2">
      <c r="B127" s="213" t="str">
        <f>J127 &amp; "  " &amp; VLOOKUP(I127,BDcuA,2,FALSE)</f>
        <v>02.03.10.03  ACERO ESTRUCTURAL TRABAJADO PARA ESCALERAS</v>
      </c>
      <c r="C127" s="267"/>
      <c r="D127" s="249" t="str">
        <f>VLOOKUP(I127,BDcuA,4,FALSE)</f>
        <v>KG</v>
      </c>
      <c r="E127" s="249">
        <v>1278.18</v>
      </c>
      <c r="F127" s="250">
        <f>VLOOKUP(I127,BDcuA,5,FALSE)</f>
        <v>9.42</v>
      </c>
      <c r="G127" s="251">
        <f>ROUND(F127*E127,DpP)</f>
        <v>12040.46</v>
      </c>
      <c r="I127" s="207">
        <v>10080</v>
      </c>
      <c r="J127" s="208" t="s">
        <v>517</v>
      </c>
    </row>
    <row r="128" spans="2:12" s="205" customFormat="1" x14ac:dyDescent="0.2">
      <c r="B128" s="209" t="str">
        <f>J128 &amp; "  " &amp; K128</f>
        <v>02.03.11  CISTERNA</v>
      </c>
      <c r="C128" s="268"/>
      <c r="D128" s="252"/>
      <c r="E128" s="252"/>
      <c r="F128" s="253"/>
      <c r="G128" s="254">
        <f>SUM(G129:G131)</f>
        <v>39114.840000000004</v>
      </c>
      <c r="H128" s="210"/>
      <c r="I128" s="211" t="s">
        <v>163</v>
      </c>
      <c r="J128" s="212" t="s">
        <v>519</v>
      </c>
      <c r="K128" s="210" t="s">
        <v>520</v>
      </c>
      <c r="L128" s="210"/>
    </row>
    <row r="129" spans="2:12" s="205" customFormat="1" x14ac:dyDescent="0.2">
      <c r="B129" s="213" t="str">
        <f>J129 &amp; "  " &amp; VLOOKUP(I129,BDcuA,2,FALSE)</f>
        <v>02.03.11.01  CONCRETO EN CISTERNA SUBTERRANEA F'C=210 KG/CM2</v>
      </c>
      <c r="C129" s="267"/>
      <c r="D129" s="249" t="str">
        <f>VLOOKUP(I129,BDcuA,4,FALSE)</f>
        <v>M3</v>
      </c>
      <c r="E129" s="249">
        <v>33.99</v>
      </c>
      <c r="F129" s="250">
        <f>VLOOKUP(I129,BDcuA,5,FALSE)</f>
        <v>365.09</v>
      </c>
      <c r="G129" s="251">
        <f>ROUND(F129*E129,DpP)</f>
        <v>12409.41</v>
      </c>
      <c r="I129" s="207">
        <v>10081</v>
      </c>
      <c r="J129" s="208" t="s">
        <v>521</v>
      </c>
    </row>
    <row r="130" spans="2:12" s="205" customFormat="1" x14ac:dyDescent="0.2">
      <c r="B130" s="213" t="str">
        <f>J130 &amp; "  " &amp; VLOOKUP(I130,BDcuA,2,FALSE)</f>
        <v>02.03.11.02  ENCOFRADO Y DESENCOFRADO NORMAL EN CISTERNA SUBTERRANEA</v>
      </c>
      <c r="C130" s="267"/>
      <c r="D130" s="249" t="str">
        <f>VLOOKUP(I130,BDcuA,4,FALSE)</f>
        <v>M2</v>
      </c>
      <c r="E130" s="249">
        <v>238.31</v>
      </c>
      <c r="F130" s="250">
        <f>VLOOKUP(I130,BDcuA,5,FALSE)</f>
        <v>47.660000000000004</v>
      </c>
      <c r="G130" s="251">
        <f>ROUND(F130*E130,DpP)</f>
        <v>11357.85</v>
      </c>
      <c r="I130" s="207">
        <v>10082</v>
      </c>
      <c r="J130" s="208" t="s">
        <v>523</v>
      </c>
    </row>
    <row r="131" spans="2:12" s="205" customFormat="1" x14ac:dyDescent="0.2">
      <c r="B131" s="213" t="str">
        <f>J131 &amp; "  " &amp; VLOOKUP(I131,BDcuA,2,FALSE)</f>
        <v>02.03.11.03  ACERO ESTRUCTURAL TRABAJADO PARA CISTERNA SUBTERRANEA</v>
      </c>
      <c r="C131" s="267"/>
      <c r="D131" s="249" t="str">
        <f>VLOOKUP(I131,BDcuA,4,FALSE)</f>
        <v>KG</v>
      </c>
      <c r="E131" s="249">
        <v>1643.21</v>
      </c>
      <c r="F131" s="250">
        <f>VLOOKUP(I131,BDcuA,5,FALSE)</f>
        <v>9.34</v>
      </c>
      <c r="G131" s="251">
        <f>ROUND(F131*E131,DpP)</f>
        <v>15347.58</v>
      </c>
      <c r="I131" s="207">
        <v>10083</v>
      </c>
      <c r="J131" s="208" t="s">
        <v>525</v>
      </c>
    </row>
    <row r="132" spans="2:12" s="205" customFormat="1" x14ac:dyDescent="0.2">
      <c r="B132" s="209" t="str">
        <f>J132 &amp; "  " &amp; K132</f>
        <v>02.03.12  CAMARA DE REUNION Y BOMBEO DE DESAGUE</v>
      </c>
      <c r="C132" s="268"/>
      <c r="D132" s="252"/>
      <c r="E132" s="252"/>
      <c r="F132" s="253"/>
      <c r="G132" s="254">
        <f>SUM(G133:G135)</f>
        <v>3096.61</v>
      </c>
      <c r="H132" s="210"/>
      <c r="I132" s="211" t="s">
        <v>163</v>
      </c>
      <c r="J132" s="212" t="s">
        <v>527</v>
      </c>
      <c r="K132" s="210" t="s">
        <v>528</v>
      </c>
      <c r="L132" s="210"/>
    </row>
    <row r="133" spans="2:12" s="205" customFormat="1" x14ac:dyDescent="0.2">
      <c r="B133" s="213" t="str">
        <f>J133 &amp; "  " &amp; VLOOKUP(I133,BDcuA,2,FALSE)</f>
        <v>02.03.12.01  CONCRETO EN CAMARA DE REUNION Y BOMBEO DE DESAGUE</v>
      </c>
      <c r="C133" s="267"/>
      <c r="D133" s="249" t="str">
        <f>VLOOKUP(I133,BDcuA,4,FALSE)</f>
        <v>M3</v>
      </c>
      <c r="E133" s="249">
        <v>2.2000000000000002</v>
      </c>
      <c r="F133" s="250">
        <f>VLOOKUP(I133,BDcuA,5,FALSE)</f>
        <v>365.09</v>
      </c>
      <c r="G133" s="251">
        <f>ROUND(F133*E133,DpP)</f>
        <v>803.2</v>
      </c>
      <c r="I133" s="207">
        <v>10084</v>
      </c>
      <c r="J133" s="208" t="s">
        <v>529</v>
      </c>
    </row>
    <row r="134" spans="2:12" s="205" customFormat="1" x14ac:dyDescent="0.2">
      <c r="B134" s="213" t="str">
        <f>J134 &amp; "  " &amp; VLOOKUP(I134,BDcuA,2,FALSE)</f>
        <v>02.03.12.02  ENCOFRADO Y DESENCOFRADO NORMAL DE CAMARA DE REUNION Y BOMBEO DE DESAGUE</v>
      </c>
      <c r="C134" s="267"/>
      <c r="D134" s="249" t="str">
        <f>VLOOKUP(I134,BDcuA,4,FALSE)</f>
        <v>M2</v>
      </c>
      <c r="E134" s="249">
        <v>17.48</v>
      </c>
      <c r="F134" s="250">
        <f>VLOOKUP(I134,BDcuA,5,FALSE)</f>
        <v>47.660000000000004</v>
      </c>
      <c r="G134" s="251">
        <f>ROUND(F134*E134,DpP)</f>
        <v>833.1</v>
      </c>
      <c r="I134" s="207">
        <v>10085</v>
      </c>
      <c r="J134" s="208" t="s">
        <v>531</v>
      </c>
    </row>
    <row r="135" spans="2:12" s="205" customFormat="1" x14ac:dyDescent="0.2">
      <c r="B135" s="213" t="str">
        <f>J135 &amp; "  " &amp; VLOOKUP(I135,BDcuA,2,FALSE)</f>
        <v>02.03.12.03  ACERO ESTRUCTURAL TRABAJADO EN CAMARA DE REUNION Y BOMBEO DE DESAGUE</v>
      </c>
      <c r="C135" s="267"/>
      <c r="D135" s="249" t="str">
        <f>VLOOKUP(I135,BDcuA,4,FALSE)</f>
        <v>KG</v>
      </c>
      <c r="E135" s="249">
        <v>156.35</v>
      </c>
      <c r="F135" s="250">
        <f>VLOOKUP(I135,BDcuA,5,FALSE)</f>
        <v>9.34</v>
      </c>
      <c r="G135" s="251">
        <f>ROUND(F135*E135,DpP)</f>
        <v>1460.31</v>
      </c>
      <c r="I135" s="207">
        <v>10086</v>
      </c>
      <c r="J135" s="208" t="s">
        <v>533</v>
      </c>
    </row>
    <row r="136" spans="2:12" s="205" customFormat="1" x14ac:dyDescent="0.2">
      <c r="B136" s="209" t="str">
        <f>J136 &amp; "  " &amp; K136</f>
        <v>02.03.13  TANQUE ELEVADO</v>
      </c>
      <c r="C136" s="268"/>
      <c r="D136" s="252"/>
      <c r="E136" s="252"/>
      <c r="F136" s="253"/>
      <c r="G136" s="254">
        <f>SUM(G137:G139)</f>
        <v>6866.1</v>
      </c>
      <c r="H136" s="210"/>
      <c r="I136" s="211" t="s">
        <v>163</v>
      </c>
      <c r="J136" s="212" t="s">
        <v>535</v>
      </c>
      <c r="K136" s="210" t="s">
        <v>536</v>
      </c>
      <c r="L136" s="210"/>
    </row>
    <row r="137" spans="2:12" s="205" customFormat="1" x14ac:dyDescent="0.2">
      <c r="B137" s="213" t="str">
        <f>J137 &amp; "  " &amp; VLOOKUP(I137,BDcuA,2,FALSE)</f>
        <v>02.03.13.01  CONCRETO F'C=210 KG/CM2 PARA TANQUE ELEVADO</v>
      </c>
      <c r="C137" s="267"/>
      <c r="D137" s="249" t="str">
        <f>VLOOKUP(I137,BDcuA,4,FALSE)</f>
        <v>M3</v>
      </c>
      <c r="E137" s="249">
        <v>5.03</v>
      </c>
      <c r="F137" s="250">
        <f>VLOOKUP(I137,BDcuA,5,FALSE)</f>
        <v>362.96</v>
      </c>
      <c r="G137" s="251">
        <f>ROUND(F137*E137,DpP)</f>
        <v>1825.69</v>
      </c>
      <c r="I137" s="207">
        <v>10087</v>
      </c>
      <c r="J137" s="208" t="s">
        <v>537</v>
      </c>
    </row>
    <row r="138" spans="2:12" s="205" customFormat="1" x14ac:dyDescent="0.2">
      <c r="B138" s="213" t="str">
        <f>J138 &amp; "  " &amp; VLOOKUP(I138,BDcuA,2,FALSE)</f>
        <v>02.03.13.02  ENCOFRADO Y DESENCOFRADO NORMAL EN TANQUE ELEVADO</v>
      </c>
      <c r="C138" s="267"/>
      <c r="D138" s="249" t="str">
        <f>VLOOKUP(I138,BDcuA,4,FALSE)</f>
        <v>M2</v>
      </c>
      <c r="E138" s="249">
        <v>57.04</v>
      </c>
      <c r="F138" s="250">
        <f>VLOOKUP(I138,BDcuA,5,FALSE)</f>
        <v>48.06</v>
      </c>
      <c r="G138" s="251">
        <f>ROUND(F138*E138,DpP)</f>
        <v>2741.34</v>
      </c>
      <c r="I138" s="207">
        <v>10088</v>
      </c>
      <c r="J138" s="208" t="s">
        <v>539</v>
      </c>
    </row>
    <row r="139" spans="2:12" s="205" customFormat="1" x14ac:dyDescent="0.2">
      <c r="B139" s="213" t="str">
        <f>J139 &amp; "  " &amp; VLOOKUP(I139,BDcuA,2,FALSE)</f>
        <v>02.03.13.03  ACERO ESTRUCTURAL TRABAJADO PARA TANQUE ELEVADO</v>
      </c>
      <c r="C139" s="267"/>
      <c r="D139" s="249" t="str">
        <f>VLOOKUP(I139,BDcuA,4,FALSE)</f>
        <v>KG</v>
      </c>
      <c r="E139" s="249">
        <v>447.29</v>
      </c>
      <c r="F139" s="250">
        <f>VLOOKUP(I139,BDcuA,5,FALSE)</f>
        <v>5.14</v>
      </c>
      <c r="G139" s="251">
        <f>ROUND(F139*E139,DpP)</f>
        <v>2299.0700000000002</v>
      </c>
      <c r="I139" s="207">
        <v>10089</v>
      </c>
      <c r="J139" s="208" t="s">
        <v>541</v>
      </c>
    </row>
    <row r="140" spans="2:12" s="205" customFormat="1" x14ac:dyDescent="0.2">
      <c r="B140" s="214" t="str">
        <f>J140 &amp; "  " &amp; K140</f>
        <v>02.04  VARIOS</v>
      </c>
      <c r="C140" s="269"/>
      <c r="D140" s="255"/>
      <c r="E140" s="255"/>
      <c r="F140" s="256"/>
      <c r="G140" s="257">
        <f>SUM(G141:G143)</f>
        <v>764.35</v>
      </c>
      <c r="H140" s="215"/>
      <c r="I140" s="216" t="s">
        <v>160</v>
      </c>
      <c r="J140" s="217" t="s">
        <v>543</v>
      </c>
      <c r="K140" s="215" t="s">
        <v>544</v>
      </c>
      <c r="L140" s="215"/>
    </row>
    <row r="141" spans="2:12" s="205" customFormat="1" x14ac:dyDescent="0.2">
      <c r="B141" s="218" t="str">
        <f>J141 &amp; "  " &amp; VLOOKUP(I141,BDcuA,2,FALSE)</f>
        <v>02.04.01  JUNTA DE CONSTRUCCION CON TEKNOPORT DE 2"</v>
      </c>
      <c r="C141" s="267"/>
      <c r="D141" s="249" t="str">
        <f>VLOOKUP(I141,BDcuA,4,FALSE)</f>
        <v>M2</v>
      </c>
      <c r="E141" s="249">
        <v>5</v>
      </c>
      <c r="F141" s="250">
        <f>VLOOKUP(I141,BDcuA,5,FALSE)</f>
        <v>12.139999999999999</v>
      </c>
      <c r="G141" s="251">
        <f>ROUND(F141*E141,DpP)</f>
        <v>60.7</v>
      </c>
      <c r="I141" s="207">
        <v>10090</v>
      </c>
      <c r="J141" s="208" t="s">
        <v>545</v>
      </c>
    </row>
    <row r="142" spans="2:12" s="205" customFormat="1" x14ac:dyDescent="0.2">
      <c r="B142" s="218" t="str">
        <f>J142 &amp; "  " &amp; VLOOKUP(I142,BDcuA,2,FALSE)</f>
        <v>02.04.02  JUNTA DE CONSTRUCCION CON ELASTOMETRICO</v>
      </c>
      <c r="C142" s="267"/>
      <c r="D142" s="249" t="str">
        <f>VLOOKUP(I142,BDcuA,4,FALSE)</f>
        <v>M2</v>
      </c>
      <c r="E142" s="249">
        <v>5</v>
      </c>
      <c r="F142" s="250">
        <f>VLOOKUP(I142,BDcuA,5,FALSE)</f>
        <v>8.0399999999999991</v>
      </c>
      <c r="G142" s="251">
        <f>ROUND(F142*E142,DpP)</f>
        <v>40.200000000000003</v>
      </c>
      <c r="I142" s="207">
        <v>10091</v>
      </c>
      <c r="J142" s="208" t="s">
        <v>548</v>
      </c>
    </row>
    <row r="143" spans="2:12" s="205" customFormat="1" x14ac:dyDescent="0.2">
      <c r="B143" s="218" t="str">
        <f>J143 &amp; "  " &amp; VLOOKUP(I143,BDcuA,2,FALSE)</f>
        <v>02.04.03  PEGAMENTO UNION CONCRETO NUEVO-VIEJO (SIKADUR 32 GEL)</v>
      </c>
      <c r="C143" s="267"/>
      <c r="D143" s="249" t="str">
        <f>VLOOKUP(I143,BDcuA,4,FALSE)</f>
        <v>M2</v>
      </c>
      <c r="E143" s="249">
        <v>5</v>
      </c>
      <c r="F143" s="250">
        <f>VLOOKUP(I143,BDcuA,5,FALSE)</f>
        <v>132.69</v>
      </c>
      <c r="G143" s="251">
        <f>ROUND(F143*E143,DpP)</f>
        <v>663.45</v>
      </c>
      <c r="I143" s="207">
        <v>10092</v>
      </c>
      <c r="J143" s="208" t="s">
        <v>552</v>
      </c>
    </row>
    <row r="144" spans="2:12" s="205" customFormat="1" x14ac:dyDescent="0.2">
      <c r="B144" s="219" t="str">
        <f>J144 &amp; "  " &amp; K144</f>
        <v>03  ARQUITECTURA</v>
      </c>
      <c r="C144" s="270"/>
      <c r="D144" s="258"/>
      <c r="E144" s="258"/>
      <c r="F144" s="259"/>
      <c r="G144" s="260">
        <f>SUMIF(Pto!$I145:$I248,"&gt;10000",G145:G248)</f>
        <v>505997.99999999994</v>
      </c>
      <c r="H144" s="220"/>
      <c r="I144" s="221" t="s">
        <v>157</v>
      </c>
      <c r="J144" s="222" t="s">
        <v>555</v>
      </c>
      <c r="K144" s="220" t="s">
        <v>556</v>
      </c>
      <c r="L144" s="220"/>
    </row>
    <row r="145" spans="2:12" s="205" customFormat="1" x14ac:dyDescent="0.2">
      <c r="B145" s="214" t="str">
        <f>J145 &amp; "  " &amp; K145</f>
        <v>03.01  MUROS Y TABIQUES DE ALBAÑILERIA</v>
      </c>
      <c r="C145" s="269"/>
      <c r="D145" s="255"/>
      <c r="E145" s="255"/>
      <c r="F145" s="256"/>
      <c r="G145" s="257">
        <f>SUM(G146:G149)</f>
        <v>174119.18000000002</v>
      </c>
      <c r="H145" s="215"/>
      <c r="I145" s="216" t="s">
        <v>160</v>
      </c>
      <c r="J145" s="217" t="s">
        <v>557</v>
      </c>
      <c r="K145" s="215" t="s">
        <v>558</v>
      </c>
      <c r="L145" s="215"/>
    </row>
    <row r="146" spans="2:12" s="205" customFormat="1" x14ac:dyDescent="0.2">
      <c r="B146" s="218" t="str">
        <f>J146 &amp; "  " &amp; VLOOKUP(I146,BDcuA,2,FALSE)</f>
        <v>03.01.01  MURO TABIQUE PLACA P-10 SILICO CALCAREO - 2 CARAVISTAS</v>
      </c>
      <c r="C146" s="267"/>
      <c r="D146" s="249" t="str">
        <f>VLOOKUP(I146,BDcuA,4,FALSE)</f>
        <v>M2</v>
      </c>
      <c r="E146" s="249">
        <v>1381.05</v>
      </c>
      <c r="F146" s="250">
        <f>VLOOKUP(I146,BDcuA,5,FALSE)</f>
        <v>105.88000000000001</v>
      </c>
      <c r="G146" s="251">
        <f>ROUND(F146*E146,DpP)</f>
        <v>146225.57</v>
      </c>
      <c r="I146" s="207">
        <v>10093</v>
      </c>
      <c r="J146" s="208" t="s">
        <v>559</v>
      </c>
    </row>
    <row r="147" spans="2:12" s="205" customFormat="1" x14ac:dyDescent="0.2">
      <c r="B147" s="218" t="str">
        <f>J147 &amp; "  " &amp; VLOOKUP(I147,BDcuA,2,FALSE)</f>
        <v>03.01.02  MURO TABIQUE PLACA P-14 SILICO CALCAREO-2 CARAVISTAS</v>
      </c>
      <c r="C147" s="267"/>
      <c r="D147" s="249" t="str">
        <f>VLOOKUP(I147,BDcuA,4,FALSE)</f>
        <v>M2</v>
      </c>
      <c r="E147" s="249">
        <v>149.75</v>
      </c>
      <c r="F147" s="250">
        <f>VLOOKUP(I147,BDcuA,5,FALSE)</f>
        <v>116.28000000000003</v>
      </c>
      <c r="G147" s="251">
        <f>ROUND(F147*E147,DpP)</f>
        <v>17412.93</v>
      </c>
      <c r="I147" s="207">
        <v>10094</v>
      </c>
      <c r="J147" s="208" t="s">
        <v>567</v>
      </c>
    </row>
    <row r="148" spans="2:12" s="205" customFormat="1" x14ac:dyDescent="0.2">
      <c r="B148" s="218" t="str">
        <f>J148 &amp; "  " &amp; VLOOKUP(I148,BDcuA,2,FALSE)</f>
        <v>03.01.03  MUROS DE LADRILLO KK  H10 DE 10X14X24 CM, AMARRE SOGA, MORTERO CEMENTO-ARENA 1:4, JUNTA 1.5 CM</v>
      </c>
      <c r="C148" s="267"/>
      <c r="D148" s="249" t="str">
        <f>VLOOKUP(I148,BDcuA,4,FALSE)</f>
        <v>M2</v>
      </c>
      <c r="E148" s="249">
        <v>157.93</v>
      </c>
      <c r="F148" s="250">
        <f>VLOOKUP(I148,BDcuA,5,FALSE)</f>
        <v>54.62</v>
      </c>
      <c r="G148" s="251">
        <f>ROUND(F148*E148,DpP)</f>
        <v>8626.14</v>
      </c>
      <c r="I148" s="207">
        <v>10095</v>
      </c>
      <c r="J148" s="208" t="s">
        <v>570</v>
      </c>
    </row>
    <row r="149" spans="2:12" s="205" customFormat="1" x14ac:dyDescent="0.2">
      <c r="B149" s="218" t="str">
        <f>J149 &amp; "  " &amp; VLOOKUP(I149,BDcuA,2,FALSE)</f>
        <v>03.01.04  PARAPETOS DE LADRILLO PANDERETA DE 10X14X23 CM, AMARRE SOGA, MORTERO CEMENTO-ARENA 1:5, JUNTA 1.5 CM</v>
      </c>
      <c r="C149" s="267"/>
      <c r="D149" s="249" t="str">
        <f>VLOOKUP(I149,BDcuA,4,FALSE)</f>
        <v>M2</v>
      </c>
      <c r="E149" s="249">
        <v>37.840000000000003</v>
      </c>
      <c r="F149" s="250">
        <f>VLOOKUP(I149,BDcuA,5,FALSE)</f>
        <v>49.009999999999991</v>
      </c>
      <c r="G149" s="251">
        <f>ROUND(F149*E149,DpP)</f>
        <v>1854.54</v>
      </c>
      <c r="I149" s="207">
        <v>10096</v>
      </c>
      <c r="J149" s="208" t="s">
        <v>573</v>
      </c>
    </row>
    <row r="150" spans="2:12" s="205" customFormat="1" x14ac:dyDescent="0.2">
      <c r="B150" s="214" t="str">
        <f>J150 &amp; "  " &amp; K150</f>
        <v>03.02  REVOQUES Y REVESTIMIENTOS</v>
      </c>
      <c r="C150" s="269"/>
      <c r="D150" s="255"/>
      <c r="E150" s="255"/>
      <c r="F150" s="256"/>
      <c r="G150" s="257">
        <f>SUM(G151:G164)</f>
        <v>149189.13</v>
      </c>
      <c r="H150" s="215"/>
      <c r="I150" s="216" t="s">
        <v>160</v>
      </c>
      <c r="J150" s="217" t="s">
        <v>576</v>
      </c>
      <c r="K150" s="215" t="s">
        <v>577</v>
      </c>
      <c r="L150" s="215"/>
    </row>
    <row r="151" spans="2:12" s="205" customFormat="1" x14ac:dyDescent="0.2">
      <c r="B151" s="218" t="str">
        <f t="shared" ref="B151:B164" si="16">J151 &amp; "  " &amp; VLOOKUP(I151,BDcuA,2,FALSE)</f>
        <v>03.02.01  TARRAJEO EN INTERIORES ACABADO CON CEMENTO-ARENA</v>
      </c>
      <c r="C151" s="267"/>
      <c r="D151" s="249" t="str">
        <f t="shared" ref="D151:D164" si="17">VLOOKUP(I151,BDcuA,4,FALSE)</f>
        <v>M2</v>
      </c>
      <c r="E151" s="249">
        <v>2100.69</v>
      </c>
      <c r="F151" s="250">
        <f t="shared" ref="F151:F164" si="18">VLOOKUP(I151,BDcuA,5,FALSE)</f>
        <v>23.39</v>
      </c>
      <c r="G151" s="251">
        <f t="shared" ref="G151:G164" si="19">ROUND(F151*E151,DpP)</f>
        <v>49135.14</v>
      </c>
      <c r="I151" s="207">
        <v>10097</v>
      </c>
      <c r="J151" s="208" t="s">
        <v>578</v>
      </c>
    </row>
    <row r="152" spans="2:12" s="205" customFormat="1" x14ac:dyDescent="0.2">
      <c r="B152" s="218" t="str">
        <f t="shared" si="16"/>
        <v>03.02.02  TARRAJEO EN EXTERIORES CON CEMENTO-ARENA</v>
      </c>
      <c r="C152" s="267"/>
      <c r="D152" s="249" t="str">
        <f t="shared" si="17"/>
        <v>M2</v>
      </c>
      <c r="E152" s="249">
        <v>980.81</v>
      </c>
      <c r="F152" s="250">
        <f t="shared" si="18"/>
        <v>30.15</v>
      </c>
      <c r="G152" s="251">
        <f t="shared" si="19"/>
        <v>29571.42</v>
      </c>
      <c r="I152" s="207">
        <v>10098</v>
      </c>
      <c r="J152" s="208" t="s">
        <v>580</v>
      </c>
    </row>
    <row r="153" spans="2:12" s="205" customFormat="1" x14ac:dyDescent="0.2">
      <c r="B153" s="218" t="str">
        <f t="shared" si="16"/>
        <v>03.02.03  TARRAJEO FROTACHADO FINO EN MUROS INTERIORES, MEZCLA 1:5</v>
      </c>
      <c r="C153" s="267"/>
      <c r="D153" s="249" t="str">
        <f t="shared" si="17"/>
        <v>M2</v>
      </c>
      <c r="E153" s="249">
        <v>63.49</v>
      </c>
      <c r="F153" s="250">
        <f t="shared" si="18"/>
        <v>22.98</v>
      </c>
      <c r="G153" s="251">
        <f t="shared" si="19"/>
        <v>1459</v>
      </c>
      <c r="I153" s="207">
        <v>10099</v>
      </c>
      <c r="J153" s="208" t="s">
        <v>582</v>
      </c>
    </row>
    <row r="154" spans="2:12" s="205" customFormat="1" x14ac:dyDescent="0.2">
      <c r="B154" s="218" t="str">
        <f t="shared" si="16"/>
        <v>03.02.04  TARRAJEO DE SUPERFICIE DE COLUMNAS CON CEMENTO-ARENA</v>
      </c>
      <c r="C154" s="267"/>
      <c r="D154" s="249" t="str">
        <f t="shared" si="17"/>
        <v>M2</v>
      </c>
      <c r="E154" s="249">
        <v>377.72</v>
      </c>
      <c r="F154" s="250">
        <f t="shared" si="18"/>
        <v>32.86</v>
      </c>
      <c r="G154" s="251">
        <f t="shared" si="19"/>
        <v>12411.88</v>
      </c>
      <c r="I154" s="207">
        <v>10100</v>
      </c>
      <c r="J154" s="208" t="s">
        <v>585</v>
      </c>
    </row>
    <row r="155" spans="2:12" s="205" customFormat="1" x14ac:dyDescent="0.2">
      <c r="B155" s="218" t="str">
        <f t="shared" si="16"/>
        <v>03.02.05  TARRAJEO DE VIGAS PERALTADAS CON CEMENTO-ARENA</v>
      </c>
      <c r="C155" s="267"/>
      <c r="D155" s="249" t="str">
        <f t="shared" si="17"/>
        <v>M2</v>
      </c>
      <c r="E155" s="249">
        <v>702.21</v>
      </c>
      <c r="F155" s="250">
        <f t="shared" si="18"/>
        <v>34.130000000000003</v>
      </c>
      <c r="G155" s="251">
        <f t="shared" si="19"/>
        <v>23966.43</v>
      </c>
      <c r="I155" s="207">
        <v>10101</v>
      </c>
      <c r="J155" s="208" t="s">
        <v>587</v>
      </c>
    </row>
    <row r="156" spans="2:12" s="205" customFormat="1" x14ac:dyDescent="0.2">
      <c r="B156" s="218" t="str">
        <f t="shared" si="16"/>
        <v>03.02.06  TARRAJEO CON IMPERMEABILIZANTE MUROS Y LOSA</v>
      </c>
      <c r="C156" s="267"/>
      <c r="D156" s="249" t="str">
        <f t="shared" si="17"/>
        <v>M2</v>
      </c>
      <c r="E156" s="249">
        <v>150.82</v>
      </c>
      <c r="F156" s="250">
        <f t="shared" si="18"/>
        <v>39.309999999999995</v>
      </c>
      <c r="G156" s="251">
        <f t="shared" si="19"/>
        <v>5928.73</v>
      </c>
      <c r="I156" s="207">
        <v>10102</v>
      </c>
      <c r="J156" s="208" t="s">
        <v>589</v>
      </c>
    </row>
    <row r="157" spans="2:12" s="205" customFormat="1" x14ac:dyDescent="0.2">
      <c r="B157" s="218" t="str">
        <f t="shared" si="16"/>
        <v>03.02.07  VESTIDURA DE DERRAMES EN PUERTAS, VENTANAS Y VANOS.</v>
      </c>
      <c r="C157" s="267"/>
      <c r="D157" s="249" t="str">
        <f t="shared" si="17"/>
        <v>M</v>
      </c>
      <c r="E157" s="249">
        <v>1255.8499999999999</v>
      </c>
      <c r="F157" s="250">
        <f t="shared" si="18"/>
        <v>13.959999999999999</v>
      </c>
      <c r="G157" s="251">
        <f t="shared" si="19"/>
        <v>17531.669999999998</v>
      </c>
      <c r="I157" s="207">
        <v>10103</v>
      </c>
      <c r="J157" s="208" t="s">
        <v>592</v>
      </c>
    </row>
    <row r="158" spans="2:12" s="205" customFormat="1" x14ac:dyDescent="0.2">
      <c r="B158" s="218" t="str">
        <f t="shared" si="16"/>
        <v>03.02.08  BRUÑAS ENTRE CIELO RASO Y MURO</v>
      </c>
      <c r="C158" s="267"/>
      <c r="D158" s="249" t="str">
        <f t="shared" si="17"/>
        <v>M</v>
      </c>
      <c r="E158" s="249">
        <v>4</v>
      </c>
      <c r="F158" s="250">
        <f t="shared" si="18"/>
        <v>2.52</v>
      </c>
      <c r="G158" s="251">
        <f t="shared" si="19"/>
        <v>10.08</v>
      </c>
      <c r="I158" s="207">
        <v>10104</v>
      </c>
      <c r="J158" s="208" t="s">
        <v>594</v>
      </c>
    </row>
    <row r="159" spans="2:12" s="205" customFormat="1" x14ac:dyDescent="0.2">
      <c r="B159" s="218" t="str">
        <f t="shared" si="16"/>
        <v>03.02.09  BRUÑAS EN MUROS EXTERIORES</v>
      </c>
      <c r="C159" s="267"/>
      <c r="D159" s="249" t="str">
        <f t="shared" si="17"/>
        <v>M</v>
      </c>
      <c r="E159" s="249">
        <v>432</v>
      </c>
      <c r="F159" s="250">
        <f t="shared" si="18"/>
        <v>3.38</v>
      </c>
      <c r="G159" s="251">
        <f t="shared" si="19"/>
        <v>1460.16</v>
      </c>
      <c r="I159" s="207">
        <v>10105</v>
      </c>
      <c r="J159" s="208" t="s">
        <v>596</v>
      </c>
    </row>
    <row r="160" spans="2:12" s="205" customFormat="1" x14ac:dyDescent="0.2">
      <c r="B160" s="218" t="str">
        <f t="shared" si="16"/>
        <v>03.02.10  VESTIDURA DE SUPERFICIE FONDO DE ESCALERA C/MOR.1:4 X 1.5 CM</v>
      </c>
      <c r="C160" s="267"/>
      <c r="D160" s="249" t="str">
        <f t="shared" si="17"/>
        <v>M2</v>
      </c>
      <c r="E160" s="249">
        <v>70.78</v>
      </c>
      <c r="F160" s="250">
        <f t="shared" si="18"/>
        <v>34.639999999999993</v>
      </c>
      <c r="G160" s="251">
        <f t="shared" si="19"/>
        <v>2451.8200000000002</v>
      </c>
      <c r="I160" s="207">
        <v>10106</v>
      </c>
      <c r="J160" s="208" t="s">
        <v>598</v>
      </c>
    </row>
    <row r="161" spans="2:12" s="205" customFormat="1" x14ac:dyDescent="0.2">
      <c r="B161" s="218" t="str">
        <f t="shared" si="16"/>
        <v>03.02.11  PREPARACION DE GRADAS Y ESCALERAS DE CONCRETO</v>
      </c>
      <c r="C161" s="267"/>
      <c r="D161" s="249" t="str">
        <f t="shared" si="17"/>
        <v>M</v>
      </c>
      <c r="E161" s="249">
        <v>139.4</v>
      </c>
      <c r="F161" s="250">
        <f t="shared" si="18"/>
        <v>26.07</v>
      </c>
      <c r="G161" s="251">
        <f t="shared" si="19"/>
        <v>3634.16</v>
      </c>
      <c r="I161" s="207">
        <v>10107</v>
      </c>
      <c r="J161" s="208" t="s">
        <v>600</v>
      </c>
    </row>
    <row r="162" spans="2:12" s="205" customFormat="1" x14ac:dyDescent="0.2">
      <c r="B162" s="218" t="str">
        <f t="shared" si="16"/>
        <v>03.02.12  PREPARACION DE DESCANSOS DE GRADAS Y ESCALERAS DE CONCRETO</v>
      </c>
      <c r="C162" s="267"/>
      <c r="D162" s="249" t="str">
        <f t="shared" si="17"/>
        <v>M2</v>
      </c>
      <c r="E162" s="249">
        <v>43.23</v>
      </c>
      <c r="F162" s="250">
        <f t="shared" si="18"/>
        <v>28.369999999999997</v>
      </c>
      <c r="G162" s="251">
        <f t="shared" si="19"/>
        <v>1226.44</v>
      </c>
      <c r="I162" s="207">
        <v>10108</v>
      </c>
      <c r="J162" s="208" t="s">
        <v>602</v>
      </c>
    </row>
    <row r="163" spans="2:12" s="205" customFormat="1" x14ac:dyDescent="0.2">
      <c r="B163" s="218" t="str">
        <f t="shared" si="16"/>
        <v>03.02.13  REVESTIMIENTO DE GRADAS Y ESCALERAS CON CERAMICO 30X30 CM, CANTONERA ALUMINIO</v>
      </c>
      <c r="C163" s="267"/>
      <c r="D163" s="249" t="str">
        <f t="shared" si="17"/>
        <v>M</v>
      </c>
      <c r="E163" s="249">
        <v>5</v>
      </c>
      <c r="F163" s="250">
        <f t="shared" si="18"/>
        <v>35.839999999999996</v>
      </c>
      <c r="G163" s="251">
        <f t="shared" si="19"/>
        <v>179.2</v>
      </c>
      <c r="I163" s="207">
        <v>10109</v>
      </c>
      <c r="J163" s="208" t="s">
        <v>604</v>
      </c>
    </row>
    <row r="164" spans="2:12" s="205" customFormat="1" x14ac:dyDescent="0.2">
      <c r="B164" s="218" t="str">
        <f t="shared" si="16"/>
        <v>03.02.14  REVESTIMIENTO DE DESCANSO DE ESCALERAS CON CERAMICO 30X30 CM</v>
      </c>
      <c r="C164" s="267"/>
      <c r="D164" s="249" t="str">
        <f t="shared" si="17"/>
        <v>M2</v>
      </c>
      <c r="E164" s="249">
        <v>5</v>
      </c>
      <c r="F164" s="250">
        <f t="shared" si="18"/>
        <v>44.6</v>
      </c>
      <c r="G164" s="251">
        <f t="shared" si="19"/>
        <v>223</v>
      </c>
      <c r="I164" s="207">
        <v>10110</v>
      </c>
      <c r="J164" s="208" t="s">
        <v>610</v>
      </c>
    </row>
    <row r="165" spans="2:12" s="205" customFormat="1" x14ac:dyDescent="0.2">
      <c r="B165" s="214" t="str">
        <f>J165 &amp; "  " &amp; K165</f>
        <v>03.03  CIELORRASOS</v>
      </c>
      <c r="C165" s="269"/>
      <c r="D165" s="255"/>
      <c r="E165" s="255"/>
      <c r="F165" s="256"/>
      <c r="G165" s="257">
        <f>SUM(G166:G166)</f>
        <v>55364.4</v>
      </c>
      <c r="H165" s="215"/>
      <c r="I165" s="216" t="s">
        <v>160</v>
      </c>
      <c r="J165" s="217" t="s">
        <v>612</v>
      </c>
      <c r="K165" s="215" t="s">
        <v>613</v>
      </c>
      <c r="L165" s="215"/>
    </row>
    <row r="166" spans="2:12" s="205" customFormat="1" x14ac:dyDescent="0.2">
      <c r="B166" s="218" t="str">
        <f>J166 &amp; "  " &amp; VLOOKUP(I166,BDcuA,2,FALSE)</f>
        <v>03.03.01  CIELORRASOS CON MEZCLA DE CEMENTO-ARENA</v>
      </c>
      <c r="C166" s="267"/>
      <c r="D166" s="249" t="str">
        <f>VLOOKUP(I166,BDcuA,4,FALSE)</f>
        <v>M2</v>
      </c>
      <c r="E166" s="249">
        <v>1839.96</v>
      </c>
      <c r="F166" s="250">
        <f>VLOOKUP(I166,BDcuA,5,FALSE)</f>
        <v>30.090000000000003</v>
      </c>
      <c r="G166" s="251">
        <f>ROUND(F166*E166,DpP)</f>
        <v>55364.4</v>
      </c>
      <c r="I166" s="207">
        <v>10111</v>
      </c>
      <c r="J166" s="208" t="s">
        <v>614</v>
      </c>
    </row>
    <row r="167" spans="2:12" s="205" customFormat="1" x14ac:dyDescent="0.2">
      <c r="B167" s="214" t="str">
        <f>J167 &amp; "  " &amp; K167</f>
        <v>03.04  PISOS Y PAVIMENTOS</v>
      </c>
      <c r="C167" s="269"/>
      <c r="D167" s="255"/>
      <c r="E167" s="255"/>
      <c r="F167" s="256"/>
      <c r="G167" s="257">
        <f>SUM(G168:G173)</f>
        <v>56986.8</v>
      </c>
      <c r="H167" s="215"/>
      <c r="I167" s="216" t="s">
        <v>160</v>
      </c>
      <c r="J167" s="217" t="s">
        <v>616</v>
      </c>
      <c r="K167" s="215" t="s">
        <v>617</v>
      </c>
      <c r="L167" s="215"/>
    </row>
    <row r="168" spans="2:12" s="205" customFormat="1" x14ac:dyDescent="0.2">
      <c r="B168" s="218" t="str">
        <f t="shared" ref="B168:B173" si="20">J168 &amp; "  " &amp; VLOOKUP(I168,BDcuA,2,FALSE)</f>
        <v>03.04.01  CONTRAPISO DE 48 MM.</v>
      </c>
      <c r="C168" s="267"/>
      <c r="D168" s="249" t="str">
        <f t="shared" ref="D168:D173" si="21">VLOOKUP(I168,BDcuA,4,FALSE)</f>
        <v>M2</v>
      </c>
      <c r="E168" s="249">
        <v>1306.58</v>
      </c>
      <c r="F168" s="250">
        <f t="shared" ref="F168:F173" si="22">VLOOKUP(I168,BDcuA,5,FALSE)</f>
        <v>41.389999999999993</v>
      </c>
      <c r="G168" s="251">
        <f t="shared" ref="G168:G173" si="23">ROUND(F168*E168,DpP)</f>
        <v>54079.35</v>
      </c>
      <c r="I168" s="207">
        <v>10112</v>
      </c>
      <c r="J168" s="208" t="s">
        <v>618</v>
      </c>
    </row>
    <row r="169" spans="2:12" s="205" customFormat="1" x14ac:dyDescent="0.2">
      <c r="B169" s="218" t="str">
        <f t="shared" si="20"/>
        <v>03.04.02  PISO DE PORCELANATO 60X60 CM. COLOR CLARO</v>
      </c>
      <c r="C169" s="267"/>
      <c r="D169" s="249" t="str">
        <f t="shared" si="21"/>
        <v>M2</v>
      </c>
      <c r="E169" s="249">
        <v>5</v>
      </c>
      <c r="F169" s="250">
        <f t="shared" si="22"/>
        <v>52.019999999999989</v>
      </c>
      <c r="G169" s="251">
        <f t="shared" si="23"/>
        <v>260.10000000000002</v>
      </c>
      <c r="I169" s="207">
        <v>10113</v>
      </c>
      <c r="J169" s="208" t="s">
        <v>620</v>
      </c>
    </row>
    <row r="170" spans="2:12" s="205" customFormat="1" x14ac:dyDescent="0.2">
      <c r="B170" s="218" t="str">
        <f t="shared" si="20"/>
        <v>03.04.03  PISO DE CERAMICO DE 40X40 CM.</v>
      </c>
      <c r="C170" s="267"/>
      <c r="D170" s="249" t="str">
        <f t="shared" si="21"/>
        <v>M2</v>
      </c>
      <c r="E170" s="249">
        <v>5</v>
      </c>
      <c r="F170" s="250">
        <f t="shared" si="22"/>
        <v>46.709999999999994</v>
      </c>
      <c r="G170" s="251">
        <f t="shared" si="23"/>
        <v>233.55</v>
      </c>
      <c r="I170" s="207">
        <v>10114</v>
      </c>
      <c r="J170" s="208" t="s">
        <v>627</v>
      </c>
    </row>
    <row r="171" spans="2:12" s="205" customFormat="1" x14ac:dyDescent="0.2">
      <c r="B171" s="218" t="str">
        <f t="shared" si="20"/>
        <v>03.04.04  PISO CERAMICO 30 X 30 EN EXTERIORES</v>
      </c>
      <c r="C171" s="267"/>
      <c r="D171" s="249" t="str">
        <f t="shared" si="21"/>
        <v>M2</v>
      </c>
      <c r="E171" s="249">
        <v>5</v>
      </c>
      <c r="F171" s="250">
        <f t="shared" si="22"/>
        <v>49.250000000000007</v>
      </c>
      <c r="G171" s="251">
        <f t="shared" si="23"/>
        <v>246.25</v>
      </c>
      <c r="I171" s="207">
        <v>10115</v>
      </c>
      <c r="J171" s="208" t="s">
        <v>631</v>
      </c>
    </row>
    <row r="172" spans="2:12" s="205" customFormat="1" x14ac:dyDescent="0.2">
      <c r="B172" s="218" t="str">
        <f t="shared" si="20"/>
        <v>03.04.05  ACABADO PULIDO DE PISO C/MORTERO 1:2 X 1.5 cm DE ESPESOR</v>
      </c>
      <c r="C172" s="267"/>
      <c r="D172" s="249" t="str">
        <f t="shared" si="21"/>
        <v>M2</v>
      </c>
      <c r="E172" s="249">
        <v>5</v>
      </c>
      <c r="F172" s="250">
        <f t="shared" si="22"/>
        <v>9.36</v>
      </c>
      <c r="G172" s="251">
        <f t="shared" si="23"/>
        <v>46.8</v>
      </c>
      <c r="I172" s="207">
        <v>10116</v>
      </c>
      <c r="J172" s="208" t="s">
        <v>633</v>
      </c>
    </row>
    <row r="173" spans="2:12" s="205" customFormat="1" x14ac:dyDescent="0.2">
      <c r="B173" s="218" t="str">
        <f t="shared" si="20"/>
        <v>03.04.06  VEREDA DE CONCRETO SIMPLE F'C=175 KG/CM2 E=10CM. ACABADO PASTA 1:2</v>
      </c>
      <c r="C173" s="267"/>
      <c r="D173" s="249" t="str">
        <f t="shared" si="21"/>
        <v>M2</v>
      </c>
      <c r="E173" s="249">
        <v>5</v>
      </c>
      <c r="F173" s="250">
        <f t="shared" si="22"/>
        <v>424.15</v>
      </c>
      <c r="G173" s="251">
        <f t="shared" si="23"/>
        <v>2120.75</v>
      </c>
      <c r="I173" s="207">
        <v>10117</v>
      </c>
      <c r="J173" s="208" t="s">
        <v>635</v>
      </c>
    </row>
    <row r="174" spans="2:12" s="205" customFormat="1" x14ac:dyDescent="0.2">
      <c r="B174" s="214" t="str">
        <f>J174 &amp; "  " &amp; K174</f>
        <v>03.05  ZOCALOS Y CONTRAZOCALOS</v>
      </c>
      <c r="C174" s="269"/>
      <c r="D174" s="255"/>
      <c r="E174" s="255"/>
      <c r="F174" s="256"/>
      <c r="G174" s="257">
        <f>SUMIF(Pto!$I175:$I181,"&gt;10000",G175:G181)</f>
        <v>960.15000000000009</v>
      </c>
      <c r="H174" s="215"/>
      <c r="I174" s="216" t="s">
        <v>160</v>
      </c>
      <c r="J174" s="217" t="s">
        <v>637</v>
      </c>
      <c r="K174" s="215" t="s">
        <v>638</v>
      </c>
      <c r="L174" s="215"/>
    </row>
    <row r="175" spans="2:12" s="205" customFormat="1" x14ac:dyDescent="0.2">
      <c r="B175" s="209" t="str">
        <f>J175 &amp; "  " &amp; K175</f>
        <v>03.05.01  ZOCALOS</v>
      </c>
      <c r="C175" s="268"/>
      <c r="D175" s="252"/>
      <c r="E175" s="252"/>
      <c r="F175" s="253"/>
      <c r="G175" s="254">
        <f>SUM(G176:G176)</f>
        <v>229.05</v>
      </c>
      <c r="H175" s="210"/>
      <c r="I175" s="211" t="s">
        <v>163</v>
      </c>
      <c r="J175" s="212" t="s">
        <v>639</v>
      </c>
      <c r="K175" s="210" t="s">
        <v>640</v>
      </c>
      <c r="L175" s="210"/>
    </row>
    <row r="176" spans="2:12" s="205" customFormat="1" x14ac:dyDescent="0.2">
      <c r="B176" s="213" t="str">
        <f>J176 &amp; "  " &amp; VLOOKUP(I176,BDcuA,2,FALSE)</f>
        <v>03.05.01.01  ZOCALO DE CERAMICO DE 30X30 CM CELIMA</v>
      </c>
      <c r="C176" s="267"/>
      <c r="D176" s="249" t="str">
        <f>VLOOKUP(I176,BDcuA,4,FALSE)</f>
        <v>M2</v>
      </c>
      <c r="E176" s="249">
        <v>5</v>
      </c>
      <c r="F176" s="250">
        <f>VLOOKUP(I176,BDcuA,5,FALSE)</f>
        <v>45.810000000000009</v>
      </c>
      <c r="G176" s="251">
        <f>ROUND(F176*E176,DpP)</f>
        <v>229.05</v>
      </c>
      <c r="I176" s="207">
        <v>10118</v>
      </c>
      <c r="J176" s="208" t="s">
        <v>641</v>
      </c>
    </row>
    <row r="177" spans="2:12" s="205" customFormat="1" x14ac:dyDescent="0.2">
      <c r="B177" s="209" t="str">
        <f>J177 &amp; "  " &amp; K177</f>
        <v>03.05.02  CONTRAZOCALOS</v>
      </c>
      <c r="C177" s="268"/>
      <c r="D177" s="252"/>
      <c r="E177" s="252"/>
      <c r="F177" s="253"/>
      <c r="G177" s="254">
        <f>SUM(G178:G181)</f>
        <v>731.1</v>
      </c>
      <c r="H177" s="210"/>
      <c r="I177" s="211" t="s">
        <v>163</v>
      </c>
      <c r="J177" s="212" t="s">
        <v>643</v>
      </c>
      <c r="K177" s="210" t="s">
        <v>644</v>
      </c>
      <c r="L177" s="210"/>
    </row>
    <row r="178" spans="2:12" s="205" customFormat="1" x14ac:dyDescent="0.2">
      <c r="B178" s="213" t="str">
        <f>J178 &amp; "  " &amp; VLOOKUP(I178,BDcuA,2,FALSE)</f>
        <v>03.05.02.01  CONTRAZOCALO RECTO DE PORCELANATO  DE 0.10 M</v>
      </c>
      <c r="C178" s="267"/>
      <c r="D178" s="249" t="str">
        <f>VLOOKUP(I178,BDcuA,4,FALSE)</f>
        <v>M</v>
      </c>
      <c r="E178" s="249">
        <v>5</v>
      </c>
      <c r="F178" s="250">
        <f>VLOOKUP(I178,BDcuA,5,FALSE)</f>
        <v>16.239999999999998</v>
      </c>
      <c r="G178" s="251">
        <f>ROUND(F178*E178,DpP)</f>
        <v>81.2</v>
      </c>
      <c r="I178" s="207">
        <v>10119</v>
      </c>
      <c r="J178" s="208" t="s">
        <v>645</v>
      </c>
    </row>
    <row r="179" spans="2:12" s="205" customFormat="1" x14ac:dyDescent="0.2">
      <c r="B179" s="213" t="str">
        <f>J179 &amp; "  " &amp; VLOOKUP(I179,BDcuA,2,FALSE)</f>
        <v>03.05.02.02  CONTRAZOCALO CERAMICO 40X40 CM H=0.10 M CELIMA</v>
      </c>
      <c r="C179" s="267"/>
      <c r="D179" s="249" t="str">
        <f>VLOOKUP(I179,BDcuA,4,FALSE)</f>
        <v>M</v>
      </c>
      <c r="E179" s="249">
        <v>5</v>
      </c>
      <c r="F179" s="250">
        <f>VLOOKUP(I179,BDcuA,5,FALSE)</f>
        <v>67.42</v>
      </c>
      <c r="G179" s="251">
        <f>ROUND(F179*E179,DpP)</f>
        <v>337.1</v>
      </c>
      <c r="I179" s="207">
        <v>10120</v>
      </c>
      <c r="J179" s="208" t="s">
        <v>648</v>
      </c>
    </row>
    <row r="180" spans="2:12" s="205" customFormat="1" x14ac:dyDescent="0.2">
      <c r="B180" s="213" t="str">
        <f>J180 &amp; "  " &amp; VLOOKUP(I180,BDcuA,2,FALSE)</f>
        <v>03.05.02.03  CONTRAZOCALO CERAMICO 30X30 CM H=0.10 M EN ESCALERA CELIMA</v>
      </c>
      <c r="C180" s="267"/>
      <c r="D180" s="249" t="str">
        <f>VLOOKUP(I180,BDcuA,4,FALSE)</f>
        <v>M</v>
      </c>
      <c r="E180" s="249">
        <v>5</v>
      </c>
      <c r="F180" s="250">
        <f>VLOOKUP(I180,BDcuA,5,FALSE)</f>
        <v>53.059999999999995</v>
      </c>
      <c r="G180" s="251">
        <f>ROUND(F180*E180,DpP)</f>
        <v>265.3</v>
      </c>
      <c r="I180" s="207">
        <v>10121</v>
      </c>
      <c r="J180" s="208" t="s">
        <v>650</v>
      </c>
    </row>
    <row r="181" spans="2:12" s="205" customFormat="1" x14ac:dyDescent="0.2">
      <c r="B181" s="213" t="str">
        <f>J181 &amp; "  " &amp; VLOOKUP(I181,BDcuA,2,FALSE)</f>
        <v>03.05.02.04  CONTRAZOCALO DE CEMENTO PULIDO DE H=10 CM INTERIOR, MEZCLA 1:5 AL RAS DEL TARRAJEO DE MURO, INCLUYE BRUNA</v>
      </c>
      <c r="C181" s="267"/>
      <c r="D181" s="249" t="str">
        <f>VLOOKUP(I181,BDcuA,4,FALSE)</f>
        <v>M</v>
      </c>
      <c r="E181" s="249">
        <v>5</v>
      </c>
      <c r="F181" s="250">
        <f>VLOOKUP(I181,BDcuA,5,FALSE)</f>
        <v>9.5</v>
      </c>
      <c r="G181" s="251">
        <f>ROUND(F181*E181,DpP)</f>
        <v>47.5</v>
      </c>
      <c r="I181" s="207">
        <v>10122</v>
      </c>
      <c r="J181" s="208" t="s">
        <v>652</v>
      </c>
    </row>
    <row r="182" spans="2:12" s="205" customFormat="1" x14ac:dyDescent="0.2">
      <c r="B182" s="214" t="str">
        <f>J182 &amp; "  " &amp; K182</f>
        <v>03.06  COBERTURAS</v>
      </c>
      <c r="C182" s="269"/>
      <c r="D182" s="255"/>
      <c r="E182" s="255"/>
      <c r="F182" s="256"/>
      <c r="G182" s="257">
        <f>SUM(G183:G183)</f>
        <v>5911.89</v>
      </c>
      <c r="H182" s="215"/>
      <c r="I182" s="216" t="s">
        <v>160</v>
      </c>
      <c r="J182" s="217" t="s">
        <v>655</v>
      </c>
      <c r="K182" s="215" t="s">
        <v>656</v>
      </c>
      <c r="L182" s="215"/>
    </row>
    <row r="183" spans="2:12" s="205" customFormat="1" x14ac:dyDescent="0.2">
      <c r="B183" s="218" t="str">
        <f>J183 &amp; "  " &amp; VLOOKUP(I183,BDcuA,2,FALSE)</f>
        <v>03.06.01  COBERTURA DE TECHO CON LADRILLO PASTELERO</v>
      </c>
      <c r="C183" s="267"/>
      <c r="D183" s="249" t="str">
        <f>VLOOKUP(I183,BDcuA,4,FALSE)</f>
        <v>M2</v>
      </c>
      <c r="E183" s="249">
        <v>106.1</v>
      </c>
      <c r="F183" s="250">
        <f>VLOOKUP(I183,BDcuA,5,FALSE)</f>
        <v>55.72</v>
      </c>
      <c r="G183" s="251">
        <f>ROUND(F183*E183,DpP)</f>
        <v>5911.89</v>
      </c>
      <c r="I183" s="207">
        <v>10123</v>
      </c>
      <c r="J183" s="208" t="s">
        <v>657</v>
      </c>
    </row>
    <row r="184" spans="2:12" s="205" customFormat="1" x14ac:dyDescent="0.2">
      <c r="B184" s="214" t="str">
        <f>J184 &amp; "  " &amp; K184</f>
        <v>03.07  CARPINTERIA DE MADERA</v>
      </c>
      <c r="C184" s="269"/>
      <c r="D184" s="255"/>
      <c r="E184" s="255"/>
      <c r="F184" s="256"/>
      <c r="G184" s="257">
        <f>SUMIF(Pto!$I185:$I196,"&gt;10000",G185:G196)</f>
        <v>31710.750000000007</v>
      </c>
      <c r="H184" s="215"/>
      <c r="I184" s="216" t="s">
        <v>160</v>
      </c>
      <c r="J184" s="217" t="s">
        <v>661</v>
      </c>
      <c r="K184" s="215" t="s">
        <v>662</v>
      </c>
      <c r="L184" s="215"/>
    </row>
    <row r="185" spans="2:12" s="205" customFormat="1" x14ac:dyDescent="0.2">
      <c r="B185" s="209" t="str">
        <f>J185 &amp; "  " &amp; K185</f>
        <v>03.07.01  PUERTAS</v>
      </c>
      <c r="C185" s="268"/>
      <c r="D185" s="252"/>
      <c r="E185" s="252"/>
      <c r="F185" s="253"/>
      <c r="G185" s="254">
        <f>SUM(G186:G191)</f>
        <v>23960.750000000007</v>
      </c>
      <c r="H185" s="210"/>
      <c r="I185" s="211" t="s">
        <v>163</v>
      </c>
      <c r="J185" s="212" t="s">
        <v>663</v>
      </c>
      <c r="K185" s="210" t="s">
        <v>664</v>
      </c>
      <c r="L185" s="210"/>
    </row>
    <row r="186" spans="2:12" s="205" customFormat="1" x14ac:dyDescent="0.2">
      <c r="B186" s="213" t="str">
        <f t="shared" ref="B186:B191" si="24">J186 &amp; "  " &amp; VLOOKUP(I186,BDcuA,2,FALSE)</f>
        <v>03.07.01.01  PUERTA DE INGRESO PEATONAL MADERA CEDRO DE 1.00 X 2.70 M, SEGUN DISEÑO ESPECIAL</v>
      </c>
      <c r="C186" s="267"/>
      <c r="D186" s="249" t="str">
        <f t="shared" ref="D186:D191" si="25">VLOOKUP(I186,BDcuA,4,FALSE)</f>
        <v>UND</v>
      </c>
      <c r="E186" s="249">
        <v>5</v>
      </c>
      <c r="F186" s="250">
        <f t="shared" ref="F186:F191" si="26">VLOOKUP(I186,BDcuA,5,FALSE)</f>
        <v>2678.67</v>
      </c>
      <c r="G186" s="251">
        <f t="shared" ref="G186:G191" si="27">ROUND(F186*E186,DpP)</f>
        <v>13393.35</v>
      </c>
      <c r="I186" s="207">
        <v>10124</v>
      </c>
      <c r="J186" s="208" t="s">
        <v>665</v>
      </c>
    </row>
    <row r="187" spans="2:12" s="205" customFormat="1" x14ac:dyDescent="0.2">
      <c r="B187" s="213" t="str">
        <f t="shared" si="24"/>
        <v>03.07.01.02  PUERTA  MADERA TIPO TABLERO DE PINO DE 1.00 X 2.10 M</v>
      </c>
      <c r="C187" s="267"/>
      <c r="D187" s="249" t="str">
        <f t="shared" si="25"/>
        <v>UND</v>
      </c>
      <c r="E187" s="249">
        <v>5</v>
      </c>
      <c r="F187" s="250">
        <f t="shared" si="26"/>
        <v>634.36</v>
      </c>
      <c r="G187" s="251">
        <f t="shared" si="27"/>
        <v>3171.8</v>
      </c>
      <c r="I187" s="207">
        <v>10125</v>
      </c>
      <c r="J187" s="208" t="s">
        <v>668</v>
      </c>
    </row>
    <row r="188" spans="2:12" s="205" customFormat="1" x14ac:dyDescent="0.2">
      <c r="B188" s="213" t="str">
        <f t="shared" si="24"/>
        <v>03.07.01.03  PUERTA PRESTIGE TEXTURADA DE 0.80 X 2.10 M</v>
      </c>
      <c r="C188" s="267"/>
      <c r="D188" s="249" t="str">
        <f t="shared" si="25"/>
        <v>UND</v>
      </c>
      <c r="E188" s="249">
        <v>5</v>
      </c>
      <c r="F188" s="250">
        <f t="shared" si="26"/>
        <v>303.83</v>
      </c>
      <c r="G188" s="251">
        <f t="shared" si="27"/>
        <v>1519.15</v>
      </c>
      <c r="I188" s="207">
        <v>10126</v>
      </c>
      <c r="J188" s="208" t="s">
        <v>673</v>
      </c>
    </row>
    <row r="189" spans="2:12" s="205" customFormat="1" x14ac:dyDescent="0.2">
      <c r="B189" s="213" t="str">
        <f t="shared" si="24"/>
        <v>03.07.01.04  PUERTA PRESTIGE TEXTURADA DE 0.70 X 2.10 M</v>
      </c>
      <c r="C189" s="267"/>
      <c r="D189" s="249" t="str">
        <f t="shared" si="25"/>
        <v>UND</v>
      </c>
      <c r="E189" s="249">
        <v>5</v>
      </c>
      <c r="F189" s="250">
        <f t="shared" si="26"/>
        <v>293.83</v>
      </c>
      <c r="G189" s="251">
        <f t="shared" si="27"/>
        <v>1469.15</v>
      </c>
      <c r="I189" s="207">
        <v>10127</v>
      </c>
      <c r="J189" s="208" t="s">
        <v>677</v>
      </c>
    </row>
    <row r="190" spans="2:12" s="205" customFormat="1" x14ac:dyDescent="0.2">
      <c r="B190" s="213" t="str">
        <f t="shared" si="24"/>
        <v>03.07.01.05  PUERTA CONTRAPLACADA DE TRIPLAY 45 MM DE 0.90X2.10M</v>
      </c>
      <c r="C190" s="267"/>
      <c r="D190" s="249" t="str">
        <f t="shared" si="25"/>
        <v>UND</v>
      </c>
      <c r="E190" s="249">
        <v>5</v>
      </c>
      <c r="F190" s="250">
        <f t="shared" si="26"/>
        <v>383.23</v>
      </c>
      <c r="G190" s="251">
        <f t="shared" si="27"/>
        <v>1916.15</v>
      </c>
      <c r="I190" s="207">
        <v>10128</v>
      </c>
      <c r="J190" s="208" t="s">
        <v>680</v>
      </c>
    </row>
    <row r="191" spans="2:12" s="205" customFormat="1" x14ac:dyDescent="0.2">
      <c r="B191" s="213" t="str">
        <f t="shared" si="24"/>
        <v>03.07.01.06  PUERTA CONTRAPLACADA DE TRIPLAY 45 MM DE 1.10X2.10M, DOS HOJAS</v>
      </c>
      <c r="C191" s="267"/>
      <c r="D191" s="249" t="str">
        <f t="shared" si="25"/>
        <v>UND</v>
      </c>
      <c r="E191" s="249">
        <v>5</v>
      </c>
      <c r="F191" s="250">
        <f t="shared" si="26"/>
        <v>498.23</v>
      </c>
      <c r="G191" s="251">
        <f t="shared" si="27"/>
        <v>2491.15</v>
      </c>
      <c r="I191" s="207">
        <v>10129</v>
      </c>
      <c r="J191" s="208" t="s">
        <v>684</v>
      </c>
    </row>
    <row r="192" spans="2:12" s="205" customFormat="1" x14ac:dyDescent="0.2">
      <c r="B192" s="209" t="str">
        <f>J192 &amp; "  " &amp; K192</f>
        <v>03.07.02  MUEBLES DE COCINA Y SIMILARES</v>
      </c>
      <c r="C192" s="268"/>
      <c r="D192" s="252"/>
      <c r="E192" s="252"/>
      <c r="F192" s="253"/>
      <c r="G192" s="254">
        <f>SUM(G193:G194)</f>
        <v>4250</v>
      </c>
      <c r="H192" s="210"/>
      <c r="I192" s="211" t="s">
        <v>163</v>
      </c>
      <c r="J192" s="212" t="s">
        <v>687</v>
      </c>
      <c r="K192" s="210" t="s">
        <v>688</v>
      </c>
      <c r="L192" s="210"/>
    </row>
    <row r="193" spans="2:12" s="205" customFormat="1" x14ac:dyDescent="0.2">
      <c r="B193" s="213" t="str">
        <f>J193 &amp; "  " &amp; VLOOKUP(I193,BDcuA,2,FALSE)</f>
        <v>03.07.02.01  MUEBLE BAJO DE COCINA DE MELAMINE (SUBC.)</v>
      </c>
      <c r="C193" s="267"/>
      <c r="D193" s="249" t="str">
        <f>VLOOKUP(I193,BDcuA,4,FALSE)</f>
        <v>M</v>
      </c>
      <c r="E193" s="249">
        <v>5</v>
      </c>
      <c r="F193" s="250">
        <f>VLOOKUP(I193,BDcuA,5,FALSE)</f>
        <v>450</v>
      </c>
      <c r="G193" s="251">
        <f>ROUND(F193*E193,DpP)</f>
        <v>2250</v>
      </c>
      <c r="I193" s="207">
        <v>10130</v>
      </c>
      <c r="J193" s="208" t="s">
        <v>689</v>
      </c>
    </row>
    <row r="194" spans="2:12" s="205" customFormat="1" x14ac:dyDescent="0.2">
      <c r="B194" s="213" t="str">
        <f>J194 &amp; "  " &amp; VLOOKUP(I194,BDcuA,2,FALSE)</f>
        <v>03.07.02.02  MUEBLE ALTO DE COCINA DE MELAMINE (SUBC.)</v>
      </c>
      <c r="C194" s="267"/>
      <c r="D194" s="249" t="str">
        <f>VLOOKUP(I194,BDcuA,4,FALSE)</f>
        <v>M</v>
      </c>
      <c r="E194" s="249">
        <v>5</v>
      </c>
      <c r="F194" s="250">
        <f>VLOOKUP(I194,BDcuA,5,FALSE)</f>
        <v>400</v>
      </c>
      <c r="G194" s="251">
        <f>ROUND(F194*E194,DpP)</f>
        <v>2000</v>
      </c>
      <c r="I194" s="207">
        <v>10131</v>
      </c>
      <c r="J194" s="208" t="s">
        <v>692</v>
      </c>
    </row>
    <row r="195" spans="2:12" s="205" customFormat="1" x14ac:dyDescent="0.2">
      <c r="B195" s="209" t="str">
        <f>J195 &amp; "  " &amp; K195</f>
        <v>03.07.03  CLOSETS</v>
      </c>
      <c r="C195" s="268"/>
      <c r="D195" s="252"/>
      <c r="E195" s="252"/>
      <c r="F195" s="253"/>
      <c r="G195" s="254">
        <f>SUM(G196:G196)</f>
        <v>3500</v>
      </c>
      <c r="H195" s="210"/>
      <c r="I195" s="211" t="s">
        <v>163</v>
      </c>
      <c r="J195" s="212" t="s">
        <v>695</v>
      </c>
      <c r="K195" s="210" t="s">
        <v>696</v>
      </c>
      <c r="L195" s="210"/>
    </row>
    <row r="196" spans="2:12" s="205" customFormat="1" x14ac:dyDescent="0.2">
      <c r="B196" s="213" t="str">
        <f>J196 &amp; "  " &amp; VLOOKUP(I196,BDcuA,2,FALSE)</f>
        <v>03.07.03.01  CLOSET DE MELAMINE 18 MM, COLOR BLANCO, S/DISEÑO</v>
      </c>
      <c r="C196" s="267"/>
      <c r="D196" s="249" t="str">
        <f>VLOOKUP(I196,BDcuA,4,FALSE)</f>
        <v>M</v>
      </c>
      <c r="E196" s="249">
        <v>5</v>
      </c>
      <c r="F196" s="250">
        <f>VLOOKUP(I196,BDcuA,5,FALSE)</f>
        <v>700</v>
      </c>
      <c r="G196" s="251">
        <f>ROUND(F196*E196,DpP)</f>
        <v>3500</v>
      </c>
      <c r="I196" s="207">
        <v>10132</v>
      </c>
      <c r="J196" s="208" t="s">
        <v>697</v>
      </c>
    </row>
    <row r="197" spans="2:12" s="205" customFormat="1" x14ac:dyDescent="0.2">
      <c r="B197" s="214" t="str">
        <f>J197 &amp; "  " &amp; K197</f>
        <v>03.08  CARPINTERIA METALICA Y HERRERIA</v>
      </c>
      <c r="C197" s="269"/>
      <c r="D197" s="255"/>
      <c r="E197" s="255"/>
      <c r="F197" s="256"/>
      <c r="G197" s="257">
        <f>SUMIF(Pto!$I198:$I213,"&gt;10000",G198:G213)</f>
        <v>11322.75</v>
      </c>
      <c r="H197" s="215"/>
      <c r="I197" s="216" t="s">
        <v>160</v>
      </c>
      <c r="J197" s="217" t="s">
        <v>700</v>
      </c>
      <c r="K197" s="215" t="s">
        <v>701</v>
      </c>
      <c r="L197" s="215"/>
    </row>
    <row r="198" spans="2:12" s="205" customFormat="1" x14ac:dyDescent="0.2">
      <c r="B198" s="209" t="str">
        <f>J198 &amp; "  " &amp; K198</f>
        <v>03.08.01  VENTANAS  DE FIERRO</v>
      </c>
      <c r="C198" s="268"/>
      <c r="D198" s="252"/>
      <c r="E198" s="252"/>
      <c r="F198" s="253"/>
      <c r="G198" s="254">
        <f>SUM(G199:G199)</f>
        <v>900</v>
      </c>
      <c r="H198" s="210"/>
      <c r="I198" s="211" t="s">
        <v>163</v>
      </c>
      <c r="J198" s="212" t="s">
        <v>702</v>
      </c>
      <c r="K198" s="210" t="s">
        <v>703</v>
      </c>
      <c r="L198" s="210"/>
    </row>
    <row r="199" spans="2:12" s="205" customFormat="1" x14ac:dyDescent="0.2">
      <c r="B199" s="213" t="str">
        <f>J199 &amp; "  " &amp; VLOOKUP(I199,BDcuA,2,FALSE)</f>
        <v>03.08.01.01  VENTANA DE FIERRO DE 0.60 X 0.60 M, APERSIANADA</v>
      </c>
      <c r="C199" s="267"/>
      <c r="D199" s="249" t="str">
        <f>VLOOKUP(I199,BDcuA,4,FALSE)</f>
        <v>UND</v>
      </c>
      <c r="E199" s="249">
        <v>5</v>
      </c>
      <c r="F199" s="250">
        <f>VLOOKUP(I199,BDcuA,5,FALSE)</f>
        <v>180</v>
      </c>
      <c r="G199" s="251">
        <f>ROUND(F199*E199,DpP)</f>
        <v>900</v>
      </c>
      <c r="I199" s="207">
        <v>10133</v>
      </c>
      <c r="J199" s="208" t="s">
        <v>704</v>
      </c>
    </row>
    <row r="200" spans="2:12" s="205" customFormat="1" x14ac:dyDescent="0.2">
      <c r="B200" s="209" t="str">
        <f>J200 &amp; "  " &amp; K200</f>
        <v>03.08.02  PUERTAS DE FIERRO</v>
      </c>
      <c r="C200" s="268"/>
      <c r="D200" s="252"/>
      <c r="E200" s="252"/>
      <c r="F200" s="253"/>
      <c r="G200" s="254">
        <f>SUM(G201:G201)</f>
        <v>2400</v>
      </c>
      <c r="H200" s="210"/>
      <c r="I200" s="211" t="s">
        <v>163</v>
      </c>
      <c r="J200" s="212" t="s">
        <v>707</v>
      </c>
      <c r="K200" s="210" t="s">
        <v>708</v>
      </c>
      <c r="L200" s="210"/>
    </row>
    <row r="201" spans="2:12" s="205" customFormat="1" x14ac:dyDescent="0.2">
      <c r="B201" s="213" t="str">
        <f>J201 &amp; "  " &amp; VLOOKUP(I201,BDcuA,2,FALSE)</f>
        <v>03.08.02.01  PUERTA METAL  DE 0.80X2.10 M, C/MARCO 1 1/4"X1 1/4"X1/8"</v>
      </c>
      <c r="C201" s="267"/>
      <c r="D201" s="249" t="str">
        <f>VLOOKUP(I201,BDcuA,4,FALSE)</f>
        <v>UND</v>
      </c>
      <c r="E201" s="249">
        <v>5</v>
      </c>
      <c r="F201" s="250">
        <f>VLOOKUP(I201,BDcuA,5,FALSE)</f>
        <v>480</v>
      </c>
      <c r="G201" s="251">
        <f>ROUND(F201*E201,DpP)</f>
        <v>2400</v>
      </c>
      <c r="I201" s="207">
        <v>10134</v>
      </c>
      <c r="J201" s="208" t="s">
        <v>709</v>
      </c>
    </row>
    <row r="202" spans="2:12" s="205" customFormat="1" x14ac:dyDescent="0.2">
      <c r="B202" s="209" t="str">
        <f>J202 &amp; "  " &amp; K202</f>
        <v>03.08.03  BARANDAS METALICAS</v>
      </c>
      <c r="C202" s="268"/>
      <c r="D202" s="252"/>
      <c r="E202" s="252"/>
      <c r="F202" s="253"/>
      <c r="G202" s="254">
        <f>SUM(G203:G203)</f>
        <v>675</v>
      </c>
      <c r="H202" s="210"/>
      <c r="I202" s="211" t="s">
        <v>163</v>
      </c>
      <c r="J202" s="212" t="s">
        <v>712</v>
      </c>
      <c r="K202" s="210" t="s">
        <v>713</v>
      </c>
      <c r="L202" s="210"/>
    </row>
    <row r="203" spans="2:12" s="205" customFormat="1" x14ac:dyDescent="0.2">
      <c r="B203" s="213" t="str">
        <f>J203 &amp; "  " &amp; VLOOKUP(I203,BDcuA,2,FALSE)</f>
        <v>03.08.03.01  BARANDA METALICA ESCALERA, TUBERIA F.N. DE 2"</v>
      </c>
      <c r="C203" s="267"/>
      <c r="D203" s="249" t="str">
        <f>VLOOKUP(I203,BDcuA,4,FALSE)</f>
        <v>M</v>
      </c>
      <c r="E203" s="249">
        <v>5</v>
      </c>
      <c r="F203" s="250">
        <f>VLOOKUP(I203,BDcuA,5,FALSE)</f>
        <v>135</v>
      </c>
      <c r="G203" s="251">
        <f>ROUND(F203*E203,DpP)</f>
        <v>675</v>
      </c>
      <c r="I203" s="207">
        <v>10135</v>
      </c>
      <c r="J203" s="208" t="s">
        <v>714</v>
      </c>
    </row>
    <row r="204" spans="2:12" s="205" customFormat="1" x14ac:dyDescent="0.2">
      <c r="B204" s="209" t="str">
        <f>J204 &amp; "  " &amp; K204</f>
        <v>03.08.04  PASAMANOS AISLADOS</v>
      </c>
      <c r="C204" s="268"/>
      <c r="D204" s="252"/>
      <c r="E204" s="252"/>
      <c r="F204" s="253"/>
      <c r="G204" s="254">
        <f>SUM(G205:G205)</f>
        <v>202.5</v>
      </c>
      <c r="H204" s="210"/>
      <c r="I204" s="211" t="s">
        <v>163</v>
      </c>
      <c r="J204" s="212" t="s">
        <v>717</v>
      </c>
      <c r="K204" s="210" t="s">
        <v>718</v>
      </c>
      <c r="L204" s="210"/>
    </row>
    <row r="205" spans="2:12" s="205" customFormat="1" x14ac:dyDescent="0.2">
      <c r="B205" s="213" t="str">
        <f>J205 &amp; "  " &amp; VLOOKUP(I205,BDcuA,2,FALSE)</f>
        <v>03.08.04.01  PASAMANOS DE TUBO METALICO DE   1 1/2"</v>
      </c>
      <c r="C205" s="267"/>
      <c r="D205" s="249" t="str">
        <f>VLOOKUP(I205,BDcuA,4,FALSE)</f>
        <v>M</v>
      </c>
      <c r="E205" s="249">
        <v>5</v>
      </c>
      <c r="F205" s="250">
        <f>VLOOKUP(I205,BDcuA,5,FALSE)</f>
        <v>40.5</v>
      </c>
      <c r="G205" s="251">
        <f>ROUND(F205*E205,DpP)</f>
        <v>202.5</v>
      </c>
      <c r="I205" s="207">
        <v>10136</v>
      </c>
      <c r="J205" s="208" t="s">
        <v>719</v>
      </c>
    </row>
    <row r="206" spans="2:12" s="205" customFormat="1" x14ac:dyDescent="0.2">
      <c r="B206" s="209" t="str">
        <f>J206 &amp; "  " &amp; K206</f>
        <v>03.08.05  ESCALERAS METALICAS</v>
      </c>
      <c r="C206" s="268"/>
      <c r="D206" s="252"/>
      <c r="E206" s="252"/>
      <c r="F206" s="253"/>
      <c r="G206" s="254">
        <f>SUM(G207:G208)</f>
        <v>2264.85</v>
      </c>
      <c r="H206" s="210"/>
      <c r="I206" s="211" t="s">
        <v>163</v>
      </c>
      <c r="J206" s="212" t="s">
        <v>722</v>
      </c>
      <c r="K206" s="210" t="s">
        <v>723</v>
      </c>
      <c r="L206" s="210"/>
    </row>
    <row r="207" spans="2:12" s="205" customFormat="1" x14ac:dyDescent="0.2">
      <c r="B207" s="213" t="str">
        <f>J207 &amp; "  " &amp; VLOOKUP(I207,BDcuA,2,FALSE)</f>
        <v>03.08.05.01  ESCALERA DE GATO PARA ACCESO A CTO MAQUINAS ASCENSOR</v>
      </c>
      <c r="C207" s="267"/>
      <c r="D207" s="249" t="str">
        <f>VLOOKUP(I207,BDcuA,4,FALSE)</f>
        <v>UND</v>
      </c>
      <c r="E207" s="249">
        <v>5</v>
      </c>
      <c r="F207" s="250">
        <f>VLOOKUP(I207,BDcuA,5,FALSE)</f>
        <v>284.14999999999998</v>
      </c>
      <c r="G207" s="251">
        <f>ROUND(F207*E207,DpP)</f>
        <v>1420.75</v>
      </c>
      <c r="I207" s="207">
        <v>10137</v>
      </c>
      <c r="J207" s="208" t="s">
        <v>724</v>
      </c>
    </row>
    <row r="208" spans="2:12" s="205" customFormat="1" x14ac:dyDescent="0.2">
      <c r="B208" s="213" t="str">
        <f>J208 &amp; "  " &amp; VLOOKUP(I208,BDcuA,2,FALSE)</f>
        <v>03.08.05.02  DESCANSO METALICO Y BARANDA INGRESO CTO DE MAQUINAS</v>
      </c>
      <c r="C208" s="267"/>
      <c r="D208" s="249" t="str">
        <f>VLOOKUP(I208,BDcuA,4,FALSE)</f>
        <v>UND</v>
      </c>
      <c r="E208" s="249">
        <v>5</v>
      </c>
      <c r="F208" s="250">
        <f>VLOOKUP(I208,BDcuA,5,FALSE)</f>
        <v>168.82</v>
      </c>
      <c r="G208" s="251">
        <f>ROUND(F208*E208,DpP)</f>
        <v>844.1</v>
      </c>
      <c r="I208" s="207">
        <v>10138</v>
      </c>
      <c r="J208" s="208" t="s">
        <v>730</v>
      </c>
    </row>
    <row r="209" spans="2:12" s="205" customFormat="1" x14ac:dyDescent="0.2">
      <c r="B209" s="209" t="str">
        <f>J209 &amp; "  " &amp; K209</f>
        <v>03.08.06  ELEMENTOS METALICOS ESPECIALES</v>
      </c>
      <c r="C209" s="268"/>
      <c r="D209" s="252"/>
      <c r="E209" s="252"/>
      <c r="F209" s="253"/>
      <c r="G209" s="254">
        <f>SUM(G210:G213)</f>
        <v>4880.3999999999996</v>
      </c>
      <c r="H209" s="210"/>
      <c r="I209" s="211" t="s">
        <v>163</v>
      </c>
      <c r="J209" s="212" t="s">
        <v>735</v>
      </c>
      <c r="K209" s="210" t="s">
        <v>736</v>
      </c>
      <c r="L209" s="210"/>
    </row>
    <row r="210" spans="2:12" s="205" customFormat="1" x14ac:dyDescent="0.2">
      <c r="B210" s="213" t="str">
        <f>J210 &amp; "  " &amp; VLOOKUP(I210,BDcuA,2,FALSE)</f>
        <v>03.08.06.01  TAPA METALICA SANITARIA PARA CISTERNA / TANQUE ELEVADO 60X60 CM</v>
      </c>
      <c r="C210" s="267"/>
      <c r="D210" s="249" t="str">
        <f>VLOOKUP(I210,BDcuA,4,FALSE)</f>
        <v>UND</v>
      </c>
      <c r="E210" s="249">
        <v>5</v>
      </c>
      <c r="F210" s="250">
        <f>VLOOKUP(I210,BDcuA,5,FALSE)</f>
        <v>150</v>
      </c>
      <c r="G210" s="251">
        <f>ROUND(F210*E210,DpP)</f>
        <v>750</v>
      </c>
      <c r="I210" s="207">
        <v>10139</v>
      </c>
      <c r="J210" s="208" t="s">
        <v>737</v>
      </c>
    </row>
    <row r="211" spans="2:12" s="205" customFormat="1" x14ac:dyDescent="0.2">
      <c r="B211" s="213" t="str">
        <f>J211 &amp; "  " &amp; VLOOKUP(I211,BDcuA,2,FALSE)</f>
        <v>03.08.06.02  REJILLA SUMIDERO DE 20X20 CM - PLATINA 1" X 1/8" @ 1/2" Y MARCO "L" DE 1"</v>
      </c>
      <c r="C211" s="267"/>
      <c r="D211" s="249" t="str">
        <f>VLOOKUP(I211,BDcuA,4,FALSE)</f>
        <v>M2</v>
      </c>
      <c r="E211" s="249">
        <v>5</v>
      </c>
      <c r="F211" s="250">
        <f>VLOOKUP(I211,BDcuA,5,FALSE)</f>
        <v>35</v>
      </c>
      <c r="G211" s="251">
        <f>ROUND(F211*E211,DpP)</f>
        <v>175</v>
      </c>
      <c r="I211" s="207">
        <v>10140</v>
      </c>
      <c r="J211" s="208" t="s">
        <v>740</v>
      </c>
    </row>
    <row r="212" spans="2:12" s="205" customFormat="1" x14ac:dyDescent="0.2">
      <c r="B212" s="213" t="str">
        <f>J212 &amp; "  " &amp; VLOOKUP(I212,BDcuA,2,FALSE)</f>
        <v>03.08.06.03  TAPA METALICA DESMONTABLE 0.90X0.90M, CTO MAQUINAS ASCENSOR</v>
      </c>
      <c r="C212" s="267"/>
      <c r="D212" s="249" t="str">
        <f>VLOOKUP(I212,BDcuA,4,FALSE)</f>
        <v>UND</v>
      </c>
      <c r="E212" s="249">
        <v>5</v>
      </c>
      <c r="F212" s="250">
        <f>VLOOKUP(I212,BDcuA,5,FALSE)</f>
        <v>270</v>
      </c>
      <c r="G212" s="251">
        <f>ROUND(F212*E212,DpP)</f>
        <v>1350</v>
      </c>
      <c r="I212" s="207">
        <v>10141</v>
      </c>
      <c r="J212" s="208" t="s">
        <v>743</v>
      </c>
    </row>
    <row r="213" spans="2:12" s="205" customFormat="1" x14ac:dyDescent="0.2">
      <c r="B213" s="213" t="str">
        <f>J213 &amp; "  " &amp; VLOOKUP(I213,BDcuA,2,FALSE)</f>
        <v>03.08.06.04  REJILLA SUMIDERO DE 3.45X1.20 M - PLATINA 1" X 1/8" @ 1/2" Y MARCO "L" DE 1"</v>
      </c>
      <c r="C213" s="267"/>
      <c r="D213" s="249" t="str">
        <f>VLOOKUP(I213,BDcuA,4,FALSE)</f>
        <v>UND</v>
      </c>
      <c r="E213" s="249">
        <v>5</v>
      </c>
      <c r="F213" s="250">
        <f>VLOOKUP(I213,BDcuA,5,FALSE)</f>
        <v>521.08000000000004</v>
      </c>
      <c r="G213" s="251">
        <f>ROUND(F213*E213,DpP)</f>
        <v>2605.4</v>
      </c>
      <c r="I213" s="207">
        <v>10142</v>
      </c>
      <c r="J213" s="208" t="s">
        <v>746</v>
      </c>
    </row>
    <row r="214" spans="2:12" s="205" customFormat="1" x14ac:dyDescent="0.2">
      <c r="B214" s="214" t="str">
        <f>J214 &amp; "  " &amp; K214</f>
        <v>03.09  CERRAJERIA</v>
      </c>
      <c r="C214" s="269"/>
      <c r="D214" s="255"/>
      <c r="E214" s="255"/>
      <c r="F214" s="256"/>
      <c r="G214" s="257">
        <f>SUMIF(Pto!$I215:$I223,"&gt;10000",G215:G223)</f>
        <v>2770.1000000000004</v>
      </c>
      <c r="H214" s="215"/>
      <c r="I214" s="216" t="s">
        <v>160</v>
      </c>
      <c r="J214" s="217" t="s">
        <v>748</v>
      </c>
      <c r="K214" s="215" t="s">
        <v>749</v>
      </c>
      <c r="L214" s="215"/>
    </row>
    <row r="215" spans="2:12" s="205" customFormat="1" x14ac:dyDescent="0.2">
      <c r="B215" s="209" t="str">
        <f>J215 &amp; "  " &amp; K215</f>
        <v>03.09.01  BISAGRAS</v>
      </c>
      <c r="C215" s="268"/>
      <c r="D215" s="252"/>
      <c r="E215" s="252"/>
      <c r="F215" s="253"/>
      <c r="G215" s="254">
        <f>SUM(G216:G217)</f>
        <v>75.95</v>
      </c>
      <c r="H215" s="210"/>
      <c r="I215" s="211" t="s">
        <v>163</v>
      </c>
      <c r="J215" s="212" t="s">
        <v>750</v>
      </c>
      <c r="K215" s="210" t="s">
        <v>751</v>
      </c>
      <c r="L215" s="210"/>
    </row>
    <row r="216" spans="2:12" s="205" customFormat="1" x14ac:dyDescent="0.2">
      <c r="B216" s="213" t="str">
        <f>J216 &amp; "  " &amp; VLOOKUP(I216,BDcuA,2,FALSE)</f>
        <v>03.09.01.01  BISAGRA CAPUCHINA ALUMINIZADA DE 3 1/2" X 3 1/2"</v>
      </c>
      <c r="C216" s="267"/>
      <c r="D216" s="249" t="str">
        <f>VLOOKUP(I216,BDcuA,4,FALSE)</f>
        <v>UND</v>
      </c>
      <c r="E216" s="249">
        <v>5</v>
      </c>
      <c r="F216" s="250">
        <f>VLOOKUP(I216,BDcuA,5,FALSE)</f>
        <v>7.9200000000000008</v>
      </c>
      <c r="G216" s="251">
        <f>ROUND(F216*E216,DpP)</f>
        <v>39.6</v>
      </c>
      <c r="I216" s="207">
        <v>10143</v>
      </c>
      <c r="J216" s="208" t="s">
        <v>752</v>
      </c>
    </row>
    <row r="217" spans="2:12" s="205" customFormat="1" x14ac:dyDescent="0.2">
      <c r="B217" s="213" t="str">
        <f>J217 &amp; "  " &amp; VLOOKUP(I217,BDcuA,2,FALSE)</f>
        <v>03.09.01.02  BISAGRA CAPUCHINA ALUMINIZADA DE 3" X 3"</v>
      </c>
      <c r="C217" s="267"/>
      <c r="D217" s="249" t="str">
        <f>VLOOKUP(I217,BDcuA,4,FALSE)</f>
        <v>UND</v>
      </c>
      <c r="E217" s="249">
        <v>5</v>
      </c>
      <c r="F217" s="250">
        <f>VLOOKUP(I217,BDcuA,5,FALSE)</f>
        <v>7.2700000000000005</v>
      </c>
      <c r="G217" s="251">
        <f>ROUND(F217*E217,DpP)</f>
        <v>36.35</v>
      </c>
      <c r="I217" s="207">
        <v>10144</v>
      </c>
      <c r="J217" s="208" t="s">
        <v>755</v>
      </c>
    </row>
    <row r="218" spans="2:12" s="205" customFormat="1" x14ac:dyDescent="0.2">
      <c r="B218" s="209" t="str">
        <f>J218 &amp; "  " &amp; K218</f>
        <v>03.09.02  CERRADURAS</v>
      </c>
      <c r="C218" s="268"/>
      <c r="D218" s="252"/>
      <c r="E218" s="252"/>
      <c r="F218" s="253"/>
      <c r="G218" s="254">
        <f>SUM(G219:G223)</f>
        <v>2694.15</v>
      </c>
      <c r="H218" s="210"/>
      <c r="I218" s="211" t="s">
        <v>163</v>
      </c>
      <c r="J218" s="212" t="s">
        <v>758</v>
      </c>
      <c r="K218" s="210" t="s">
        <v>759</v>
      </c>
      <c r="L218" s="210"/>
    </row>
    <row r="219" spans="2:12" s="205" customFormat="1" x14ac:dyDescent="0.2">
      <c r="B219" s="213" t="str">
        <f>J219 &amp; "  " &amp; VLOOKUP(I219,BDcuA,2,FALSE)</f>
        <v>03.09.02.01  CERRADURA PARA PTA. PRINCIPAL YALE  C/MANIJA DOS GOLPES</v>
      </c>
      <c r="C219" s="267"/>
      <c r="D219" s="249" t="str">
        <f>VLOOKUP(I219,BDcuA,4,FALSE)</f>
        <v>UND</v>
      </c>
      <c r="E219" s="249">
        <v>5</v>
      </c>
      <c r="F219" s="250">
        <f>VLOOKUP(I219,BDcuA,5,FALSE)</f>
        <v>150</v>
      </c>
      <c r="G219" s="251">
        <f>ROUND(F219*E219,DpP)</f>
        <v>750</v>
      </c>
      <c r="I219" s="207">
        <v>10145</v>
      </c>
      <c r="J219" s="208" t="s">
        <v>760</v>
      </c>
    </row>
    <row r="220" spans="2:12" s="205" customFormat="1" x14ac:dyDescent="0.2">
      <c r="B220" s="213" t="str">
        <f>J220 &amp; "  " &amp; VLOOKUP(I220,BDcuA,2,FALSE)</f>
        <v>03.09.02.02  CERRADURA TIPO PERILLA PUERTA INTERIOR</v>
      </c>
      <c r="C220" s="267"/>
      <c r="D220" s="249" t="str">
        <f>VLOOKUP(I220,BDcuA,4,FALSE)</f>
        <v>UND</v>
      </c>
      <c r="E220" s="249">
        <v>5</v>
      </c>
      <c r="F220" s="250">
        <f>VLOOKUP(I220,BDcuA,5,FALSE)</f>
        <v>18.5</v>
      </c>
      <c r="G220" s="251">
        <f>ROUND(F220*E220,DpP)</f>
        <v>92.5</v>
      </c>
      <c r="I220" s="207">
        <v>10146</v>
      </c>
      <c r="J220" s="208" t="s">
        <v>763</v>
      </c>
    </row>
    <row r="221" spans="2:12" s="205" customFormat="1" x14ac:dyDescent="0.2">
      <c r="B221" s="213" t="str">
        <f>J221 &amp; "  " &amp; VLOOKUP(I221,BDcuA,2,FALSE)</f>
        <v>03.09.02.03  CERRADURA PUERTA DE BAÑO C/SEGURO INTERIOR</v>
      </c>
      <c r="C221" s="267"/>
      <c r="D221" s="249" t="str">
        <f>VLOOKUP(I221,BDcuA,4,FALSE)</f>
        <v>UND</v>
      </c>
      <c r="E221" s="249">
        <v>5</v>
      </c>
      <c r="F221" s="250">
        <f>VLOOKUP(I221,BDcuA,5,FALSE)</f>
        <v>18.5</v>
      </c>
      <c r="G221" s="251">
        <f>ROUND(F221*E221,DpP)</f>
        <v>92.5</v>
      </c>
      <c r="I221" s="207">
        <v>10147</v>
      </c>
      <c r="J221" s="208" t="s">
        <v>766</v>
      </c>
    </row>
    <row r="222" spans="2:12" s="205" customFormat="1" x14ac:dyDescent="0.2">
      <c r="B222" s="213" t="str">
        <f>J222 &amp; "  " &amp; VLOOKUP(I222,BDcuA,2,FALSE)</f>
        <v>03.09.02.04  CERRADURA TIPO PARCHE FORTE 220</v>
      </c>
      <c r="C222" s="267"/>
      <c r="D222" s="249" t="str">
        <f>VLOOKUP(I222,BDcuA,4,FALSE)</f>
        <v>UND</v>
      </c>
      <c r="E222" s="249">
        <v>5</v>
      </c>
      <c r="F222" s="250">
        <f>VLOOKUP(I222,BDcuA,5,FALSE)</f>
        <v>45.8</v>
      </c>
      <c r="G222" s="251">
        <f>ROUND(F222*E222,DpP)</f>
        <v>229</v>
      </c>
      <c r="I222" s="207">
        <v>10148</v>
      </c>
      <c r="J222" s="208" t="s">
        <v>769</v>
      </c>
    </row>
    <row r="223" spans="2:12" s="205" customFormat="1" x14ac:dyDescent="0.2">
      <c r="B223" s="213" t="str">
        <f>J223 &amp; "  " &amp; VLOOKUP(I223,BDcuA,2,FALSE)</f>
        <v>03.09.02.05  CERRADURA ELECTRICA TIPO PARCHE YALE</v>
      </c>
      <c r="C223" s="267"/>
      <c r="D223" s="249" t="str">
        <f>VLOOKUP(I223,BDcuA,4,FALSE)</f>
        <v>UND</v>
      </c>
      <c r="E223" s="249">
        <v>5</v>
      </c>
      <c r="F223" s="250">
        <f>VLOOKUP(I223,BDcuA,5,FALSE)</f>
        <v>306.03000000000003</v>
      </c>
      <c r="G223" s="251">
        <f>ROUND(F223*E223,DpP)</f>
        <v>1530.15</v>
      </c>
      <c r="I223" s="207">
        <v>10149</v>
      </c>
      <c r="J223" s="208" t="s">
        <v>771</v>
      </c>
    </row>
    <row r="224" spans="2:12" s="205" customFormat="1" x14ac:dyDescent="0.2">
      <c r="B224" s="214" t="str">
        <f>J224 &amp; "  " &amp; K224</f>
        <v>03.10  VIDRIOS, CRISTALES Y SIMILARES</v>
      </c>
      <c r="C224" s="269"/>
      <c r="D224" s="255"/>
      <c r="E224" s="255"/>
      <c r="F224" s="256"/>
      <c r="G224" s="257">
        <f>SUM(G225:G228)</f>
        <v>5277.65</v>
      </c>
      <c r="H224" s="215"/>
      <c r="I224" s="216" t="s">
        <v>160</v>
      </c>
      <c r="J224" s="217" t="s">
        <v>774</v>
      </c>
      <c r="K224" s="215" t="s">
        <v>775</v>
      </c>
      <c r="L224" s="215"/>
    </row>
    <row r="225" spans="2:12" s="205" customFormat="1" x14ac:dyDescent="0.2">
      <c r="B225" s="218" t="str">
        <f>J225 &amp; "  " &amp; VLOOKUP(I225,BDcuA,2,FALSE)</f>
        <v>03.10.01  VENTANA CORREDIZA DE ALUMINIO PFK INCOLORO DE 4 MM</v>
      </c>
      <c r="C225" s="267"/>
      <c r="D225" s="249" t="str">
        <f>VLOOKUP(I225,BDcuA,4,FALSE)</f>
        <v>M2</v>
      </c>
      <c r="E225" s="249">
        <v>5</v>
      </c>
      <c r="F225" s="250">
        <f>VLOOKUP(I225,BDcuA,5,FALSE)</f>
        <v>150</v>
      </c>
      <c r="G225" s="251">
        <f>ROUND(F225*E225,DpP)</f>
        <v>750</v>
      </c>
      <c r="I225" s="207">
        <v>10150</v>
      </c>
      <c r="J225" s="208" t="s">
        <v>776</v>
      </c>
    </row>
    <row r="226" spans="2:12" s="205" customFormat="1" x14ac:dyDescent="0.2">
      <c r="B226" s="218" t="str">
        <f>J226 &amp; "  " &amp; VLOOKUP(I226,BDcuA,2,FALSE)</f>
        <v>03.10.02  PUERTA DE ALUMINIO PFK CRISTAL INCOLORO</v>
      </c>
      <c r="C226" s="267"/>
      <c r="D226" s="249" t="str">
        <f>VLOOKUP(I226,BDcuA,4,FALSE)</f>
        <v>M2</v>
      </c>
      <c r="E226" s="249">
        <v>5</v>
      </c>
      <c r="F226" s="250">
        <f>VLOOKUP(I226,BDcuA,5,FALSE)</f>
        <v>250</v>
      </c>
      <c r="G226" s="251">
        <f>ROUND(F226*E226,DpP)</f>
        <v>1250</v>
      </c>
      <c r="I226" s="207">
        <v>10151</v>
      </c>
      <c r="J226" s="208" t="s">
        <v>779</v>
      </c>
    </row>
    <row r="227" spans="2:12" s="205" customFormat="1" x14ac:dyDescent="0.2">
      <c r="B227" s="218" t="str">
        <f>J227 &amp; "  " &amp; VLOOKUP(I227,BDcuA,2,FALSE)</f>
        <v>03.10.03  MAMPARA DE ALUMINIO PFK CRISTAL INCOLORO</v>
      </c>
      <c r="C227" s="267"/>
      <c r="D227" s="249" t="str">
        <f>VLOOKUP(I227,BDcuA,4,FALSE)</f>
        <v>M2</v>
      </c>
      <c r="E227" s="249">
        <v>5</v>
      </c>
      <c r="F227" s="250">
        <f>VLOOKUP(I227,BDcuA,5,FALSE)</f>
        <v>355</v>
      </c>
      <c r="G227" s="251">
        <f>ROUND(F227*E227,DpP)</f>
        <v>1775</v>
      </c>
      <c r="I227" s="207">
        <v>10152</v>
      </c>
      <c r="J227" s="208" t="s">
        <v>782</v>
      </c>
    </row>
    <row r="228" spans="2:12" s="205" customFormat="1" x14ac:dyDescent="0.2">
      <c r="B228" s="218" t="str">
        <f>J228 &amp; "  " &amp; VLOOKUP(I228,BDcuA,2,FALSE)</f>
        <v>03.10.04  BARANDA DE VIDRIO TEMPLADO DE 10 MM,  INC. ACCS.</v>
      </c>
      <c r="C228" s="267"/>
      <c r="D228" s="249" t="str">
        <f>VLOOKUP(I228,BDcuA,4,FALSE)</f>
        <v>M2</v>
      </c>
      <c r="E228" s="249">
        <v>5</v>
      </c>
      <c r="F228" s="250">
        <f>VLOOKUP(I228,BDcuA,5,FALSE)</f>
        <v>300.53000000000003</v>
      </c>
      <c r="G228" s="251">
        <f>ROUND(F228*E228,DpP)</f>
        <v>1502.65</v>
      </c>
      <c r="I228" s="207">
        <v>10153</v>
      </c>
      <c r="J228" s="208" t="s">
        <v>785</v>
      </c>
    </row>
    <row r="229" spans="2:12" s="205" customFormat="1" x14ac:dyDescent="0.2">
      <c r="B229" s="214" t="str">
        <f>J229 &amp; "  " &amp; K229</f>
        <v>03.11  PINTURA</v>
      </c>
      <c r="C229" s="269"/>
      <c r="D229" s="255"/>
      <c r="E229" s="255"/>
      <c r="F229" s="256"/>
      <c r="G229" s="257">
        <f>SUMIF(Pto!$I230:$I241,"&gt;10000",G230:G241)</f>
        <v>1188.3500000000001</v>
      </c>
      <c r="H229" s="215"/>
      <c r="I229" s="216" t="s">
        <v>160</v>
      </c>
      <c r="J229" s="217" t="s">
        <v>788</v>
      </c>
      <c r="K229" s="215" t="s">
        <v>789</v>
      </c>
      <c r="L229" s="215"/>
    </row>
    <row r="230" spans="2:12" s="205" customFormat="1" x14ac:dyDescent="0.2">
      <c r="B230" s="209" t="str">
        <f>J230 &amp; "  " &amp; K230</f>
        <v>03.11.01  PINTURA DE CIELOS RASOS, VIGAS, COLUMNAS Y PAREDES</v>
      </c>
      <c r="C230" s="268"/>
      <c r="D230" s="252"/>
      <c r="E230" s="252"/>
      <c r="F230" s="253"/>
      <c r="G230" s="254">
        <f>SUM(G231:G233)</f>
        <v>200.04999999999998</v>
      </c>
      <c r="H230" s="210"/>
      <c r="I230" s="211" t="s">
        <v>163</v>
      </c>
      <c r="J230" s="212" t="s">
        <v>790</v>
      </c>
      <c r="K230" s="210" t="s">
        <v>791</v>
      </c>
      <c r="L230" s="210"/>
    </row>
    <row r="231" spans="2:12" s="205" customFormat="1" x14ac:dyDescent="0.2">
      <c r="B231" s="213" t="str">
        <f>J231 &amp; "  " &amp; VLOOKUP(I231,BDcuA,2,FALSE)</f>
        <v>03.11.01.01  PINTURA DURALATEX EMPASTADO EN MUROS INTERIORES</v>
      </c>
      <c r="C231" s="267"/>
      <c r="D231" s="249" t="str">
        <f>VLOOKUP(I231,BDcuA,4,FALSE)</f>
        <v>M2</v>
      </c>
      <c r="E231" s="249">
        <v>5</v>
      </c>
      <c r="F231" s="250">
        <f>VLOOKUP(I231,BDcuA,5,FALSE)</f>
        <v>12.82</v>
      </c>
      <c r="G231" s="251">
        <f>ROUND(F231*E231,DpP)</f>
        <v>64.099999999999994</v>
      </c>
      <c r="I231" s="207">
        <v>10154</v>
      </c>
      <c r="J231" s="208" t="s">
        <v>792</v>
      </c>
    </row>
    <row r="232" spans="2:12" s="205" customFormat="1" x14ac:dyDescent="0.2">
      <c r="B232" s="213" t="str">
        <f>J232 &amp; "  " &amp; VLOOKUP(I232,BDcuA,2,FALSE)</f>
        <v>03.11.01.02  PINTURA DURALATEX EMPASTADO EN MUROS EXTERIORES</v>
      </c>
      <c r="C232" s="267"/>
      <c r="D232" s="249" t="str">
        <f>VLOOKUP(I232,BDcuA,4,FALSE)</f>
        <v>M2</v>
      </c>
      <c r="E232" s="249">
        <v>5</v>
      </c>
      <c r="F232" s="250">
        <f>VLOOKUP(I232,BDcuA,5,FALSE)</f>
        <v>14.760000000000002</v>
      </c>
      <c r="G232" s="251">
        <f>ROUND(F232*E232,DpP)</f>
        <v>73.8</v>
      </c>
      <c r="I232" s="207">
        <v>10155</v>
      </c>
      <c r="J232" s="208" t="s">
        <v>800</v>
      </c>
    </row>
    <row r="233" spans="2:12" s="205" customFormat="1" x14ac:dyDescent="0.2">
      <c r="B233" s="213" t="str">
        <f>J233 &amp; "  " &amp; VLOOKUP(I233,BDcuA,2,FALSE)</f>
        <v>03.11.01.03  PINTURA LATEX PATO EMPASTADO EN CIELO RASO</v>
      </c>
      <c r="C233" s="267"/>
      <c r="D233" s="249" t="str">
        <f>VLOOKUP(I233,BDcuA,4,FALSE)</f>
        <v>M2</v>
      </c>
      <c r="E233" s="249">
        <v>5</v>
      </c>
      <c r="F233" s="250">
        <f>VLOOKUP(I233,BDcuA,5,FALSE)</f>
        <v>12.43</v>
      </c>
      <c r="G233" s="251">
        <f>ROUND(F233*E233,DpP)</f>
        <v>62.15</v>
      </c>
      <c r="I233" s="207">
        <v>10156</v>
      </c>
      <c r="J233" s="208" t="s">
        <v>802</v>
      </c>
    </row>
    <row r="234" spans="2:12" s="205" customFormat="1" x14ac:dyDescent="0.2">
      <c r="B234" s="209" t="str">
        <f>J234 &amp; "  " &amp; K234</f>
        <v>03.11.02  PINTURA DE PUERTAS</v>
      </c>
      <c r="C234" s="268"/>
      <c r="D234" s="252"/>
      <c r="E234" s="252"/>
      <c r="F234" s="253"/>
      <c r="G234" s="254">
        <f>SUM(G235:G235)</f>
        <v>220.45</v>
      </c>
      <c r="H234" s="210"/>
      <c r="I234" s="211" t="s">
        <v>163</v>
      </c>
      <c r="J234" s="212" t="s">
        <v>805</v>
      </c>
      <c r="K234" s="210" t="s">
        <v>806</v>
      </c>
      <c r="L234" s="210"/>
    </row>
    <row r="235" spans="2:12" s="205" customFormat="1" x14ac:dyDescent="0.2">
      <c r="B235" s="213" t="str">
        <f>J235 &amp; "  " &amp; VLOOKUP(I235,BDcuA,2,FALSE)</f>
        <v>03.11.02.01  PINTURA DE PUERTAS DE MADERA CON DUCO</v>
      </c>
      <c r="C235" s="267"/>
      <c r="D235" s="249" t="str">
        <f>VLOOKUP(I235,BDcuA,4,FALSE)</f>
        <v>M2</v>
      </c>
      <c r="E235" s="249">
        <v>5</v>
      </c>
      <c r="F235" s="250">
        <f>VLOOKUP(I235,BDcuA,5,FALSE)</f>
        <v>44.09</v>
      </c>
      <c r="G235" s="251">
        <f>ROUND(F235*E235,DpP)</f>
        <v>220.45</v>
      </c>
      <c r="I235" s="207">
        <v>10157</v>
      </c>
      <c r="J235" s="208" t="s">
        <v>807</v>
      </c>
    </row>
    <row r="236" spans="2:12" s="205" customFormat="1" x14ac:dyDescent="0.2">
      <c r="B236" s="209" t="str">
        <f>J236 &amp; "  " &amp; K236</f>
        <v>03.11.03  PINTURA DE CARPINTERIA METALICA</v>
      </c>
      <c r="C236" s="268"/>
      <c r="D236" s="252"/>
      <c r="E236" s="252"/>
      <c r="F236" s="253"/>
      <c r="G236" s="254">
        <f>SUM(G237:G241)</f>
        <v>767.84999999999991</v>
      </c>
      <c r="H236" s="210"/>
      <c r="I236" s="211" t="s">
        <v>163</v>
      </c>
      <c r="J236" s="212" t="s">
        <v>812</v>
      </c>
      <c r="K236" s="210" t="s">
        <v>813</v>
      </c>
      <c r="L236" s="210"/>
    </row>
    <row r="237" spans="2:12" s="205" customFormat="1" x14ac:dyDescent="0.2">
      <c r="B237" s="213" t="str">
        <f>J237 &amp; "  " &amp; VLOOKUP(I237,BDcuA,2,FALSE)</f>
        <v>03.11.03.01  PINTURA DE VENTANAS METALICAS CON ESMALTE</v>
      </c>
      <c r="C237" s="267"/>
      <c r="D237" s="249" t="str">
        <f>VLOOKUP(I237,BDcuA,4,FALSE)</f>
        <v>M2</v>
      </c>
      <c r="E237" s="249">
        <v>5</v>
      </c>
      <c r="F237" s="250">
        <f>VLOOKUP(I237,BDcuA,5,FALSE)</f>
        <v>33.72</v>
      </c>
      <c r="G237" s="251">
        <f>ROUND(F237*E237,DpP)</f>
        <v>168.6</v>
      </c>
      <c r="I237" s="207">
        <v>10158</v>
      </c>
      <c r="J237" s="208" t="s">
        <v>814</v>
      </c>
    </row>
    <row r="238" spans="2:12" s="205" customFormat="1" x14ac:dyDescent="0.2">
      <c r="B238" s="213" t="str">
        <f>J238 &amp; "  " &amp; VLOOKUP(I238,BDcuA,2,FALSE)</f>
        <v>03.11.03.02  PINTURA DE PUERTAS METALICAS CON ESMALTE</v>
      </c>
      <c r="C238" s="267"/>
      <c r="D238" s="249" t="str">
        <f>VLOOKUP(I238,BDcuA,4,FALSE)</f>
        <v>M2</v>
      </c>
      <c r="E238" s="249">
        <v>5</v>
      </c>
      <c r="F238" s="250">
        <f>VLOOKUP(I238,BDcuA,5,FALSE)</f>
        <v>33.72</v>
      </c>
      <c r="G238" s="251">
        <f>ROUND(F238*E238,DpP)</f>
        <v>168.6</v>
      </c>
      <c r="I238" s="207">
        <v>10159</v>
      </c>
      <c r="J238" s="208" t="s">
        <v>818</v>
      </c>
    </row>
    <row r="239" spans="2:12" s="205" customFormat="1" x14ac:dyDescent="0.2">
      <c r="B239" s="213" t="str">
        <f>J239 &amp; "  " &amp; VLOOKUP(I239,BDcuA,2,FALSE)</f>
        <v>03.11.03.03  PINTURA EN BARANDAS METALICAS CON ESMALTE</v>
      </c>
      <c r="C239" s="267"/>
      <c r="D239" s="249" t="str">
        <f>VLOOKUP(I239,BDcuA,4,FALSE)</f>
        <v>M</v>
      </c>
      <c r="E239" s="249">
        <v>5</v>
      </c>
      <c r="F239" s="250">
        <f>VLOOKUP(I239,BDcuA,5,FALSE)</f>
        <v>31.27</v>
      </c>
      <c r="G239" s="251">
        <f>ROUND(F239*E239,DpP)</f>
        <v>156.35</v>
      </c>
      <c r="I239" s="207">
        <v>10160</v>
      </c>
      <c r="J239" s="208" t="s">
        <v>820</v>
      </c>
    </row>
    <row r="240" spans="2:12" s="205" customFormat="1" x14ac:dyDescent="0.2">
      <c r="B240" s="213" t="str">
        <f>J240 &amp; "  " &amp; VLOOKUP(I240,BDcuA,2,FALSE)</f>
        <v>03.11.03.04  PINTURA DE PASAMANOS METALICOS CON ESMALTE</v>
      </c>
      <c r="C240" s="267"/>
      <c r="D240" s="249" t="str">
        <f>VLOOKUP(I240,BDcuA,4,FALSE)</f>
        <v>M</v>
      </c>
      <c r="E240" s="249">
        <v>5</v>
      </c>
      <c r="F240" s="250">
        <f>VLOOKUP(I240,BDcuA,5,FALSE)</f>
        <v>27.43</v>
      </c>
      <c r="G240" s="251">
        <f>ROUND(F240*E240,DpP)</f>
        <v>137.15</v>
      </c>
      <c r="I240" s="207">
        <v>10161</v>
      </c>
      <c r="J240" s="208" t="s">
        <v>824</v>
      </c>
    </row>
    <row r="241" spans="2:12" s="205" customFormat="1" x14ac:dyDescent="0.2">
      <c r="B241" s="213" t="str">
        <f>J241 &amp; "  " &amp; VLOOKUP(I241,BDcuA,2,FALSE)</f>
        <v>03.11.03.05  PINTURA DE ESCALERAS METALICAS CON ESMALTE</v>
      </c>
      <c r="C241" s="267"/>
      <c r="D241" s="249" t="str">
        <f>VLOOKUP(I241,BDcuA,4,FALSE)</f>
        <v>UND</v>
      </c>
      <c r="E241" s="249">
        <v>5</v>
      </c>
      <c r="F241" s="250">
        <f>VLOOKUP(I241,BDcuA,5,FALSE)</f>
        <v>27.43</v>
      </c>
      <c r="G241" s="251">
        <f>ROUND(F241*E241,DpP)</f>
        <v>137.15</v>
      </c>
      <c r="I241" s="207">
        <v>10162</v>
      </c>
      <c r="J241" s="208" t="s">
        <v>826</v>
      </c>
    </row>
    <row r="242" spans="2:12" s="205" customFormat="1" x14ac:dyDescent="0.2">
      <c r="B242" s="214" t="str">
        <f>J242 &amp; "  " &amp; K242</f>
        <v>03.12  VARIOS, LIMPIEZA Y JARDINERIA</v>
      </c>
      <c r="C242" s="269"/>
      <c r="D242" s="255"/>
      <c r="E242" s="255"/>
      <c r="F242" s="256"/>
      <c r="G242" s="257">
        <f>SUM(G243:G244)</f>
        <v>6244.95</v>
      </c>
      <c r="H242" s="215"/>
      <c r="I242" s="216" t="s">
        <v>160</v>
      </c>
      <c r="J242" s="217" t="s">
        <v>828</v>
      </c>
      <c r="K242" s="215" t="s">
        <v>829</v>
      </c>
      <c r="L242" s="215"/>
    </row>
    <row r="243" spans="2:12" s="205" customFormat="1" x14ac:dyDescent="0.2">
      <c r="B243" s="218" t="str">
        <f>J243 &amp; "  " &amp; VLOOKUP(I243,BDcuA,2,FALSE)</f>
        <v>03.12.01  LIMPIEZA AL FINAL DE LA OBRA</v>
      </c>
      <c r="C243" s="267"/>
      <c r="D243" s="249" t="str">
        <f>VLOOKUP(I243,BDcuA,4,FALSE)</f>
        <v>GLB</v>
      </c>
      <c r="E243" s="249">
        <v>5</v>
      </c>
      <c r="F243" s="250">
        <f>VLOOKUP(I243,BDcuA,5,FALSE)</f>
        <v>1242.6300000000001</v>
      </c>
      <c r="G243" s="251">
        <f>ROUND(F243*E243,DpP)</f>
        <v>6213.15</v>
      </c>
      <c r="I243" s="207">
        <v>10163</v>
      </c>
      <c r="J243" s="208" t="s">
        <v>830</v>
      </c>
    </row>
    <row r="244" spans="2:12" s="205" customFormat="1" x14ac:dyDescent="0.2">
      <c r="B244" s="218" t="str">
        <f>J244 &amp; "  " &amp; VLOOKUP(I244,BDcuA,2,FALSE)</f>
        <v>03.12.02  JUNTAS ASFALTICAS</v>
      </c>
      <c r="C244" s="267"/>
      <c r="D244" s="249" t="str">
        <f>VLOOKUP(I244,BDcuA,4,FALSE)</f>
        <v>M</v>
      </c>
      <c r="E244" s="249">
        <v>5</v>
      </c>
      <c r="F244" s="250">
        <f>VLOOKUP(I244,BDcuA,5,FALSE)</f>
        <v>6.3599999999999994</v>
      </c>
      <c r="G244" s="251">
        <f>ROUND(F244*E244,DpP)</f>
        <v>31.8</v>
      </c>
      <c r="I244" s="207">
        <v>10164</v>
      </c>
      <c r="J244" s="208" t="s">
        <v>832</v>
      </c>
    </row>
    <row r="245" spans="2:12" s="205" customFormat="1" x14ac:dyDescent="0.2">
      <c r="B245" s="214" t="str">
        <f>J245 &amp; "  " &amp; K245</f>
        <v>03.13  OTROS</v>
      </c>
      <c r="C245" s="269"/>
      <c r="D245" s="255"/>
      <c r="E245" s="255"/>
      <c r="F245" s="256"/>
      <c r="G245" s="257">
        <f>SUM(G246:G248)</f>
        <v>4951.9000000000005</v>
      </c>
      <c r="H245" s="215"/>
      <c r="I245" s="216" t="s">
        <v>160</v>
      </c>
      <c r="J245" s="217" t="s">
        <v>836</v>
      </c>
      <c r="K245" s="215" t="s">
        <v>837</v>
      </c>
      <c r="L245" s="215"/>
    </row>
    <row r="246" spans="2:12" s="205" customFormat="1" x14ac:dyDescent="0.2">
      <c r="B246" s="218" t="str">
        <f>J246 &amp; "  " &amp; VLOOKUP(I246,BDcuA,2,FALSE)</f>
        <v>03.13.01  SARDINEL DE CONCRETO PARA DUCHASDE 0.10 X 0.30 X 1.20 M</v>
      </c>
      <c r="C246" s="267"/>
      <c r="D246" s="249" t="str">
        <f>VLOOKUP(I246,BDcuA,4,FALSE)</f>
        <v>UND</v>
      </c>
      <c r="E246" s="249">
        <v>5</v>
      </c>
      <c r="F246" s="250">
        <f>VLOOKUP(I246,BDcuA,5,FALSE)</f>
        <v>60.660000000000011</v>
      </c>
      <c r="G246" s="251">
        <f>ROUND(F246*E246,DpP)</f>
        <v>303.3</v>
      </c>
      <c r="I246" s="207">
        <v>10165</v>
      </c>
      <c r="J246" s="208" t="s">
        <v>838</v>
      </c>
    </row>
    <row r="247" spans="2:12" s="205" customFormat="1" x14ac:dyDescent="0.2">
      <c r="B247" s="218" t="str">
        <f>J247 &amp; "  " &amp; VLOOKUP(I247,BDcuA,2,FALSE)</f>
        <v>03.13.02  TABLERO DE GRANITO CRISTALIO L=1.30 M EN BAÑO PRINCIPAL</v>
      </c>
      <c r="C247" s="267"/>
      <c r="D247" s="249" t="str">
        <f>VLOOKUP(I247,BDcuA,4,FALSE)</f>
        <v>UND</v>
      </c>
      <c r="E247" s="249">
        <v>5</v>
      </c>
      <c r="F247" s="250">
        <f>VLOOKUP(I247,BDcuA,5,FALSE)</f>
        <v>540.53</v>
      </c>
      <c r="G247" s="251">
        <f>ROUND(F247*E247,DpP)</f>
        <v>2702.65</v>
      </c>
      <c r="I247" s="207">
        <v>10166</v>
      </c>
      <c r="J247" s="208" t="s">
        <v>840</v>
      </c>
    </row>
    <row r="248" spans="2:12" s="205" customFormat="1" x14ac:dyDescent="0.2">
      <c r="B248" s="218" t="str">
        <f>J248 &amp; "  " &amp; VLOOKUP(I248,BDcuA,2,FALSE)</f>
        <v>03.13.03  TABLERO DE GRANITO CRISTALIO EN COCINAS</v>
      </c>
      <c r="C248" s="267"/>
      <c r="D248" s="249" t="str">
        <f>VLOOKUP(I248,BDcuA,4,FALSE)</f>
        <v>M</v>
      </c>
      <c r="E248" s="249">
        <v>5</v>
      </c>
      <c r="F248" s="250">
        <f>VLOOKUP(I248,BDcuA,5,FALSE)</f>
        <v>389.19</v>
      </c>
      <c r="G248" s="251">
        <f>ROUND(F248*E248,DpP)</f>
        <v>1945.95</v>
      </c>
      <c r="I248" s="207">
        <v>10167</v>
      </c>
      <c r="J248" s="208" t="s">
        <v>843</v>
      </c>
    </row>
    <row r="249" spans="2:12" s="205" customFormat="1" x14ac:dyDescent="0.2">
      <c r="B249" s="219" t="str">
        <f>J249 &amp; "  " &amp; K249</f>
        <v>04  INSTALACIONES SANITARIAS</v>
      </c>
      <c r="C249" s="270"/>
      <c r="D249" s="258"/>
      <c r="E249" s="258"/>
      <c r="F249" s="259"/>
      <c r="G249" s="260">
        <f>SUMIF(Pto!$I250:$I355,"&gt;10000",G250:G355)</f>
        <v>104145.64</v>
      </c>
      <c r="H249" s="220"/>
      <c r="I249" s="221" t="s">
        <v>157</v>
      </c>
      <c r="J249" s="222" t="s">
        <v>846</v>
      </c>
      <c r="K249" s="220" t="s">
        <v>847</v>
      </c>
      <c r="L249" s="220"/>
    </row>
    <row r="250" spans="2:12" s="205" customFormat="1" x14ac:dyDescent="0.2">
      <c r="B250" s="214" t="str">
        <f>J250 &amp; "  " &amp; K250</f>
        <v>04.01  APARATOS Y ACCESORIOS SANITARIOS</v>
      </c>
      <c r="C250" s="269"/>
      <c r="D250" s="255"/>
      <c r="E250" s="255"/>
      <c r="F250" s="256"/>
      <c r="G250" s="257">
        <f>SUMIF(Pto!$I251:$I261,"&gt;10000",G251:G261)</f>
        <v>11541</v>
      </c>
      <c r="H250" s="215"/>
      <c r="I250" s="216" t="s">
        <v>160</v>
      </c>
      <c r="J250" s="217" t="s">
        <v>848</v>
      </c>
      <c r="K250" s="215" t="s">
        <v>849</v>
      </c>
      <c r="L250" s="215"/>
    </row>
    <row r="251" spans="2:12" s="205" customFormat="1" x14ac:dyDescent="0.2">
      <c r="B251" s="209" t="str">
        <f>J251 &amp; "  " &amp; K251</f>
        <v>04.01.01  SUMINISTRO E INSTALACION DE APARATOS SANITARIOS</v>
      </c>
      <c r="C251" s="268"/>
      <c r="D251" s="252"/>
      <c r="E251" s="252"/>
      <c r="F251" s="253"/>
      <c r="G251" s="254">
        <f>SUM(G252:G257)</f>
        <v>11239.8</v>
      </c>
      <c r="H251" s="210"/>
      <c r="I251" s="211" t="s">
        <v>163</v>
      </c>
      <c r="J251" s="212" t="s">
        <v>850</v>
      </c>
      <c r="K251" s="210" t="s">
        <v>851</v>
      </c>
      <c r="L251" s="210"/>
    </row>
    <row r="252" spans="2:12" s="205" customFormat="1" x14ac:dyDescent="0.2">
      <c r="B252" s="213" t="str">
        <f t="shared" ref="B252:B257" si="28">J252 &amp; "  " &amp; VLOOKUP(I252,BDcuA,2,FALSE)</f>
        <v>04.01.01.01  INODORO ONE PIECE BUZIOS, COLOR BLANCO, INC. TAPA Y ACCESORIOS</v>
      </c>
      <c r="C252" s="267"/>
      <c r="D252" s="249" t="str">
        <f t="shared" ref="D252:D257" si="29">VLOOKUP(I252,BDcuA,4,FALSE)</f>
        <v>UND</v>
      </c>
      <c r="E252" s="249">
        <v>5</v>
      </c>
      <c r="F252" s="250">
        <f t="shared" ref="F252:F257" si="30">VLOOKUP(I252,BDcuA,5,FALSE)</f>
        <v>392.3</v>
      </c>
      <c r="G252" s="251">
        <f t="shared" ref="G252:G257" si="31">ROUND(F252*E252,DpP)</f>
        <v>1961.5</v>
      </c>
      <c r="I252" s="207">
        <v>10168</v>
      </c>
      <c r="J252" s="208" t="s">
        <v>852</v>
      </c>
    </row>
    <row r="253" spans="2:12" s="205" customFormat="1" x14ac:dyDescent="0.2">
      <c r="B253" s="213" t="str">
        <f t="shared" si="28"/>
        <v>04.01.01.02  INODORO RAPID JET, COLOR BLANCO, INC. TAPA Y ACCESORIOS</v>
      </c>
      <c r="C253" s="267"/>
      <c r="D253" s="249" t="str">
        <f t="shared" si="29"/>
        <v>PZA</v>
      </c>
      <c r="E253" s="249">
        <v>5</v>
      </c>
      <c r="F253" s="250">
        <f t="shared" si="30"/>
        <v>271.60000000000002</v>
      </c>
      <c r="G253" s="251">
        <f t="shared" si="31"/>
        <v>1358</v>
      </c>
      <c r="I253" s="207">
        <v>10169</v>
      </c>
      <c r="J253" s="208" t="s">
        <v>860</v>
      </c>
    </row>
    <row r="254" spans="2:12" s="205" customFormat="1" x14ac:dyDescent="0.2">
      <c r="B254" s="213" t="str">
        <f t="shared" si="28"/>
        <v>04.01.01.03  LAVATORIO OVALIN TREBOL MODELO SONNET, COLOR BLANCO, CON MEZCLADORA Y ACCESORIOS</v>
      </c>
      <c r="C254" s="267"/>
      <c r="D254" s="249" t="str">
        <f t="shared" si="29"/>
        <v>UND</v>
      </c>
      <c r="E254" s="249">
        <v>5</v>
      </c>
      <c r="F254" s="250">
        <f t="shared" si="30"/>
        <v>347.15</v>
      </c>
      <c r="G254" s="251">
        <f t="shared" si="31"/>
        <v>1735.75</v>
      </c>
      <c r="I254" s="207">
        <v>10170</v>
      </c>
      <c r="J254" s="208" t="s">
        <v>864</v>
      </c>
    </row>
    <row r="255" spans="2:12" s="205" customFormat="1" x14ac:dyDescent="0.2">
      <c r="B255" s="213" t="str">
        <f t="shared" si="28"/>
        <v>04.01.01.04  LAVATORIO TREBOL MODELO MANCORA, COLOR BLANCO, CON PEDESTAL Y MEZCLADORA</v>
      </c>
      <c r="C255" s="267"/>
      <c r="D255" s="249" t="str">
        <f t="shared" si="29"/>
        <v>PZA</v>
      </c>
      <c r="E255" s="249">
        <v>5</v>
      </c>
      <c r="F255" s="250">
        <f t="shared" si="30"/>
        <v>332.04999999999995</v>
      </c>
      <c r="G255" s="251">
        <f t="shared" si="31"/>
        <v>1660.25</v>
      </c>
      <c r="I255" s="207">
        <v>10171</v>
      </c>
      <c r="J255" s="208" t="s">
        <v>872</v>
      </c>
    </row>
    <row r="256" spans="2:12" s="205" customFormat="1" x14ac:dyDescent="0.2">
      <c r="B256" s="213" t="str">
        <f t="shared" si="28"/>
        <v>04.01.01.05  LAVADERO DE ROPA, TREBOL AMAZONAS COLOR BLANCO, CON MEZCLADORA</v>
      </c>
      <c r="C256" s="267"/>
      <c r="D256" s="249" t="str">
        <f t="shared" si="29"/>
        <v>PZA</v>
      </c>
      <c r="E256" s="249">
        <v>5</v>
      </c>
      <c r="F256" s="250">
        <f t="shared" si="30"/>
        <v>388.35</v>
      </c>
      <c r="G256" s="251">
        <f t="shared" si="31"/>
        <v>1941.75</v>
      </c>
      <c r="I256" s="207">
        <v>10172</v>
      </c>
      <c r="J256" s="208" t="s">
        <v>881</v>
      </c>
    </row>
    <row r="257" spans="2:12" s="205" customFormat="1" x14ac:dyDescent="0.2">
      <c r="B257" s="213" t="str">
        <f t="shared" si="28"/>
        <v>04.01.01.06  LAVADERO DE COCINA DE ACERO INOXIDABLE 1 POZA 36X40 CM, S/ESCURRIDERO</v>
      </c>
      <c r="C257" s="267"/>
      <c r="D257" s="249" t="str">
        <f t="shared" si="29"/>
        <v>PZA</v>
      </c>
      <c r="E257" s="249">
        <v>5</v>
      </c>
      <c r="F257" s="250">
        <f t="shared" si="30"/>
        <v>516.51</v>
      </c>
      <c r="G257" s="251">
        <f t="shared" si="31"/>
        <v>2582.5500000000002</v>
      </c>
      <c r="I257" s="207">
        <v>10173</v>
      </c>
      <c r="J257" s="208" t="s">
        <v>888</v>
      </c>
    </row>
    <row r="258" spans="2:12" s="205" customFormat="1" x14ac:dyDescent="0.2">
      <c r="B258" s="209" t="str">
        <f>J258 &amp; "  " &amp; K258</f>
        <v>04.01.02  ACCESORIOS</v>
      </c>
      <c r="C258" s="268"/>
      <c r="D258" s="252"/>
      <c r="E258" s="252"/>
      <c r="F258" s="253"/>
      <c r="G258" s="254">
        <f>SUM(G259:G261)</f>
        <v>301.2</v>
      </c>
      <c r="H258" s="210"/>
      <c r="I258" s="211" t="s">
        <v>163</v>
      </c>
      <c r="J258" s="212" t="s">
        <v>895</v>
      </c>
      <c r="K258" s="210" t="s">
        <v>896</v>
      </c>
      <c r="L258" s="210"/>
    </row>
    <row r="259" spans="2:12" s="205" customFormat="1" x14ac:dyDescent="0.2">
      <c r="B259" s="213" t="str">
        <f>J259 &amp; "  " &amp; VLOOKUP(I259,BDcuA,2,FALSE)</f>
        <v>04.01.02.01  PAPELERA DE LOSA DE ADOSAR Y BARRA PLASTICA, COLOR BONE</v>
      </c>
      <c r="C259" s="267"/>
      <c r="D259" s="249" t="str">
        <f>VLOOKUP(I259,BDcuA,4,FALSE)</f>
        <v>UND</v>
      </c>
      <c r="E259" s="249">
        <v>5</v>
      </c>
      <c r="F259" s="250">
        <f>VLOOKUP(I259,BDcuA,5,FALSE)</f>
        <v>21.349999999999998</v>
      </c>
      <c r="G259" s="251">
        <f>ROUND(F259*E259,DpP)</f>
        <v>106.75</v>
      </c>
      <c r="I259" s="207">
        <v>10174</v>
      </c>
      <c r="J259" s="208" t="s">
        <v>897</v>
      </c>
    </row>
    <row r="260" spans="2:12" s="205" customFormat="1" x14ac:dyDescent="0.2">
      <c r="B260" s="213" t="str">
        <f>J260 &amp; "  " &amp; VLOOKUP(I260,BDcuA,2,FALSE)</f>
        <v>04.01.02.02  JABONERA DE ADOSAR DE LOSA, COLOR BONE</v>
      </c>
      <c r="C260" s="267"/>
      <c r="D260" s="249" t="str">
        <f>VLOOKUP(I260,BDcuA,4,FALSE)</f>
        <v>PZA</v>
      </c>
      <c r="E260" s="249">
        <v>5</v>
      </c>
      <c r="F260" s="250">
        <f>VLOOKUP(I260,BDcuA,5,FALSE)</f>
        <v>20.400000000000002</v>
      </c>
      <c r="G260" s="251">
        <f>ROUND(F260*E260,DpP)</f>
        <v>102</v>
      </c>
      <c r="I260" s="207">
        <v>10175</v>
      </c>
      <c r="J260" s="208" t="s">
        <v>902</v>
      </c>
    </row>
    <row r="261" spans="2:12" s="205" customFormat="1" x14ac:dyDescent="0.2">
      <c r="B261" s="213" t="str">
        <f>J261 &amp; "  " &amp; VLOOKUP(I261,BDcuA,2,FALSE)</f>
        <v>04.01.02.03  PERCHERO SIMPLE DE LOZA, COLOR BONE</v>
      </c>
      <c r="C261" s="267"/>
      <c r="D261" s="249" t="str">
        <f>VLOOKUP(I261,BDcuA,4,FALSE)</f>
        <v>PZA</v>
      </c>
      <c r="E261" s="249">
        <v>5</v>
      </c>
      <c r="F261" s="250">
        <f>VLOOKUP(I261,BDcuA,5,FALSE)</f>
        <v>18.490000000000002</v>
      </c>
      <c r="G261" s="251">
        <f>ROUND(F261*E261,DpP)</f>
        <v>92.45</v>
      </c>
      <c r="I261" s="207">
        <v>10176</v>
      </c>
      <c r="J261" s="208" t="s">
        <v>905</v>
      </c>
    </row>
    <row r="262" spans="2:12" s="205" customFormat="1" x14ac:dyDescent="0.2">
      <c r="B262" s="214" t="str">
        <f>J262 &amp; "  " &amp; K262</f>
        <v>04.02  SISTEMA DE AGUA FRIA</v>
      </c>
      <c r="C262" s="269"/>
      <c r="D262" s="255"/>
      <c r="E262" s="255"/>
      <c r="F262" s="256"/>
      <c r="G262" s="257">
        <f>SUMIF(Pto!$I263:$I291,"&gt;10000",G263:G291)</f>
        <v>35025.220000000008</v>
      </c>
      <c r="H262" s="215"/>
      <c r="I262" s="216" t="s">
        <v>160</v>
      </c>
      <c r="J262" s="217" t="s">
        <v>908</v>
      </c>
      <c r="K262" s="215" t="s">
        <v>909</v>
      </c>
      <c r="L262" s="215"/>
    </row>
    <row r="263" spans="2:12" s="205" customFormat="1" x14ac:dyDescent="0.2">
      <c r="B263" s="209" t="str">
        <f>J263 &amp; "  " &amp; K263</f>
        <v>04.02.01  SALIDAS DE AGUA FRIA</v>
      </c>
      <c r="C263" s="268"/>
      <c r="D263" s="252"/>
      <c r="E263" s="252"/>
      <c r="F263" s="253"/>
      <c r="G263" s="254">
        <f>SUM(G264:G265)</f>
        <v>9813.9</v>
      </c>
      <c r="H263" s="210"/>
      <c r="I263" s="211" t="s">
        <v>163</v>
      </c>
      <c r="J263" s="212" t="s">
        <v>910</v>
      </c>
      <c r="K263" s="210" t="s">
        <v>911</v>
      </c>
      <c r="L263" s="210"/>
    </row>
    <row r="264" spans="2:12" s="205" customFormat="1" x14ac:dyDescent="0.2">
      <c r="B264" s="213" t="str">
        <f>J264 &amp; "  " &amp; VLOOKUP(I264,BDcuA,2,FALSE)</f>
        <v>04.02.01.01  SALIDA DE AGUA FRIA CON TUBERIA DE PVC-SAP 1/2"</v>
      </c>
      <c r="C264" s="267"/>
      <c r="D264" s="249" t="str">
        <f>VLOOKUP(I264,BDcuA,4,FALSE)</f>
        <v>Pto</v>
      </c>
      <c r="E264" s="249">
        <v>137</v>
      </c>
      <c r="F264" s="250">
        <f>VLOOKUP(I264,BDcuA,5,FALSE)</f>
        <v>63.339999999999996</v>
      </c>
      <c r="G264" s="251">
        <f>ROUND(F264*E264,DpP)</f>
        <v>8677.58</v>
      </c>
      <c r="I264" s="207">
        <v>10177</v>
      </c>
      <c r="J264" s="208" t="s">
        <v>912</v>
      </c>
    </row>
    <row r="265" spans="2:12" s="205" customFormat="1" x14ac:dyDescent="0.2">
      <c r="B265" s="213" t="str">
        <f>J265 &amp; "  " &amp; VLOOKUP(I265,BDcuA,2,FALSE)</f>
        <v>04.02.01.02  SALIDA DE AGUA FRIA CON TUBERIA DE PVC-SAP 3/4"</v>
      </c>
      <c r="C265" s="267"/>
      <c r="D265" s="249" t="str">
        <f>VLOOKUP(I265,BDcuA,4,FALSE)</f>
        <v>Pto</v>
      </c>
      <c r="E265" s="249">
        <v>16</v>
      </c>
      <c r="F265" s="250">
        <f>VLOOKUP(I265,BDcuA,5,FALSE)</f>
        <v>71.02000000000001</v>
      </c>
      <c r="G265" s="251">
        <f>ROUND(F265*E265,DpP)</f>
        <v>1136.32</v>
      </c>
      <c r="I265" s="207">
        <v>10178</v>
      </c>
      <c r="J265" s="208" t="s">
        <v>923</v>
      </c>
    </row>
    <row r="266" spans="2:12" s="205" customFormat="1" x14ac:dyDescent="0.2">
      <c r="B266" s="209" t="str">
        <f>J266 &amp; "  " &amp; K266</f>
        <v>04.02.02  REDES  DE DISTRIBUCION</v>
      </c>
      <c r="C266" s="268"/>
      <c r="D266" s="252"/>
      <c r="E266" s="252"/>
      <c r="F266" s="253"/>
      <c r="G266" s="254">
        <f>SUM(G267:G272)</f>
        <v>7987.88</v>
      </c>
      <c r="H266" s="210"/>
      <c r="I266" s="211" t="s">
        <v>163</v>
      </c>
      <c r="J266" s="212" t="s">
        <v>931</v>
      </c>
      <c r="K266" s="210" t="s">
        <v>932</v>
      </c>
      <c r="L266" s="210"/>
    </row>
    <row r="267" spans="2:12" s="205" customFormat="1" x14ac:dyDescent="0.2">
      <c r="B267" s="213" t="str">
        <f t="shared" ref="B267:B272" si="32">J267 &amp; "  " &amp; VLOOKUP(I267,BDcuA,2,FALSE)</f>
        <v>04.02.02.01  RED DE DISTRIBUCION TUBERIA DE 1/2"PVC-SAP</v>
      </c>
      <c r="C267" s="267"/>
      <c r="D267" s="249" t="str">
        <f t="shared" ref="D267:D272" si="33">VLOOKUP(I267,BDcuA,4,FALSE)</f>
        <v>M</v>
      </c>
      <c r="E267" s="249">
        <v>60</v>
      </c>
      <c r="F267" s="250">
        <f t="shared" ref="F267:F272" si="34">VLOOKUP(I267,BDcuA,5,FALSE)</f>
        <v>11.290000000000001</v>
      </c>
      <c r="G267" s="251">
        <f t="shared" ref="G267:G272" si="35">ROUND(F267*E267,DpP)</f>
        <v>677.4</v>
      </c>
      <c r="I267" s="207">
        <v>10179</v>
      </c>
      <c r="J267" s="208" t="s">
        <v>933</v>
      </c>
    </row>
    <row r="268" spans="2:12" s="205" customFormat="1" x14ac:dyDescent="0.2">
      <c r="B268" s="213" t="str">
        <f t="shared" si="32"/>
        <v>04.02.02.02  RED DE DISTRIBUCION TUBERIA DE 3/4" PVC-SAP</v>
      </c>
      <c r="C268" s="267"/>
      <c r="D268" s="249" t="str">
        <f t="shared" si="33"/>
        <v>M</v>
      </c>
      <c r="E268" s="249">
        <v>177.5</v>
      </c>
      <c r="F268" s="250">
        <f t="shared" si="34"/>
        <v>11.850000000000001</v>
      </c>
      <c r="G268" s="251">
        <f t="shared" si="35"/>
        <v>2103.38</v>
      </c>
      <c r="I268" s="207">
        <v>10180</v>
      </c>
      <c r="J268" s="208" t="s">
        <v>939</v>
      </c>
    </row>
    <row r="269" spans="2:12" s="205" customFormat="1" x14ac:dyDescent="0.2">
      <c r="B269" s="213" t="str">
        <f t="shared" si="32"/>
        <v>04.02.02.03  RED DE DISTRIBUCION TUBERIA DE  1" PVC-SAP</v>
      </c>
      <c r="C269" s="267"/>
      <c r="D269" s="249" t="str">
        <f t="shared" si="33"/>
        <v>M</v>
      </c>
      <c r="E269" s="249">
        <v>74.5</v>
      </c>
      <c r="F269" s="250">
        <f t="shared" si="34"/>
        <v>19.829999999999998</v>
      </c>
      <c r="G269" s="251">
        <f t="shared" si="35"/>
        <v>1477.34</v>
      </c>
      <c r="I269" s="207">
        <v>10181</v>
      </c>
      <c r="J269" s="208" t="s">
        <v>943</v>
      </c>
    </row>
    <row r="270" spans="2:12" s="205" customFormat="1" x14ac:dyDescent="0.2">
      <c r="B270" s="213" t="str">
        <f t="shared" si="32"/>
        <v>04.02.02.04  RED DE DISTRIBUCION TUBERIA DE 1 1/2"PVC-SAP</v>
      </c>
      <c r="C270" s="267"/>
      <c r="D270" s="249" t="str">
        <f t="shared" si="33"/>
        <v>M</v>
      </c>
      <c r="E270" s="249">
        <v>26</v>
      </c>
      <c r="F270" s="250">
        <f t="shared" si="34"/>
        <v>15.789999999999997</v>
      </c>
      <c r="G270" s="251">
        <f t="shared" si="35"/>
        <v>410.54</v>
      </c>
      <c r="I270" s="207">
        <v>10182</v>
      </c>
      <c r="J270" s="208" t="s">
        <v>949</v>
      </c>
    </row>
    <row r="271" spans="2:12" s="205" customFormat="1" x14ac:dyDescent="0.2">
      <c r="B271" s="213" t="str">
        <f t="shared" si="32"/>
        <v>04.02.02.05  RED DE DISTRIBUCION TUBERIA DE  2" PVC-SAP</v>
      </c>
      <c r="C271" s="267"/>
      <c r="D271" s="249" t="str">
        <f t="shared" si="33"/>
        <v>M</v>
      </c>
      <c r="E271" s="249">
        <v>5</v>
      </c>
      <c r="F271" s="250">
        <f t="shared" si="34"/>
        <v>22.819999999999997</v>
      </c>
      <c r="G271" s="251">
        <f t="shared" si="35"/>
        <v>114.1</v>
      </c>
      <c r="I271" s="207">
        <v>10183</v>
      </c>
      <c r="J271" s="208" t="s">
        <v>954</v>
      </c>
    </row>
    <row r="272" spans="2:12" s="205" customFormat="1" x14ac:dyDescent="0.2">
      <c r="B272" s="213" t="str">
        <f t="shared" si="32"/>
        <v>04.02.02.06  PRUEBA HIDRAULICA Y  DESINFECCION DE TUBERIA</v>
      </c>
      <c r="C272" s="267"/>
      <c r="D272" s="249" t="str">
        <f t="shared" si="33"/>
        <v>M</v>
      </c>
      <c r="E272" s="249">
        <v>1252</v>
      </c>
      <c r="F272" s="250">
        <f t="shared" si="34"/>
        <v>2.56</v>
      </c>
      <c r="G272" s="251">
        <f t="shared" si="35"/>
        <v>3205.12</v>
      </c>
      <c r="I272" s="207">
        <v>10184</v>
      </c>
      <c r="J272" s="208" t="s">
        <v>959</v>
      </c>
    </row>
    <row r="273" spans="2:12" s="205" customFormat="1" x14ac:dyDescent="0.2">
      <c r="B273" s="209" t="str">
        <f>J273 &amp; "  " &amp; K273</f>
        <v>04.02.03  REDES DE ALIMENTACION</v>
      </c>
      <c r="C273" s="268"/>
      <c r="D273" s="252"/>
      <c r="E273" s="252"/>
      <c r="F273" s="253"/>
      <c r="G273" s="254">
        <f>SUM(G274:G277)</f>
        <v>130.05000000000001</v>
      </c>
      <c r="H273" s="210"/>
      <c r="I273" s="211" t="s">
        <v>163</v>
      </c>
      <c r="J273" s="212" t="s">
        <v>962</v>
      </c>
      <c r="K273" s="210" t="s">
        <v>963</v>
      </c>
      <c r="L273" s="210"/>
    </row>
    <row r="274" spans="2:12" s="205" customFormat="1" x14ac:dyDescent="0.2">
      <c r="B274" s="213" t="str">
        <f>J274 &amp; "  " &amp; VLOOKUP(I274,BDcuA,2,FALSE)</f>
        <v>04.02.03.01  EXC. MANUAL DE ZANJA PARA TUBERIA DE AGUA H=0.70 M, EN MATERIAL SUELTO</v>
      </c>
      <c r="C274" s="267"/>
      <c r="D274" s="249" t="str">
        <f>VLOOKUP(I274,BDcuA,4,FALSE)</f>
        <v>M</v>
      </c>
      <c r="E274" s="249">
        <v>2.5</v>
      </c>
      <c r="F274" s="250">
        <f>VLOOKUP(I274,BDcuA,5,FALSE)</f>
        <v>8.44</v>
      </c>
      <c r="G274" s="251">
        <f>ROUND(F274*E274,DpP)</f>
        <v>21.1</v>
      </c>
      <c r="I274" s="207">
        <v>10185</v>
      </c>
      <c r="J274" s="208" t="s">
        <v>964</v>
      </c>
    </row>
    <row r="275" spans="2:12" s="205" customFormat="1" x14ac:dyDescent="0.2">
      <c r="B275" s="213" t="str">
        <f>J275 &amp; "  " &amp; VLOOKUP(I275,BDcuA,2,FALSE)</f>
        <v>04.02.03.02  RELLENO COMP. ZANJA T.-NORMAL P/TUBERIA  AGUA POTABLE</v>
      </c>
      <c r="C275" s="267"/>
      <c r="D275" s="249" t="str">
        <f>VLOOKUP(I275,BDcuA,4,FALSE)</f>
        <v>M</v>
      </c>
      <c r="E275" s="249">
        <v>2.5</v>
      </c>
      <c r="F275" s="250">
        <f>VLOOKUP(I275,BDcuA,5,FALSE)</f>
        <v>19.079999999999998</v>
      </c>
      <c r="G275" s="251">
        <f>ROUND(F275*E275,DpP)</f>
        <v>47.7</v>
      </c>
      <c r="I275" s="207">
        <v>10186</v>
      </c>
      <c r="J275" s="208" t="s">
        <v>967</v>
      </c>
    </row>
    <row r="276" spans="2:12" s="205" customFormat="1" x14ac:dyDescent="0.2">
      <c r="B276" s="213" t="str">
        <f>J276 &amp; "  " &amp; VLOOKUP(I276,BDcuA,2,FALSE)</f>
        <v>04.02.03.03  RED DE ALIMENTACION DE AGUA TUBERIA 3/4"</v>
      </c>
      <c r="C276" s="267"/>
      <c r="D276" s="249" t="str">
        <f>VLOOKUP(I276,BDcuA,4,FALSE)</f>
        <v>M</v>
      </c>
      <c r="E276" s="249">
        <v>2.5</v>
      </c>
      <c r="F276" s="250">
        <f>VLOOKUP(I276,BDcuA,5,FALSE)</f>
        <v>21.94</v>
      </c>
      <c r="G276" s="251">
        <f>ROUND(F276*E276,DpP)</f>
        <v>54.85</v>
      </c>
      <c r="I276" s="207">
        <v>10187</v>
      </c>
      <c r="J276" s="208" t="s">
        <v>970</v>
      </c>
    </row>
    <row r="277" spans="2:12" s="205" customFormat="1" x14ac:dyDescent="0.2">
      <c r="B277" s="213" t="str">
        <f>J277 &amp; "  " &amp; VLOOKUP(I277,BDcuA,2,FALSE)</f>
        <v>04.02.03.04  PRUEBA HIDRAULICA Y  DESINFECCION DE TUBERIA</v>
      </c>
      <c r="C277" s="267"/>
      <c r="D277" s="249" t="str">
        <f>VLOOKUP(I277,BDcuA,4,FALSE)</f>
        <v>M</v>
      </c>
      <c r="E277" s="249">
        <v>2.5</v>
      </c>
      <c r="F277" s="250">
        <f>VLOOKUP(I277,BDcuA,5,FALSE)</f>
        <v>2.56</v>
      </c>
      <c r="G277" s="251">
        <f>ROUND(F277*E277,DpP)</f>
        <v>6.4</v>
      </c>
      <c r="I277" s="207">
        <v>10184</v>
      </c>
      <c r="J277" s="208" t="s">
        <v>975</v>
      </c>
    </row>
    <row r="278" spans="2:12" s="205" customFormat="1" x14ac:dyDescent="0.2">
      <c r="B278" s="209" t="str">
        <f>J278 &amp; "  " &amp; K278</f>
        <v>04.02.04  REDES DE IMPULSION</v>
      </c>
      <c r="C278" s="268"/>
      <c r="D278" s="252"/>
      <c r="E278" s="252"/>
      <c r="F278" s="253"/>
      <c r="G278" s="254">
        <f>SUM(G279:G280)</f>
        <v>789.48</v>
      </c>
      <c r="H278" s="210"/>
      <c r="I278" s="211" t="s">
        <v>163</v>
      </c>
      <c r="J278" s="212" t="s">
        <v>976</v>
      </c>
      <c r="K278" s="210" t="s">
        <v>977</v>
      </c>
      <c r="L278" s="210"/>
    </row>
    <row r="279" spans="2:12" s="205" customFormat="1" x14ac:dyDescent="0.2">
      <c r="B279" s="213" t="str">
        <f>J279 &amp; "  " &amp; VLOOKUP(I279,BDcuA,2,FALSE)</f>
        <v>04.02.04.01  RED DE IMPULSION TUBERIA DE  2" PVC-SAP</v>
      </c>
      <c r="C279" s="267"/>
      <c r="D279" s="249" t="str">
        <f>VLOOKUP(I279,BDcuA,4,FALSE)</f>
        <v>M</v>
      </c>
      <c r="E279" s="249">
        <v>34</v>
      </c>
      <c r="F279" s="250">
        <f>VLOOKUP(I279,BDcuA,5,FALSE)</f>
        <v>20.66</v>
      </c>
      <c r="G279" s="251">
        <f>ROUND(F279*E279,DpP)</f>
        <v>702.44</v>
      </c>
      <c r="I279" s="207">
        <v>10188</v>
      </c>
      <c r="J279" s="208" t="s">
        <v>978</v>
      </c>
    </row>
    <row r="280" spans="2:12" s="205" customFormat="1" x14ac:dyDescent="0.2">
      <c r="B280" s="213" t="str">
        <f>J280 &amp; "  " &amp; VLOOKUP(I280,BDcuA,2,FALSE)</f>
        <v>04.02.04.02  PRUEBA HIDRAULICA Y  DESINFECCION DE TUBERIA</v>
      </c>
      <c r="C280" s="267"/>
      <c r="D280" s="249" t="str">
        <f>VLOOKUP(I280,BDcuA,4,FALSE)</f>
        <v>M</v>
      </c>
      <c r="E280" s="249">
        <v>34</v>
      </c>
      <c r="F280" s="250">
        <f>VLOOKUP(I280,BDcuA,5,FALSE)</f>
        <v>2.56</v>
      </c>
      <c r="G280" s="251">
        <f>ROUND(F280*E280,DpP)</f>
        <v>87.04</v>
      </c>
      <c r="I280" s="207">
        <v>10184</v>
      </c>
      <c r="J280" s="208" t="s">
        <v>981</v>
      </c>
    </row>
    <row r="281" spans="2:12" s="205" customFormat="1" x14ac:dyDescent="0.2">
      <c r="B281" s="209" t="str">
        <f>J281 &amp; "  " &amp; K281</f>
        <v>04.02.05  VALVULAS Y OTROS</v>
      </c>
      <c r="C281" s="268"/>
      <c r="D281" s="252"/>
      <c r="E281" s="252"/>
      <c r="F281" s="253"/>
      <c r="G281" s="254">
        <f>SUM(G282:G291)</f>
        <v>16303.909999999998</v>
      </c>
      <c r="H281" s="210"/>
      <c r="I281" s="211" t="s">
        <v>163</v>
      </c>
      <c r="J281" s="212" t="s">
        <v>982</v>
      </c>
      <c r="K281" s="210" t="s">
        <v>983</v>
      </c>
      <c r="L281" s="210"/>
    </row>
    <row r="282" spans="2:12" s="205" customFormat="1" x14ac:dyDescent="0.2">
      <c r="B282" s="213" t="str">
        <f t="shared" ref="B282:B291" si="36">J282 &amp; "  " &amp; VLOOKUP(I282,BDcuA,2,FALSE)</f>
        <v>04.02.05.01  VALVULAS DE COMPUERTA DE BRONCE DE 1/2"</v>
      </c>
      <c r="C282" s="267"/>
      <c r="D282" s="249" t="str">
        <f t="shared" ref="D282:D291" si="37">VLOOKUP(I282,BDcuA,4,FALSE)</f>
        <v>UND</v>
      </c>
      <c r="E282" s="249">
        <v>64</v>
      </c>
      <c r="F282" s="250">
        <f t="shared" ref="F282:F291" si="38">VLOOKUP(I282,BDcuA,5,FALSE)</f>
        <v>71.41</v>
      </c>
      <c r="G282" s="251">
        <f t="shared" ref="G282:G291" si="39">ROUND(F282*E282,DpP)</f>
        <v>4570.24</v>
      </c>
      <c r="I282" s="207">
        <v>10189</v>
      </c>
      <c r="J282" s="208" t="s">
        <v>984</v>
      </c>
    </row>
    <row r="283" spans="2:12" s="205" customFormat="1" x14ac:dyDescent="0.2">
      <c r="B283" s="213" t="str">
        <f t="shared" si="36"/>
        <v>04.02.05.02  VALVULAS DE COMPUERTA DE BRONCE DE 3/4"</v>
      </c>
      <c r="C283" s="267"/>
      <c r="D283" s="249" t="str">
        <f t="shared" si="37"/>
        <v>PZA</v>
      </c>
      <c r="E283" s="249">
        <v>18</v>
      </c>
      <c r="F283" s="250">
        <f t="shared" si="38"/>
        <v>97.110000000000014</v>
      </c>
      <c r="G283" s="251">
        <f t="shared" si="39"/>
        <v>1747.98</v>
      </c>
      <c r="I283" s="207">
        <v>10190</v>
      </c>
      <c r="J283" s="208" t="s">
        <v>989</v>
      </c>
    </row>
    <row r="284" spans="2:12" s="205" customFormat="1" x14ac:dyDescent="0.2">
      <c r="B284" s="213" t="str">
        <f t="shared" si="36"/>
        <v>04.02.05.03  VALVULAS DE COMPUERTA DE BRONCE DE 1"</v>
      </c>
      <c r="C284" s="267"/>
      <c r="D284" s="249" t="str">
        <f t="shared" si="37"/>
        <v>UND</v>
      </c>
      <c r="E284" s="249">
        <v>13</v>
      </c>
      <c r="F284" s="250">
        <f t="shared" si="38"/>
        <v>46.41</v>
      </c>
      <c r="G284" s="251">
        <f t="shared" si="39"/>
        <v>603.33000000000004</v>
      </c>
      <c r="I284" s="207">
        <v>10191</v>
      </c>
      <c r="J284" s="208" t="s">
        <v>995</v>
      </c>
    </row>
    <row r="285" spans="2:12" s="205" customFormat="1" x14ac:dyDescent="0.2">
      <c r="B285" s="213" t="str">
        <f t="shared" si="36"/>
        <v>04.02.05.04  VALVULAS DE COMPUERTA DE BRONCE DE 1 1/2"</v>
      </c>
      <c r="C285" s="267"/>
      <c r="D285" s="249" t="str">
        <f t="shared" si="37"/>
        <v>UND</v>
      </c>
      <c r="E285" s="249">
        <v>1</v>
      </c>
      <c r="F285" s="250">
        <f t="shared" si="38"/>
        <v>61.809999999999995</v>
      </c>
      <c r="G285" s="251">
        <f t="shared" si="39"/>
        <v>61.81</v>
      </c>
      <c r="I285" s="207">
        <v>10192</v>
      </c>
      <c r="J285" s="208" t="s">
        <v>1001</v>
      </c>
    </row>
    <row r="286" spans="2:12" s="205" customFormat="1" x14ac:dyDescent="0.2">
      <c r="B286" s="213" t="str">
        <f t="shared" si="36"/>
        <v>04.02.05.05  VALVULAS DE COMPUERTA DE BRONCE DE 2"</v>
      </c>
      <c r="C286" s="267"/>
      <c r="D286" s="249" t="str">
        <f t="shared" si="37"/>
        <v>PZA</v>
      </c>
      <c r="E286" s="249">
        <v>1</v>
      </c>
      <c r="F286" s="250">
        <f t="shared" si="38"/>
        <v>324.91000000000003</v>
      </c>
      <c r="G286" s="251">
        <f t="shared" si="39"/>
        <v>324.91000000000003</v>
      </c>
      <c r="I286" s="207">
        <v>10193</v>
      </c>
      <c r="J286" s="208" t="s">
        <v>1007</v>
      </c>
    </row>
    <row r="287" spans="2:12" s="205" customFormat="1" x14ac:dyDescent="0.2">
      <c r="B287" s="213" t="str">
        <f t="shared" si="36"/>
        <v>04.02.05.06  VALVULA FLOTADORA DE 3/4"</v>
      </c>
      <c r="C287" s="267"/>
      <c r="D287" s="249" t="str">
        <f t="shared" si="37"/>
        <v>PZA</v>
      </c>
      <c r="E287" s="249">
        <v>2</v>
      </c>
      <c r="F287" s="250">
        <f t="shared" si="38"/>
        <v>150.16</v>
      </c>
      <c r="G287" s="251">
        <f t="shared" si="39"/>
        <v>300.32</v>
      </c>
      <c r="I287" s="207">
        <v>10194</v>
      </c>
      <c r="J287" s="208" t="s">
        <v>1012</v>
      </c>
    </row>
    <row r="288" spans="2:12" s="205" customFormat="1" x14ac:dyDescent="0.2">
      <c r="B288" s="213" t="str">
        <f t="shared" si="36"/>
        <v>04.02.05.07  CAJA DE VALVULAS CON TAPA DE PVC</v>
      </c>
      <c r="C288" s="267"/>
      <c r="D288" s="249" t="str">
        <f t="shared" si="37"/>
        <v>PZA</v>
      </c>
      <c r="E288" s="249">
        <v>51</v>
      </c>
      <c r="F288" s="250">
        <f t="shared" si="38"/>
        <v>96.04</v>
      </c>
      <c r="G288" s="251">
        <f t="shared" si="39"/>
        <v>4898.04</v>
      </c>
      <c r="I288" s="207">
        <v>10195</v>
      </c>
      <c r="J288" s="208" t="s">
        <v>1015</v>
      </c>
    </row>
    <row r="289" spans="2:12" s="205" customFormat="1" x14ac:dyDescent="0.2">
      <c r="B289" s="213" t="str">
        <f t="shared" si="36"/>
        <v>04.02.05.08  MEDIDOR DE AGUA DE 1/2"</v>
      </c>
      <c r="C289" s="267"/>
      <c r="D289" s="249" t="str">
        <f t="shared" si="37"/>
        <v>UND</v>
      </c>
      <c r="E289" s="249">
        <v>12</v>
      </c>
      <c r="F289" s="250">
        <f t="shared" si="38"/>
        <v>167.01999999999998</v>
      </c>
      <c r="G289" s="251">
        <f t="shared" si="39"/>
        <v>2004.24</v>
      </c>
      <c r="I289" s="207">
        <v>10196</v>
      </c>
      <c r="J289" s="208" t="s">
        <v>1018</v>
      </c>
    </row>
    <row r="290" spans="2:12" s="205" customFormat="1" x14ac:dyDescent="0.2">
      <c r="B290" s="213" t="str">
        <f t="shared" si="36"/>
        <v>04.02.05.09  MEDIDOR DE AGUA DE 3/4"</v>
      </c>
      <c r="C290" s="267"/>
      <c r="D290" s="249" t="str">
        <f t="shared" si="37"/>
        <v>UND</v>
      </c>
      <c r="E290" s="249">
        <v>2</v>
      </c>
      <c r="F290" s="250">
        <f t="shared" si="38"/>
        <v>230.12</v>
      </c>
      <c r="G290" s="251">
        <f t="shared" si="39"/>
        <v>460.24</v>
      </c>
      <c r="I290" s="207">
        <v>10197</v>
      </c>
      <c r="J290" s="208" t="s">
        <v>1022</v>
      </c>
    </row>
    <row r="291" spans="2:12" s="205" customFormat="1" x14ac:dyDescent="0.2">
      <c r="B291" s="213" t="str">
        <f t="shared" si="36"/>
        <v>04.02.05.10  TAPAS DE MELAMINE PARA MEDIDORES DE AGUA DE 0.50 X 0.90 M</v>
      </c>
      <c r="C291" s="267"/>
      <c r="D291" s="249" t="str">
        <f t="shared" si="37"/>
        <v>UND</v>
      </c>
      <c r="E291" s="249">
        <v>14</v>
      </c>
      <c r="F291" s="250">
        <f t="shared" si="38"/>
        <v>95.2</v>
      </c>
      <c r="G291" s="251">
        <f t="shared" si="39"/>
        <v>1332.8</v>
      </c>
      <c r="I291" s="207">
        <v>10198</v>
      </c>
      <c r="J291" s="208" t="s">
        <v>1025</v>
      </c>
    </row>
    <row r="292" spans="2:12" s="205" customFormat="1" x14ac:dyDescent="0.2">
      <c r="B292" s="214" t="str">
        <f>J292 &amp; "  " &amp; K292</f>
        <v>04.03  SISTEMA DE AGUA CALIENTE</v>
      </c>
      <c r="C292" s="269"/>
      <c r="D292" s="255"/>
      <c r="E292" s="255"/>
      <c r="F292" s="256"/>
      <c r="G292" s="257">
        <f>SUMIF(Pto!$I293:$I302,"&gt;10000",G293:G302)</f>
        <v>16665.510000000002</v>
      </c>
      <c r="H292" s="215"/>
      <c r="I292" s="216" t="s">
        <v>160</v>
      </c>
      <c r="J292" s="217" t="s">
        <v>1028</v>
      </c>
      <c r="K292" s="215" t="s">
        <v>1029</v>
      </c>
      <c r="L292" s="215"/>
    </row>
    <row r="293" spans="2:12" s="205" customFormat="1" x14ac:dyDescent="0.2">
      <c r="B293" s="209" t="str">
        <f>J293 &amp; "  " &amp; K293</f>
        <v>04.03.01  SALIDAS DE AGUA CALIENTE</v>
      </c>
      <c r="C293" s="268"/>
      <c r="D293" s="252"/>
      <c r="E293" s="252"/>
      <c r="F293" s="253"/>
      <c r="G293" s="254">
        <f>SUM(G294:G295)</f>
        <v>6659.33</v>
      </c>
      <c r="H293" s="210"/>
      <c r="I293" s="211" t="s">
        <v>163</v>
      </c>
      <c r="J293" s="212" t="s">
        <v>1030</v>
      </c>
      <c r="K293" s="210" t="s">
        <v>1031</v>
      </c>
      <c r="L293" s="210"/>
    </row>
    <row r="294" spans="2:12" s="205" customFormat="1" x14ac:dyDescent="0.2">
      <c r="B294" s="213" t="str">
        <f>J294 &amp; "  " &amp; VLOOKUP(I294,BDcuA,2,FALSE)</f>
        <v>04.03.01.01  SALIDA DE AGUA CALIENTE CON TUBERIA CPVC DE 1/2"</v>
      </c>
      <c r="C294" s="267"/>
      <c r="D294" s="249" t="str">
        <f>VLOOKUP(I294,BDcuA,4,FALSE)</f>
        <v>Pto</v>
      </c>
      <c r="E294" s="249">
        <v>85</v>
      </c>
      <c r="F294" s="250">
        <f>VLOOKUP(I294,BDcuA,5,FALSE)</f>
        <v>67.240000000000009</v>
      </c>
      <c r="G294" s="251">
        <f>ROUND(F294*E294,DpP)</f>
        <v>5715.4</v>
      </c>
      <c r="I294" s="207">
        <v>10199</v>
      </c>
      <c r="J294" s="208" t="s">
        <v>1032</v>
      </c>
    </row>
    <row r="295" spans="2:12" s="205" customFormat="1" x14ac:dyDescent="0.2">
      <c r="B295" s="213" t="str">
        <f>J295 &amp; "  " &amp; VLOOKUP(I295,BDcuA,2,FALSE)</f>
        <v>04.03.01.02  SALIDA DE AGUA CALIENTE CON TUBERIA CPVC DE 3/4"</v>
      </c>
      <c r="C295" s="267"/>
      <c r="D295" s="249" t="str">
        <f>VLOOKUP(I295,BDcuA,4,FALSE)</f>
        <v>PZA</v>
      </c>
      <c r="E295" s="249">
        <v>13</v>
      </c>
      <c r="F295" s="250">
        <f>VLOOKUP(I295,BDcuA,5,FALSE)</f>
        <v>72.610000000000014</v>
      </c>
      <c r="G295" s="251">
        <f>ROUND(F295*E295,DpP)</f>
        <v>943.93</v>
      </c>
      <c r="I295" s="207">
        <v>10200</v>
      </c>
      <c r="J295" s="208" t="s">
        <v>1038</v>
      </c>
    </row>
    <row r="296" spans="2:12" s="205" customFormat="1" x14ac:dyDescent="0.2">
      <c r="B296" s="209" t="str">
        <f>J296 &amp; "  " &amp; K296</f>
        <v>04.03.02  REDES DE DISTRIBUCION DE AGUA CALIENTE</v>
      </c>
      <c r="C296" s="268"/>
      <c r="D296" s="252"/>
      <c r="E296" s="252"/>
      <c r="F296" s="253"/>
      <c r="G296" s="254">
        <f>SUM(G297:G298)</f>
        <v>3863.07</v>
      </c>
      <c r="H296" s="210"/>
      <c r="I296" s="211" t="s">
        <v>163</v>
      </c>
      <c r="J296" s="212" t="s">
        <v>1043</v>
      </c>
      <c r="K296" s="210" t="s">
        <v>1044</v>
      </c>
      <c r="L296" s="210"/>
    </row>
    <row r="297" spans="2:12" s="205" customFormat="1" x14ac:dyDescent="0.2">
      <c r="B297" s="213" t="str">
        <f>J297 &amp; "  " &amp; VLOOKUP(I297,BDcuA,2,FALSE)</f>
        <v>04.03.02.01  RED DE DISTRIBUCION DE AGUA CALIENTE TUB. CPVC D=1/2"</v>
      </c>
      <c r="C297" s="267"/>
      <c r="D297" s="249" t="str">
        <f>VLOOKUP(I297,BDcuA,4,FALSE)</f>
        <v>M</v>
      </c>
      <c r="E297" s="249">
        <v>87</v>
      </c>
      <c r="F297" s="250">
        <f>VLOOKUP(I297,BDcuA,5,FALSE)</f>
        <v>17.869999999999997</v>
      </c>
      <c r="G297" s="251">
        <f>ROUND(F297*E297,DpP)</f>
        <v>1554.69</v>
      </c>
      <c r="I297" s="207">
        <v>10201</v>
      </c>
      <c r="J297" s="208" t="s">
        <v>1045</v>
      </c>
    </row>
    <row r="298" spans="2:12" s="205" customFormat="1" x14ac:dyDescent="0.2">
      <c r="B298" s="213" t="str">
        <f>J298 &amp; "  " &amp; VLOOKUP(I298,BDcuA,2,FALSE)</f>
        <v>04.03.02.02  RED DE DISTRIBUCION DE AGUA CALIENTE TUB. CPVC D=3/4"</v>
      </c>
      <c r="C298" s="267"/>
      <c r="D298" s="249" t="str">
        <f>VLOOKUP(I298,BDcuA,4,FALSE)</f>
        <v>M</v>
      </c>
      <c r="E298" s="249">
        <v>158</v>
      </c>
      <c r="F298" s="250">
        <f>VLOOKUP(I298,BDcuA,5,FALSE)</f>
        <v>14.609999999999998</v>
      </c>
      <c r="G298" s="251">
        <f>ROUND(F298*E298,DpP)</f>
        <v>2308.38</v>
      </c>
      <c r="I298" s="207">
        <v>10202</v>
      </c>
      <c r="J298" s="208" t="s">
        <v>1048</v>
      </c>
    </row>
    <row r="299" spans="2:12" s="205" customFormat="1" x14ac:dyDescent="0.2">
      <c r="B299" s="209" t="str">
        <f>J299 &amp; "  " &amp; K299</f>
        <v>04.03.03  VALVULAS Y OTROS</v>
      </c>
      <c r="C299" s="268"/>
      <c r="D299" s="252"/>
      <c r="E299" s="252"/>
      <c r="F299" s="253"/>
      <c r="G299" s="254">
        <f>SUM(G300:G302)</f>
        <v>6143.11</v>
      </c>
      <c r="H299" s="210"/>
      <c r="I299" s="211" t="s">
        <v>163</v>
      </c>
      <c r="J299" s="212" t="s">
        <v>1051</v>
      </c>
      <c r="K299" s="210" t="s">
        <v>983</v>
      </c>
      <c r="L299" s="210"/>
    </row>
    <row r="300" spans="2:12" s="205" customFormat="1" x14ac:dyDescent="0.2">
      <c r="B300" s="213" t="str">
        <f>J300 &amp; "  " &amp; VLOOKUP(I300,BDcuA,2,FALSE)</f>
        <v>04.03.03.01  VALVULAS DE COMPUERTA DE BRONCE DE 1/2"</v>
      </c>
      <c r="C300" s="267"/>
      <c r="D300" s="249" t="str">
        <f>VLOOKUP(I300,BDcuA,4,FALSE)</f>
        <v>UND</v>
      </c>
      <c r="E300" s="249">
        <v>28</v>
      </c>
      <c r="F300" s="250">
        <f>VLOOKUP(I300,BDcuA,5,FALSE)</f>
        <v>71.41</v>
      </c>
      <c r="G300" s="251">
        <f>ROUND(F300*E300,DpP)</f>
        <v>1999.48</v>
      </c>
      <c r="I300" s="207">
        <v>10189</v>
      </c>
      <c r="J300" s="208" t="s">
        <v>1052</v>
      </c>
    </row>
    <row r="301" spans="2:12" s="205" customFormat="1" x14ac:dyDescent="0.2">
      <c r="B301" s="213" t="str">
        <f>J301 &amp; "  " &amp; VLOOKUP(I301,BDcuA,2,FALSE)</f>
        <v>04.03.03.02  VALVULAS DE COMPUERTA DE BRONCE DE 3/4"</v>
      </c>
      <c r="C301" s="267"/>
      <c r="D301" s="249" t="str">
        <f>VLOOKUP(I301,BDcuA,4,FALSE)</f>
        <v>PZA</v>
      </c>
      <c r="E301" s="249">
        <v>13</v>
      </c>
      <c r="F301" s="250">
        <f>VLOOKUP(I301,BDcuA,5,FALSE)</f>
        <v>97.110000000000014</v>
      </c>
      <c r="G301" s="251">
        <f>ROUND(F301*E301,DpP)</f>
        <v>1262.43</v>
      </c>
      <c r="I301" s="207">
        <v>10190</v>
      </c>
      <c r="J301" s="208" t="s">
        <v>1053</v>
      </c>
    </row>
    <row r="302" spans="2:12" s="205" customFormat="1" x14ac:dyDescent="0.2">
      <c r="B302" s="213" t="str">
        <f>J302 &amp; "  " &amp; VLOOKUP(I302,BDcuA,2,FALSE)</f>
        <v>04.03.03.03  CAJA DE VALVULAS CON TAPA DE PVC</v>
      </c>
      <c r="C302" s="267"/>
      <c r="D302" s="249" t="str">
        <f>VLOOKUP(I302,BDcuA,4,FALSE)</f>
        <v>PZA</v>
      </c>
      <c r="E302" s="249">
        <v>30</v>
      </c>
      <c r="F302" s="250">
        <f>VLOOKUP(I302,BDcuA,5,FALSE)</f>
        <v>96.04</v>
      </c>
      <c r="G302" s="251">
        <f>ROUND(F302*E302,DpP)</f>
        <v>2881.2</v>
      </c>
      <c r="I302" s="207">
        <v>10195</v>
      </c>
      <c r="J302" s="208" t="s">
        <v>1054</v>
      </c>
    </row>
    <row r="303" spans="2:12" s="205" customFormat="1" x14ac:dyDescent="0.2">
      <c r="B303" s="214" t="str">
        <f>J303 &amp; "  " &amp; K303</f>
        <v>04.04  SISTEMA DE DRENAJE PLUVIAL</v>
      </c>
      <c r="C303" s="269"/>
      <c r="D303" s="255"/>
      <c r="E303" s="255"/>
      <c r="F303" s="256"/>
      <c r="G303" s="257">
        <f>SUMIF(Pto!$I304:$I313,"&gt;10000",G304:G313)</f>
        <v>1449.0000000000002</v>
      </c>
      <c r="H303" s="215"/>
      <c r="I303" s="216" t="s">
        <v>160</v>
      </c>
      <c r="J303" s="217" t="s">
        <v>1055</v>
      </c>
      <c r="K303" s="215" t="s">
        <v>1056</v>
      </c>
      <c r="L303" s="215"/>
    </row>
    <row r="304" spans="2:12" s="205" customFormat="1" x14ac:dyDescent="0.2">
      <c r="B304" s="209" t="str">
        <f>J304 &amp; "  " &amp; K304</f>
        <v>04.04.01  PUNTOS DE RECOLECCION</v>
      </c>
      <c r="C304" s="268"/>
      <c r="D304" s="252"/>
      <c r="E304" s="252"/>
      <c r="F304" s="253"/>
      <c r="G304" s="254">
        <f>SUM(G305:G305)</f>
        <v>730.99</v>
      </c>
      <c r="H304" s="210"/>
      <c r="I304" s="211" t="s">
        <v>163</v>
      </c>
      <c r="J304" s="212" t="s">
        <v>1057</v>
      </c>
      <c r="K304" s="210" t="s">
        <v>1058</v>
      </c>
      <c r="L304" s="210"/>
    </row>
    <row r="305" spans="2:12" s="205" customFormat="1" x14ac:dyDescent="0.2">
      <c r="B305" s="213" t="str">
        <f>J305 &amp; "  " &amp; VLOOKUP(I305,BDcuA,2,FALSE)</f>
        <v>04.04.01.01  SALIDAS DE PVC SAL PARA DESAGUE PLUVIAL DE 2"</v>
      </c>
      <c r="C305" s="267"/>
      <c r="D305" s="249" t="str">
        <f>VLOOKUP(I305,BDcuA,4,FALSE)</f>
        <v>Pto</v>
      </c>
      <c r="E305" s="249">
        <v>13</v>
      </c>
      <c r="F305" s="250">
        <f>VLOOKUP(I305,BDcuA,5,FALSE)</f>
        <v>56.23</v>
      </c>
      <c r="G305" s="251">
        <f>ROUND(F305*E305,DpP)</f>
        <v>730.99</v>
      </c>
      <c r="I305" s="207">
        <v>10203</v>
      </c>
      <c r="J305" s="208" t="s">
        <v>1059</v>
      </c>
    </row>
    <row r="306" spans="2:12" s="205" customFormat="1" x14ac:dyDescent="0.2">
      <c r="B306" s="209" t="str">
        <f>J306 &amp; "  " &amp; K306</f>
        <v>04.04.02  RED DE RECOLECCION</v>
      </c>
      <c r="C306" s="268"/>
      <c r="D306" s="252"/>
      <c r="E306" s="252"/>
      <c r="F306" s="253"/>
      <c r="G306" s="254">
        <f>SUM(G307:G307)</f>
        <v>198.81</v>
      </c>
      <c r="H306" s="210"/>
      <c r="I306" s="211" t="s">
        <v>163</v>
      </c>
      <c r="J306" s="212" t="s">
        <v>1064</v>
      </c>
      <c r="K306" s="210" t="s">
        <v>1065</v>
      </c>
      <c r="L306" s="210"/>
    </row>
    <row r="307" spans="2:12" s="205" customFormat="1" x14ac:dyDescent="0.2">
      <c r="B307" s="213" t="str">
        <f>J307 &amp; "  " &amp; VLOOKUP(I307,BDcuA,2,FALSE)</f>
        <v>04.04.02.01  RED DE RECOLECCION PVC SAL PARA DESAGUE PLUVIAL DE 2"</v>
      </c>
      <c r="C307" s="267"/>
      <c r="D307" s="249" t="str">
        <f>VLOOKUP(I307,BDcuA,4,FALSE)</f>
        <v>M</v>
      </c>
      <c r="E307" s="249">
        <v>9</v>
      </c>
      <c r="F307" s="250">
        <f>VLOOKUP(I307,BDcuA,5,FALSE)</f>
        <v>22.09</v>
      </c>
      <c r="G307" s="251">
        <f>ROUND(F307*E307,DpP)</f>
        <v>198.81</v>
      </c>
      <c r="I307" s="207">
        <v>10204</v>
      </c>
      <c r="J307" s="208" t="s">
        <v>1066</v>
      </c>
    </row>
    <row r="308" spans="2:12" s="205" customFormat="1" x14ac:dyDescent="0.2">
      <c r="B308" s="209" t="str">
        <f>J308 &amp; "  " &amp; K308</f>
        <v>04.04.03  REDES COLECTORAS</v>
      </c>
      <c r="C308" s="268"/>
      <c r="D308" s="252"/>
      <c r="E308" s="252"/>
      <c r="F308" s="253"/>
      <c r="G308" s="254">
        <f>SUM(G309:G311)</f>
        <v>434</v>
      </c>
      <c r="H308" s="210"/>
      <c r="I308" s="211" t="s">
        <v>163</v>
      </c>
      <c r="J308" s="212" t="s">
        <v>1070</v>
      </c>
      <c r="K308" s="210" t="s">
        <v>1071</v>
      </c>
      <c r="L308" s="210"/>
    </row>
    <row r="309" spans="2:12" s="205" customFormat="1" x14ac:dyDescent="0.2">
      <c r="B309" s="213" t="str">
        <f>J309 &amp; "  " &amp; VLOOKUP(I309,BDcuA,2,FALSE)</f>
        <v>04.04.03.01  EXC. MANUAL DE ZANJA PARA TUBERIA DE DESAGUE PLUVIAL  H=0.70 M, EN MATERIAL SUELTO</v>
      </c>
      <c r="C309" s="267"/>
      <c r="D309" s="249" t="str">
        <f>VLOOKUP(I309,BDcuA,4,FALSE)</f>
        <v>M</v>
      </c>
      <c r="E309" s="249">
        <v>5</v>
      </c>
      <c r="F309" s="250">
        <f>VLOOKUP(I309,BDcuA,5,FALSE)</f>
        <v>33.340000000000003</v>
      </c>
      <c r="G309" s="251">
        <f>ROUND(F309*E309,DpP)</f>
        <v>166.7</v>
      </c>
      <c r="I309" s="207">
        <v>10205</v>
      </c>
      <c r="J309" s="208" t="s">
        <v>1072</v>
      </c>
    </row>
    <row r="310" spans="2:12" s="205" customFormat="1" x14ac:dyDescent="0.2">
      <c r="B310" s="213" t="str">
        <f>J310 &amp; "  " &amp; VLOOKUP(I310,BDcuA,2,FALSE)</f>
        <v>04.04.03.02  RELLENO COMP. ZANJA T.-NORMAL P/TUBERIA  DE DESAGUE PLUVIAL</v>
      </c>
      <c r="C310" s="267"/>
      <c r="D310" s="249" t="str">
        <f>VLOOKUP(I310,BDcuA,4,FALSE)</f>
        <v>M</v>
      </c>
      <c r="E310" s="249">
        <v>5</v>
      </c>
      <c r="F310" s="250">
        <f>VLOOKUP(I310,BDcuA,5,FALSE)</f>
        <v>43.88</v>
      </c>
      <c r="G310" s="251">
        <f>ROUND(F310*E310,DpP)</f>
        <v>219.4</v>
      </c>
      <c r="I310" s="207">
        <v>10206</v>
      </c>
      <c r="J310" s="208" t="s">
        <v>1074</v>
      </c>
    </row>
    <row r="311" spans="2:12" s="205" customFormat="1" x14ac:dyDescent="0.2">
      <c r="B311" s="213" t="str">
        <f>J311 &amp; "  " &amp; VLOOKUP(I311,BDcuA,2,FALSE)</f>
        <v>04.04.03.03  RED COLECTORA DE DESAGUE PVC-SAL DE 3"</v>
      </c>
      <c r="C311" s="267"/>
      <c r="D311" s="249" t="str">
        <f>VLOOKUP(I311,BDcuA,4,FALSE)</f>
        <v>M</v>
      </c>
      <c r="E311" s="249">
        <v>5</v>
      </c>
      <c r="F311" s="250">
        <f>VLOOKUP(I311,BDcuA,5,FALSE)</f>
        <v>9.5800000000000018</v>
      </c>
      <c r="G311" s="251">
        <f>ROUND(F311*E311,DpP)</f>
        <v>47.9</v>
      </c>
      <c r="I311" s="207">
        <v>10207</v>
      </c>
      <c r="J311" s="208" t="s">
        <v>1077</v>
      </c>
    </row>
    <row r="312" spans="2:12" s="205" customFormat="1" x14ac:dyDescent="0.2">
      <c r="B312" s="209" t="str">
        <f>J312 &amp; "  " &amp; K312</f>
        <v>04.04.04  MONTANTES DE RECOLECCION</v>
      </c>
      <c r="C312" s="268"/>
      <c r="D312" s="252"/>
      <c r="E312" s="252"/>
      <c r="F312" s="253"/>
      <c r="G312" s="254">
        <f>SUM(G313:G313)</f>
        <v>85.2</v>
      </c>
      <c r="H312" s="210"/>
      <c r="I312" s="211" t="s">
        <v>163</v>
      </c>
      <c r="J312" s="212" t="s">
        <v>1080</v>
      </c>
      <c r="K312" s="210" t="s">
        <v>1081</v>
      </c>
      <c r="L312" s="210"/>
    </row>
    <row r="313" spans="2:12" s="205" customFormat="1" x14ac:dyDescent="0.2">
      <c r="B313" s="213" t="str">
        <f>J313 &amp; "  " &amp; VLOOKUP(I313,BDcuA,2,FALSE)</f>
        <v>04.04.04.01  RED PARA MONTANTE DE DESAGUE PLUVIAL PVC SAL DE 2"</v>
      </c>
      <c r="C313" s="267"/>
      <c r="D313" s="249" t="str">
        <f>VLOOKUP(I313,BDcuA,4,FALSE)</f>
        <v>M</v>
      </c>
      <c r="E313" s="249">
        <v>5</v>
      </c>
      <c r="F313" s="250">
        <f>VLOOKUP(I313,BDcuA,5,FALSE)</f>
        <v>17.04</v>
      </c>
      <c r="G313" s="251">
        <f>ROUND(F313*E313,DpP)</f>
        <v>85.2</v>
      </c>
      <c r="I313" s="207">
        <v>10208</v>
      </c>
      <c r="J313" s="208" t="s">
        <v>1082</v>
      </c>
    </row>
    <row r="314" spans="2:12" s="205" customFormat="1" x14ac:dyDescent="0.2">
      <c r="B314" s="214" t="str">
        <f>J314 &amp; "  " &amp; K314</f>
        <v>04.05  SISTEMA DE DESAGUE Y VENTILACION</v>
      </c>
      <c r="C314" s="269"/>
      <c r="D314" s="255"/>
      <c r="E314" s="255"/>
      <c r="F314" s="256"/>
      <c r="G314" s="257">
        <f>SUMIF(Pto!$I315:$I346,"&gt;10000",G315:G346)</f>
        <v>33569.290000000008</v>
      </c>
      <c r="H314" s="215"/>
      <c r="I314" s="216" t="s">
        <v>160</v>
      </c>
      <c r="J314" s="217" t="s">
        <v>1085</v>
      </c>
      <c r="K314" s="215" t="s">
        <v>1086</v>
      </c>
      <c r="L314" s="215"/>
    </row>
    <row r="315" spans="2:12" s="205" customFormat="1" x14ac:dyDescent="0.2">
      <c r="B315" s="209" t="str">
        <f>J315 &amp; "  " &amp; K315</f>
        <v>04.05.01  SALIDAS  DE DESAGUE</v>
      </c>
      <c r="C315" s="268"/>
      <c r="D315" s="252"/>
      <c r="E315" s="252"/>
      <c r="F315" s="253"/>
      <c r="G315" s="254">
        <f>SUM(G316:G318)</f>
        <v>16229.4</v>
      </c>
      <c r="H315" s="210"/>
      <c r="I315" s="211" t="s">
        <v>163</v>
      </c>
      <c r="J315" s="212" t="s">
        <v>1087</v>
      </c>
      <c r="K315" s="210" t="s">
        <v>1088</v>
      </c>
      <c r="L315" s="210"/>
    </row>
    <row r="316" spans="2:12" s="205" customFormat="1" x14ac:dyDescent="0.2">
      <c r="B316" s="213" t="str">
        <f>J316 &amp; "  " &amp; VLOOKUP(I316,BDcuA,2,FALSE)</f>
        <v>04.05.01.01  SALIDAS DE PVC SAL PARA DESAGUE DE 4"</v>
      </c>
      <c r="C316" s="267"/>
      <c r="D316" s="249" t="str">
        <f>VLOOKUP(I316,BDcuA,4,FALSE)</f>
        <v>Pto</v>
      </c>
      <c r="E316" s="249">
        <v>67</v>
      </c>
      <c r="F316" s="250">
        <f>VLOOKUP(I316,BDcuA,5,FALSE)</f>
        <v>71.900000000000006</v>
      </c>
      <c r="G316" s="251">
        <f>ROUND(F316*E316,DpP)</f>
        <v>4817.3</v>
      </c>
      <c r="I316" s="207">
        <v>10209</v>
      </c>
      <c r="J316" s="208" t="s">
        <v>1089</v>
      </c>
    </row>
    <row r="317" spans="2:12" s="205" customFormat="1" x14ac:dyDescent="0.2">
      <c r="B317" s="213" t="str">
        <f>J317 &amp; "  " &amp; VLOOKUP(I317,BDcuA,2,FALSE)</f>
        <v>04.05.01.02  SALIDAS DE PVC SAL PARA DESAGUE DE 3"</v>
      </c>
      <c r="C317" s="267"/>
      <c r="D317" s="249" t="str">
        <f>VLOOKUP(I317,BDcuA,4,FALSE)</f>
        <v>Pto</v>
      </c>
      <c r="E317" s="249">
        <v>19</v>
      </c>
      <c r="F317" s="250">
        <f>VLOOKUP(I317,BDcuA,5,FALSE)</f>
        <v>66.98</v>
      </c>
      <c r="G317" s="251">
        <f>ROUND(F317*E317,DpP)</f>
        <v>1272.6199999999999</v>
      </c>
      <c r="I317" s="207">
        <v>10210</v>
      </c>
      <c r="J317" s="208" t="s">
        <v>1096</v>
      </c>
    </row>
    <row r="318" spans="2:12" s="205" customFormat="1" x14ac:dyDescent="0.2">
      <c r="B318" s="213" t="str">
        <f>J318 &amp; "  " &amp; VLOOKUP(I318,BDcuA,2,FALSE)</f>
        <v>04.05.01.03  SALIDAS DE PVC SAL PARA DESAGUE DE 2"</v>
      </c>
      <c r="C318" s="267"/>
      <c r="D318" s="249" t="str">
        <f>VLOOKUP(I318,BDcuA,4,FALSE)</f>
        <v>Pto</v>
      </c>
      <c r="E318" s="249">
        <v>148</v>
      </c>
      <c r="F318" s="250">
        <f>VLOOKUP(I318,BDcuA,5,FALSE)</f>
        <v>68.510000000000005</v>
      </c>
      <c r="G318" s="251">
        <f>ROUND(F318*E318,DpP)</f>
        <v>10139.48</v>
      </c>
      <c r="I318" s="207">
        <v>10211</v>
      </c>
      <c r="J318" s="208" t="s">
        <v>1101</v>
      </c>
    </row>
    <row r="319" spans="2:12" s="205" customFormat="1" x14ac:dyDescent="0.2">
      <c r="B319" s="209" t="str">
        <f>J319 &amp; "  " &amp; K319</f>
        <v>04.05.02  REDES  DE DERIVACION</v>
      </c>
      <c r="C319" s="268"/>
      <c r="D319" s="252"/>
      <c r="E319" s="252"/>
      <c r="F319" s="253"/>
      <c r="G319" s="254">
        <f>SUM(G320:G322)</f>
        <v>1735.64</v>
      </c>
      <c r="H319" s="210"/>
      <c r="I319" s="211" t="s">
        <v>163</v>
      </c>
      <c r="J319" s="212" t="s">
        <v>1105</v>
      </c>
      <c r="K319" s="210" t="s">
        <v>1106</v>
      </c>
      <c r="L319" s="210"/>
    </row>
    <row r="320" spans="2:12" s="205" customFormat="1" x14ac:dyDescent="0.2">
      <c r="B320" s="213" t="str">
        <f>J320 &amp; "  " &amp; VLOOKUP(I320,BDcuA,2,FALSE)</f>
        <v>04.05.02.01  RED DE DERIVACION PVC SAL PARA DESAGUE DE 4"</v>
      </c>
      <c r="C320" s="267"/>
      <c r="D320" s="249" t="str">
        <f>VLOOKUP(I320,BDcuA,4,FALSE)</f>
        <v>M</v>
      </c>
      <c r="E320" s="249">
        <v>37</v>
      </c>
      <c r="F320" s="250">
        <f>VLOOKUP(I320,BDcuA,5,FALSE)</f>
        <v>19.98</v>
      </c>
      <c r="G320" s="251">
        <f>ROUND(F320*E320,DpP)</f>
        <v>739.26</v>
      </c>
      <c r="I320" s="207">
        <v>10212</v>
      </c>
      <c r="J320" s="208" t="s">
        <v>1107</v>
      </c>
    </row>
    <row r="321" spans="2:12" s="205" customFormat="1" x14ac:dyDescent="0.2">
      <c r="B321" s="213" t="str">
        <f>J321 &amp; "  " &amp; VLOOKUP(I321,BDcuA,2,FALSE)</f>
        <v>04.05.02.02  RED DE DERIVACION PVC SAL PARA DESAGUE DE 3"</v>
      </c>
      <c r="C321" s="267"/>
      <c r="D321" s="249" t="str">
        <f>VLOOKUP(I321,BDcuA,4,FALSE)</f>
        <v>M</v>
      </c>
      <c r="E321" s="249">
        <v>51.5</v>
      </c>
      <c r="F321" s="250">
        <f>VLOOKUP(I321,BDcuA,5,FALSE)</f>
        <v>18.72</v>
      </c>
      <c r="G321" s="251">
        <f>ROUND(F321*E321,DpP)</f>
        <v>964.08</v>
      </c>
      <c r="I321" s="207">
        <v>10213</v>
      </c>
      <c r="J321" s="208" t="s">
        <v>1111</v>
      </c>
    </row>
    <row r="322" spans="2:12" s="205" customFormat="1" x14ac:dyDescent="0.2">
      <c r="B322" s="213" t="str">
        <f>J322 &amp; "  " &amp; VLOOKUP(I322,BDcuA,2,FALSE)</f>
        <v>04.05.02.03  RED DE DERIVACION PVC SAL PARA DESAGUE DE 2"</v>
      </c>
      <c r="C322" s="267"/>
      <c r="D322" s="249" t="str">
        <f>VLOOKUP(I322,BDcuA,4,FALSE)</f>
        <v>M</v>
      </c>
      <c r="E322" s="249">
        <v>2</v>
      </c>
      <c r="F322" s="250">
        <f>VLOOKUP(I322,BDcuA,5,FALSE)</f>
        <v>16.150000000000002</v>
      </c>
      <c r="G322" s="251">
        <f>ROUND(F322*E322,DpP)</f>
        <v>32.299999999999997</v>
      </c>
      <c r="I322" s="207">
        <v>10214</v>
      </c>
      <c r="J322" s="208" t="s">
        <v>1113</v>
      </c>
    </row>
    <row r="323" spans="2:12" s="205" customFormat="1" x14ac:dyDescent="0.2">
      <c r="B323" s="209" t="str">
        <f>J323 &amp; "  " &amp; K323</f>
        <v>04.05.03  REDES COLECTORAS</v>
      </c>
      <c r="C323" s="268"/>
      <c r="D323" s="252"/>
      <c r="E323" s="252"/>
      <c r="F323" s="253"/>
      <c r="G323" s="254">
        <f>SUM(G324:G334)</f>
        <v>10112.82</v>
      </c>
      <c r="H323" s="210"/>
      <c r="I323" s="211" t="s">
        <v>163</v>
      </c>
      <c r="J323" s="212" t="s">
        <v>1115</v>
      </c>
      <c r="K323" s="210" t="s">
        <v>1071</v>
      </c>
      <c r="L323" s="210"/>
    </row>
    <row r="324" spans="2:12" s="205" customFormat="1" x14ac:dyDescent="0.2">
      <c r="B324" s="213" t="str">
        <f t="shared" ref="B324:B334" si="40">J324 &amp; "  " &amp; VLOOKUP(I324,BDcuA,2,FALSE)</f>
        <v>04.05.03.01  EXC. MANUAL DE ZANJA PARA TUBERIA DE DESAGUE H=1.00 M</v>
      </c>
      <c r="C324" s="267"/>
      <c r="D324" s="249" t="str">
        <f t="shared" ref="D324:D334" si="41">VLOOKUP(I324,BDcuA,4,FALSE)</f>
        <v>M</v>
      </c>
      <c r="E324" s="249">
        <v>34.200000000000003</v>
      </c>
      <c r="F324" s="250">
        <f t="shared" ref="F324:F334" si="42">VLOOKUP(I324,BDcuA,5,FALSE)</f>
        <v>33.340000000000003</v>
      </c>
      <c r="G324" s="251">
        <f t="shared" ref="G324:G334" si="43">ROUND(F324*E324,DpP)</f>
        <v>1140.23</v>
      </c>
      <c r="I324" s="207">
        <v>10215</v>
      </c>
      <c r="J324" s="208" t="s">
        <v>1116</v>
      </c>
    </row>
    <row r="325" spans="2:12" s="205" customFormat="1" x14ac:dyDescent="0.2">
      <c r="B325" s="213" t="str">
        <f t="shared" si="40"/>
        <v>04.05.03.02  RELLENO COMP. ZANJA T.-NORMAL P/TUBERIA  DE DESAGUE</v>
      </c>
      <c r="C325" s="267"/>
      <c r="D325" s="249" t="str">
        <f t="shared" si="41"/>
        <v>M</v>
      </c>
      <c r="E325" s="249">
        <v>34.200000000000003</v>
      </c>
      <c r="F325" s="250">
        <f t="shared" si="42"/>
        <v>41.53</v>
      </c>
      <c r="G325" s="251">
        <f t="shared" si="43"/>
        <v>1420.33</v>
      </c>
      <c r="I325" s="207">
        <v>10216</v>
      </c>
      <c r="J325" s="208" t="s">
        <v>1118</v>
      </c>
    </row>
    <row r="326" spans="2:12" s="205" customFormat="1" x14ac:dyDescent="0.2">
      <c r="B326" s="213" t="str">
        <f t="shared" si="40"/>
        <v>04.05.03.03  RED COLECTORA DE DESAGUE PVC-SAL DE 4"</v>
      </c>
      <c r="C326" s="267"/>
      <c r="D326" s="249" t="str">
        <f t="shared" si="41"/>
        <v>M</v>
      </c>
      <c r="E326" s="249">
        <v>26</v>
      </c>
      <c r="F326" s="250">
        <f t="shared" si="42"/>
        <v>12.39</v>
      </c>
      <c r="G326" s="251">
        <f t="shared" si="43"/>
        <v>322.14</v>
      </c>
      <c r="I326" s="207">
        <v>10217</v>
      </c>
      <c r="J326" s="208" t="s">
        <v>1120</v>
      </c>
    </row>
    <row r="327" spans="2:12" s="205" customFormat="1" x14ac:dyDescent="0.2">
      <c r="B327" s="213" t="str">
        <f t="shared" si="40"/>
        <v>04.05.03.04  RED COLECTORA DE DESAGUE PVC-SAL DE 3"</v>
      </c>
      <c r="C327" s="267"/>
      <c r="D327" s="249" t="str">
        <f t="shared" si="41"/>
        <v>M</v>
      </c>
      <c r="E327" s="249">
        <v>7.2</v>
      </c>
      <c r="F327" s="250">
        <f t="shared" si="42"/>
        <v>16.59</v>
      </c>
      <c r="G327" s="251">
        <f t="shared" si="43"/>
        <v>119.45</v>
      </c>
      <c r="I327" s="207">
        <v>10218</v>
      </c>
      <c r="J327" s="208" t="s">
        <v>1123</v>
      </c>
    </row>
    <row r="328" spans="2:12" s="205" customFormat="1" x14ac:dyDescent="0.2">
      <c r="B328" s="213" t="str">
        <f t="shared" si="40"/>
        <v>04.05.03.05  RED COLECTORA DE DESAGUE PVC-SAL DE 2"</v>
      </c>
      <c r="C328" s="267"/>
      <c r="D328" s="249" t="str">
        <f t="shared" si="41"/>
        <v>M</v>
      </c>
      <c r="E328" s="249">
        <v>1</v>
      </c>
      <c r="F328" s="250">
        <f t="shared" si="42"/>
        <v>8.4700000000000006</v>
      </c>
      <c r="G328" s="251">
        <f t="shared" si="43"/>
        <v>8.4700000000000006</v>
      </c>
      <c r="I328" s="207">
        <v>10219</v>
      </c>
      <c r="J328" s="208" t="s">
        <v>1124</v>
      </c>
    </row>
    <row r="329" spans="2:12" s="205" customFormat="1" x14ac:dyDescent="0.2">
      <c r="B329" s="213" t="str">
        <f t="shared" si="40"/>
        <v>04.05.03.06  RED COLECTORA  COLGANTE DE DESAGUE PVC-SAP DE 4"</v>
      </c>
      <c r="C329" s="267"/>
      <c r="D329" s="249" t="str">
        <f t="shared" si="41"/>
        <v>M</v>
      </c>
      <c r="E329" s="249">
        <v>21.5</v>
      </c>
      <c r="F329" s="250">
        <f t="shared" si="42"/>
        <v>56.8</v>
      </c>
      <c r="G329" s="251">
        <f t="shared" si="43"/>
        <v>1221.2</v>
      </c>
      <c r="I329" s="207">
        <v>10220</v>
      </c>
      <c r="J329" s="208" t="s">
        <v>1126</v>
      </c>
    </row>
    <row r="330" spans="2:12" s="205" customFormat="1" x14ac:dyDescent="0.2">
      <c r="B330" s="213" t="str">
        <f t="shared" si="40"/>
        <v>04.05.03.07  RED COLECTORA COLGANTE DE DESAGUE PVC-SAP DE 3"</v>
      </c>
      <c r="C330" s="267"/>
      <c r="D330" s="249" t="str">
        <f t="shared" si="41"/>
        <v>M</v>
      </c>
      <c r="E330" s="249">
        <v>6</v>
      </c>
      <c r="F330" s="250">
        <f t="shared" si="42"/>
        <v>50.25</v>
      </c>
      <c r="G330" s="251">
        <f t="shared" si="43"/>
        <v>301.5</v>
      </c>
      <c r="I330" s="207">
        <v>10221</v>
      </c>
      <c r="J330" s="208" t="s">
        <v>1131</v>
      </c>
    </row>
    <row r="331" spans="2:12" s="205" customFormat="1" x14ac:dyDescent="0.2">
      <c r="B331" s="213" t="str">
        <f t="shared" si="40"/>
        <v>04.05.03.08  RED COLECTORA COLGANTE DE DESAGUE PVC-SAP DE 2"</v>
      </c>
      <c r="C331" s="267"/>
      <c r="D331" s="249" t="str">
        <f t="shared" si="41"/>
        <v>M</v>
      </c>
      <c r="E331" s="249">
        <v>10</v>
      </c>
      <c r="F331" s="250">
        <f t="shared" si="42"/>
        <v>48.5</v>
      </c>
      <c r="G331" s="251">
        <f t="shared" si="43"/>
        <v>485</v>
      </c>
      <c r="I331" s="207">
        <v>10222</v>
      </c>
      <c r="J331" s="208" t="s">
        <v>1135</v>
      </c>
    </row>
    <row r="332" spans="2:12" s="205" customFormat="1" x14ac:dyDescent="0.2">
      <c r="B332" s="213" t="str">
        <f t="shared" si="40"/>
        <v>04.05.03.09  RED PARA MONTANTE DE DESAGUE PVC SAL DE 4"</v>
      </c>
      <c r="C332" s="267"/>
      <c r="D332" s="249" t="str">
        <f t="shared" si="41"/>
        <v>M</v>
      </c>
      <c r="E332" s="249">
        <v>99.6</v>
      </c>
      <c r="F332" s="250">
        <f t="shared" si="42"/>
        <v>27.959999999999997</v>
      </c>
      <c r="G332" s="251">
        <f t="shared" si="43"/>
        <v>2784.82</v>
      </c>
      <c r="I332" s="207">
        <v>10223</v>
      </c>
      <c r="J332" s="208" t="s">
        <v>1139</v>
      </c>
    </row>
    <row r="333" spans="2:12" s="205" customFormat="1" x14ac:dyDescent="0.2">
      <c r="B333" s="213" t="str">
        <f t="shared" si="40"/>
        <v>04.05.03.10  RED PARA MONTANTE DE DESAGUE PVC SAL DE 3"</v>
      </c>
      <c r="C333" s="267"/>
      <c r="D333" s="249" t="str">
        <f t="shared" si="41"/>
        <v>M</v>
      </c>
      <c r="E333" s="249">
        <v>74.7</v>
      </c>
      <c r="F333" s="250">
        <f t="shared" si="42"/>
        <v>25.63</v>
      </c>
      <c r="G333" s="251">
        <f t="shared" si="43"/>
        <v>1914.56</v>
      </c>
      <c r="I333" s="207">
        <v>10224</v>
      </c>
      <c r="J333" s="208" t="s">
        <v>1141</v>
      </c>
    </row>
    <row r="334" spans="2:12" s="205" customFormat="1" x14ac:dyDescent="0.2">
      <c r="B334" s="213" t="str">
        <f t="shared" si="40"/>
        <v>04.05.03.11  PRUEBA HIDRAULICA DE TUBERIA DE DESAGUE</v>
      </c>
      <c r="C334" s="267"/>
      <c r="D334" s="249" t="str">
        <f t="shared" si="41"/>
        <v>M</v>
      </c>
      <c r="E334" s="249">
        <v>79.5</v>
      </c>
      <c r="F334" s="250">
        <f t="shared" si="42"/>
        <v>4.97</v>
      </c>
      <c r="G334" s="251">
        <f t="shared" si="43"/>
        <v>395.12</v>
      </c>
      <c r="I334" s="207">
        <v>10225</v>
      </c>
      <c r="J334" s="208" t="s">
        <v>1143</v>
      </c>
    </row>
    <row r="335" spans="2:12" s="205" customFormat="1" x14ac:dyDescent="0.2">
      <c r="B335" s="209" t="str">
        <f>J335 &amp; "  " &amp; K335</f>
        <v>04.05.04  ACCESORIOS</v>
      </c>
      <c r="C335" s="268"/>
      <c r="D335" s="252"/>
      <c r="E335" s="252"/>
      <c r="F335" s="253"/>
      <c r="G335" s="254">
        <f>SUM(G336:G340)</f>
        <v>3575.66</v>
      </c>
      <c r="H335" s="210"/>
      <c r="I335" s="211" t="s">
        <v>163</v>
      </c>
      <c r="J335" s="212" t="s">
        <v>1146</v>
      </c>
      <c r="K335" s="210" t="s">
        <v>896</v>
      </c>
      <c r="L335" s="210"/>
    </row>
    <row r="336" spans="2:12" s="205" customFormat="1" x14ac:dyDescent="0.2">
      <c r="B336" s="213" t="str">
        <f>J336 &amp; "  " &amp; VLOOKUP(I336,BDcuA,2,FALSE)</f>
        <v>04.05.04.01  REGISTRO ROSCADO DE BRONCE CROMADO DE 4"</v>
      </c>
      <c r="C336" s="267"/>
      <c r="D336" s="249" t="str">
        <f>VLOOKUP(I336,BDcuA,4,FALSE)</f>
        <v>UND</v>
      </c>
      <c r="E336" s="249">
        <v>37</v>
      </c>
      <c r="F336" s="250">
        <f>VLOOKUP(I336,BDcuA,5,FALSE)</f>
        <v>30.86</v>
      </c>
      <c r="G336" s="251">
        <f>ROUND(F336*E336,DpP)</f>
        <v>1141.82</v>
      </c>
      <c r="I336" s="207">
        <v>10226</v>
      </c>
      <c r="J336" s="208" t="s">
        <v>1147</v>
      </c>
    </row>
    <row r="337" spans="2:12" s="205" customFormat="1" x14ac:dyDescent="0.2">
      <c r="B337" s="213" t="str">
        <f>J337 &amp; "  " &amp; VLOOKUP(I337,BDcuA,2,FALSE)</f>
        <v>04.05.04.02  REGISTRO ROSCADO DE BRONCE CROMADO DE 3"</v>
      </c>
      <c r="C337" s="267"/>
      <c r="D337" s="249" t="str">
        <f>VLOOKUP(I337,BDcuA,4,FALSE)</f>
        <v>UND</v>
      </c>
      <c r="E337" s="249">
        <v>22</v>
      </c>
      <c r="F337" s="250">
        <f>VLOOKUP(I337,BDcuA,5,FALSE)</f>
        <v>24.48</v>
      </c>
      <c r="G337" s="251">
        <f>ROUND(F337*E337,DpP)</f>
        <v>538.55999999999995</v>
      </c>
      <c r="I337" s="207">
        <v>10227</v>
      </c>
      <c r="J337" s="208" t="s">
        <v>1149</v>
      </c>
    </row>
    <row r="338" spans="2:12" s="205" customFormat="1" x14ac:dyDescent="0.2">
      <c r="B338" s="213" t="str">
        <f>J338 &amp; "  " &amp; VLOOKUP(I338,BDcuA,2,FALSE)</f>
        <v>04.05.04.03  REGISTRO ROSCADO DE BRONCE CROMADO DE 2"</v>
      </c>
      <c r="C338" s="267"/>
      <c r="D338" s="249" t="str">
        <f>VLOOKUP(I338,BDcuA,4,FALSE)</f>
        <v>UND</v>
      </c>
      <c r="E338" s="249">
        <v>5</v>
      </c>
      <c r="F338" s="250">
        <f>VLOOKUP(I338,BDcuA,5,FALSE)</f>
        <v>21.48</v>
      </c>
      <c r="G338" s="251">
        <f>ROUND(F338*E338,DpP)</f>
        <v>107.4</v>
      </c>
      <c r="I338" s="207">
        <v>10228</v>
      </c>
      <c r="J338" s="208" t="s">
        <v>1151</v>
      </c>
    </row>
    <row r="339" spans="2:12" s="205" customFormat="1" x14ac:dyDescent="0.2">
      <c r="B339" s="213" t="str">
        <f>J339 &amp; "  " &amp; VLOOKUP(I339,BDcuA,2,FALSE)</f>
        <v>04.05.04.04  SUMIDERO DE BRONCE CROMADO DE 3"</v>
      </c>
      <c r="C339" s="267"/>
      <c r="D339" s="249" t="str">
        <f>VLOOKUP(I339,BDcuA,4,FALSE)</f>
        <v>UND</v>
      </c>
      <c r="E339" s="249">
        <v>5</v>
      </c>
      <c r="F339" s="250">
        <f>VLOOKUP(I339,BDcuA,5,FALSE)</f>
        <v>24.36</v>
      </c>
      <c r="G339" s="251">
        <f>ROUND(F339*E339,DpP)</f>
        <v>121.8</v>
      </c>
      <c r="I339" s="207">
        <v>10229</v>
      </c>
      <c r="J339" s="208" t="s">
        <v>1153</v>
      </c>
    </row>
    <row r="340" spans="2:12" s="205" customFormat="1" x14ac:dyDescent="0.2">
      <c r="B340" s="213" t="str">
        <f>J340 &amp; "  " &amp; VLOOKUP(I340,BDcuA,2,FALSE)</f>
        <v>04.05.04.05  SUMIDERO DE BRONCE CROMADO DE 2"</v>
      </c>
      <c r="C340" s="267"/>
      <c r="D340" s="249" t="str">
        <f>VLOOKUP(I340,BDcuA,4,FALSE)</f>
        <v>UND</v>
      </c>
      <c r="E340" s="249">
        <v>78</v>
      </c>
      <c r="F340" s="250">
        <f>VLOOKUP(I340,BDcuA,5,FALSE)</f>
        <v>21.36</v>
      </c>
      <c r="G340" s="251">
        <f>ROUND(F340*E340,DpP)</f>
        <v>1666.08</v>
      </c>
      <c r="I340" s="207">
        <v>10230</v>
      </c>
      <c r="J340" s="208" t="s">
        <v>1156</v>
      </c>
    </row>
    <row r="341" spans="2:12" s="205" customFormat="1" x14ac:dyDescent="0.2">
      <c r="B341" s="209" t="str">
        <f>J341 &amp; "  " &amp; K341</f>
        <v>04.05.05  VALVULAS Y OTROS</v>
      </c>
      <c r="C341" s="268"/>
      <c r="D341" s="252"/>
      <c r="E341" s="252"/>
      <c r="F341" s="253"/>
      <c r="G341" s="254">
        <f>SUM(G342:G342)</f>
        <v>425.2</v>
      </c>
      <c r="H341" s="210"/>
      <c r="I341" s="211" t="s">
        <v>163</v>
      </c>
      <c r="J341" s="212" t="s">
        <v>1159</v>
      </c>
      <c r="K341" s="210" t="s">
        <v>983</v>
      </c>
      <c r="L341" s="210"/>
    </row>
    <row r="342" spans="2:12" s="205" customFormat="1" x14ac:dyDescent="0.2">
      <c r="B342" s="213" t="str">
        <f>J342 &amp; "  " &amp; VLOOKUP(I342,BDcuA,2,FALSE)</f>
        <v>04.05.05.01  ROMPEAGUAS 0.30 X 0.30 PARA TUBO DE 3" X 10"</v>
      </c>
      <c r="C342" s="267"/>
      <c r="D342" s="249" t="str">
        <f>VLOOKUP(I342,BDcuA,4,FALSE)</f>
        <v>UND</v>
      </c>
      <c r="E342" s="249">
        <v>2</v>
      </c>
      <c r="F342" s="250">
        <f>VLOOKUP(I342,BDcuA,5,FALSE)</f>
        <v>212.6</v>
      </c>
      <c r="G342" s="251">
        <f>ROUND(F342*E342,DpP)</f>
        <v>425.2</v>
      </c>
      <c r="I342" s="207">
        <v>10231</v>
      </c>
      <c r="J342" s="208" t="s">
        <v>1160</v>
      </c>
    </row>
    <row r="343" spans="2:12" s="205" customFormat="1" x14ac:dyDescent="0.2">
      <c r="B343" s="209" t="str">
        <f>J343 &amp; "  " &amp; K343</f>
        <v>04.05.06  CAMARAS DE INSPECCION</v>
      </c>
      <c r="C343" s="268"/>
      <c r="D343" s="252"/>
      <c r="E343" s="252"/>
      <c r="F343" s="253"/>
      <c r="G343" s="254">
        <f>SUMIF(Pto!$I344:$I346,"&gt;10000",G344:G346)</f>
        <v>1490.5700000000002</v>
      </c>
      <c r="H343" s="210"/>
      <c r="I343" s="211" t="s">
        <v>163</v>
      </c>
      <c r="J343" s="212" t="s">
        <v>1164</v>
      </c>
      <c r="K343" s="210" t="s">
        <v>1165</v>
      </c>
      <c r="L343" s="210"/>
    </row>
    <row r="344" spans="2:12" s="205" customFormat="1" x14ac:dyDescent="0.2">
      <c r="B344" s="201" t="str">
        <f>J344 &amp; "  " &amp; K344</f>
        <v>04.05.06.01  CAJAS DE REGISTRO</v>
      </c>
      <c r="C344" s="266"/>
      <c r="D344" s="246"/>
      <c r="E344" s="246"/>
      <c r="F344" s="247"/>
      <c r="G344" s="248">
        <f>SUM(G345:G346)</f>
        <v>1490.5700000000002</v>
      </c>
      <c r="H344" s="202"/>
      <c r="I344" s="203" t="s">
        <v>216</v>
      </c>
      <c r="J344" s="204" t="s">
        <v>1166</v>
      </c>
      <c r="K344" s="202" t="s">
        <v>1167</v>
      </c>
      <c r="L344" s="202"/>
    </row>
    <row r="345" spans="2:12" s="205" customFormat="1" x14ac:dyDescent="0.2">
      <c r="B345" s="206" t="str">
        <f>J345 &amp; "  " &amp; VLOOKUP(I345,BDcuA,2,FALSE)</f>
        <v>04.05.06.01.01  CAJA DE REGISTRO DE CONCRETO DE 12"X24" C/TAPA DE CONCRETO</v>
      </c>
      <c r="C345" s="267"/>
      <c r="D345" s="249" t="str">
        <f>VLOOKUP(I345,BDcuA,4,FALSE)</f>
        <v>UND</v>
      </c>
      <c r="E345" s="249">
        <v>4</v>
      </c>
      <c r="F345" s="250">
        <f>VLOOKUP(I345,BDcuA,5,FALSE)</f>
        <v>269.99</v>
      </c>
      <c r="G345" s="251">
        <f>ROUND(F345*E345,DpP)</f>
        <v>1079.96</v>
      </c>
      <c r="I345" s="207">
        <v>10232</v>
      </c>
      <c r="J345" s="208" t="s">
        <v>1168</v>
      </c>
    </row>
    <row r="346" spans="2:12" s="205" customFormat="1" x14ac:dyDescent="0.2">
      <c r="B346" s="206" t="str">
        <f>J346 &amp; "  " &amp; VLOOKUP(I346,BDcuA,2,FALSE)</f>
        <v>04.05.06.01.02  CAJA DE REGISTRO DE CONCRETO DE 18"X24"  C/TAPA DE CONCRETO</v>
      </c>
      <c r="C346" s="267"/>
      <c r="D346" s="249" t="str">
        <f>VLOOKUP(I346,BDcuA,4,FALSE)</f>
        <v>UND</v>
      </c>
      <c r="E346" s="249">
        <v>1</v>
      </c>
      <c r="F346" s="250">
        <f>VLOOKUP(I346,BDcuA,5,FALSE)</f>
        <v>410.61000000000007</v>
      </c>
      <c r="G346" s="251">
        <f>ROUND(F346*E346,DpP)</f>
        <v>410.61</v>
      </c>
      <c r="I346" s="207">
        <v>10233</v>
      </c>
      <c r="J346" s="208" t="s">
        <v>1171</v>
      </c>
    </row>
    <row r="347" spans="2:12" s="205" customFormat="1" x14ac:dyDescent="0.2">
      <c r="B347" s="214" t="str">
        <f>J347 &amp; "  " &amp; K347</f>
        <v>04.06  SISTEMA DE VENTILACION</v>
      </c>
      <c r="C347" s="269"/>
      <c r="D347" s="255"/>
      <c r="E347" s="255"/>
      <c r="F347" s="256"/>
      <c r="G347" s="257">
        <f>SUMIF(Pto!$I348:$I355,"&gt;10000",G348:G355)</f>
        <v>5895.6200000000008</v>
      </c>
      <c r="H347" s="215"/>
      <c r="I347" s="216" t="s">
        <v>160</v>
      </c>
      <c r="J347" s="217" t="s">
        <v>1173</v>
      </c>
      <c r="K347" s="215" t="s">
        <v>1174</v>
      </c>
      <c r="L347" s="215"/>
    </row>
    <row r="348" spans="2:12" s="205" customFormat="1" x14ac:dyDescent="0.2">
      <c r="B348" s="209" t="str">
        <f>J348 &amp; "  " &amp; K348</f>
        <v>04.06.01  SALIDAS  DE VENTILACION</v>
      </c>
      <c r="C348" s="268"/>
      <c r="D348" s="252"/>
      <c r="E348" s="252"/>
      <c r="F348" s="253"/>
      <c r="G348" s="254">
        <f>SUM(G349:G349)</f>
        <v>2936.58</v>
      </c>
      <c r="H348" s="210"/>
      <c r="I348" s="211" t="s">
        <v>163</v>
      </c>
      <c r="J348" s="212" t="s">
        <v>1175</v>
      </c>
      <c r="K348" s="210" t="s">
        <v>1176</v>
      </c>
      <c r="L348" s="210"/>
    </row>
    <row r="349" spans="2:12" s="205" customFormat="1" x14ac:dyDescent="0.2">
      <c r="B349" s="213" t="str">
        <f>J349 &amp; "  " &amp; VLOOKUP(I349,BDcuA,2,FALSE)</f>
        <v>04.06.01.01  SALIDAS DE PVC SAL PARA VENTILACION DE 2"</v>
      </c>
      <c r="C349" s="267"/>
      <c r="D349" s="249" t="str">
        <f>VLOOKUP(I349,BDcuA,4,FALSE)</f>
        <v>Pto</v>
      </c>
      <c r="E349" s="249">
        <v>51</v>
      </c>
      <c r="F349" s="250">
        <f>VLOOKUP(I349,BDcuA,5,FALSE)</f>
        <v>57.58</v>
      </c>
      <c r="G349" s="251">
        <f>ROUND(F349*E349,DpP)</f>
        <v>2936.58</v>
      </c>
      <c r="I349" s="207">
        <v>10234</v>
      </c>
      <c r="J349" s="208" t="s">
        <v>1177</v>
      </c>
    </row>
    <row r="350" spans="2:12" s="205" customFormat="1" x14ac:dyDescent="0.2">
      <c r="B350" s="209" t="str">
        <f>J350 &amp; "  " &amp; K350</f>
        <v>04.06.02  MONTANTES DE VENTILACION</v>
      </c>
      <c r="C350" s="268"/>
      <c r="D350" s="252"/>
      <c r="E350" s="252"/>
      <c r="F350" s="253"/>
      <c r="G350" s="254">
        <f>SUM(G351:G351)</f>
        <v>2888.94</v>
      </c>
      <c r="H350" s="210"/>
      <c r="I350" s="211" t="s">
        <v>163</v>
      </c>
      <c r="J350" s="212" t="s">
        <v>1179</v>
      </c>
      <c r="K350" s="210" t="s">
        <v>1180</v>
      </c>
      <c r="L350" s="210"/>
    </row>
    <row r="351" spans="2:12" s="205" customFormat="1" x14ac:dyDescent="0.2">
      <c r="B351" s="213" t="str">
        <f>J351 &amp; "  " &amp; VLOOKUP(I351,BDcuA,2,FALSE)</f>
        <v>04.06.02.01  RED P/COLUMNA DE VENTILACION PVC SAL DE 2"</v>
      </c>
      <c r="C351" s="267"/>
      <c r="D351" s="249" t="str">
        <f>VLOOKUP(I351,BDcuA,4,FALSE)</f>
        <v>M</v>
      </c>
      <c r="E351" s="249">
        <v>178</v>
      </c>
      <c r="F351" s="250">
        <f>VLOOKUP(I351,BDcuA,5,FALSE)</f>
        <v>16.23</v>
      </c>
      <c r="G351" s="251">
        <f>ROUND(F351*E351,DpP)</f>
        <v>2888.94</v>
      </c>
      <c r="I351" s="207">
        <v>10235</v>
      </c>
      <c r="J351" s="208" t="s">
        <v>1181</v>
      </c>
    </row>
    <row r="352" spans="2:12" s="205" customFormat="1" x14ac:dyDescent="0.2">
      <c r="B352" s="209" t="str">
        <f>J352 &amp; "  " &amp; K352</f>
        <v>04.06.03  ACCESORIOS</v>
      </c>
      <c r="C352" s="268"/>
      <c r="D352" s="252"/>
      <c r="E352" s="252"/>
      <c r="F352" s="253"/>
      <c r="G352" s="254">
        <f>SUM(G353:G355)</f>
        <v>70.099999999999994</v>
      </c>
      <c r="H352" s="210"/>
      <c r="I352" s="211" t="s">
        <v>163</v>
      </c>
      <c r="J352" s="212" t="s">
        <v>1183</v>
      </c>
      <c r="K352" s="210" t="s">
        <v>896</v>
      </c>
      <c r="L352" s="210"/>
    </row>
    <row r="353" spans="2:12" s="205" customFormat="1" x14ac:dyDescent="0.2">
      <c r="B353" s="213" t="str">
        <f>J353 &amp; "  " &amp; VLOOKUP(I353,BDcuA,2,FALSE)</f>
        <v>04.06.03.01  SOMBRERO PARA VENTILACION DE P.V.C. DE 4"</v>
      </c>
      <c r="C353" s="267"/>
      <c r="D353" s="249" t="str">
        <f>VLOOKUP(I353,BDcuA,4,FALSE)</f>
        <v>UND</v>
      </c>
      <c r="E353" s="249">
        <v>4</v>
      </c>
      <c r="F353" s="250">
        <f>VLOOKUP(I353,BDcuA,5,FALSE)</f>
        <v>4.25</v>
      </c>
      <c r="G353" s="251">
        <f>ROUND(F353*E353,DpP)</f>
        <v>17</v>
      </c>
      <c r="I353" s="207">
        <v>10236</v>
      </c>
      <c r="J353" s="208" t="s">
        <v>1184</v>
      </c>
    </row>
    <row r="354" spans="2:12" s="205" customFormat="1" x14ac:dyDescent="0.2">
      <c r="B354" s="213" t="str">
        <f>J354 &amp; "  " &amp; VLOOKUP(I354,BDcuA,2,FALSE)</f>
        <v>04.06.03.02  SOMBRERO PARA VENTILACION DE P.V.C. DE 3"</v>
      </c>
      <c r="C354" s="267"/>
      <c r="D354" s="249" t="str">
        <f>VLOOKUP(I354,BDcuA,4,FALSE)</f>
        <v>UND</v>
      </c>
      <c r="E354" s="249">
        <v>3</v>
      </c>
      <c r="F354" s="250">
        <f>VLOOKUP(I354,BDcuA,5,FALSE)</f>
        <v>7.5</v>
      </c>
      <c r="G354" s="251">
        <f>ROUND(F354*E354,DpP)</f>
        <v>22.5</v>
      </c>
      <c r="I354" s="207">
        <v>10237</v>
      </c>
      <c r="J354" s="208" t="s">
        <v>1187</v>
      </c>
    </row>
    <row r="355" spans="2:12" s="205" customFormat="1" x14ac:dyDescent="0.2">
      <c r="B355" s="213" t="str">
        <f>J355 &amp; "  " &amp; VLOOKUP(I355,BDcuA,2,FALSE)</f>
        <v>04.06.03.03  SOMBRERO PARA VENTILACION DE P.V.C. DE 2"</v>
      </c>
      <c r="C355" s="267"/>
      <c r="D355" s="249" t="str">
        <f>VLOOKUP(I355,BDcuA,4,FALSE)</f>
        <v>UND</v>
      </c>
      <c r="E355" s="249">
        <v>9</v>
      </c>
      <c r="F355" s="250">
        <f>VLOOKUP(I355,BDcuA,5,FALSE)</f>
        <v>3.4</v>
      </c>
      <c r="G355" s="251">
        <f>ROUND(F355*E355,DpP)</f>
        <v>30.6</v>
      </c>
      <c r="I355" s="207">
        <v>10238</v>
      </c>
      <c r="J355" s="208" t="s">
        <v>1190</v>
      </c>
    </row>
    <row r="356" spans="2:12" s="205" customFormat="1" x14ac:dyDescent="0.2">
      <c r="B356" s="219" t="str">
        <f>J356 &amp; "  " &amp; K356</f>
        <v>05  INSTALACIONES ELECTRICAS</v>
      </c>
      <c r="C356" s="270"/>
      <c r="D356" s="258"/>
      <c r="E356" s="258"/>
      <c r="F356" s="259"/>
      <c r="G356" s="260">
        <f>SUMIF(Pto!$I357:$I435,"&gt;10000",G357:G435)</f>
        <v>143515.82999999999</v>
      </c>
      <c r="H356" s="220"/>
      <c r="I356" s="221" t="s">
        <v>157</v>
      </c>
      <c r="J356" s="222" t="s">
        <v>1193</v>
      </c>
      <c r="K356" s="220" t="s">
        <v>1194</v>
      </c>
      <c r="L356" s="220"/>
    </row>
    <row r="357" spans="2:12" s="205" customFormat="1" x14ac:dyDescent="0.2">
      <c r="B357" s="214" t="str">
        <f>J357 &amp; "  " &amp; K357</f>
        <v>05.01  CONEXIÓN A LA RED EXTERNA DE MEDIDORES</v>
      </c>
      <c r="C357" s="269"/>
      <c r="D357" s="255"/>
      <c r="E357" s="255"/>
      <c r="F357" s="256"/>
      <c r="G357" s="257">
        <f>SUMIF(Pto!$I358:$I383,"&gt;10000",G358:G383)</f>
        <v>32341.249999999996</v>
      </c>
      <c r="H357" s="215"/>
      <c r="I357" s="216" t="s">
        <v>160</v>
      </c>
      <c r="J357" s="217" t="s">
        <v>1195</v>
      </c>
      <c r="K357" s="215" t="s">
        <v>1196</v>
      </c>
      <c r="L357" s="215"/>
    </row>
    <row r="358" spans="2:12" s="205" customFormat="1" x14ac:dyDescent="0.2">
      <c r="B358" s="209" t="str">
        <f>J358 &amp; "  " &amp; K358</f>
        <v>05.01.01  ACOMETIDAS DE MEDIDOR A TABLEROS</v>
      </c>
      <c r="C358" s="268"/>
      <c r="D358" s="252"/>
      <c r="E358" s="252"/>
      <c r="F358" s="253"/>
      <c r="G358" s="254">
        <f>SUM(G359:G360)</f>
        <v>237.6</v>
      </c>
      <c r="H358" s="210"/>
      <c r="I358" s="211" t="s">
        <v>163</v>
      </c>
      <c r="J358" s="212" t="s">
        <v>1197</v>
      </c>
      <c r="K358" s="210" t="s">
        <v>1198</v>
      </c>
      <c r="L358" s="210"/>
    </row>
    <row r="359" spans="2:12" s="205" customFormat="1" x14ac:dyDescent="0.2">
      <c r="B359" s="213" t="str">
        <f>J359 &amp; "  " &amp; VLOOKUP(I359,BDcuA,2,FALSE)</f>
        <v>05.01.01.01  ALIMENTADOR  2x6MM2 THW+1X6MM2 THW/T</v>
      </c>
      <c r="C359" s="267"/>
      <c r="D359" s="249" t="str">
        <f>VLOOKUP(I359,BDcuA,4,FALSE)</f>
        <v>M</v>
      </c>
      <c r="E359" s="249">
        <v>5</v>
      </c>
      <c r="F359" s="250">
        <f>VLOOKUP(I359,BDcuA,5,FALSE)</f>
        <v>11.25</v>
      </c>
      <c r="G359" s="251">
        <f>ROUND(F359*E359,DpP)</f>
        <v>56.25</v>
      </c>
      <c r="I359" s="207">
        <v>10239</v>
      </c>
      <c r="J359" s="208" t="s">
        <v>1199</v>
      </c>
    </row>
    <row r="360" spans="2:12" s="205" customFormat="1" x14ac:dyDescent="0.2">
      <c r="B360" s="213" t="str">
        <f>J360 &amp; "  " &amp; VLOOKUP(I360,BDcuA,2,FALSE)</f>
        <v>05.01.01.02  ALIMENTADOR 3-1 x 25 MM2 THW + 1 x 16 MM2 THW/T</v>
      </c>
      <c r="C360" s="267"/>
      <c r="D360" s="249" t="str">
        <f>VLOOKUP(I360,BDcuA,4,FALSE)</f>
        <v>M</v>
      </c>
      <c r="E360" s="249">
        <v>5</v>
      </c>
      <c r="F360" s="250">
        <f>VLOOKUP(I360,BDcuA,5,FALSE)</f>
        <v>36.269999999999996</v>
      </c>
      <c r="G360" s="251">
        <f>ROUND(F360*E360,DpP)</f>
        <v>181.35</v>
      </c>
      <c r="I360" s="207">
        <v>10240</v>
      </c>
      <c r="J360" s="208" t="s">
        <v>1203</v>
      </c>
    </row>
    <row r="361" spans="2:12" s="205" customFormat="1" x14ac:dyDescent="0.2">
      <c r="B361" s="209" t="str">
        <f>J361 &amp; "  " &amp; K361</f>
        <v>05.01.02  ALIMENTADORES Y/O SUBALIMENTADORES</v>
      </c>
      <c r="C361" s="268"/>
      <c r="D361" s="252"/>
      <c r="E361" s="252"/>
      <c r="F361" s="253"/>
      <c r="G361" s="254">
        <f>SUM(G362:G364)</f>
        <v>198.9</v>
      </c>
      <c r="H361" s="210"/>
      <c r="I361" s="211" t="s">
        <v>163</v>
      </c>
      <c r="J361" s="212" t="s">
        <v>1207</v>
      </c>
      <c r="K361" s="210" t="s">
        <v>1208</v>
      </c>
      <c r="L361" s="210"/>
    </row>
    <row r="362" spans="2:12" s="205" customFormat="1" x14ac:dyDescent="0.2">
      <c r="B362" s="213" t="str">
        <f>J362 &amp; "  " &amp; VLOOKUP(I362,BDcuA,2,FALSE)</f>
        <v>05.01.02.01  CIRCUITO ELECTRICO 2 - 1 x 4 MM2 THW + 1 x 4 MM2 THW/T (TSG-1)</v>
      </c>
      <c r="C362" s="267"/>
      <c r="D362" s="249" t="str">
        <f>VLOOKUP(I362,BDcuA,4,FALSE)</f>
        <v>M</v>
      </c>
      <c r="E362" s="249">
        <v>5</v>
      </c>
      <c r="F362" s="250">
        <f>VLOOKUP(I362,BDcuA,5,FALSE)</f>
        <v>8.84</v>
      </c>
      <c r="G362" s="251">
        <f>ROUND(F362*E362,DpP)</f>
        <v>44.2</v>
      </c>
      <c r="I362" s="207">
        <v>10241</v>
      </c>
      <c r="J362" s="208" t="s">
        <v>1209</v>
      </c>
    </row>
    <row r="363" spans="2:12" s="205" customFormat="1" x14ac:dyDescent="0.2">
      <c r="B363" s="213" t="str">
        <f>J363 &amp; "  " &amp; VLOOKUP(I363,BDcuA,2,FALSE)</f>
        <v>05.01.02.02  CIRCUITO ELECTRICO 2 - 1 x 10 MM2 THW + 1 x 6 MM2 THW/T (T-ASC)</v>
      </c>
      <c r="C363" s="267"/>
      <c r="D363" s="249" t="str">
        <f>VLOOKUP(I363,BDcuA,4,FALSE)</f>
        <v>M</v>
      </c>
      <c r="E363" s="249">
        <v>5</v>
      </c>
      <c r="F363" s="250">
        <f>VLOOKUP(I363,BDcuA,5,FALSE)</f>
        <v>17.36</v>
      </c>
      <c r="G363" s="251">
        <f>ROUND(F363*E363,DpP)</f>
        <v>86.8</v>
      </c>
      <c r="I363" s="207">
        <v>10242</v>
      </c>
      <c r="J363" s="208" t="s">
        <v>1212</v>
      </c>
    </row>
    <row r="364" spans="2:12" s="205" customFormat="1" x14ac:dyDescent="0.2">
      <c r="B364" s="213" t="str">
        <f>J364 &amp; "  " &amp; VLOOKUP(I364,BDcuA,2,FALSE)</f>
        <v>05.01.02.03  CIRCUITO ELECTRICO 3 - 1 x 6 MM2 THW + 1 x 6 MM2 THW/T (T-Bo)</v>
      </c>
      <c r="C364" s="267"/>
      <c r="D364" s="249" t="str">
        <f>VLOOKUP(I364,BDcuA,4,FALSE)</f>
        <v>M</v>
      </c>
      <c r="E364" s="249">
        <v>5</v>
      </c>
      <c r="F364" s="250">
        <f>VLOOKUP(I364,BDcuA,5,FALSE)</f>
        <v>13.579999999999998</v>
      </c>
      <c r="G364" s="251">
        <f>ROUND(F364*E364,DpP)</f>
        <v>67.900000000000006</v>
      </c>
      <c r="I364" s="207">
        <v>10243</v>
      </c>
      <c r="J364" s="208" t="s">
        <v>1215</v>
      </c>
    </row>
    <row r="365" spans="2:12" s="205" customFormat="1" x14ac:dyDescent="0.2">
      <c r="B365" s="209" t="str">
        <f>J365 &amp; "  " &amp; K365</f>
        <v>05.01.03  CANALIZACION, CONDUCTOS O TUBERIAS</v>
      </c>
      <c r="C365" s="268"/>
      <c r="D365" s="252"/>
      <c r="E365" s="252"/>
      <c r="F365" s="253"/>
      <c r="G365" s="254">
        <f>SUM(G366:G369)</f>
        <v>3103.24</v>
      </c>
      <c r="H365" s="210"/>
      <c r="I365" s="211" t="s">
        <v>163</v>
      </c>
      <c r="J365" s="212" t="s">
        <v>1217</v>
      </c>
      <c r="K365" s="210" t="s">
        <v>1218</v>
      </c>
      <c r="L365" s="210"/>
    </row>
    <row r="366" spans="2:12" s="205" customFormat="1" x14ac:dyDescent="0.2">
      <c r="B366" s="213" t="str">
        <f>J366 &amp; "  " &amp; VLOOKUP(I366,BDcuA,2,FALSE)</f>
        <v>05.01.03.01  TUBERIA  PVC-SEL (ELECTRICAS) D=3/4" (20 MM)</v>
      </c>
      <c r="C366" s="267"/>
      <c r="D366" s="249" t="str">
        <f>VLOOKUP(I366,BDcuA,4,FALSE)</f>
        <v>M</v>
      </c>
      <c r="E366" s="249">
        <v>39</v>
      </c>
      <c r="F366" s="250">
        <f>VLOOKUP(I366,BDcuA,5,FALSE)</f>
        <v>7.12</v>
      </c>
      <c r="G366" s="251">
        <f>ROUND(F366*E366,DpP)</f>
        <v>277.68</v>
      </c>
      <c r="I366" s="207">
        <v>10244</v>
      </c>
      <c r="J366" s="208" t="s">
        <v>1219</v>
      </c>
    </row>
    <row r="367" spans="2:12" s="205" customFormat="1" x14ac:dyDescent="0.2">
      <c r="B367" s="213" t="str">
        <f>J367 &amp; "  " &amp; VLOOKUP(I367,BDcuA,2,FALSE)</f>
        <v>05.01.03.02  TUBERIA  PVC-SEL (ELECTRICAS) D=1" (25 MM)</v>
      </c>
      <c r="C367" s="267"/>
      <c r="D367" s="249" t="str">
        <f>VLOOKUP(I367,BDcuA,4,FALSE)</f>
        <v>M</v>
      </c>
      <c r="E367" s="249">
        <v>37.5</v>
      </c>
      <c r="F367" s="250">
        <f>VLOOKUP(I367,BDcuA,5,FALSE)</f>
        <v>7.12</v>
      </c>
      <c r="G367" s="251">
        <f>ROUND(F367*E367,DpP)</f>
        <v>267</v>
      </c>
      <c r="I367" s="207">
        <v>10245</v>
      </c>
      <c r="J367" s="208" t="s">
        <v>1225</v>
      </c>
    </row>
    <row r="368" spans="2:12" s="205" customFormat="1" x14ac:dyDescent="0.2">
      <c r="B368" s="213" t="str">
        <f>J368 &amp; "  " &amp; VLOOKUP(I368,BDcuA,2,FALSE)</f>
        <v>05.01.03.03  TUBERIA  PVC-SEL (ELECTRICAS) D=1 1/2" (40 MM)</v>
      </c>
      <c r="C368" s="267"/>
      <c r="D368" s="249" t="str">
        <f>VLOOKUP(I368,BDcuA,4,FALSE)</f>
        <v>M</v>
      </c>
      <c r="E368" s="249">
        <v>308</v>
      </c>
      <c r="F368" s="250">
        <f>VLOOKUP(I368,BDcuA,5,FALSE)</f>
        <v>5.419999999999999</v>
      </c>
      <c r="G368" s="251">
        <f>ROUND(F368*E368,DpP)</f>
        <v>1669.36</v>
      </c>
      <c r="I368" s="207">
        <v>10246</v>
      </c>
      <c r="J368" s="208" t="s">
        <v>1227</v>
      </c>
    </row>
    <row r="369" spans="2:12" s="205" customFormat="1" x14ac:dyDescent="0.2">
      <c r="B369" s="213" t="str">
        <f>J369 &amp; "  " &amp; VLOOKUP(I369,BDcuA,2,FALSE)</f>
        <v>05.01.03.04  TUBERIA  PVC-SEL (ELECTRICAS) D=2" (50 MM)</v>
      </c>
      <c r="C369" s="267"/>
      <c r="D369" s="249" t="str">
        <f>VLOOKUP(I369,BDcuA,4,FALSE)</f>
        <v>M</v>
      </c>
      <c r="E369" s="249">
        <v>136.80000000000001</v>
      </c>
      <c r="F369" s="250">
        <f>VLOOKUP(I369,BDcuA,5,FALSE)</f>
        <v>6.5</v>
      </c>
      <c r="G369" s="251">
        <f>ROUND(F369*E369,DpP)</f>
        <v>889.2</v>
      </c>
      <c r="I369" s="207">
        <v>10247</v>
      </c>
      <c r="J369" s="208" t="s">
        <v>1233</v>
      </c>
    </row>
    <row r="370" spans="2:12" s="205" customFormat="1" x14ac:dyDescent="0.2">
      <c r="B370" s="209" t="str">
        <f>J370 &amp; "  " &amp; K370</f>
        <v>05.01.04  CAJAS DE PASE</v>
      </c>
      <c r="C370" s="268"/>
      <c r="D370" s="252"/>
      <c r="E370" s="252"/>
      <c r="F370" s="253"/>
      <c r="G370" s="254">
        <f>SUM(G371:G375)</f>
        <v>2532.94</v>
      </c>
      <c r="H370" s="210"/>
      <c r="I370" s="211" t="s">
        <v>163</v>
      </c>
      <c r="J370" s="212" t="s">
        <v>1239</v>
      </c>
      <c r="K370" s="210" t="s">
        <v>1240</v>
      </c>
      <c r="L370" s="210"/>
    </row>
    <row r="371" spans="2:12" s="205" customFormat="1" x14ac:dyDescent="0.2">
      <c r="B371" s="213" t="str">
        <f>J371 &amp; "  " &amp; VLOOKUP(I371,BDcuA,2,FALSE)</f>
        <v>05.01.04.01  CAJA DE PASE FºGº LIVIANO 150X150X75 MM</v>
      </c>
      <c r="C371" s="267"/>
      <c r="D371" s="249" t="str">
        <f>VLOOKUP(I371,BDcuA,4,FALSE)</f>
        <v>UND</v>
      </c>
      <c r="E371" s="249">
        <v>20</v>
      </c>
      <c r="F371" s="250">
        <f>VLOOKUP(I371,BDcuA,5,FALSE)</f>
        <v>25.98</v>
      </c>
      <c r="G371" s="251">
        <f>ROUND(F371*E371,DpP)</f>
        <v>519.6</v>
      </c>
      <c r="I371" s="207">
        <v>10248</v>
      </c>
      <c r="J371" s="208" t="s">
        <v>1241</v>
      </c>
    </row>
    <row r="372" spans="2:12" s="205" customFormat="1" x14ac:dyDescent="0.2">
      <c r="B372" s="213" t="str">
        <f>J372 &amp; "  " &amp; VLOOKUP(I372,BDcuA,2,FALSE)</f>
        <v>05.01.04.02  CAJA DE PASE F°G° LIVIANO 200X200X100 MM</v>
      </c>
      <c r="C372" s="267"/>
      <c r="D372" s="249" t="str">
        <f>VLOOKUP(I372,BDcuA,4,FALSE)</f>
        <v>UND</v>
      </c>
      <c r="E372" s="249">
        <v>22</v>
      </c>
      <c r="F372" s="250">
        <f>VLOOKUP(I372,BDcuA,5,FALSE)</f>
        <v>28.77</v>
      </c>
      <c r="G372" s="251">
        <f>ROUND(F372*E372,DpP)</f>
        <v>632.94000000000005</v>
      </c>
      <c r="I372" s="207">
        <v>10249</v>
      </c>
      <c r="J372" s="208" t="s">
        <v>1244</v>
      </c>
    </row>
    <row r="373" spans="2:12" s="205" customFormat="1" x14ac:dyDescent="0.2">
      <c r="B373" s="213" t="str">
        <f>J373 &amp; "  " &amp; VLOOKUP(I373,BDcuA,2,FALSE)</f>
        <v>05.01.04.03  CAJA DE PASE F°G° LIVIANO 300X300X150 MM</v>
      </c>
      <c r="C373" s="267"/>
      <c r="D373" s="249" t="str">
        <f>VLOOKUP(I373,BDcuA,4,FALSE)</f>
        <v>UND</v>
      </c>
      <c r="E373" s="249">
        <v>6</v>
      </c>
      <c r="F373" s="250">
        <f>VLOOKUP(I373,BDcuA,5,FALSE)</f>
        <v>66.11999999999999</v>
      </c>
      <c r="G373" s="251">
        <f>ROUND(F373*E373,DpP)</f>
        <v>396.72</v>
      </c>
      <c r="I373" s="207">
        <v>10250</v>
      </c>
      <c r="J373" s="208" t="s">
        <v>1247</v>
      </c>
    </row>
    <row r="374" spans="2:12" s="205" customFormat="1" x14ac:dyDescent="0.2">
      <c r="B374" s="213" t="str">
        <f>J374 &amp; "  " &amp; VLOOKUP(I374,BDcuA,2,FALSE)</f>
        <v>05.01.04.04  CAJA DE PASE F°G° LIVIANO 450X450X150 MM</v>
      </c>
      <c r="C374" s="267"/>
      <c r="D374" s="249" t="str">
        <f>VLOOKUP(I374,BDcuA,4,FALSE)</f>
        <v>UND</v>
      </c>
      <c r="E374" s="249">
        <v>7</v>
      </c>
      <c r="F374" s="250">
        <f>VLOOKUP(I374,BDcuA,5,FALSE)</f>
        <v>77.61999999999999</v>
      </c>
      <c r="G374" s="251">
        <f>ROUND(F374*E374,DpP)</f>
        <v>543.34</v>
      </c>
      <c r="I374" s="207">
        <v>10251</v>
      </c>
      <c r="J374" s="208" t="s">
        <v>1250</v>
      </c>
    </row>
    <row r="375" spans="2:12" s="205" customFormat="1" x14ac:dyDescent="0.2">
      <c r="B375" s="213" t="str">
        <f>J375 &amp; "  " &amp; VLOOKUP(I375,BDcuA,2,FALSE)</f>
        <v>05.01.04.05  CAJA DE PASE F°G° LIVIANO 650X650X150 MM</v>
      </c>
      <c r="C375" s="267"/>
      <c r="D375" s="249" t="str">
        <f>VLOOKUP(I375,BDcuA,4,FALSE)</f>
        <v>UND</v>
      </c>
      <c r="E375" s="249">
        <v>3</v>
      </c>
      <c r="F375" s="250">
        <f>VLOOKUP(I375,BDcuA,5,FALSE)</f>
        <v>146.78</v>
      </c>
      <c r="G375" s="251">
        <f>ROUND(F375*E375,DpP)</f>
        <v>440.34</v>
      </c>
      <c r="I375" s="207">
        <v>10252</v>
      </c>
      <c r="J375" s="208" t="s">
        <v>1253</v>
      </c>
    </row>
    <row r="376" spans="2:12" s="205" customFormat="1" x14ac:dyDescent="0.2">
      <c r="B376" s="209" t="str">
        <f>J376 &amp; "  " &amp; K376</f>
        <v>05.01.05  TABLEROS</v>
      </c>
      <c r="C376" s="268"/>
      <c r="D376" s="252"/>
      <c r="E376" s="252"/>
      <c r="F376" s="253"/>
      <c r="G376" s="254">
        <f>SUM(G377:G379)</f>
        <v>20711.499999999996</v>
      </c>
      <c r="H376" s="210"/>
      <c r="I376" s="211" t="s">
        <v>163</v>
      </c>
      <c r="J376" s="212" t="s">
        <v>1256</v>
      </c>
      <c r="K376" s="210" t="s">
        <v>1257</v>
      </c>
      <c r="L376" s="210"/>
    </row>
    <row r="377" spans="2:12" s="205" customFormat="1" x14ac:dyDescent="0.2">
      <c r="B377" s="213" t="str">
        <f>J377 &amp; "  " &amp; VLOOKUP(I377,BDcuA,2,FALSE)</f>
        <v>05.01.05.01  TABLERO DE SERVICIOS GENERALES TSG</v>
      </c>
      <c r="C377" s="267"/>
      <c r="D377" s="249" t="str">
        <f>VLOOKUP(I377,BDcuA,4,FALSE)</f>
        <v>PZA</v>
      </c>
      <c r="E377" s="249">
        <v>5</v>
      </c>
      <c r="F377" s="250">
        <f>VLOOKUP(I377,BDcuA,5,FALSE)</f>
        <v>3127.56</v>
      </c>
      <c r="G377" s="251">
        <f>ROUND(F377*E377,DpP)</f>
        <v>15637.8</v>
      </c>
      <c r="I377" s="207">
        <v>10253</v>
      </c>
      <c r="J377" s="208" t="s">
        <v>1258</v>
      </c>
    </row>
    <row r="378" spans="2:12" s="205" customFormat="1" x14ac:dyDescent="0.2">
      <c r="B378" s="213" t="str">
        <f>J378 &amp; "  " &amp; VLOOKUP(I378,BDcuA,2,FALSE)</f>
        <v>05.01.05.02  TABLERO DE ASCENSOR T-ASC</v>
      </c>
      <c r="C378" s="267"/>
      <c r="D378" s="249" t="str">
        <f>VLOOKUP(I378,BDcuA,4,FALSE)</f>
        <v>PZA</v>
      </c>
      <c r="E378" s="249">
        <v>5</v>
      </c>
      <c r="F378" s="250">
        <f>VLOOKUP(I378,BDcuA,5,FALSE)</f>
        <v>545.46999999999991</v>
      </c>
      <c r="G378" s="251">
        <f>ROUND(F378*E378,DpP)</f>
        <v>2727.35</v>
      </c>
      <c r="I378" s="207">
        <v>10254</v>
      </c>
      <c r="J378" s="208" t="s">
        <v>1271</v>
      </c>
    </row>
    <row r="379" spans="2:12" s="205" customFormat="1" x14ac:dyDescent="0.2">
      <c r="B379" s="213" t="str">
        <f>J379 &amp; "  " &amp; VLOOKUP(I379,BDcuA,2,FALSE)</f>
        <v>05.01.05.03  TABLERO DE DEPARTAMENTOS TD</v>
      </c>
      <c r="C379" s="267"/>
      <c r="D379" s="249" t="str">
        <f>VLOOKUP(I379,BDcuA,4,FALSE)</f>
        <v>PZA</v>
      </c>
      <c r="E379" s="249">
        <v>5</v>
      </c>
      <c r="F379" s="250">
        <f>VLOOKUP(I379,BDcuA,5,FALSE)</f>
        <v>469.27000000000004</v>
      </c>
      <c r="G379" s="251">
        <f>ROUND(F379*E379,DpP)</f>
        <v>2346.35</v>
      </c>
      <c r="I379" s="207">
        <v>10255</v>
      </c>
      <c r="J379" s="208" t="s">
        <v>1274</v>
      </c>
    </row>
    <row r="380" spans="2:12" s="205" customFormat="1" x14ac:dyDescent="0.2">
      <c r="B380" s="209" t="str">
        <f>J380 &amp; "  " &amp; K380</f>
        <v>05.01.06  BANCO DE MEDIDORES</v>
      </c>
      <c r="C380" s="268"/>
      <c r="D380" s="252"/>
      <c r="E380" s="252"/>
      <c r="F380" s="253"/>
      <c r="G380" s="254">
        <f>SUM(G381:G381)</f>
        <v>2786.6</v>
      </c>
      <c r="H380" s="210"/>
      <c r="I380" s="211" t="s">
        <v>163</v>
      </c>
      <c r="J380" s="212" t="s">
        <v>1282</v>
      </c>
      <c r="K380" s="210" t="s">
        <v>1283</v>
      </c>
      <c r="L380" s="210"/>
    </row>
    <row r="381" spans="2:12" s="205" customFormat="1" x14ac:dyDescent="0.2">
      <c r="B381" s="213" t="str">
        <f>J381 &amp; "  " &amp; VLOOKUP(I381,BDcuA,2,FALSE)</f>
        <v>05.01.06.01  BANCO DE 11 MEDIDORES + CAJA F-1</v>
      </c>
      <c r="C381" s="267"/>
      <c r="D381" s="249" t="str">
        <f>VLOOKUP(I381,BDcuA,4,FALSE)</f>
        <v>UND</v>
      </c>
      <c r="E381" s="249">
        <v>5</v>
      </c>
      <c r="F381" s="250">
        <f>VLOOKUP(I381,BDcuA,5,FALSE)</f>
        <v>557.32000000000005</v>
      </c>
      <c r="G381" s="251">
        <f>ROUND(F381*E381,DpP)</f>
        <v>2786.6</v>
      </c>
      <c r="I381" s="207">
        <v>10256</v>
      </c>
      <c r="J381" s="208" t="s">
        <v>1284</v>
      </c>
    </row>
    <row r="382" spans="2:12" s="205" customFormat="1" x14ac:dyDescent="0.2">
      <c r="B382" s="209" t="str">
        <f>J382 &amp; "  " &amp; K382</f>
        <v>05.01.07  SISTEMA DE PUESTA A TIERRA</v>
      </c>
      <c r="C382" s="268"/>
      <c r="D382" s="252"/>
      <c r="E382" s="252"/>
      <c r="F382" s="253"/>
      <c r="G382" s="254">
        <f>SUM(G383:G383)</f>
        <v>2770.47</v>
      </c>
      <c r="H382" s="210"/>
      <c r="I382" s="211" t="s">
        <v>163</v>
      </c>
      <c r="J382" s="212" t="s">
        <v>1287</v>
      </c>
      <c r="K382" s="210" t="s">
        <v>1288</v>
      </c>
      <c r="L382" s="210"/>
    </row>
    <row r="383" spans="2:12" s="205" customFormat="1" x14ac:dyDescent="0.2">
      <c r="B383" s="213" t="str">
        <f>J383 &amp; "  " &amp; VLOOKUP(I383,BDcuA,2,FALSE)</f>
        <v>05.01.07.01  POZO DE TIERRA, CON JABALINA DE 1" X 2.40 M</v>
      </c>
      <c r="C383" s="267"/>
      <c r="D383" s="249" t="str">
        <f>VLOOKUP(I383,BDcuA,4,FALSE)</f>
        <v>UND</v>
      </c>
      <c r="E383" s="249">
        <v>3</v>
      </c>
      <c r="F383" s="250">
        <f>VLOOKUP(I383,BDcuA,5,FALSE)</f>
        <v>923.49</v>
      </c>
      <c r="G383" s="251">
        <f>ROUND(F383*E383,DpP)</f>
        <v>2770.47</v>
      </c>
      <c r="I383" s="207">
        <v>10257</v>
      </c>
      <c r="J383" s="208" t="s">
        <v>1289</v>
      </c>
    </row>
    <row r="384" spans="2:12" s="205" customFormat="1" x14ac:dyDescent="0.2">
      <c r="B384" s="214" t="str">
        <f>J384 &amp; "  " &amp; K384</f>
        <v>05.02  SALIDAS PARA ALUMBRADO, TOMACORRIENTES, FUERZA Y SEÑALES DEBILES</v>
      </c>
      <c r="C384" s="269"/>
      <c r="D384" s="255"/>
      <c r="E384" s="255"/>
      <c r="F384" s="256"/>
      <c r="G384" s="257">
        <f>SUMIF(Pto!$I385:$I412,"&gt;10000",G385:G412)</f>
        <v>46460.220000000008</v>
      </c>
      <c r="H384" s="215"/>
      <c r="I384" s="216" t="s">
        <v>160</v>
      </c>
      <c r="J384" s="217" t="s">
        <v>1299</v>
      </c>
      <c r="K384" s="215" t="s">
        <v>1300</v>
      </c>
      <c r="L384" s="215"/>
    </row>
    <row r="385" spans="2:12" s="205" customFormat="1" x14ac:dyDescent="0.2">
      <c r="B385" s="209" t="str">
        <f>J385 &amp; "  " &amp; K385</f>
        <v>05.02.01  SALIDAS</v>
      </c>
      <c r="C385" s="268"/>
      <c r="D385" s="252"/>
      <c r="E385" s="252"/>
      <c r="F385" s="253"/>
      <c r="G385" s="254">
        <f>SUM(G386:G396)</f>
        <v>27293.579999999994</v>
      </c>
      <c r="H385" s="210"/>
      <c r="I385" s="211" t="s">
        <v>163</v>
      </c>
      <c r="J385" s="212" t="s">
        <v>1301</v>
      </c>
      <c r="K385" s="210" t="s">
        <v>1302</v>
      </c>
      <c r="L385" s="210"/>
    </row>
    <row r="386" spans="2:12" s="205" customFormat="1" x14ac:dyDescent="0.2">
      <c r="B386" s="213" t="str">
        <f t="shared" ref="B386:B396" si="44">J386 &amp; "  " &amp; VLOOKUP(I386,BDcuA,2,FALSE)</f>
        <v>05.02.01.01  SALIDA  PARA  ALUMBRADO</v>
      </c>
      <c r="C386" s="267"/>
      <c r="D386" s="249" t="str">
        <f t="shared" ref="D386:D396" si="45">VLOOKUP(I386,BDcuA,4,FALSE)</f>
        <v>UND</v>
      </c>
      <c r="E386" s="249">
        <v>257</v>
      </c>
      <c r="F386" s="250">
        <f t="shared" ref="F386:F396" si="46">VLOOKUP(I386,BDcuA,5,FALSE)</f>
        <v>29.920000000000005</v>
      </c>
      <c r="G386" s="251">
        <f t="shared" ref="G386:G396" si="47">ROUND(F386*E386,DpP)</f>
        <v>7689.44</v>
      </c>
      <c r="I386" s="207">
        <v>10258</v>
      </c>
      <c r="J386" s="208" t="s">
        <v>1303</v>
      </c>
    </row>
    <row r="387" spans="2:12" s="205" customFormat="1" x14ac:dyDescent="0.2">
      <c r="B387" s="213" t="str">
        <f t="shared" si="44"/>
        <v>05.02.01.02  SALIDA PARA  TOMACORRIENTES</v>
      </c>
      <c r="C387" s="267"/>
      <c r="D387" s="249" t="str">
        <f t="shared" si="45"/>
        <v>UND</v>
      </c>
      <c r="E387" s="249">
        <v>377</v>
      </c>
      <c r="F387" s="250">
        <f t="shared" si="46"/>
        <v>29.920000000000005</v>
      </c>
      <c r="G387" s="251">
        <f t="shared" si="47"/>
        <v>11279.84</v>
      </c>
      <c r="I387" s="207">
        <v>10259</v>
      </c>
      <c r="J387" s="208" t="s">
        <v>1308</v>
      </c>
    </row>
    <row r="388" spans="2:12" s="205" customFormat="1" x14ac:dyDescent="0.2">
      <c r="B388" s="213" t="str">
        <f t="shared" si="44"/>
        <v>05.02.01.03  SALIDA PARA  INTERRUPTORES</v>
      </c>
      <c r="C388" s="267"/>
      <c r="D388" s="249" t="str">
        <f t="shared" si="45"/>
        <v>UND</v>
      </c>
      <c r="E388" s="249">
        <v>205</v>
      </c>
      <c r="F388" s="250">
        <f t="shared" si="46"/>
        <v>28.92</v>
      </c>
      <c r="G388" s="251">
        <f t="shared" si="47"/>
        <v>5928.6</v>
      </c>
      <c r="I388" s="207">
        <v>10260</v>
      </c>
      <c r="J388" s="208" t="s">
        <v>1311</v>
      </c>
    </row>
    <row r="389" spans="2:12" s="205" customFormat="1" x14ac:dyDescent="0.2">
      <c r="B389" s="213" t="str">
        <f t="shared" si="44"/>
        <v>05.02.01.04  SALIDA PARA  THERMA</v>
      </c>
      <c r="C389" s="267"/>
      <c r="D389" s="249" t="str">
        <f t="shared" si="45"/>
        <v>UND</v>
      </c>
      <c r="E389" s="249">
        <v>13</v>
      </c>
      <c r="F389" s="250">
        <f t="shared" si="46"/>
        <v>31.37</v>
      </c>
      <c r="G389" s="251">
        <f t="shared" si="47"/>
        <v>407.81</v>
      </c>
      <c r="I389" s="207">
        <v>10261</v>
      </c>
      <c r="J389" s="208" t="s">
        <v>1313</v>
      </c>
    </row>
    <row r="390" spans="2:12" s="205" customFormat="1" x14ac:dyDescent="0.2">
      <c r="B390" s="213" t="str">
        <f t="shared" si="44"/>
        <v>05.02.01.05  SALIDA PARA  LAVADORA</v>
      </c>
      <c r="C390" s="267"/>
      <c r="D390" s="249" t="str">
        <f t="shared" si="45"/>
        <v>UND</v>
      </c>
      <c r="E390" s="249">
        <v>13</v>
      </c>
      <c r="F390" s="250">
        <f t="shared" si="46"/>
        <v>30.520000000000003</v>
      </c>
      <c r="G390" s="251">
        <f t="shared" si="47"/>
        <v>396.76</v>
      </c>
      <c r="I390" s="207">
        <v>10262</v>
      </c>
      <c r="J390" s="208" t="s">
        <v>1316</v>
      </c>
    </row>
    <row r="391" spans="2:12" s="205" customFormat="1" x14ac:dyDescent="0.2">
      <c r="B391" s="213" t="str">
        <f t="shared" si="44"/>
        <v>05.02.01.06  SALIDA PARA  CAMPANA EXTRACTORA</v>
      </c>
      <c r="C391" s="267"/>
      <c r="D391" s="249" t="str">
        <f t="shared" si="45"/>
        <v>UND</v>
      </c>
      <c r="E391" s="249">
        <v>13</v>
      </c>
      <c r="F391" s="250">
        <f t="shared" si="46"/>
        <v>30.520000000000003</v>
      </c>
      <c r="G391" s="251">
        <f t="shared" si="47"/>
        <v>396.76</v>
      </c>
      <c r="I391" s="207">
        <v>10263</v>
      </c>
      <c r="J391" s="208" t="s">
        <v>1318</v>
      </c>
    </row>
    <row r="392" spans="2:12" s="205" customFormat="1" x14ac:dyDescent="0.2">
      <c r="B392" s="213" t="str">
        <f t="shared" si="44"/>
        <v>05.02.01.07  SALIDA PARA  CERCO ELECTRICO</v>
      </c>
      <c r="C392" s="267"/>
      <c r="D392" s="249" t="str">
        <f t="shared" si="45"/>
        <v>UND</v>
      </c>
      <c r="E392" s="249">
        <v>2</v>
      </c>
      <c r="F392" s="250">
        <f t="shared" si="46"/>
        <v>32.970000000000006</v>
      </c>
      <c r="G392" s="251">
        <f t="shared" si="47"/>
        <v>65.94</v>
      </c>
      <c r="I392" s="207">
        <v>10264</v>
      </c>
      <c r="J392" s="208" t="s">
        <v>1320</v>
      </c>
    </row>
    <row r="393" spans="2:12" s="205" customFormat="1" x14ac:dyDescent="0.2">
      <c r="B393" s="213" t="str">
        <f t="shared" si="44"/>
        <v>05.02.01.08  SALIDA PARA  PUERTA LEVADIZA</v>
      </c>
      <c r="C393" s="267"/>
      <c r="D393" s="249" t="str">
        <f t="shared" si="45"/>
        <v>UND</v>
      </c>
      <c r="E393" s="249">
        <v>9</v>
      </c>
      <c r="F393" s="250">
        <f t="shared" si="46"/>
        <v>32.970000000000006</v>
      </c>
      <c r="G393" s="251">
        <f t="shared" si="47"/>
        <v>296.73</v>
      </c>
      <c r="I393" s="207">
        <v>10265</v>
      </c>
      <c r="J393" s="208" t="s">
        <v>1322</v>
      </c>
    </row>
    <row r="394" spans="2:12" s="205" customFormat="1" x14ac:dyDescent="0.2">
      <c r="B394" s="213" t="str">
        <f t="shared" si="44"/>
        <v>05.02.01.09  SALIDA PARA  TIMBRE</v>
      </c>
      <c r="C394" s="267"/>
      <c r="D394" s="249" t="str">
        <f t="shared" si="45"/>
        <v>UND</v>
      </c>
      <c r="E394" s="249">
        <v>13</v>
      </c>
      <c r="F394" s="250">
        <f t="shared" si="46"/>
        <v>45.57</v>
      </c>
      <c r="G394" s="251">
        <f t="shared" si="47"/>
        <v>592.41</v>
      </c>
      <c r="I394" s="207">
        <v>10266</v>
      </c>
      <c r="J394" s="208" t="s">
        <v>1324</v>
      </c>
    </row>
    <row r="395" spans="2:12" s="205" customFormat="1" x14ac:dyDescent="0.2">
      <c r="B395" s="213" t="str">
        <f t="shared" si="44"/>
        <v>05.02.01.10  SALIDA PARA  ASCENSOR</v>
      </c>
      <c r="C395" s="267"/>
      <c r="D395" s="249" t="str">
        <f t="shared" si="45"/>
        <v>UND</v>
      </c>
      <c r="E395" s="249">
        <v>1</v>
      </c>
      <c r="F395" s="250">
        <f t="shared" si="46"/>
        <v>41.470000000000006</v>
      </c>
      <c r="G395" s="251">
        <f t="shared" si="47"/>
        <v>41.47</v>
      </c>
      <c r="I395" s="207">
        <v>10267</v>
      </c>
      <c r="J395" s="208" t="s">
        <v>1326</v>
      </c>
    </row>
    <row r="396" spans="2:12" s="205" customFormat="1" x14ac:dyDescent="0.2">
      <c r="B396" s="213" t="str">
        <f t="shared" si="44"/>
        <v>05.02.01.11  SALIDA PARA  BOMBAS DE AGUA</v>
      </c>
      <c r="C396" s="267"/>
      <c r="D396" s="249" t="str">
        <f t="shared" si="45"/>
        <v>UND</v>
      </c>
      <c r="E396" s="249">
        <v>6</v>
      </c>
      <c r="F396" s="250">
        <f t="shared" si="46"/>
        <v>32.970000000000006</v>
      </c>
      <c r="G396" s="251">
        <f t="shared" si="47"/>
        <v>197.82</v>
      </c>
      <c r="I396" s="207">
        <v>10268</v>
      </c>
      <c r="J396" s="208" t="s">
        <v>1328</v>
      </c>
    </row>
    <row r="397" spans="2:12" s="205" customFormat="1" x14ac:dyDescent="0.2">
      <c r="B397" s="209" t="str">
        <f>J397 &amp; "  " &amp; K397</f>
        <v>05.02.02  CONDUCTORES Y CABLES DE ENERGIA EN TUBERIAS</v>
      </c>
      <c r="C397" s="268"/>
      <c r="D397" s="252"/>
      <c r="E397" s="252"/>
      <c r="F397" s="253"/>
      <c r="G397" s="254">
        <f>SUM(G398:G400)</f>
        <v>108.2</v>
      </c>
      <c r="H397" s="210"/>
      <c r="I397" s="211" t="s">
        <v>163</v>
      </c>
      <c r="J397" s="212" t="s">
        <v>1330</v>
      </c>
      <c r="K397" s="210" t="s">
        <v>1331</v>
      </c>
      <c r="L397" s="210"/>
    </row>
    <row r="398" spans="2:12" s="205" customFormat="1" x14ac:dyDescent="0.2">
      <c r="B398" s="213" t="str">
        <f>J398 &amp; "  " &amp; VLOOKUP(I398,BDcuA,2,FALSE)</f>
        <v>05.02.02.01  CIRCUITO ELECTRICO 2 - 1 x 4 MM2 THW + 1 x 4 MM2 THW/T</v>
      </c>
      <c r="C398" s="267"/>
      <c r="D398" s="249" t="str">
        <f>VLOOKUP(I398,BDcuA,4,FALSE)</f>
        <v>M</v>
      </c>
      <c r="E398" s="249">
        <v>5</v>
      </c>
      <c r="F398" s="250">
        <f>VLOOKUP(I398,BDcuA,5,FALSE)</f>
        <v>8.84</v>
      </c>
      <c r="G398" s="251">
        <f>ROUND(F398*E398,DpP)</f>
        <v>44.2</v>
      </c>
      <c r="I398" s="207">
        <v>10269</v>
      </c>
      <c r="J398" s="208" t="s">
        <v>1332</v>
      </c>
    </row>
    <row r="399" spans="2:12" s="205" customFormat="1" x14ac:dyDescent="0.2">
      <c r="B399" s="213" t="str">
        <f>J399 &amp; "  " &amp; VLOOKUP(I399,BDcuA,2,FALSE)</f>
        <v>05.02.02.02  CIRCUITO ELECTRICO 2 - 1 x 2.5 MM2 THW</v>
      </c>
      <c r="C399" s="267"/>
      <c r="D399" s="249" t="str">
        <f>VLOOKUP(I399,BDcuA,4,FALSE)</f>
        <v>M</v>
      </c>
      <c r="E399" s="249">
        <v>5</v>
      </c>
      <c r="F399" s="250">
        <f>VLOOKUP(I399,BDcuA,5,FALSE)</f>
        <v>5.3900000000000006</v>
      </c>
      <c r="G399" s="251">
        <f>ROUND(F399*E399,DpP)</f>
        <v>26.95</v>
      </c>
      <c r="I399" s="207">
        <v>10270</v>
      </c>
      <c r="J399" s="208" t="s">
        <v>1334</v>
      </c>
    </row>
    <row r="400" spans="2:12" s="205" customFormat="1" x14ac:dyDescent="0.2">
      <c r="B400" s="213" t="str">
        <f>J400 &amp; "  " &amp; VLOOKUP(I400,BDcuA,2,FALSE)</f>
        <v>05.02.02.03  CIRCUITO ELECTRICO 4 - 1 x 2.5 MM2 THW</v>
      </c>
      <c r="C400" s="267"/>
      <c r="D400" s="249" t="str">
        <f>VLOOKUP(I400,BDcuA,4,FALSE)</f>
        <v>M</v>
      </c>
      <c r="E400" s="249">
        <v>5</v>
      </c>
      <c r="F400" s="250">
        <f>VLOOKUP(I400,BDcuA,5,FALSE)</f>
        <v>7.41</v>
      </c>
      <c r="G400" s="251">
        <f>ROUND(F400*E400,DpP)</f>
        <v>37.049999999999997</v>
      </c>
      <c r="I400" s="207">
        <v>10271</v>
      </c>
      <c r="J400" s="208" t="s">
        <v>1337</v>
      </c>
    </row>
    <row r="401" spans="2:12" s="205" customFormat="1" x14ac:dyDescent="0.2">
      <c r="B401" s="209" t="str">
        <f>J401 &amp; "  " &amp; K401</f>
        <v>05.02.03  CANALIZACION, CONDUCTOS O TUBERIAS</v>
      </c>
      <c r="C401" s="268"/>
      <c r="D401" s="252"/>
      <c r="E401" s="252"/>
      <c r="F401" s="253"/>
      <c r="G401" s="254">
        <f>SUM(G402:G402)</f>
        <v>18076.5</v>
      </c>
      <c r="H401" s="210"/>
      <c r="I401" s="211" t="s">
        <v>163</v>
      </c>
      <c r="J401" s="212" t="s">
        <v>1339</v>
      </c>
      <c r="K401" s="210" t="s">
        <v>1218</v>
      </c>
      <c r="L401" s="210"/>
    </row>
    <row r="402" spans="2:12" s="205" customFormat="1" x14ac:dyDescent="0.2">
      <c r="B402" s="213" t="str">
        <f>J402 &amp; "  " &amp; VLOOKUP(I402,BDcuA,2,FALSE)</f>
        <v>05.02.03.01  TUBERIA  PVC-SEL (ELECTRICAS) D=3/4" (20 MM)</v>
      </c>
      <c r="C402" s="267"/>
      <c r="D402" s="249" t="str">
        <f>VLOOKUP(I402,BDcuA,4,FALSE)</f>
        <v>M</v>
      </c>
      <c r="E402" s="249">
        <v>2781</v>
      </c>
      <c r="F402" s="250">
        <f>VLOOKUP(I402,BDcuA,5,FALSE)</f>
        <v>6.5</v>
      </c>
      <c r="G402" s="251">
        <f>ROUND(F402*E402,DpP)</f>
        <v>18076.5</v>
      </c>
      <c r="I402" s="207">
        <v>10272</v>
      </c>
      <c r="J402" s="208" t="s">
        <v>1340</v>
      </c>
    </row>
    <row r="403" spans="2:12" s="205" customFormat="1" x14ac:dyDescent="0.2">
      <c r="B403" s="209" t="str">
        <f>J403 &amp; "  " &amp; K403</f>
        <v>05.02.04  CAJAS DE PASE</v>
      </c>
      <c r="C403" s="268"/>
      <c r="D403" s="252"/>
      <c r="E403" s="252"/>
      <c r="F403" s="253"/>
      <c r="G403" s="254">
        <f>SUM(G404:G405)</f>
        <v>592.79</v>
      </c>
      <c r="H403" s="210"/>
      <c r="I403" s="211" t="s">
        <v>163</v>
      </c>
      <c r="J403" s="212" t="s">
        <v>1341</v>
      </c>
      <c r="K403" s="210" t="s">
        <v>1240</v>
      </c>
      <c r="L403" s="210"/>
    </row>
    <row r="404" spans="2:12" s="205" customFormat="1" x14ac:dyDescent="0.2">
      <c r="B404" s="213" t="str">
        <f>J404 &amp; "  " &amp; VLOOKUP(I404,BDcuA,2,FALSE)</f>
        <v>05.02.04.01  CAJA DE PASE OCTOGONAL DE 100 X 100 X 50 MM</v>
      </c>
      <c r="C404" s="267"/>
      <c r="D404" s="249" t="str">
        <f>VLOOKUP(I404,BDcuA,4,FALSE)</f>
        <v>UND</v>
      </c>
      <c r="E404" s="249">
        <v>23</v>
      </c>
      <c r="F404" s="250">
        <f>VLOOKUP(I404,BDcuA,5,FALSE)</f>
        <v>20.77</v>
      </c>
      <c r="G404" s="251">
        <f>ROUND(F404*E404,DpP)</f>
        <v>477.71</v>
      </c>
      <c r="I404" s="207">
        <v>10273</v>
      </c>
      <c r="J404" s="208" t="s">
        <v>1342</v>
      </c>
    </row>
    <row r="405" spans="2:12" s="205" customFormat="1" x14ac:dyDescent="0.2">
      <c r="B405" s="213" t="str">
        <f>J405 &amp; "  " &amp; VLOOKUP(I405,BDcuA,2,FALSE)</f>
        <v>05.02.04.02  CAJA DE PASE F°G° LIVIANO 200X200X100 MM</v>
      </c>
      <c r="C405" s="267"/>
      <c r="D405" s="249" t="str">
        <f>VLOOKUP(I405,BDcuA,4,FALSE)</f>
        <v>UND</v>
      </c>
      <c r="E405" s="249">
        <v>4</v>
      </c>
      <c r="F405" s="250">
        <f>VLOOKUP(I405,BDcuA,5,FALSE)</f>
        <v>28.77</v>
      </c>
      <c r="G405" s="251">
        <f>ROUND(F405*E405,DpP)</f>
        <v>115.08</v>
      </c>
      <c r="I405" s="207">
        <v>10249</v>
      </c>
      <c r="J405" s="208" t="s">
        <v>1345</v>
      </c>
    </row>
    <row r="406" spans="2:12" s="205" customFormat="1" x14ac:dyDescent="0.2">
      <c r="B406" s="209" t="str">
        <f>J406 &amp; "  " &amp; K406</f>
        <v>05.02.05  INTERRUPTORES Y TOMACORRIENTES</v>
      </c>
      <c r="C406" s="268"/>
      <c r="D406" s="252"/>
      <c r="E406" s="252"/>
      <c r="F406" s="253"/>
      <c r="G406" s="254">
        <f>SUM(G407:G412)</f>
        <v>389.15</v>
      </c>
      <c r="H406" s="210"/>
      <c r="I406" s="211" t="s">
        <v>163</v>
      </c>
      <c r="J406" s="212" t="s">
        <v>1346</v>
      </c>
      <c r="K406" s="210" t="s">
        <v>1347</v>
      </c>
      <c r="L406" s="210"/>
    </row>
    <row r="407" spans="2:12" s="205" customFormat="1" x14ac:dyDescent="0.2">
      <c r="B407" s="213" t="str">
        <f t="shared" ref="B407:B412" si="48">J407 &amp; "  " &amp; VLOOKUP(I407,BDcuA,2,FALSE)</f>
        <v>05.02.05.01  INTERRUPTOR SIMPLE EUROLUZ</v>
      </c>
      <c r="C407" s="267"/>
      <c r="D407" s="249" t="str">
        <f t="shared" ref="D407:D412" si="49">VLOOKUP(I407,BDcuA,4,FALSE)</f>
        <v>UND</v>
      </c>
      <c r="E407" s="249">
        <v>5</v>
      </c>
      <c r="F407" s="250">
        <f t="shared" ref="F407:F412" si="50">VLOOKUP(I407,BDcuA,5,FALSE)</f>
        <v>11.379999999999999</v>
      </c>
      <c r="G407" s="251">
        <f t="shared" ref="G407:G412" si="51">ROUND(F407*E407,DpP)</f>
        <v>56.9</v>
      </c>
      <c r="I407" s="207">
        <v>10274</v>
      </c>
      <c r="J407" s="208" t="s">
        <v>1348</v>
      </c>
    </row>
    <row r="408" spans="2:12" s="205" customFormat="1" x14ac:dyDescent="0.2">
      <c r="B408" s="213" t="str">
        <f t="shared" si="48"/>
        <v>05.02.05.02  INTERRUPTOR DOBLE EUROLUZ ROMA</v>
      </c>
      <c r="C408" s="267"/>
      <c r="D408" s="249" t="str">
        <f t="shared" si="49"/>
        <v>UND</v>
      </c>
      <c r="E408" s="249">
        <v>5</v>
      </c>
      <c r="F408" s="250">
        <f t="shared" si="50"/>
        <v>12.229999999999999</v>
      </c>
      <c r="G408" s="251">
        <f t="shared" si="51"/>
        <v>61.15</v>
      </c>
      <c r="I408" s="207">
        <v>10275</v>
      </c>
      <c r="J408" s="208" t="s">
        <v>1351</v>
      </c>
    </row>
    <row r="409" spans="2:12" s="205" customFormat="1" x14ac:dyDescent="0.2">
      <c r="B409" s="213" t="str">
        <f t="shared" si="48"/>
        <v>05.02.05.03  INTERRUPTOR TRIPLE  EUROLUZ ROMA</v>
      </c>
      <c r="C409" s="267"/>
      <c r="D409" s="249" t="str">
        <f t="shared" si="49"/>
        <v>UND</v>
      </c>
      <c r="E409" s="249">
        <v>5</v>
      </c>
      <c r="F409" s="250">
        <f t="shared" si="50"/>
        <v>14.03</v>
      </c>
      <c r="G409" s="251">
        <f t="shared" si="51"/>
        <v>70.150000000000006</v>
      </c>
      <c r="I409" s="207">
        <v>10276</v>
      </c>
      <c r="J409" s="208" t="s">
        <v>1354</v>
      </c>
    </row>
    <row r="410" spans="2:12" s="205" customFormat="1" x14ac:dyDescent="0.2">
      <c r="B410" s="213" t="str">
        <f t="shared" si="48"/>
        <v>05.02.05.04  INTERRUPTOR CONMUTADOR SIMPLE  EUROLUZ ROMA</v>
      </c>
      <c r="C410" s="267"/>
      <c r="D410" s="249" t="str">
        <f t="shared" si="49"/>
        <v>UND</v>
      </c>
      <c r="E410" s="249">
        <v>5</v>
      </c>
      <c r="F410" s="250">
        <f t="shared" si="50"/>
        <v>12.08</v>
      </c>
      <c r="G410" s="251">
        <f t="shared" si="51"/>
        <v>60.4</v>
      </c>
      <c r="I410" s="207">
        <v>10277</v>
      </c>
      <c r="J410" s="208" t="s">
        <v>1357</v>
      </c>
    </row>
    <row r="411" spans="2:12" s="205" customFormat="1" x14ac:dyDescent="0.2">
      <c r="B411" s="213" t="str">
        <f t="shared" si="48"/>
        <v>05.02.05.05  INTERRUPTOR CONMUTADOR DOBLE  EUROLUZ ROMA</v>
      </c>
      <c r="C411" s="267"/>
      <c r="D411" s="249" t="str">
        <f t="shared" si="49"/>
        <v>UND</v>
      </c>
      <c r="E411" s="249">
        <v>5</v>
      </c>
      <c r="F411" s="250">
        <f t="shared" si="50"/>
        <v>14.68</v>
      </c>
      <c r="G411" s="251">
        <f t="shared" si="51"/>
        <v>73.400000000000006</v>
      </c>
      <c r="I411" s="207">
        <v>10278</v>
      </c>
      <c r="J411" s="208" t="s">
        <v>1360</v>
      </c>
    </row>
    <row r="412" spans="2:12" s="205" customFormat="1" x14ac:dyDescent="0.2">
      <c r="B412" s="213" t="str">
        <f t="shared" si="48"/>
        <v>05.02.05.06  TOMACORRIENTE  DOBLE C/LINEA  A TIERRA  EUROLUZ ROMA</v>
      </c>
      <c r="C412" s="267"/>
      <c r="D412" s="249" t="str">
        <f t="shared" si="49"/>
        <v>UND</v>
      </c>
      <c r="E412" s="249">
        <v>5</v>
      </c>
      <c r="F412" s="250">
        <f t="shared" si="50"/>
        <v>13.43</v>
      </c>
      <c r="G412" s="251">
        <f t="shared" si="51"/>
        <v>67.150000000000006</v>
      </c>
      <c r="I412" s="207">
        <v>10279</v>
      </c>
      <c r="J412" s="208" t="s">
        <v>1363</v>
      </c>
    </row>
    <row r="413" spans="2:12" s="205" customFormat="1" x14ac:dyDescent="0.2">
      <c r="B413" s="214" t="str">
        <f>J413 &amp; "  " &amp; K413</f>
        <v>05.03  ARTEFACTOS</v>
      </c>
      <c r="C413" s="269"/>
      <c r="D413" s="255"/>
      <c r="E413" s="255"/>
      <c r="F413" s="256"/>
      <c r="G413" s="257">
        <f>SUM(G414:G418)</f>
        <v>1730.35</v>
      </c>
      <c r="H413" s="215"/>
      <c r="I413" s="216" t="s">
        <v>160</v>
      </c>
      <c r="J413" s="217" t="s">
        <v>1366</v>
      </c>
      <c r="K413" s="215" t="s">
        <v>1367</v>
      </c>
      <c r="L413" s="215"/>
    </row>
    <row r="414" spans="2:12" s="205" customFormat="1" x14ac:dyDescent="0.2">
      <c r="B414" s="218" t="str">
        <f>J414 &amp; "  " &amp; VLOOKUP(I414,BDcuA,2,FALSE)</f>
        <v>05.03.01  ARTEFACTO WALL SOCKET BAKELITA EUROLUZ C/LAMP 100 WATTS</v>
      </c>
      <c r="C414" s="267"/>
      <c r="D414" s="249" t="str">
        <f>VLOOKUP(I414,BDcuA,4,FALSE)</f>
        <v>PZA</v>
      </c>
      <c r="E414" s="249">
        <v>5</v>
      </c>
      <c r="F414" s="250">
        <f>VLOOKUP(I414,BDcuA,5,FALSE)</f>
        <v>15.420000000000002</v>
      </c>
      <c r="G414" s="251">
        <f>ROUND(F414*E414,DpP)</f>
        <v>77.099999999999994</v>
      </c>
      <c r="I414" s="207">
        <v>10280</v>
      </c>
      <c r="J414" s="208" t="s">
        <v>1368</v>
      </c>
    </row>
    <row r="415" spans="2:12" s="205" customFormat="1" x14ac:dyDescent="0.2">
      <c r="B415" s="218" t="str">
        <f>J415 &amp; "  " &amp; VLOOKUP(I415,BDcuA,2,FALSE)</f>
        <v>05.03.02  ARTEFACTO HERMETICO C/2 LAMP. FLUORESCENTES DE 36 WATTS</v>
      </c>
      <c r="C415" s="267"/>
      <c r="D415" s="249" t="str">
        <f>VLOOKUP(I415,BDcuA,4,FALSE)</f>
        <v>PZA</v>
      </c>
      <c r="E415" s="249">
        <v>5</v>
      </c>
      <c r="F415" s="250">
        <f>VLOOKUP(I415,BDcuA,5,FALSE)</f>
        <v>110.03999999999999</v>
      </c>
      <c r="G415" s="251">
        <f>ROUND(F415*E415,DpP)</f>
        <v>550.20000000000005</v>
      </c>
      <c r="I415" s="207">
        <v>10281</v>
      </c>
      <c r="J415" s="208" t="s">
        <v>1372</v>
      </c>
    </row>
    <row r="416" spans="2:12" s="205" customFormat="1" x14ac:dyDescent="0.2">
      <c r="B416" s="218" t="str">
        <f>J416 &amp; "  " &amp; VLOOKUP(I416,BDcuA,2,FALSE)</f>
        <v>05.03.03  SPOT LIGHT DICROICO</v>
      </c>
      <c r="C416" s="267"/>
      <c r="D416" s="249" t="str">
        <f>VLOOKUP(I416,BDcuA,4,FALSE)</f>
        <v>PZA</v>
      </c>
      <c r="E416" s="249">
        <v>5</v>
      </c>
      <c r="F416" s="250">
        <f>VLOOKUP(I416,BDcuA,5,FALSE)</f>
        <v>60.04</v>
      </c>
      <c r="G416" s="251">
        <f>ROUND(F416*E416,DpP)</f>
        <v>300.2</v>
      </c>
      <c r="I416" s="207">
        <v>10282</v>
      </c>
      <c r="J416" s="208" t="s">
        <v>1375</v>
      </c>
    </row>
    <row r="417" spans="2:12" s="205" customFormat="1" x14ac:dyDescent="0.2">
      <c r="B417" s="218" t="str">
        <f>J417 &amp; "  " &amp; VLOOKUP(I417,BDcuA,2,FALSE)</f>
        <v>05.03.04  BRAQUET ESFERICO DE POLICARBONATO</v>
      </c>
      <c r="C417" s="267"/>
      <c r="D417" s="249" t="str">
        <f>VLOOKUP(I417,BDcuA,4,FALSE)</f>
        <v>PZA</v>
      </c>
      <c r="E417" s="249">
        <v>5</v>
      </c>
      <c r="F417" s="250">
        <f>VLOOKUP(I417,BDcuA,5,FALSE)</f>
        <v>80.039999999999992</v>
      </c>
      <c r="G417" s="251">
        <f>ROUND(F417*E417,DpP)</f>
        <v>400.2</v>
      </c>
      <c r="I417" s="207">
        <v>10283</v>
      </c>
      <c r="J417" s="208" t="s">
        <v>1377</v>
      </c>
    </row>
    <row r="418" spans="2:12" s="205" customFormat="1" x14ac:dyDescent="0.2">
      <c r="B418" s="218" t="str">
        <f>J418 &amp; "  " &amp; VLOOKUP(I418,BDcuA,2,FALSE)</f>
        <v>05.03.05  LAMPARA PARA ALUMBRADO DE EMERGENCIA</v>
      </c>
      <c r="C418" s="267"/>
      <c r="D418" s="249" t="str">
        <f>VLOOKUP(I418,BDcuA,4,FALSE)</f>
        <v>UND</v>
      </c>
      <c r="E418" s="249">
        <v>5</v>
      </c>
      <c r="F418" s="250">
        <f>VLOOKUP(I418,BDcuA,5,FALSE)</f>
        <v>80.53</v>
      </c>
      <c r="G418" s="251">
        <f>ROUND(F418*E418,DpP)</f>
        <v>402.65</v>
      </c>
      <c r="I418" s="207">
        <v>10284</v>
      </c>
      <c r="J418" s="208" t="s">
        <v>1379</v>
      </c>
    </row>
    <row r="419" spans="2:12" s="205" customFormat="1" x14ac:dyDescent="0.2">
      <c r="B419" s="214" t="str">
        <f>J419 &amp; "  " &amp; K419</f>
        <v>05.04  EQUIPOS ELECTRICOS, MECANICOS Y ESPECIALES</v>
      </c>
      <c r="C419" s="269"/>
      <c r="D419" s="255"/>
      <c r="E419" s="255"/>
      <c r="F419" s="256"/>
      <c r="G419" s="257">
        <f>SUMIF(Pto!$I420:$I435,"&gt;10000",G420:G435)</f>
        <v>62984.010000000009</v>
      </c>
      <c r="H419" s="215"/>
      <c r="I419" s="216" t="s">
        <v>160</v>
      </c>
      <c r="J419" s="217" t="s">
        <v>1381</v>
      </c>
      <c r="K419" s="215" t="s">
        <v>1382</v>
      </c>
      <c r="L419" s="215"/>
    </row>
    <row r="420" spans="2:12" s="205" customFormat="1" x14ac:dyDescent="0.2">
      <c r="B420" s="209" t="str">
        <f>J420 &amp; "  " &amp; K420</f>
        <v>05.04.01  BOMBAS PARA AGUA</v>
      </c>
      <c r="C420" s="268"/>
      <c r="D420" s="252"/>
      <c r="E420" s="252"/>
      <c r="F420" s="253"/>
      <c r="G420" s="254">
        <f>SUM(G421:G421)</f>
        <v>22010.9</v>
      </c>
      <c r="H420" s="210"/>
      <c r="I420" s="211" t="s">
        <v>163</v>
      </c>
      <c r="J420" s="212" t="s">
        <v>1383</v>
      </c>
      <c r="K420" s="210" t="s">
        <v>1384</v>
      </c>
      <c r="L420" s="210"/>
    </row>
    <row r="421" spans="2:12" s="205" customFormat="1" x14ac:dyDescent="0.2">
      <c r="B421" s="213" t="str">
        <f>J421 &amp; "  " &amp; VLOOKUP(I421,BDcuA,2,FALSE)</f>
        <v>05.04.01.01  SISTEMA 02 ELECTROBOMBAS 4 HP (INC. TABLERO Y CONTROL D/NIVEL)</v>
      </c>
      <c r="C421" s="267"/>
      <c r="D421" s="249" t="str">
        <f>VLOOKUP(I421,BDcuA,4,FALSE)</f>
        <v>EQP</v>
      </c>
      <c r="E421" s="249">
        <v>5</v>
      </c>
      <c r="F421" s="250">
        <f>VLOOKUP(I421,BDcuA,5,FALSE)</f>
        <v>4402.18</v>
      </c>
      <c r="G421" s="251">
        <f>ROUND(F421*E421,DpP)</f>
        <v>22010.9</v>
      </c>
      <c r="I421" s="207">
        <v>10285</v>
      </c>
      <c r="J421" s="208" t="s">
        <v>1385</v>
      </c>
    </row>
    <row r="422" spans="2:12" s="205" customFormat="1" x14ac:dyDescent="0.2">
      <c r="B422" s="209" t="str">
        <f>J422 &amp; "  " &amp; K422</f>
        <v>05.04.02  OTRAS BOMBAS</v>
      </c>
      <c r="C422" s="268"/>
      <c r="D422" s="252"/>
      <c r="E422" s="252"/>
      <c r="F422" s="253"/>
      <c r="G422" s="254">
        <f>SUM(G423:G423)</f>
        <v>10364.700000000001</v>
      </c>
      <c r="H422" s="210"/>
      <c r="I422" s="211" t="s">
        <v>163</v>
      </c>
      <c r="J422" s="212" t="s">
        <v>1410</v>
      </c>
      <c r="K422" s="210" t="s">
        <v>1411</v>
      </c>
      <c r="L422" s="210"/>
    </row>
    <row r="423" spans="2:12" s="205" customFormat="1" x14ac:dyDescent="0.2">
      <c r="B423" s="213" t="str">
        <f>J423 &amp; "  " &amp; VLOOKUP(I423,BDcuA,2,FALSE)</f>
        <v>05.04.02.01  SISTEMA DE BOMBEO DE DESAGUE, ELECTROBOMBA SUMERGIBLE DE 1.2 HP</v>
      </c>
      <c r="C423" s="267"/>
      <c r="D423" s="249" t="str">
        <f>VLOOKUP(I423,BDcuA,4,FALSE)</f>
        <v>EQP</v>
      </c>
      <c r="E423" s="249">
        <v>5</v>
      </c>
      <c r="F423" s="250">
        <f>VLOOKUP(I423,BDcuA,5,FALSE)</f>
        <v>2072.94</v>
      </c>
      <c r="G423" s="251">
        <f>ROUND(F423*E423,DpP)</f>
        <v>10364.700000000001</v>
      </c>
      <c r="I423" s="207">
        <v>10286</v>
      </c>
      <c r="J423" s="208" t="s">
        <v>1412</v>
      </c>
    </row>
    <row r="424" spans="2:12" s="205" customFormat="1" x14ac:dyDescent="0.2">
      <c r="B424" s="209" t="str">
        <f>J424 &amp; "  " &amp; K424</f>
        <v>05.04.03  SISTEMA DE APERTURA DE PUERTAS</v>
      </c>
      <c r="C424" s="268"/>
      <c r="D424" s="252"/>
      <c r="E424" s="252"/>
      <c r="F424" s="253"/>
      <c r="G424" s="254">
        <f>SUM(G425:G425)</f>
        <v>22500</v>
      </c>
      <c r="H424" s="210"/>
      <c r="I424" s="211" t="s">
        <v>163</v>
      </c>
      <c r="J424" s="212" t="s">
        <v>1428</v>
      </c>
      <c r="K424" s="210" t="s">
        <v>1429</v>
      </c>
      <c r="L424" s="210"/>
    </row>
    <row r="425" spans="2:12" s="205" customFormat="1" x14ac:dyDescent="0.2">
      <c r="B425" s="213" t="str">
        <f>J425 &amp; "  " &amp; VLOOKUP(I425,BDcuA,2,FALSE)</f>
        <v>05.04.03.01  SISTEMA SECCIONAL PARA PUERTAS DE ESTACIONAMIENTOS</v>
      </c>
      <c r="C425" s="267"/>
      <c r="D425" s="249" t="str">
        <f>VLOOKUP(I425,BDcuA,4,FALSE)</f>
        <v>EQP</v>
      </c>
      <c r="E425" s="249">
        <v>5</v>
      </c>
      <c r="F425" s="250">
        <f>VLOOKUP(I425,BDcuA,5,FALSE)</f>
        <v>4500</v>
      </c>
      <c r="G425" s="251">
        <f>ROUND(F425*E425,DpP)</f>
        <v>22500</v>
      </c>
      <c r="I425" s="207">
        <v>10287</v>
      </c>
      <c r="J425" s="208" t="s">
        <v>1430</v>
      </c>
    </row>
    <row r="426" spans="2:12" s="205" customFormat="1" x14ac:dyDescent="0.2">
      <c r="B426" s="209" t="str">
        <f>J426 &amp; "  " &amp; K426</f>
        <v>05.04.04  SISTEMA DE SEGURIDAD</v>
      </c>
      <c r="C426" s="268"/>
      <c r="D426" s="252"/>
      <c r="E426" s="252"/>
      <c r="F426" s="253"/>
      <c r="G426" s="254">
        <f>SUM(G427:G427)</f>
        <v>6278</v>
      </c>
      <c r="H426" s="210"/>
      <c r="I426" s="211" t="s">
        <v>163</v>
      </c>
      <c r="J426" s="212" t="s">
        <v>1432</v>
      </c>
      <c r="K426" s="210" t="s">
        <v>1433</v>
      </c>
      <c r="L426" s="210"/>
    </row>
    <row r="427" spans="2:12" s="205" customFormat="1" x14ac:dyDescent="0.2">
      <c r="B427" s="213" t="str">
        <f>J427 &amp; "  " &amp; VLOOKUP(I427,BDcuA,2,FALSE)</f>
        <v>05.04.04.01  CERCO ELECTRICO DE SEGURIDAD EN PERIMETRO DE LA EDIFICACION</v>
      </c>
      <c r="C427" s="267"/>
      <c r="D427" s="249" t="str">
        <f>VLOOKUP(I427,BDcuA,4,FALSE)</f>
        <v>EQP</v>
      </c>
      <c r="E427" s="249">
        <v>5</v>
      </c>
      <c r="F427" s="250">
        <f>VLOOKUP(I427,BDcuA,5,FALSE)</f>
        <v>1255.5999999999999</v>
      </c>
      <c r="G427" s="251">
        <f>ROUND(F427*E427,DpP)</f>
        <v>6278</v>
      </c>
      <c r="I427" s="207">
        <v>10288</v>
      </c>
      <c r="J427" s="208" t="s">
        <v>1434</v>
      </c>
    </row>
    <row r="428" spans="2:12" s="205" customFormat="1" x14ac:dyDescent="0.2">
      <c r="B428" s="209" t="str">
        <f>J428 &amp; "  " &amp; K428</f>
        <v>05.04.05  SISTEMA DE DETECCION DE ALARMA CONTRAINCENDIO</v>
      </c>
      <c r="C428" s="268"/>
      <c r="D428" s="252"/>
      <c r="E428" s="252"/>
      <c r="F428" s="253"/>
      <c r="G428" s="254">
        <f>SUM(G429:G435)</f>
        <v>1830.41</v>
      </c>
      <c r="H428" s="210"/>
      <c r="I428" s="211" t="s">
        <v>163</v>
      </c>
      <c r="J428" s="212" t="s">
        <v>1438</v>
      </c>
      <c r="K428" s="210" t="s">
        <v>1439</v>
      </c>
      <c r="L428" s="210"/>
    </row>
    <row r="429" spans="2:12" s="205" customFormat="1" x14ac:dyDescent="0.2">
      <c r="B429" s="213" t="str">
        <f t="shared" ref="B429:B435" si="52">J429 &amp; "  " &amp; VLOOKUP(I429,BDcuA,2,FALSE)</f>
        <v>05.04.05.01  SALIDA PARA CENTRAL DE ALARMA CONTRA INCENDIO</v>
      </c>
      <c r="C429" s="267"/>
      <c r="D429" s="249" t="str">
        <f t="shared" ref="D429:D435" si="53">VLOOKUP(I429,BDcuA,4,FALSE)</f>
        <v>UND</v>
      </c>
      <c r="E429" s="249">
        <v>1</v>
      </c>
      <c r="F429" s="250">
        <f t="shared" ref="F429:F435" si="54">VLOOKUP(I429,BDcuA,5,FALSE)</f>
        <v>37.969999999999992</v>
      </c>
      <c r="G429" s="251">
        <f t="shared" ref="G429:G435" si="55">ROUND(F429*E429,DpP)</f>
        <v>37.97</v>
      </c>
      <c r="I429" s="207">
        <v>10289</v>
      </c>
      <c r="J429" s="208" t="s">
        <v>1440</v>
      </c>
    </row>
    <row r="430" spans="2:12" s="205" customFormat="1" x14ac:dyDescent="0.2">
      <c r="B430" s="213" t="str">
        <f t="shared" si="52"/>
        <v>05.04.05.02  SALIDA PARA DETECTOR DE HUMO</v>
      </c>
      <c r="C430" s="267"/>
      <c r="D430" s="249" t="str">
        <f t="shared" si="53"/>
        <v>UND</v>
      </c>
      <c r="E430" s="249">
        <v>9</v>
      </c>
      <c r="F430" s="250">
        <f t="shared" si="54"/>
        <v>26.31</v>
      </c>
      <c r="G430" s="251">
        <f t="shared" si="55"/>
        <v>236.79</v>
      </c>
      <c r="I430" s="207">
        <v>10290</v>
      </c>
      <c r="J430" s="208" t="s">
        <v>1443</v>
      </c>
    </row>
    <row r="431" spans="2:12" s="205" customFormat="1" x14ac:dyDescent="0.2">
      <c r="B431" s="213" t="str">
        <f t="shared" si="52"/>
        <v>05.04.05.03  SALIDA PARA PULSADOR DE ALARMA CONTRA INCENDIO</v>
      </c>
      <c r="C431" s="267"/>
      <c r="D431" s="249" t="str">
        <f t="shared" si="53"/>
        <v>UND</v>
      </c>
      <c r="E431" s="249">
        <v>9</v>
      </c>
      <c r="F431" s="250">
        <f t="shared" si="54"/>
        <v>26.31</v>
      </c>
      <c r="G431" s="251">
        <f t="shared" si="55"/>
        <v>236.79</v>
      </c>
      <c r="I431" s="207">
        <v>10291</v>
      </c>
      <c r="J431" s="208" t="s">
        <v>1445</v>
      </c>
    </row>
    <row r="432" spans="2:12" s="205" customFormat="1" x14ac:dyDescent="0.2">
      <c r="B432" s="213" t="str">
        <f t="shared" si="52"/>
        <v>05.04.05.04  SALIDA PARA SEÑAL SONORA Y LUZ ESTROBOSCOPICA</v>
      </c>
      <c r="C432" s="267"/>
      <c r="D432" s="249" t="str">
        <f t="shared" si="53"/>
        <v>UND</v>
      </c>
      <c r="E432" s="249">
        <v>9</v>
      </c>
      <c r="F432" s="250">
        <f t="shared" si="54"/>
        <v>31.41</v>
      </c>
      <c r="G432" s="251">
        <f t="shared" si="55"/>
        <v>282.69</v>
      </c>
      <c r="I432" s="207">
        <v>10292</v>
      </c>
      <c r="J432" s="208" t="s">
        <v>1447</v>
      </c>
    </row>
    <row r="433" spans="2:12" s="205" customFormat="1" x14ac:dyDescent="0.2">
      <c r="B433" s="213" t="str">
        <f t="shared" si="52"/>
        <v>05.04.05.05  TUBERIA  PVC-SEL (ELECTRICAS) D=1" (25 MM)</v>
      </c>
      <c r="C433" s="267"/>
      <c r="D433" s="249" t="str">
        <f t="shared" si="53"/>
        <v>M</v>
      </c>
      <c r="E433" s="249">
        <v>27</v>
      </c>
      <c r="F433" s="250">
        <f t="shared" si="54"/>
        <v>7.12</v>
      </c>
      <c r="G433" s="251">
        <f t="shared" si="55"/>
        <v>192.24</v>
      </c>
      <c r="I433" s="207">
        <v>10245</v>
      </c>
      <c r="J433" s="208" t="s">
        <v>1450</v>
      </c>
    </row>
    <row r="434" spans="2:12" s="205" customFormat="1" x14ac:dyDescent="0.2">
      <c r="B434" s="213" t="str">
        <f t="shared" si="52"/>
        <v>05.04.05.06  TUBERIA  PVC-SEL (ELECTRICAS) D=3/4" (20 MM)</v>
      </c>
      <c r="C434" s="267"/>
      <c r="D434" s="249" t="str">
        <f t="shared" si="53"/>
        <v>M</v>
      </c>
      <c r="E434" s="249">
        <v>90</v>
      </c>
      <c r="F434" s="250">
        <f t="shared" si="54"/>
        <v>6.5</v>
      </c>
      <c r="G434" s="251">
        <f t="shared" si="55"/>
        <v>585</v>
      </c>
      <c r="I434" s="207">
        <v>10272</v>
      </c>
      <c r="J434" s="208" t="s">
        <v>1451</v>
      </c>
    </row>
    <row r="435" spans="2:12" s="205" customFormat="1" x14ac:dyDescent="0.2">
      <c r="B435" s="213" t="str">
        <f t="shared" si="52"/>
        <v>05.04.05.07  CAJA DE PASE F°G° LIVIANO 200X200X100 MM</v>
      </c>
      <c r="C435" s="267"/>
      <c r="D435" s="249" t="str">
        <f t="shared" si="53"/>
        <v>UND</v>
      </c>
      <c r="E435" s="249">
        <v>9</v>
      </c>
      <c r="F435" s="250">
        <f t="shared" si="54"/>
        <v>28.77</v>
      </c>
      <c r="G435" s="251">
        <f t="shared" si="55"/>
        <v>258.93</v>
      </c>
      <c r="I435" s="207">
        <v>10249</v>
      </c>
      <c r="J435" s="208" t="s">
        <v>1452</v>
      </c>
    </row>
    <row r="436" spans="2:12" s="205" customFormat="1" x14ac:dyDescent="0.2">
      <c r="B436" s="219" t="str">
        <f>J436 &amp; "  " &amp; K436</f>
        <v>06  INSTALACIONES DE COMUNICACIONES</v>
      </c>
      <c r="C436" s="270"/>
      <c r="D436" s="258"/>
      <c r="E436" s="258"/>
      <c r="F436" s="259"/>
      <c r="G436" s="260">
        <f>SUMIF(Pto!$I437:$I468,"&gt;10000",G437:G468)</f>
        <v>27187.240000000005</v>
      </c>
      <c r="H436" s="220"/>
      <c r="I436" s="221" t="s">
        <v>157</v>
      </c>
      <c r="J436" s="222" t="s">
        <v>1453</v>
      </c>
      <c r="K436" s="220" t="s">
        <v>1454</v>
      </c>
      <c r="L436" s="220"/>
    </row>
    <row r="437" spans="2:12" s="205" customFormat="1" x14ac:dyDescent="0.2">
      <c r="B437" s="214" t="str">
        <f>J437 &amp; "  " &amp; K437</f>
        <v>06.01  SALIDAS PARA COMUNICACIONES</v>
      </c>
      <c r="C437" s="269"/>
      <c r="D437" s="255"/>
      <c r="E437" s="255"/>
      <c r="F437" s="256"/>
      <c r="G437" s="257">
        <f>SUMIF(Pto!$I438:$I446,"&gt;10000",G438:G446)</f>
        <v>4093.9500000000003</v>
      </c>
      <c r="H437" s="215"/>
      <c r="I437" s="216" t="s">
        <v>160</v>
      </c>
      <c r="J437" s="217" t="s">
        <v>1455</v>
      </c>
      <c r="K437" s="215" t="s">
        <v>1456</v>
      </c>
      <c r="L437" s="215"/>
    </row>
    <row r="438" spans="2:12" s="205" customFormat="1" x14ac:dyDescent="0.2">
      <c r="B438" s="209" t="str">
        <f>J438 &amp; "  " &amp; K438</f>
        <v>06.01.01  INSTALACIONES DE TV CABLE</v>
      </c>
      <c r="C438" s="268"/>
      <c r="D438" s="252"/>
      <c r="E438" s="252"/>
      <c r="F438" s="253"/>
      <c r="G438" s="254">
        <f>SUM(G439:G439)</f>
        <v>1748.88</v>
      </c>
      <c r="H438" s="210"/>
      <c r="I438" s="211" t="s">
        <v>163</v>
      </c>
      <c r="J438" s="212" t="s">
        <v>1457</v>
      </c>
      <c r="K438" s="210" t="s">
        <v>1458</v>
      </c>
      <c r="L438" s="210"/>
    </row>
    <row r="439" spans="2:12" s="205" customFormat="1" x14ac:dyDescent="0.2">
      <c r="B439" s="213" t="str">
        <f>J439 &amp; "  " &amp; VLOOKUP(I439,BDcuA,2,FALSE)</f>
        <v>06.01.01.01  SALIDA PARA TV CABLE</v>
      </c>
      <c r="C439" s="267"/>
      <c r="D439" s="249" t="str">
        <f>VLOOKUP(I439,BDcuA,4,FALSE)</f>
        <v>UND</v>
      </c>
      <c r="E439" s="249">
        <v>56</v>
      </c>
      <c r="F439" s="250">
        <f>VLOOKUP(I439,BDcuA,5,FALSE)</f>
        <v>31.229999999999997</v>
      </c>
      <c r="G439" s="251">
        <f>ROUND(F439*E439,DpP)</f>
        <v>1748.88</v>
      </c>
      <c r="I439" s="207">
        <v>10293</v>
      </c>
      <c r="J439" s="208" t="s">
        <v>1459</v>
      </c>
    </row>
    <row r="440" spans="2:12" s="205" customFormat="1" x14ac:dyDescent="0.2">
      <c r="B440" s="209" t="str">
        <f>J440 &amp; "  " &amp; K440</f>
        <v>06.01.02  INSTALACIONES DE TELEFONO FIJO</v>
      </c>
      <c r="C440" s="268"/>
      <c r="D440" s="252"/>
      <c r="E440" s="252"/>
      <c r="F440" s="253"/>
      <c r="G440" s="254">
        <f>SUM(G441:G441)</f>
        <v>150.05000000000001</v>
      </c>
      <c r="H440" s="210"/>
      <c r="I440" s="211" t="s">
        <v>163</v>
      </c>
      <c r="J440" s="212" t="s">
        <v>1462</v>
      </c>
      <c r="K440" s="210" t="s">
        <v>1463</v>
      </c>
      <c r="L440" s="210"/>
    </row>
    <row r="441" spans="2:12" s="205" customFormat="1" x14ac:dyDescent="0.2">
      <c r="B441" s="213" t="str">
        <f>J441 &amp; "  " &amp; VLOOKUP(I441,BDcuA,2,FALSE)</f>
        <v>06.01.02.01  SALIDA PARA TELEFONO</v>
      </c>
      <c r="C441" s="267"/>
      <c r="D441" s="249" t="str">
        <f>VLOOKUP(I441,BDcuA,4,FALSE)</f>
        <v>UND</v>
      </c>
      <c r="E441" s="249">
        <v>5</v>
      </c>
      <c r="F441" s="250">
        <f>VLOOKUP(I441,BDcuA,5,FALSE)</f>
        <v>30.009999999999998</v>
      </c>
      <c r="G441" s="251">
        <f>ROUND(F441*E441,DpP)</f>
        <v>150.05000000000001</v>
      </c>
      <c r="I441" s="207">
        <v>10294</v>
      </c>
      <c r="J441" s="208" t="s">
        <v>1464</v>
      </c>
    </row>
    <row r="442" spans="2:12" s="205" customFormat="1" x14ac:dyDescent="0.2">
      <c r="B442" s="209" t="str">
        <f>J442 &amp; "  " &amp; K442</f>
        <v>06.01.03  INSTALACIONES DE INTERNET</v>
      </c>
      <c r="C442" s="268"/>
      <c r="D442" s="252"/>
      <c r="E442" s="252"/>
      <c r="F442" s="253"/>
      <c r="G442" s="254">
        <f>SUM(G443:G443)</f>
        <v>1210.26</v>
      </c>
      <c r="H442" s="210"/>
      <c r="I442" s="211" t="s">
        <v>163</v>
      </c>
      <c r="J442" s="212" t="s">
        <v>1467</v>
      </c>
      <c r="K442" s="210" t="s">
        <v>1468</v>
      </c>
      <c r="L442" s="210"/>
    </row>
    <row r="443" spans="2:12" s="205" customFormat="1" x14ac:dyDescent="0.2">
      <c r="B443" s="213" t="str">
        <f>J443 &amp; "  " &amp; VLOOKUP(I443,BDcuA,2,FALSE)</f>
        <v>06.01.03.01  SALIDA PARA VOZ Y DATA</v>
      </c>
      <c r="C443" s="267"/>
      <c r="D443" s="249" t="str">
        <f>VLOOKUP(I443,BDcuA,4,FALSE)</f>
        <v>UND</v>
      </c>
      <c r="E443" s="249">
        <v>46</v>
      </c>
      <c r="F443" s="250">
        <f>VLOOKUP(I443,BDcuA,5,FALSE)</f>
        <v>26.31</v>
      </c>
      <c r="G443" s="251">
        <f>ROUND(F443*E443,DpP)</f>
        <v>1210.26</v>
      </c>
      <c r="I443" s="207">
        <v>10295</v>
      </c>
      <c r="J443" s="208" t="s">
        <v>1469</v>
      </c>
    </row>
    <row r="444" spans="2:12" s="205" customFormat="1" x14ac:dyDescent="0.2">
      <c r="B444" s="209" t="str">
        <f>J444 &amp; "  " &amp; K444</f>
        <v>06.01.04  INSTALACIONES DE INTERCOMUNICADORES</v>
      </c>
      <c r="C444" s="268"/>
      <c r="D444" s="252"/>
      <c r="E444" s="252"/>
      <c r="F444" s="253"/>
      <c r="G444" s="254">
        <f>SUM(G445:G446)</f>
        <v>984.76</v>
      </c>
      <c r="H444" s="210"/>
      <c r="I444" s="211" t="s">
        <v>163</v>
      </c>
      <c r="J444" s="212" t="s">
        <v>1471</v>
      </c>
      <c r="K444" s="210" t="s">
        <v>1472</v>
      </c>
      <c r="L444" s="210"/>
    </row>
    <row r="445" spans="2:12" s="205" customFormat="1" x14ac:dyDescent="0.2">
      <c r="B445" s="213" t="str">
        <f>J445 &amp; "  " &amp; VLOOKUP(I445,BDcuA,2,FALSE)</f>
        <v>06.01.04.01  SALIDA PARA CENTRAL INTERCOMUNICADOR</v>
      </c>
      <c r="C445" s="267"/>
      <c r="D445" s="249" t="str">
        <f>VLOOKUP(I445,BDcuA,4,FALSE)</f>
        <v>UND</v>
      </c>
      <c r="E445" s="249">
        <v>2</v>
      </c>
      <c r="F445" s="250">
        <f>VLOOKUP(I445,BDcuA,5,FALSE)</f>
        <v>37.969999999999992</v>
      </c>
      <c r="G445" s="251">
        <f>ROUND(F445*E445,DpP)</f>
        <v>75.94</v>
      </c>
      <c r="I445" s="207">
        <v>10296</v>
      </c>
      <c r="J445" s="208" t="s">
        <v>1473</v>
      </c>
    </row>
    <row r="446" spans="2:12" s="205" customFormat="1" x14ac:dyDescent="0.2">
      <c r="B446" s="213" t="str">
        <f>J446 &amp; "  " &amp; VLOOKUP(I446,BDcuA,2,FALSE)</f>
        <v>06.01.04.02  SALIDA PARA INTERCOMUNICADOR</v>
      </c>
      <c r="C446" s="267"/>
      <c r="D446" s="249" t="str">
        <f>VLOOKUP(I446,BDcuA,4,FALSE)</f>
        <v>UND</v>
      </c>
      <c r="E446" s="249">
        <v>34</v>
      </c>
      <c r="F446" s="250">
        <f>VLOOKUP(I446,BDcuA,5,FALSE)</f>
        <v>26.729999999999997</v>
      </c>
      <c r="G446" s="251">
        <f>ROUND(F446*E446,DpP)</f>
        <v>908.82</v>
      </c>
      <c r="I446" s="207">
        <v>10297</v>
      </c>
      <c r="J446" s="208" t="s">
        <v>1475</v>
      </c>
    </row>
    <row r="447" spans="2:12" s="205" customFormat="1" x14ac:dyDescent="0.2">
      <c r="B447" s="214" t="str">
        <f>J447 &amp; "  " &amp; K447</f>
        <v>06.02  CANALETAS, CONDUCTOS Y/O TUBERIAS</v>
      </c>
      <c r="C447" s="269"/>
      <c r="D447" s="255"/>
      <c r="E447" s="255"/>
      <c r="F447" s="256"/>
      <c r="G447" s="257">
        <f>SUMIF(Pto!$I448:$I456,"&gt;10000",G448:G456)</f>
        <v>7792.82</v>
      </c>
      <c r="H447" s="215"/>
      <c r="I447" s="216" t="s">
        <v>160</v>
      </c>
      <c r="J447" s="217" t="s">
        <v>1478</v>
      </c>
      <c r="K447" s="215" t="s">
        <v>1479</v>
      </c>
      <c r="L447" s="215"/>
    </row>
    <row r="448" spans="2:12" s="205" customFormat="1" x14ac:dyDescent="0.2">
      <c r="B448" s="209" t="str">
        <f>J448 &amp; "  " &amp; K448</f>
        <v>06.02.01  TUBERIAS PARA TV CABLE</v>
      </c>
      <c r="C448" s="268"/>
      <c r="D448" s="252"/>
      <c r="E448" s="252"/>
      <c r="F448" s="253"/>
      <c r="G448" s="254">
        <f>SUM(G449:G450)</f>
        <v>3390.88</v>
      </c>
      <c r="H448" s="210"/>
      <c r="I448" s="211" t="s">
        <v>163</v>
      </c>
      <c r="J448" s="212" t="s">
        <v>1480</v>
      </c>
      <c r="K448" s="210" t="s">
        <v>1481</v>
      </c>
      <c r="L448" s="210"/>
    </row>
    <row r="449" spans="2:12" s="205" customFormat="1" x14ac:dyDescent="0.2">
      <c r="B449" s="213" t="str">
        <f>J449 &amp; "  " &amp; VLOOKUP(I449,BDcuA,2,FALSE)</f>
        <v>06.02.01.01  TUBERIA  PVC-SEL (ELECTRICAS) D=3/4" (20 MM)</v>
      </c>
      <c r="C449" s="267"/>
      <c r="D449" s="249" t="str">
        <f>VLOOKUP(I449,BDcuA,4,FALSE)</f>
        <v>M</v>
      </c>
      <c r="E449" s="249">
        <v>350</v>
      </c>
      <c r="F449" s="250">
        <f>VLOOKUP(I449,BDcuA,5,FALSE)</f>
        <v>6.5</v>
      </c>
      <c r="G449" s="251">
        <f>ROUND(F449*E449,DpP)</f>
        <v>2275</v>
      </c>
      <c r="I449" s="207">
        <v>10272</v>
      </c>
      <c r="J449" s="208" t="s">
        <v>1482</v>
      </c>
    </row>
    <row r="450" spans="2:12" s="205" customFormat="1" x14ac:dyDescent="0.2">
      <c r="B450" s="213" t="str">
        <f>J450 &amp; "  " &amp; VLOOKUP(I450,BDcuA,2,FALSE)</f>
        <v>06.02.01.02  TUBERIA  PVC-SEL (ELECTRICAS) D=2" (50 MM)</v>
      </c>
      <c r="C450" s="267"/>
      <c r="D450" s="249" t="str">
        <f>VLOOKUP(I450,BDcuA,4,FALSE)</f>
        <v>M</v>
      </c>
      <c r="E450" s="249">
        <v>102</v>
      </c>
      <c r="F450" s="250">
        <f>VLOOKUP(I450,BDcuA,5,FALSE)</f>
        <v>10.940000000000001</v>
      </c>
      <c r="G450" s="251">
        <f>ROUND(F450*E450,DpP)</f>
        <v>1115.8800000000001</v>
      </c>
      <c r="I450" s="207">
        <v>10298</v>
      </c>
      <c r="J450" s="208" t="s">
        <v>1483</v>
      </c>
    </row>
    <row r="451" spans="2:12" s="205" customFormat="1" x14ac:dyDescent="0.2">
      <c r="B451" s="209" t="str">
        <f>J451 &amp; "  " &amp; K451</f>
        <v>06.02.02  TUBERIAS PARA TELEFONO-INTERNET</v>
      </c>
      <c r="C451" s="268"/>
      <c r="D451" s="252"/>
      <c r="E451" s="252"/>
      <c r="F451" s="253"/>
      <c r="G451" s="254">
        <f>SUM(G452:G453)</f>
        <v>2834.16</v>
      </c>
      <c r="H451" s="210"/>
      <c r="I451" s="211" t="s">
        <v>163</v>
      </c>
      <c r="J451" s="212" t="s">
        <v>1488</v>
      </c>
      <c r="K451" s="210" t="s">
        <v>1489</v>
      </c>
      <c r="L451" s="210"/>
    </row>
    <row r="452" spans="2:12" s="205" customFormat="1" x14ac:dyDescent="0.2">
      <c r="B452" s="213" t="str">
        <f>J452 &amp; "  " &amp; VLOOKUP(I452,BDcuA,2,FALSE)</f>
        <v>06.02.02.01  TUBERIA  PVC-SEL (ELECTRICAS) D=3/4" (20 MM)</v>
      </c>
      <c r="C452" s="267"/>
      <c r="D452" s="249" t="str">
        <f>VLOOKUP(I452,BDcuA,4,FALSE)</f>
        <v>M</v>
      </c>
      <c r="E452" s="249">
        <v>396</v>
      </c>
      <c r="F452" s="250">
        <f>VLOOKUP(I452,BDcuA,5,FALSE)</f>
        <v>6.5</v>
      </c>
      <c r="G452" s="251">
        <f>ROUND(F452*E452,DpP)</f>
        <v>2574</v>
      </c>
      <c r="I452" s="207">
        <v>10272</v>
      </c>
      <c r="J452" s="208" t="s">
        <v>1490</v>
      </c>
    </row>
    <row r="453" spans="2:12" s="205" customFormat="1" x14ac:dyDescent="0.2">
      <c r="B453" s="213" t="str">
        <f>J453 &amp; "  " &amp; VLOOKUP(I453,BDcuA,2,FALSE)</f>
        <v>06.02.02.02  TUBERIA  PVC-SEL (ELECTRICAS) D=1 1/2" (40 MM)</v>
      </c>
      <c r="C453" s="267"/>
      <c r="D453" s="249" t="str">
        <f>VLOOKUP(I453,BDcuA,4,FALSE)</f>
        <v>M</v>
      </c>
      <c r="E453" s="249">
        <v>48</v>
      </c>
      <c r="F453" s="250">
        <f>VLOOKUP(I453,BDcuA,5,FALSE)</f>
        <v>5.419999999999999</v>
      </c>
      <c r="G453" s="251">
        <f>ROUND(F453*E453,DpP)</f>
        <v>260.16000000000003</v>
      </c>
      <c r="I453" s="207">
        <v>10246</v>
      </c>
      <c r="J453" s="208" t="s">
        <v>1491</v>
      </c>
    </row>
    <row r="454" spans="2:12" s="205" customFormat="1" x14ac:dyDescent="0.2">
      <c r="B454" s="209" t="str">
        <f>J454 &amp; "  " &amp; K454</f>
        <v>06.02.03  TUBERIAS PARA INTERCOMUNICADOR</v>
      </c>
      <c r="C454" s="268"/>
      <c r="D454" s="252"/>
      <c r="E454" s="252"/>
      <c r="F454" s="253"/>
      <c r="G454" s="254">
        <f>SUM(G455:G456)</f>
        <v>1567.78</v>
      </c>
      <c r="H454" s="210"/>
      <c r="I454" s="211" t="s">
        <v>163</v>
      </c>
      <c r="J454" s="212" t="s">
        <v>1492</v>
      </c>
      <c r="K454" s="210" t="s">
        <v>1493</v>
      </c>
      <c r="L454" s="210"/>
    </row>
    <row r="455" spans="2:12" s="205" customFormat="1" x14ac:dyDescent="0.2">
      <c r="B455" s="213" t="str">
        <f>J455 &amp; "  " &amp; VLOOKUP(I455,BDcuA,2,FALSE)</f>
        <v>06.02.03.01  TUBERIA  PVC-SEL (ELECTRICAS) D=3/4" (20 MM)</v>
      </c>
      <c r="C455" s="267"/>
      <c r="D455" s="249" t="str">
        <f>VLOOKUP(I455,BDcuA,4,FALSE)</f>
        <v>M</v>
      </c>
      <c r="E455" s="249">
        <v>193</v>
      </c>
      <c r="F455" s="250">
        <f>VLOOKUP(I455,BDcuA,5,FALSE)</f>
        <v>6.5</v>
      </c>
      <c r="G455" s="251">
        <f>ROUND(F455*E455,DpP)</f>
        <v>1254.5</v>
      </c>
      <c r="I455" s="207">
        <v>10272</v>
      </c>
      <c r="J455" s="208" t="s">
        <v>1494</v>
      </c>
    </row>
    <row r="456" spans="2:12" s="205" customFormat="1" x14ac:dyDescent="0.2">
      <c r="B456" s="213" t="str">
        <f>J456 &amp; "  " &amp; VLOOKUP(I456,BDcuA,2,FALSE)</f>
        <v>06.02.03.02  TUBERIA  PVC-SEL (ELECTRICAS) D=1" (25 MM)</v>
      </c>
      <c r="C456" s="267"/>
      <c r="D456" s="249" t="str">
        <f>VLOOKUP(I456,BDcuA,4,FALSE)</f>
        <v>M</v>
      </c>
      <c r="E456" s="249">
        <v>44</v>
      </c>
      <c r="F456" s="250">
        <f>VLOOKUP(I456,BDcuA,5,FALSE)</f>
        <v>7.12</v>
      </c>
      <c r="G456" s="251">
        <f>ROUND(F456*E456,DpP)</f>
        <v>313.27999999999997</v>
      </c>
      <c r="I456" s="207">
        <v>10245</v>
      </c>
      <c r="J456" s="208" t="s">
        <v>1495</v>
      </c>
    </row>
    <row r="457" spans="2:12" s="205" customFormat="1" x14ac:dyDescent="0.2">
      <c r="B457" s="214" t="str">
        <f>J457 &amp; "  " &amp; K457</f>
        <v>06.03  CAJAS DE PASE</v>
      </c>
      <c r="C457" s="269"/>
      <c r="D457" s="255"/>
      <c r="E457" s="255"/>
      <c r="F457" s="256"/>
      <c r="G457" s="257">
        <f>SUMIF(Pto!$I458:$I465,"&gt;10000",G458:G465)</f>
        <v>2144.92</v>
      </c>
      <c r="H457" s="215"/>
      <c r="I457" s="216" t="s">
        <v>160</v>
      </c>
      <c r="J457" s="217" t="s">
        <v>1496</v>
      </c>
      <c r="K457" s="215" t="s">
        <v>1240</v>
      </c>
      <c r="L457" s="215"/>
    </row>
    <row r="458" spans="2:12" s="205" customFormat="1" x14ac:dyDescent="0.2">
      <c r="B458" s="209" t="str">
        <f>J458 &amp; "  " &amp; K458</f>
        <v>06.03.01  CAJAS PARA TV CABLE</v>
      </c>
      <c r="C458" s="268"/>
      <c r="D458" s="252"/>
      <c r="E458" s="252"/>
      <c r="F458" s="253"/>
      <c r="G458" s="254">
        <f>SUM(G459:G460)</f>
        <v>741.86</v>
      </c>
      <c r="H458" s="210"/>
      <c r="I458" s="211" t="s">
        <v>163</v>
      </c>
      <c r="J458" s="212" t="s">
        <v>1497</v>
      </c>
      <c r="K458" s="210" t="s">
        <v>1498</v>
      </c>
      <c r="L458" s="210"/>
    </row>
    <row r="459" spans="2:12" s="205" customFormat="1" x14ac:dyDescent="0.2">
      <c r="B459" s="213" t="str">
        <f>J459 &amp; "  " &amp; VLOOKUP(I459,BDcuA,2,FALSE)</f>
        <v>06.03.01.01  CAJA DE PASE F°G° LIVIANO 300X300X150 MM</v>
      </c>
      <c r="C459" s="267"/>
      <c r="D459" s="249" t="str">
        <f>VLOOKUP(I459,BDcuA,4,FALSE)</f>
        <v>UND</v>
      </c>
      <c r="E459" s="249">
        <v>9</v>
      </c>
      <c r="F459" s="250">
        <f>VLOOKUP(I459,BDcuA,5,FALSE)</f>
        <v>66.11999999999999</v>
      </c>
      <c r="G459" s="251">
        <f>ROUND(F459*E459,DpP)</f>
        <v>595.08000000000004</v>
      </c>
      <c r="I459" s="207">
        <v>10250</v>
      </c>
      <c r="J459" s="208" t="s">
        <v>1499</v>
      </c>
    </row>
    <row r="460" spans="2:12" s="205" customFormat="1" x14ac:dyDescent="0.2">
      <c r="B460" s="213" t="str">
        <f>J460 &amp; "  " &amp; VLOOKUP(I460,BDcuA,2,FALSE)</f>
        <v>06.03.01.02  CAJA DE PASE F°G° LIVIANO 650X650X150 MM</v>
      </c>
      <c r="C460" s="267"/>
      <c r="D460" s="249" t="str">
        <f>VLOOKUP(I460,BDcuA,4,FALSE)</f>
        <v>UND</v>
      </c>
      <c r="E460" s="249">
        <v>1</v>
      </c>
      <c r="F460" s="250">
        <f>VLOOKUP(I460,BDcuA,5,FALSE)</f>
        <v>146.78</v>
      </c>
      <c r="G460" s="251">
        <f>ROUND(F460*E460,DpP)</f>
        <v>146.78</v>
      </c>
      <c r="I460" s="207">
        <v>10252</v>
      </c>
      <c r="J460" s="208" t="s">
        <v>1500</v>
      </c>
    </row>
    <row r="461" spans="2:12" s="205" customFormat="1" x14ac:dyDescent="0.2">
      <c r="B461" s="209" t="str">
        <f>J461 &amp; "  " &amp; K461</f>
        <v>06.03.02  CAJAS PARA TELEFONO-INTERNET</v>
      </c>
      <c r="C461" s="268"/>
      <c r="D461" s="252"/>
      <c r="E461" s="252"/>
      <c r="F461" s="253"/>
      <c r="G461" s="254">
        <f>SUM(G462:G463)</f>
        <v>741.86</v>
      </c>
      <c r="H461" s="210"/>
      <c r="I461" s="211" t="s">
        <v>163</v>
      </c>
      <c r="J461" s="212" t="s">
        <v>1501</v>
      </c>
      <c r="K461" s="210" t="s">
        <v>1502</v>
      </c>
      <c r="L461" s="210"/>
    </row>
    <row r="462" spans="2:12" s="205" customFormat="1" x14ac:dyDescent="0.2">
      <c r="B462" s="213" t="str">
        <f>J462 &amp; "  " &amp; VLOOKUP(I462,BDcuA,2,FALSE)</f>
        <v>06.03.02.01  CAJA DE PASE F°G° LIVIANO 300X300X150 MM</v>
      </c>
      <c r="C462" s="267"/>
      <c r="D462" s="249" t="str">
        <f>VLOOKUP(I462,BDcuA,4,FALSE)</f>
        <v>UND</v>
      </c>
      <c r="E462" s="249">
        <v>9</v>
      </c>
      <c r="F462" s="250">
        <f>VLOOKUP(I462,BDcuA,5,FALSE)</f>
        <v>66.11999999999999</v>
      </c>
      <c r="G462" s="251">
        <f>ROUND(F462*E462,DpP)</f>
        <v>595.08000000000004</v>
      </c>
      <c r="I462" s="207">
        <v>10250</v>
      </c>
      <c r="J462" s="208" t="s">
        <v>1503</v>
      </c>
    </row>
    <row r="463" spans="2:12" s="205" customFormat="1" x14ac:dyDescent="0.2">
      <c r="B463" s="213" t="str">
        <f>J463 &amp; "  " &amp; VLOOKUP(I463,BDcuA,2,FALSE)</f>
        <v>06.03.02.02  CAJA DE PASE F°G° LIVIANO 650X650X150 MM</v>
      </c>
      <c r="C463" s="267"/>
      <c r="D463" s="249" t="str">
        <f>VLOOKUP(I463,BDcuA,4,FALSE)</f>
        <v>UND</v>
      </c>
      <c r="E463" s="249">
        <v>1</v>
      </c>
      <c r="F463" s="250">
        <f>VLOOKUP(I463,BDcuA,5,FALSE)</f>
        <v>146.78</v>
      </c>
      <c r="G463" s="251">
        <f>ROUND(F463*E463,DpP)</f>
        <v>146.78</v>
      </c>
      <c r="I463" s="207">
        <v>10252</v>
      </c>
      <c r="J463" s="208" t="s">
        <v>1504</v>
      </c>
    </row>
    <row r="464" spans="2:12" s="205" customFormat="1" x14ac:dyDescent="0.2">
      <c r="B464" s="209" t="str">
        <f>J464 &amp; "  " &amp; K464</f>
        <v>06.03.03  CAJAS PARA INTERCOMUNICADOR</v>
      </c>
      <c r="C464" s="268"/>
      <c r="D464" s="252"/>
      <c r="E464" s="252"/>
      <c r="F464" s="253"/>
      <c r="G464" s="254">
        <f>SUM(G465:G465)</f>
        <v>661.2</v>
      </c>
      <c r="H464" s="210"/>
      <c r="I464" s="211" t="s">
        <v>163</v>
      </c>
      <c r="J464" s="212" t="s">
        <v>1505</v>
      </c>
      <c r="K464" s="210" t="s">
        <v>1506</v>
      </c>
      <c r="L464" s="210"/>
    </row>
    <row r="465" spans="2:12" s="205" customFormat="1" x14ac:dyDescent="0.2">
      <c r="B465" s="213" t="str">
        <f>J465 &amp; "  " &amp; VLOOKUP(I465,BDcuA,2,FALSE)</f>
        <v>06.03.03.01  CAJA DE PASE F°G° LIVIANO 300X300X150 MM</v>
      </c>
      <c r="C465" s="267"/>
      <c r="D465" s="249" t="str">
        <f>VLOOKUP(I465,BDcuA,4,FALSE)</f>
        <v>UND</v>
      </c>
      <c r="E465" s="249">
        <v>10</v>
      </c>
      <c r="F465" s="250">
        <f>VLOOKUP(I465,BDcuA,5,FALSE)</f>
        <v>66.11999999999999</v>
      </c>
      <c r="G465" s="251">
        <f>ROUND(F465*E465,DpP)</f>
        <v>661.2</v>
      </c>
      <c r="I465" s="207">
        <v>10250</v>
      </c>
      <c r="J465" s="208" t="s">
        <v>1507</v>
      </c>
    </row>
    <row r="466" spans="2:12" s="205" customFormat="1" x14ac:dyDescent="0.2">
      <c r="B466" s="214" t="str">
        <f>J466 &amp; "  " &amp; K466</f>
        <v>06.04  ARTEFACTOS DE COMUNICACIONES</v>
      </c>
      <c r="C466" s="269"/>
      <c r="D466" s="255"/>
      <c r="E466" s="255"/>
      <c r="F466" s="256"/>
      <c r="G466" s="257">
        <f>SUMIF(Pto!$I467:$I468,"&gt;10000",G467:G468)</f>
        <v>13155.55</v>
      </c>
      <c r="H466" s="215"/>
      <c r="I466" s="216" t="s">
        <v>160</v>
      </c>
      <c r="J466" s="217" t="s">
        <v>1508</v>
      </c>
      <c r="K466" s="215" t="s">
        <v>1509</v>
      </c>
      <c r="L466" s="215"/>
    </row>
    <row r="467" spans="2:12" s="205" customFormat="1" x14ac:dyDescent="0.2">
      <c r="B467" s="209" t="str">
        <f>J467 &amp; "  " &amp; K467</f>
        <v>06.04.01  INTERCOMUNICADORES</v>
      </c>
      <c r="C467" s="268"/>
      <c r="D467" s="252"/>
      <c r="E467" s="252"/>
      <c r="F467" s="253"/>
      <c r="G467" s="254">
        <f>SUM(G468:G468)</f>
        <v>13155.55</v>
      </c>
      <c r="H467" s="210"/>
      <c r="I467" s="211" t="s">
        <v>163</v>
      </c>
      <c r="J467" s="212" t="s">
        <v>1510</v>
      </c>
      <c r="K467" s="210" t="s">
        <v>1511</v>
      </c>
      <c r="L467" s="210"/>
    </row>
    <row r="468" spans="2:12" s="205" customFormat="1" x14ac:dyDescent="0.2">
      <c r="B468" s="213" t="str">
        <f>J468 &amp; "  " &amp; VLOOKUP(I468,BDcuA,2,FALSE)</f>
        <v>06.04.01.01  PORTERO ELECTRICO DE 10 SALIDAS</v>
      </c>
      <c r="C468" s="267"/>
      <c r="D468" s="249" t="str">
        <f>VLOOKUP(I468,BDcuA,4,FALSE)</f>
        <v>EQP</v>
      </c>
      <c r="E468" s="249">
        <v>5</v>
      </c>
      <c r="F468" s="250">
        <f>VLOOKUP(I468,BDcuA,5,FALSE)</f>
        <v>2631.11</v>
      </c>
      <c r="G468" s="251">
        <f>ROUND(F468*E468,DpP)</f>
        <v>13155.55</v>
      </c>
      <c r="I468" s="207">
        <v>10299</v>
      </c>
      <c r="J468" s="208" t="s">
        <v>1512</v>
      </c>
    </row>
    <row r="469" spans="2:12" s="205" customFormat="1" x14ac:dyDescent="0.2">
      <c r="B469" s="219" t="str">
        <f>J469 &amp; "  " &amp; K469</f>
        <v>07  INSTALACIONES DE GAS</v>
      </c>
      <c r="C469" s="270"/>
      <c r="D469" s="258"/>
      <c r="E469" s="258"/>
      <c r="F469" s="259"/>
      <c r="G469" s="260">
        <f>SUMIF(Pto!$I470:$I473,"&gt;10000",G470:G473)</f>
        <v>1149.3499999999999</v>
      </c>
      <c r="H469" s="220"/>
      <c r="I469" s="221" t="s">
        <v>157</v>
      </c>
      <c r="J469" s="222" t="s">
        <v>1515</v>
      </c>
      <c r="K469" s="220" t="s">
        <v>1516</v>
      </c>
      <c r="L469" s="220"/>
    </row>
    <row r="470" spans="2:12" s="205" customFormat="1" x14ac:dyDescent="0.2">
      <c r="B470" s="214" t="str">
        <f>J470 &amp; "  " &amp; K470</f>
        <v>07.01  SALIDAS</v>
      </c>
      <c r="C470" s="269"/>
      <c r="D470" s="255"/>
      <c r="E470" s="255"/>
      <c r="F470" s="256"/>
      <c r="G470" s="257">
        <f>SUM(G471:G471)</f>
        <v>971.35</v>
      </c>
      <c r="H470" s="215"/>
      <c r="I470" s="216" t="s">
        <v>160</v>
      </c>
      <c r="J470" s="217" t="s">
        <v>1517</v>
      </c>
      <c r="K470" s="215" t="s">
        <v>1302</v>
      </c>
      <c r="L470" s="215"/>
    </row>
    <row r="471" spans="2:12" s="205" customFormat="1" x14ac:dyDescent="0.2">
      <c r="B471" s="218" t="str">
        <f>J471 &amp; "  " &amp; VLOOKUP(I471,BDcuA,2,FALSE)</f>
        <v>07.01.01  SALIDA DE GAS TUB. DE COBRE "L" DE 1/2"</v>
      </c>
      <c r="C471" s="267"/>
      <c r="D471" s="249" t="str">
        <f>VLOOKUP(I471,BDcuA,4,FALSE)</f>
        <v>Pto</v>
      </c>
      <c r="E471" s="249">
        <v>5</v>
      </c>
      <c r="F471" s="250">
        <f>VLOOKUP(I471,BDcuA,5,FALSE)</f>
        <v>194.27</v>
      </c>
      <c r="G471" s="251">
        <f>ROUND(F471*E471,DpP)</f>
        <v>971.35</v>
      </c>
      <c r="I471" s="207">
        <v>10300</v>
      </c>
      <c r="J471" s="208" t="s">
        <v>1518</v>
      </c>
    </row>
    <row r="472" spans="2:12" s="205" customFormat="1" x14ac:dyDescent="0.2">
      <c r="B472" s="214" t="str">
        <f>J472 &amp; "  " &amp; K472</f>
        <v>07.02  TUBERIAS</v>
      </c>
      <c r="C472" s="269"/>
      <c r="D472" s="255"/>
      <c r="E472" s="255"/>
      <c r="F472" s="256"/>
      <c r="G472" s="257">
        <f>SUM(G473:G473)</f>
        <v>178</v>
      </c>
      <c r="H472" s="215"/>
      <c r="I472" s="216" t="s">
        <v>160</v>
      </c>
      <c r="J472" s="217" t="s">
        <v>1529</v>
      </c>
      <c r="K472" s="215" t="s">
        <v>18</v>
      </c>
      <c r="L472" s="215"/>
    </row>
    <row r="473" spans="2:12" s="205" customFormat="1" x14ac:dyDescent="0.2">
      <c r="B473" s="218" t="str">
        <f>J473 &amp; "  " &amp; VLOOKUP(I473,BDcuA,2,FALSE)</f>
        <v>07.02.01  TUBERIA PARA GAS DE COBRE 1/2"</v>
      </c>
      <c r="C473" s="267"/>
      <c r="D473" s="249" t="str">
        <f>VLOOKUP(I473,BDcuA,4,FALSE)</f>
        <v>M</v>
      </c>
      <c r="E473" s="249">
        <v>5</v>
      </c>
      <c r="F473" s="250">
        <f>VLOOKUP(I473,BDcuA,5,FALSE)</f>
        <v>35.6</v>
      </c>
      <c r="G473" s="251">
        <f>ROUND(F473*E473,DpP)</f>
        <v>178</v>
      </c>
      <c r="I473" s="207">
        <v>10301</v>
      </c>
      <c r="J473" s="208" t="s">
        <v>1530</v>
      </c>
    </row>
    <row r="474" spans="2:12" s="223" customFormat="1" ht="15" x14ac:dyDescent="0.25">
      <c r="B474" s="271"/>
      <c r="C474" s="272" t="s">
        <v>1554</v>
      </c>
      <c r="D474" s="272"/>
      <c r="E474" s="272"/>
      <c r="F474" s="273"/>
      <c r="G474" s="277">
        <f>SUMIF(Pto!$I11:$I473,"&gt;1000",G11:G473)</f>
        <v>2400809.0299999998</v>
      </c>
      <c r="I474" s="224"/>
      <c r="J474" s="225"/>
    </row>
    <row r="475" spans="2:12" s="223" customFormat="1" ht="15" x14ac:dyDescent="0.25">
      <c r="B475" s="271"/>
      <c r="C475" s="272" t="str">
        <f>Datos!$A38 &amp; " (" &amp; Datos!$C38 &amp; "% CD)"</f>
        <v>GASTOS GENERALES (15% CD)</v>
      </c>
      <c r="D475" s="272"/>
      <c r="E475" s="272"/>
      <c r="F475" s="273"/>
      <c r="G475" s="277">
        <f>ROUND(Datos!$C38/100*G474,2)</f>
        <v>360121.35</v>
      </c>
      <c r="I475" s="224"/>
      <c r="J475" s="225"/>
    </row>
    <row r="476" spans="2:12" s="226" customFormat="1" ht="15" x14ac:dyDescent="0.25">
      <c r="B476" s="274"/>
      <c r="C476" s="275" t="str">
        <f>Datos!$A39 &amp; " (" &amp; Datos!$C39 &amp; "% CD)"</f>
        <v>UTILIDAD (10% CD)</v>
      </c>
      <c r="D476" s="275"/>
      <c r="E476" s="275"/>
      <c r="F476" s="276"/>
      <c r="G476" s="278">
        <f>ROUND(Datos!$C39/100*G474,2)</f>
        <v>240080.9</v>
      </c>
      <c r="I476" s="227"/>
      <c r="J476" s="228"/>
    </row>
    <row r="477" spans="2:12" s="223" customFormat="1" ht="15" x14ac:dyDescent="0.25">
      <c r="B477" s="271"/>
      <c r="C477" s="272" t="str">
        <f>Datos!$A40 &amp; " (" &amp; Datos!$B40 &amp; ")"</f>
        <v>SUBTOTAL (ST)</v>
      </c>
      <c r="D477" s="272"/>
      <c r="E477" s="272"/>
      <c r="F477" s="273"/>
      <c r="G477" s="277">
        <f>SUM(G474:G476)</f>
        <v>3001011.28</v>
      </c>
      <c r="I477" s="224"/>
      <c r="J477" s="225"/>
    </row>
    <row r="478" spans="2:12" s="226" customFormat="1" ht="15" x14ac:dyDescent="0.25">
      <c r="B478" s="274"/>
      <c r="C478" s="275" t="str">
        <f>Datos!$A41 &amp; " (" &amp; Datos!$C41 &amp; "%" &amp; Datos!$B40 &amp; ")"</f>
        <v>IMPUESTO (IGV) (18%ST)</v>
      </c>
      <c r="D478" s="275"/>
      <c r="E478" s="275"/>
      <c r="F478" s="276"/>
      <c r="G478" s="278">
        <f>ROUND(Datos!$C41/100*G477,2)</f>
        <v>540182.03</v>
      </c>
      <c r="I478" s="227"/>
      <c r="J478" s="228"/>
    </row>
    <row r="479" spans="2:12" s="223" customFormat="1" ht="15" x14ac:dyDescent="0.25">
      <c r="B479" s="271"/>
      <c r="C479" s="272" t="str">
        <f>Datos!$A42 &amp; " (" &amp; Datos!$B42 &amp; ")"</f>
        <v>VALOR REFERENCIAL (VR)</v>
      </c>
      <c r="D479" s="272"/>
      <c r="E479" s="272"/>
      <c r="F479" s="273"/>
      <c r="G479" s="277">
        <f>SUM(G477:G478)</f>
        <v>3541193.3099999996</v>
      </c>
      <c r="I479" s="224"/>
      <c r="J479" s="225"/>
    </row>
    <row r="480" spans="2:12" s="226" customFormat="1" ht="15" x14ac:dyDescent="0.25">
      <c r="B480" s="274"/>
      <c r="C480" s="275" t="str">
        <f>Datos!$A43 &amp; " (" &amp; Datos!$C43 &amp; "%" &amp; Datos!$B42 &amp; ")"</f>
        <v>SUPERVISIÓN (2.5%VR)</v>
      </c>
      <c r="D480" s="275"/>
      <c r="E480" s="275"/>
      <c r="F480" s="276"/>
      <c r="G480" s="278">
        <f>ROUND(Datos!$C43/100*G479,2)</f>
        <v>88529.83</v>
      </c>
      <c r="I480" s="227"/>
      <c r="J480" s="228"/>
    </row>
    <row r="481" spans="2:10" s="223" customFormat="1" ht="15" x14ac:dyDescent="0.25">
      <c r="B481" s="271"/>
      <c r="C481" s="272" t="s">
        <v>1534</v>
      </c>
      <c r="D481" s="272"/>
      <c r="E481" s="272"/>
      <c r="F481" s="273"/>
      <c r="G481" s="277">
        <f>SUM(G479:G480)</f>
        <v>3629723.1399999997</v>
      </c>
      <c r="I481" s="224"/>
      <c r="J481" s="225"/>
    </row>
    <row r="482" spans="2:10" s="205" customFormat="1" x14ac:dyDescent="0.2">
      <c r="F482" s="229"/>
      <c r="G482" s="229"/>
      <c r="I482" s="207"/>
      <c r="J482" s="208"/>
    </row>
    <row r="483" spans="2:10" s="205" customFormat="1" x14ac:dyDescent="0.2">
      <c r="F483" s="229"/>
      <c r="G483" s="230" t="str">
        <f>IF(G481=3629723.14,"SON TRES MILLONES SEISCIENTOS VEINTINUEVE MIL SETECIENTOS VEINTITRÉS CON 14/100 SOLES","")</f>
        <v>SON TRES MILLONES SEISCIENTOS VEINTINUEVE MIL SETECIENTOS VEINTITRÉS CON 14/100 SOLES</v>
      </c>
      <c r="I483" s="207"/>
      <c r="J483" s="208"/>
    </row>
    <row r="484" spans="2:10" s="205" customFormat="1" x14ac:dyDescent="0.2">
      <c r="F484" s="229"/>
      <c r="G484" s="230" t="s">
        <v>1535</v>
      </c>
      <c r="I484" s="207"/>
      <c r="J484" s="208"/>
    </row>
    <row r="485" spans="2:10" s="205" customFormat="1" x14ac:dyDescent="0.2">
      <c r="F485" s="229"/>
      <c r="G485" s="229"/>
      <c r="I485" s="207"/>
      <c r="J485" s="208"/>
    </row>
    <row r="486" spans="2:10" s="205" customFormat="1" x14ac:dyDescent="0.2">
      <c r="F486" s="229"/>
      <c r="G486" s="229"/>
      <c r="I486" s="207"/>
      <c r="J486" s="208"/>
    </row>
    <row r="487" spans="2:10" s="205" customFormat="1" x14ac:dyDescent="0.2">
      <c r="F487" s="229"/>
      <c r="G487" s="229"/>
      <c r="I487" s="207"/>
      <c r="J487" s="208"/>
    </row>
    <row r="488" spans="2:10" s="205" customFormat="1" x14ac:dyDescent="0.2">
      <c r="F488" s="229"/>
      <c r="G488" s="229"/>
      <c r="I488" s="207"/>
      <c r="J488" s="208"/>
    </row>
    <row r="489" spans="2:10" s="205" customFormat="1" x14ac:dyDescent="0.2">
      <c r="F489" s="229"/>
      <c r="G489" s="229"/>
      <c r="I489" s="207"/>
      <c r="J489" s="208"/>
    </row>
    <row r="490" spans="2:10" s="205" customFormat="1" x14ac:dyDescent="0.2">
      <c r="F490" s="229"/>
      <c r="G490" s="229"/>
      <c r="I490" s="207"/>
      <c r="J490" s="208"/>
    </row>
    <row r="491" spans="2:10" s="205" customFormat="1" x14ac:dyDescent="0.2">
      <c r="F491" s="229"/>
      <c r="G491" s="229"/>
      <c r="I491" s="207"/>
      <c r="J491" s="208"/>
    </row>
    <row r="492" spans="2:10" s="205" customFormat="1" x14ac:dyDescent="0.2">
      <c r="F492" s="229"/>
      <c r="G492" s="229"/>
      <c r="I492" s="207"/>
      <c r="J492" s="208"/>
    </row>
    <row r="493" spans="2:10" s="205" customFormat="1" x14ac:dyDescent="0.2">
      <c r="F493" s="229"/>
      <c r="G493" s="229"/>
      <c r="I493" s="207"/>
      <c r="J493" s="208"/>
    </row>
    <row r="494" spans="2:10" s="205" customFormat="1" x14ac:dyDescent="0.2">
      <c r="F494" s="229"/>
      <c r="G494" s="229"/>
      <c r="I494" s="207"/>
      <c r="J494" s="208"/>
    </row>
    <row r="495" spans="2:10" s="205" customFormat="1" x14ac:dyDescent="0.2">
      <c r="F495" s="229"/>
      <c r="G495" s="229"/>
      <c r="I495" s="207"/>
      <c r="J495" s="208"/>
    </row>
    <row r="496" spans="2:10" s="205" customFormat="1" x14ac:dyDescent="0.2">
      <c r="F496" s="229"/>
      <c r="G496" s="229"/>
      <c r="I496" s="207"/>
      <c r="J496" s="208"/>
    </row>
    <row r="497" spans="6:10" s="205" customFormat="1" x14ac:dyDescent="0.2">
      <c r="F497" s="229"/>
      <c r="G497" s="229"/>
      <c r="I497" s="207"/>
      <c r="J497" s="208"/>
    </row>
    <row r="498" spans="6:10" s="205" customFormat="1" x14ac:dyDescent="0.2">
      <c r="F498" s="229"/>
      <c r="G498" s="229"/>
      <c r="I498" s="207"/>
      <c r="J498" s="208"/>
    </row>
    <row r="499" spans="6:10" s="205" customFormat="1" x14ac:dyDescent="0.2">
      <c r="F499" s="229"/>
      <c r="G499" s="229"/>
      <c r="I499" s="207"/>
      <c r="J499" s="208"/>
    </row>
    <row r="500" spans="6:10" s="205" customFormat="1" x14ac:dyDescent="0.2">
      <c r="F500" s="229"/>
      <c r="G500" s="229"/>
      <c r="I500" s="207"/>
      <c r="J500" s="208"/>
    </row>
    <row r="501" spans="6:10" s="205" customFormat="1" x14ac:dyDescent="0.2">
      <c r="F501" s="229"/>
      <c r="G501" s="229"/>
      <c r="I501" s="207"/>
      <c r="J501" s="208"/>
    </row>
    <row r="502" spans="6:10" s="205" customFormat="1" x14ac:dyDescent="0.2">
      <c r="F502" s="229"/>
      <c r="G502" s="229"/>
      <c r="I502" s="207"/>
      <c r="J502" s="208"/>
    </row>
    <row r="503" spans="6:10" s="205" customFormat="1" x14ac:dyDescent="0.2">
      <c r="F503" s="229"/>
      <c r="G503" s="229"/>
      <c r="I503" s="207"/>
      <c r="J503" s="208"/>
    </row>
    <row r="504" spans="6:10" s="205" customFormat="1" x14ac:dyDescent="0.2">
      <c r="F504" s="229"/>
      <c r="G504" s="229"/>
      <c r="I504" s="207"/>
      <c r="J504" s="208"/>
    </row>
    <row r="505" spans="6:10" s="205" customFormat="1" x14ac:dyDescent="0.2">
      <c r="F505" s="229"/>
      <c r="G505" s="229"/>
      <c r="I505" s="207"/>
      <c r="J505" s="208"/>
    </row>
    <row r="506" spans="6:10" s="205" customFormat="1" x14ac:dyDescent="0.2">
      <c r="F506" s="229"/>
      <c r="G506" s="229"/>
      <c r="I506" s="207"/>
      <c r="J506" s="208"/>
    </row>
    <row r="507" spans="6:10" s="205" customFormat="1" x14ac:dyDescent="0.2">
      <c r="F507" s="229"/>
      <c r="G507" s="229"/>
      <c r="I507" s="207"/>
      <c r="J507" s="208"/>
    </row>
    <row r="508" spans="6:10" s="205" customFormat="1" x14ac:dyDescent="0.2">
      <c r="F508" s="229"/>
      <c r="G508" s="229"/>
      <c r="I508" s="207"/>
      <c r="J508" s="208"/>
    </row>
    <row r="509" spans="6:10" s="205" customFormat="1" x14ac:dyDescent="0.2">
      <c r="F509" s="229"/>
      <c r="G509" s="229"/>
      <c r="I509" s="207"/>
      <c r="J509" s="208"/>
    </row>
    <row r="510" spans="6:10" s="205" customFormat="1" x14ac:dyDescent="0.2">
      <c r="F510" s="229"/>
      <c r="G510" s="229"/>
      <c r="I510" s="207"/>
      <c r="J510" s="208"/>
    </row>
    <row r="511" spans="6:10" s="205" customFormat="1" x14ac:dyDescent="0.2">
      <c r="F511" s="229"/>
      <c r="G511" s="229"/>
      <c r="I511" s="207"/>
      <c r="J511" s="208"/>
    </row>
    <row r="512" spans="6:10" s="205" customFormat="1" x14ac:dyDescent="0.2">
      <c r="F512" s="229"/>
      <c r="G512" s="229"/>
      <c r="I512" s="207"/>
      <c r="J512" s="208"/>
    </row>
    <row r="513" spans="6:10" s="205" customFormat="1" x14ac:dyDescent="0.2">
      <c r="F513" s="229"/>
      <c r="G513" s="229"/>
      <c r="I513" s="207"/>
      <c r="J513" s="208"/>
    </row>
    <row r="514" spans="6:10" s="205" customFormat="1" x14ac:dyDescent="0.2">
      <c r="F514" s="229"/>
      <c r="G514" s="229"/>
      <c r="I514" s="207"/>
      <c r="J514" s="208"/>
    </row>
    <row r="515" spans="6:10" s="205" customFormat="1" x14ac:dyDescent="0.2">
      <c r="F515" s="229"/>
      <c r="G515" s="229"/>
      <c r="I515" s="207"/>
      <c r="J515" s="208"/>
    </row>
    <row r="516" spans="6:10" s="205" customFormat="1" x14ac:dyDescent="0.2">
      <c r="F516" s="229"/>
      <c r="G516" s="229"/>
      <c r="I516" s="207"/>
      <c r="J516" s="208"/>
    </row>
    <row r="517" spans="6:10" s="205" customFormat="1" x14ac:dyDescent="0.2">
      <c r="F517" s="229"/>
      <c r="G517" s="229"/>
      <c r="I517" s="207"/>
      <c r="J517" s="208"/>
    </row>
    <row r="518" spans="6:10" s="205" customFormat="1" x14ac:dyDescent="0.2">
      <c r="F518" s="229"/>
      <c r="G518" s="229"/>
      <c r="I518" s="207"/>
      <c r="J518" s="208"/>
    </row>
    <row r="519" spans="6:10" s="205" customFormat="1" x14ac:dyDescent="0.2">
      <c r="F519" s="229"/>
      <c r="G519" s="229"/>
      <c r="I519" s="207"/>
      <c r="J519" s="208"/>
    </row>
    <row r="520" spans="6:10" s="205" customFormat="1" x14ac:dyDescent="0.2">
      <c r="F520" s="229"/>
      <c r="G520" s="229"/>
      <c r="I520" s="207"/>
      <c r="J520" s="208"/>
    </row>
    <row r="521" spans="6:10" s="205" customFormat="1" x14ac:dyDescent="0.2">
      <c r="F521" s="229"/>
      <c r="G521" s="229"/>
      <c r="I521" s="207"/>
      <c r="J521" s="208"/>
    </row>
  </sheetData>
  <mergeCells count="1">
    <mergeCell ref="C3: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13</vt:i4>
      </vt:variant>
    </vt:vector>
  </HeadingPairs>
  <TitlesOfParts>
    <vt:vector size="17" baseType="lpstr">
      <vt:lpstr>Datos</vt:lpstr>
      <vt:lpstr>InsB</vt:lpstr>
      <vt:lpstr>ApuB</vt:lpstr>
      <vt:lpstr>Pto</vt:lpstr>
      <vt:lpstr>BDcodCU</vt:lpstr>
      <vt:lpstr>BDcodINS</vt:lpstr>
      <vt:lpstr>BDcuA</vt:lpstr>
      <vt:lpstr>BDcuB</vt:lpstr>
      <vt:lpstr>BDins</vt:lpstr>
      <vt:lpstr>DcCU</vt:lpstr>
      <vt:lpstr>Dins</vt:lpstr>
      <vt:lpstr>DLS</vt:lpstr>
      <vt:lpstr>DpCU</vt:lpstr>
      <vt:lpstr>DpP</vt:lpstr>
      <vt:lpstr>Frto</vt:lpstr>
      <vt:lpstr>JL</vt:lpstr>
      <vt:lpstr>NO</vt:lpstr>
    </vt:vector>
  </TitlesOfParts>
  <Company>PERSONAL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Wilfredo Rios Espinoza</dc:creator>
  <cp:lastModifiedBy>SISTEMAS RW7</cp:lastModifiedBy>
  <cp:lastPrinted>2016-08-24T17:23:45Z</cp:lastPrinted>
  <dcterms:created xsi:type="dcterms:W3CDTF">2003-04-11T20:39:42Z</dcterms:created>
  <dcterms:modified xsi:type="dcterms:W3CDTF">2025-04-07T13:38:33Z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imCT.Renderer.Visible">
    <vt:lpwstr>false</vt:lpwstr>
  </property>
  <property fmtid="{D5CDD505-2E9C-101B-9397-08002B2CF9AE}" pid="3" name="BimCT.ModelTree.Visible">
    <vt:lpwstr>false</vt:lpwstr>
  </property>
  <property fmtid="{D5CDD505-2E9C-101B-9397-08002B2CF9AE}" pid="4" name="BimCT.Renderer.Width">
    <vt:lpwstr>600</vt:lpwstr>
  </property>
  <property fmtid="{D5CDD505-2E9C-101B-9397-08002B2CF9AE}" pid="5" name="BimCT.Renderer.GameMode">
    <vt:lpwstr>false</vt:lpwstr>
  </property>
  <property fmtid="{D5CDD505-2E9C-101B-9397-08002B2CF9AE}" pid="6" name="BimCT.Renderer.DockPosition">
    <vt:lpwstr>2</vt:lpwstr>
  </property>
  <property fmtid="{D5CDD505-2E9C-101B-9397-08002B2CF9AE}" pid="7" name="BimCT.Renderer.ShadingMode">
    <vt:lpwstr>5</vt:lpwstr>
  </property>
  <property fmtid="{D5CDD505-2E9C-101B-9397-08002B2CF9AE}" pid="8" name="BimCT.ModelTree.Height">
    <vt:lpwstr>797</vt:lpwstr>
  </property>
  <property fmtid="{D5CDD505-2E9C-101B-9397-08002B2CF9AE}" pid="9" name="BimCT.Renderer.Height">
    <vt:lpwstr>797</vt:lpwstr>
  </property>
  <property fmtid="{D5CDD505-2E9C-101B-9397-08002B2CF9AE}" pid="10" name="BimCT.Schema.Version">
    <vt:lpwstr>1.1</vt:lpwstr>
  </property>
  <property fmtid="{D5CDD505-2E9C-101B-9397-08002B2CF9AE}" pid="11" name="BimCT.ShowFPS">
    <vt:lpwstr>false</vt:lpwstr>
  </property>
  <property fmtid="{D5CDD505-2E9C-101B-9397-08002B2CF9AE}" pid="12" name="BimCT.ModelTree.Width">
    <vt:lpwstr>500</vt:lpwstr>
  </property>
  <property fmtid="{D5CDD505-2E9C-101B-9397-08002B2CF9AE}" pid="13" name="BimCT.Database.Id">
    <vt:lpwstr>1d0e6aec-04bb-44fd-867e-997f5b29edaf</vt:lpwstr>
  </property>
  <property fmtid="{D5CDD505-2E9C-101B-9397-08002B2CF9AE}" pid="14" name="BimCT.ModelTree.DockPosition">
    <vt:lpwstr>0</vt:lpwstr>
  </property>
</Properties>
</file>