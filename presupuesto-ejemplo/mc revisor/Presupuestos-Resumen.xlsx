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452ab7faf5548c0/Documents/MYC/mc revisor/"/>
    </mc:Choice>
  </mc:AlternateContent>
  <xr:revisionPtr revIDLastSave="7" documentId="11_A2B424869EE5839BCE40E0EDC0DBEFAAEFBE6F49" xr6:coauthVersionLast="47" xr6:coauthVersionMax="47" xr10:uidLastSave="{3DDA1BD9-5E1F-40BF-8397-C10F04400B85}"/>
  <bookViews>
    <workbookView xWindow="-120" yWindow="-120" windowWidth="29040" windowHeight="15720" xr2:uid="{00000000-000D-0000-FFFF-FFFF00000000}"/>
  </bookViews>
  <sheets>
    <sheet name="Hoja Resu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3" i="1" s="1"/>
  <c r="C12" i="1"/>
  <c r="C14" i="1" l="1"/>
  <c r="C15" i="1" s="1"/>
  <c r="C16" i="1" s="1"/>
</calcChain>
</file>

<file path=xl/sharedStrings.xml><?xml version="1.0" encoding="utf-8"?>
<sst xmlns="http://schemas.openxmlformats.org/spreadsheetml/2006/main" count="18" uniqueCount="18">
  <si>
    <t>HOJA RESUMEN</t>
  </si>
  <si>
    <t>PROYECTO:</t>
  </si>
  <si>
    <t>CARRETERA</t>
  </si>
  <si>
    <t>CLIENTE:</t>
  </si>
  <si>
    <t>UBICACION:</t>
  </si>
  <si>
    <t xml:space="preserve">      </t>
  </si>
  <si>
    <t>FECHA BASE:</t>
  </si>
  <si>
    <t>2026-05-18</t>
  </si>
  <si>
    <t>MONEDA:</t>
  </si>
  <si>
    <t>SOLES</t>
  </si>
  <si>
    <t>PRESUPUESTO BASE</t>
  </si>
  <si>
    <t>SUB PRESUPUESTO 1</t>
  </si>
  <si>
    <t>COSTO DIRECTO</t>
  </si>
  <si>
    <t>GASTOS GENERALES 10%</t>
  </si>
  <si>
    <t>UTILIDAD 10%</t>
  </si>
  <si>
    <t>SUB TOTAL</t>
  </si>
  <si>
    <t>IGV 18%</t>
  </si>
  <si>
    <t>TOTAL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</si>
</sst>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C23" sqref="C23"/>
    </sheetView>
  </sheetViews>
  <sheetFormatPr defaultRowHeight="15" x14ac:dyDescent="0.25"/>
  <cols>
    <col min="1" max="1" width="15" style="4" customWidth="1"/>
    <col min="2" max="2" width="90" style="5" customWidth="1"/>
    <col min="3" max="3" width="20" style="6" customWidth="1"/>
    <col min="4" max="5" width="9.140625" style="6"/>
  </cols>
  <sheetData>
    <row r="1" spans="1:6" x14ac:dyDescent="0.25">
      <c r="A1" s="11" t="s">
        <v>0</v>
      </c>
      <c r="B1" s="12"/>
      <c r="C1" s="12"/>
      <c r="D1" s="1"/>
      <c r="E1" s="1"/>
    </row>
    <row r="2" spans="1:6" x14ac:dyDescent="0.25">
      <c r="A2" s="1" t="s">
        <v>1</v>
      </c>
      <c r="B2" s="1" t="s">
        <v>2</v>
      </c>
      <c r="C2" s="1"/>
      <c r="D2" s="1"/>
      <c r="E2" s="1"/>
    </row>
    <row r="3" spans="1:6" x14ac:dyDescent="0.25">
      <c r="A3" s="1" t="s">
        <v>3</v>
      </c>
      <c r="B3" s="1"/>
      <c r="C3" s="1"/>
      <c r="D3" s="1"/>
      <c r="E3" s="1"/>
    </row>
    <row r="4" spans="1:6" x14ac:dyDescent="0.25">
      <c r="A4" s="1" t="s">
        <v>4</v>
      </c>
      <c r="B4" s="1" t="s">
        <v>5</v>
      </c>
      <c r="C4" s="1"/>
      <c r="D4" s="1"/>
      <c r="E4" s="1"/>
    </row>
    <row r="5" spans="1:6" x14ac:dyDescent="0.25">
      <c r="A5" s="1" t="s">
        <v>6</v>
      </c>
      <c r="B5" s="1" t="s">
        <v>7</v>
      </c>
      <c r="C5" s="1"/>
      <c r="D5" s="1"/>
      <c r="E5" s="1"/>
    </row>
    <row r="6" spans="1:6" x14ac:dyDescent="0.25">
      <c r="A6" s="1" t="s">
        <v>8</v>
      </c>
      <c r="B6" s="1" t="s">
        <v>9</v>
      </c>
      <c r="C6" s="1"/>
      <c r="D6" s="1"/>
      <c r="E6" s="1"/>
    </row>
    <row r="7" spans="1:6" x14ac:dyDescent="0.25">
      <c r="A7" s="1"/>
      <c r="B7" s="1"/>
      <c r="C7" s="1"/>
      <c r="D7" s="1"/>
      <c r="E7" s="1"/>
    </row>
    <row r="8" spans="1:6" x14ac:dyDescent="0.25">
      <c r="A8" s="1"/>
      <c r="B8" s="1"/>
      <c r="C8" s="1"/>
      <c r="D8" s="1"/>
      <c r="E8" s="1"/>
    </row>
    <row r="9" spans="1:6" x14ac:dyDescent="0.25">
      <c r="A9" s="3"/>
      <c r="B9" s="3" t="s">
        <v>10</v>
      </c>
      <c r="C9" s="3"/>
      <c r="D9" s="2"/>
      <c r="E9" s="2"/>
    </row>
    <row r="10" spans="1:6" x14ac:dyDescent="0.25">
      <c r="A10" s="4">
        <v>1</v>
      </c>
      <c r="B10" s="5" t="s">
        <v>11</v>
      </c>
      <c r="C10" s="6">
        <v>36560535.911400005</v>
      </c>
    </row>
    <row r="11" spans="1:6" x14ac:dyDescent="0.25">
      <c r="A11" s="8"/>
      <c r="B11" s="9" t="s">
        <v>12</v>
      </c>
      <c r="C11" s="10">
        <f>+C10</f>
        <v>36560535.911400005</v>
      </c>
      <c r="D11" s="7"/>
      <c r="E11" s="7"/>
      <c r="F11" s="1"/>
    </row>
    <row r="12" spans="1:6" x14ac:dyDescent="0.25">
      <c r="B12" s="5" t="s">
        <v>13</v>
      </c>
      <c r="C12" s="6">
        <f>+C11*0.1</f>
        <v>3656053.5911400006</v>
      </c>
    </row>
    <row r="13" spans="1:6" x14ac:dyDescent="0.25">
      <c r="B13" s="5" t="s">
        <v>14</v>
      </c>
      <c r="C13" s="6">
        <f>+C11*0.1</f>
        <v>3656053.5911400006</v>
      </c>
    </row>
    <row r="14" spans="1:6" x14ac:dyDescent="0.25">
      <c r="A14" s="8"/>
      <c r="B14" s="9" t="s">
        <v>15</v>
      </c>
      <c r="C14" s="10">
        <f>+C11+C12+C13</f>
        <v>43872643.093680009</v>
      </c>
      <c r="D14" s="7"/>
      <c r="E14" s="7"/>
      <c r="F14" s="1"/>
    </row>
    <row r="15" spans="1:6" x14ac:dyDescent="0.25">
      <c r="B15" s="5" t="s">
        <v>16</v>
      </c>
      <c r="C15" s="6">
        <f>+C14*0.18</f>
        <v>7897075.756862401</v>
      </c>
    </row>
    <row r="16" spans="1:6" x14ac:dyDescent="0.25">
      <c r="A16" s="8"/>
      <c r="B16" s="9" t="s">
        <v>17</v>
      </c>
      <c r="C16" s="10">
        <f>+C15+C14</f>
        <v>51769718.850542411</v>
      </c>
      <c r="D16" s="7"/>
      <c r="E16" s="7"/>
      <c r="F16" s="1"/>
    </row>
  </sheetData>
  <sheetProtection formatCells="0" formatColumns="0" formatRows="0" insertColumns="0" insertRows="0" insertHyperlinks="0" deleteColumns="0" deleteRows="0" sort="0" autoFilter="0" pivotTables="0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Resumen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Presupuestos.pe</dc:title>
  <dc:subject>Presupuestos.pe</dc:subject>
  <dc:creator>Presupuestos.pe</dc:creator>
  <cp:keywords>Presupuestos.pe</cp:keywords>
  <dc:description>Presupuestos.pe</dc:description>
  <cp:lastModifiedBy>Darcy Govea</cp:lastModifiedBy>
  <dcterms:created xsi:type="dcterms:W3CDTF">2026-09-03T16:10:48Z</dcterms:created>
  <dcterms:modified xsi:type="dcterms:W3CDTF">2026-09-11T14:38:52Z</dcterms:modified>
  <cp:category>Presupuestos.pe</cp:category>
</cp:coreProperties>
</file>