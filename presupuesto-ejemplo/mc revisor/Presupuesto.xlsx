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452ab7faf5548c0/Documents/MYC/mc revisor/"/>
    </mc:Choice>
  </mc:AlternateContent>
  <xr:revisionPtr revIDLastSave="13" documentId="11_A6BB185FB2808603DA876EF053B28F68076B1F37" xr6:coauthVersionLast="47" xr6:coauthVersionMax="47" xr10:uidLastSave="{1CF17A7C-2539-463D-A8B3-692521599F3A}"/>
  <bookViews>
    <workbookView xWindow="-120" yWindow="-120" windowWidth="29040" windowHeight="15720" xr2:uid="{00000000-000D-0000-FFFF-FFFF00000000}"/>
  </bookViews>
  <sheets>
    <sheet name="Presupue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26" i="1"/>
  <c r="F25" i="1"/>
  <c r="F24" i="1"/>
  <c r="F23" i="1"/>
  <c r="F22" i="1"/>
  <c r="F10" i="1"/>
  <c r="F21" i="1"/>
  <c r="F20" i="1"/>
  <c r="F19" i="1"/>
  <c r="F18" i="1"/>
  <c r="F17" i="1"/>
  <c r="F16" i="1"/>
  <c r="F15" i="1"/>
  <c r="F14" i="1"/>
  <c r="F13" i="1"/>
  <c r="F12" i="1"/>
  <c r="F11" i="1"/>
</calcChain>
</file>

<file path=xl/sharedStrings.xml><?xml version="1.0" encoding="utf-8"?>
<sst xmlns="http://schemas.openxmlformats.org/spreadsheetml/2006/main" count="45" uniqueCount="37">
  <si>
    <t>PRESUPUESTO</t>
  </si>
  <si>
    <t>PROYECTO:</t>
  </si>
  <si>
    <t>CARRETERA</t>
  </si>
  <si>
    <t>CLIENTE:</t>
  </si>
  <si>
    <t>UBICACION:</t>
  </si>
  <si>
    <t xml:space="preserve"> -  -  - </t>
  </si>
  <si>
    <t>FECHA BASE:</t>
  </si>
  <si>
    <t>2026-05-18</t>
  </si>
  <si>
    <t>MONEDA:</t>
  </si>
  <si>
    <t>SOLES</t>
  </si>
  <si>
    <t>Item</t>
  </si>
  <si>
    <t>Partida</t>
  </si>
  <si>
    <t>Unidad</t>
  </si>
  <si>
    <t>Metrado</t>
  </si>
  <si>
    <t>CU</t>
  </si>
  <si>
    <t>Parcial</t>
  </si>
  <si>
    <t xml:space="preserve"> MOVIMIENTO DE TIERRAS</t>
  </si>
  <si>
    <t xml:space="preserve">  DESBROCE Y LIMPIEZA EN ZONAS NO BOSCOSAS</t>
  </si>
  <si>
    <t>HA</t>
  </si>
  <si>
    <t xml:space="preserve">  EXCAVACION EN EXPLANACIONES EN MATERIAL SUELTO</t>
  </si>
  <si>
    <t>M3</t>
  </si>
  <si>
    <t xml:space="preserve">  EXCAVACION EN EXPLANACIONES EN ROCA SUELTA </t>
  </si>
  <si>
    <t xml:space="preserve">  EXCAVACION EN EXPLANACIONES EN ROCA FIJA</t>
  </si>
  <si>
    <t xml:space="preserve">  REMOCION DE DERRUMBES</t>
  </si>
  <si>
    <t xml:space="preserve">  PERFILADO Y COMPACTADO EN ZONAS DE CORTE</t>
  </si>
  <si>
    <t>M2</t>
  </si>
  <si>
    <t xml:space="preserve">  CONFORMACION DE TERRAPLENES</t>
  </si>
  <si>
    <t xml:space="preserve">  RELLENO EN LATERAL DE BERMAS</t>
  </si>
  <si>
    <t xml:space="preserve">  MEJORAMIENTO DE SUBRASANTE CON MATERIAL DE CANTERA</t>
  </si>
  <si>
    <t xml:space="preserve">  MEJORAMIENTO DE SUBRASANTE CON MATERIAL DE CANTERA, SOLUCION ESPECIAL</t>
  </si>
  <si>
    <t xml:space="preserve">  MATERIAL DE PRESTAMO PARA RELLENOS</t>
  </si>
  <si>
    <t>COSTO DIRECTO</t>
  </si>
  <si>
    <t>GASTOS GENERALES 10%</t>
  </si>
  <si>
    <t>UTILIDAD 10%</t>
  </si>
  <si>
    <t>SUB TOTAL</t>
  </si>
  <si>
    <t>IGV 18%</t>
  </si>
  <si>
    <t>TOTAL 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</si>
</sst>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5D9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K24" sqref="K24"/>
    </sheetView>
  </sheetViews>
  <sheetFormatPr defaultRowHeight="15" x14ac:dyDescent="0.25"/>
  <cols>
    <col min="1" max="1" width="20" style="3" customWidth="1"/>
    <col min="2" max="2" width="60" style="4" customWidth="1"/>
    <col min="3" max="3" width="10" style="5" customWidth="1"/>
    <col min="4" max="6" width="17" style="6" customWidth="1"/>
  </cols>
  <sheetData>
    <row r="1" spans="1:6" x14ac:dyDescent="0.25">
      <c r="A1" s="16" t="s">
        <v>0</v>
      </c>
      <c r="B1" s="17"/>
      <c r="C1" s="17"/>
      <c r="D1" s="17"/>
      <c r="E1" s="17"/>
      <c r="F1" s="17"/>
    </row>
    <row r="2" spans="1:6" x14ac:dyDescent="0.25">
      <c r="A2" s="1" t="s">
        <v>1</v>
      </c>
      <c r="B2" s="1" t="s">
        <v>2</v>
      </c>
      <c r="C2" s="1"/>
      <c r="D2" s="1"/>
      <c r="E2" s="1"/>
      <c r="F2" s="1"/>
    </row>
    <row r="3" spans="1:6" x14ac:dyDescent="0.25">
      <c r="A3" s="1" t="s">
        <v>3</v>
      </c>
      <c r="B3" s="1"/>
      <c r="C3" s="1"/>
      <c r="D3" s="1"/>
      <c r="E3" s="1"/>
      <c r="F3" s="1"/>
    </row>
    <row r="4" spans="1:6" x14ac:dyDescent="0.25">
      <c r="A4" s="1" t="s">
        <v>4</v>
      </c>
      <c r="B4" s="1" t="s">
        <v>5</v>
      </c>
      <c r="C4" s="1"/>
      <c r="D4" s="1"/>
      <c r="E4" s="1"/>
      <c r="F4" s="1"/>
    </row>
    <row r="5" spans="1:6" x14ac:dyDescent="0.25">
      <c r="A5" s="1" t="s">
        <v>6</v>
      </c>
      <c r="B5" s="1" t="s">
        <v>7</v>
      </c>
      <c r="C5" s="1"/>
      <c r="D5" s="1"/>
      <c r="E5" s="1"/>
      <c r="F5" s="1"/>
    </row>
    <row r="6" spans="1:6" x14ac:dyDescent="0.25">
      <c r="A6" s="1" t="s">
        <v>8</v>
      </c>
      <c r="B6" s="1" t="s">
        <v>9</v>
      </c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2" t="s">
        <v>10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</row>
    <row r="10" spans="1:6" x14ac:dyDescent="0.25">
      <c r="A10" s="7">
        <v>2</v>
      </c>
      <c r="B10" s="8" t="s">
        <v>16</v>
      </c>
      <c r="F10" s="9">
        <f>SUM(F11:F21)</f>
        <v>36560535.911400005</v>
      </c>
    </row>
    <row r="11" spans="1:6" x14ac:dyDescent="0.25">
      <c r="A11" s="3">
        <v>2.1</v>
      </c>
      <c r="B11" s="4" t="s">
        <v>17</v>
      </c>
      <c r="C11" s="5" t="s">
        <v>18</v>
      </c>
      <c r="D11" s="6">
        <v>14.06</v>
      </c>
      <c r="E11" s="6">
        <v>3032.32</v>
      </c>
      <c r="F11" s="6">
        <f>+D11*E11</f>
        <v>42634.419200000004</v>
      </c>
    </row>
    <row r="12" spans="1:6" x14ac:dyDescent="0.25">
      <c r="A12" s="3">
        <v>2.2000000000000002</v>
      </c>
      <c r="B12" s="4" t="s">
        <v>19</v>
      </c>
      <c r="C12" s="5" t="s">
        <v>20</v>
      </c>
      <c r="D12" s="6">
        <v>650749.71</v>
      </c>
      <c r="E12" s="6">
        <v>4.63</v>
      </c>
      <c r="F12" s="6">
        <f t="shared" ref="F12:F21" si="0">+D12*E12</f>
        <v>3012971.1572999996</v>
      </c>
    </row>
    <row r="13" spans="1:6" x14ac:dyDescent="0.25">
      <c r="A13" s="3">
        <v>2.2999999999999998</v>
      </c>
      <c r="B13" s="4" t="s">
        <v>21</v>
      </c>
      <c r="C13" s="5" t="s">
        <v>20</v>
      </c>
      <c r="D13" s="6">
        <v>274968.40999999997</v>
      </c>
      <c r="E13" s="6">
        <v>15.59</v>
      </c>
      <c r="F13" s="6">
        <f t="shared" si="0"/>
        <v>4286757.5118999993</v>
      </c>
    </row>
    <row r="14" spans="1:6" x14ac:dyDescent="0.25">
      <c r="A14" s="3">
        <v>2.4</v>
      </c>
      <c r="B14" s="4" t="s">
        <v>22</v>
      </c>
      <c r="C14" s="5" t="s">
        <v>20</v>
      </c>
      <c r="D14" s="6">
        <v>761115.79</v>
      </c>
      <c r="E14" s="6">
        <v>27.62</v>
      </c>
      <c r="F14" s="6">
        <f t="shared" si="0"/>
        <v>21022018.119800001</v>
      </c>
    </row>
    <row r="15" spans="1:6" x14ac:dyDescent="0.25">
      <c r="A15" s="3">
        <v>2.5</v>
      </c>
      <c r="B15" s="4" t="s">
        <v>23</v>
      </c>
      <c r="C15" s="5" t="s">
        <v>20</v>
      </c>
      <c r="D15" s="6">
        <v>64544.39</v>
      </c>
      <c r="E15" s="6">
        <v>8.31</v>
      </c>
      <c r="F15" s="6">
        <f t="shared" si="0"/>
        <v>536363.88089999999</v>
      </c>
    </row>
    <row r="16" spans="1:6" x14ac:dyDescent="0.25">
      <c r="A16" s="3">
        <v>2.6</v>
      </c>
      <c r="B16" s="4" t="s">
        <v>24</v>
      </c>
      <c r="C16" s="5" t="s">
        <v>25</v>
      </c>
      <c r="D16" s="6">
        <v>453673.04</v>
      </c>
      <c r="E16" s="6">
        <v>1.89</v>
      </c>
      <c r="F16" s="6">
        <f t="shared" si="0"/>
        <v>857442.04559999995</v>
      </c>
    </row>
    <row r="17" spans="1:6" x14ac:dyDescent="0.25">
      <c r="A17" s="3">
        <v>2.7</v>
      </c>
      <c r="B17" s="4" t="s">
        <v>26</v>
      </c>
      <c r="C17" s="5" t="s">
        <v>20</v>
      </c>
      <c r="D17" s="6">
        <v>142401.88</v>
      </c>
      <c r="E17" s="6">
        <v>6.94</v>
      </c>
      <c r="F17" s="6">
        <f t="shared" si="0"/>
        <v>988269.04720000003</v>
      </c>
    </row>
    <row r="18" spans="1:6" x14ac:dyDescent="0.25">
      <c r="A18" s="3">
        <v>2.8</v>
      </c>
      <c r="B18" s="4" t="s">
        <v>27</v>
      </c>
      <c r="C18" s="5" t="s">
        <v>20</v>
      </c>
      <c r="D18" s="6">
        <v>16092.43</v>
      </c>
      <c r="E18" s="6">
        <v>38.76</v>
      </c>
      <c r="F18" s="6">
        <f t="shared" si="0"/>
        <v>623742.58679999993</v>
      </c>
    </row>
    <row r="19" spans="1:6" x14ac:dyDescent="0.25">
      <c r="A19" s="3">
        <v>2.9</v>
      </c>
      <c r="B19" s="4" t="s">
        <v>28</v>
      </c>
      <c r="C19" s="5" t="s">
        <v>20</v>
      </c>
      <c r="D19" s="6">
        <v>75858.02</v>
      </c>
      <c r="E19" s="6">
        <v>11.98</v>
      </c>
      <c r="F19" s="6">
        <f t="shared" si="0"/>
        <v>908779.07960000006</v>
      </c>
    </row>
    <row r="20" spans="1:6" x14ac:dyDescent="0.25">
      <c r="A20" s="3">
        <v>2.1</v>
      </c>
      <c r="B20" s="4" t="s">
        <v>29</v>
      </c>
      <c r="C20" s="5" t="s">
        <v>20</v>
      </c>
      <c r="D20" s="6">
        <v>12670.43</v>
      </c>
      <c r="E20" s="6">
        <v>117.77</v>
      </c>
      <c r="F20" s="6">
        <f t="shared" si="0"/>
        <v>1492196.5411</v>
      </c>
    </row>
    <row r="21" spans="1:6" x14ac:dyDescent="0.25">
      <c r="A21" s="3">
        <v>2.11</v>
      </c>
      <c r="B21" s="4" t="s">
        <v>30</v>
      </c>
      <c r="C21" s="5" t="s">
        <v>20</v>
      </c>
      <c r="D21" s="6">
        <v>218259.9</v>
      </c>
      <c r="E21" s="6">
        <v>12.78</v>
      </c>
      <c r="F21" s="6">
        <f t="shared" si="0"/>
        <v>2789361.5219999999</v>
      </c>
    </row>
    <row r="22" spans="1:6" x14ac:dyDescent="0.25">
      <c r="A22" s="11"/>
      <c r="B22" s="12" t="s">
        <v>31</v>
      </c>
      <c r="C22" s="13"/>
      <c r="D22" s="14"/>
      <c r="E22" s="14"/>
      <c r="F22" s="14">
        <f>+F10</f>
        <v>36560535.911400005</v>
      </c>
    </row>
    <row r="23" spans="1:6" x14ac:dyDescent="0.25">
      <c r="B23" s="4" t="s">
        <v>32</v>
      </c>
      <c r="F23" s="6">
        <f>+F22*0.1</f>
        <v>3656053.5911400006</v>
      </c>
    </row>
    <row r="24" spans="1:6" x14ac:dyDescent="0.25">
      <c r="B24" s="4" t="s">
        <v>33</v>
      </c>
      <c r="F24" s="6">
        <f>+F22*0.1</f>
        <v>3656053.5911400006</v>
      </c>
    </row>
    <row r="25" spans="1:6" x14ac:dyDescent="0.25">
      <c r="A25" s="11"/>
      <c r="B25" s="12" t="s">
        <v>34</v>
      </c>
      <c r="C25" s="13"/>
      <c r="D25" s="14"/>
      <c r="E25" s="14"/>
      <c r="F25" s="14">
        <f>+F22+F23+F24</f>
        <v>43872643.093680009</v>
      </c>
    </row>
    <row r="26" spans="1:6" x14ac:dyDescent="0.25">
      <c r="B26" s="4" t="s">
        <v>35</v>
      </c>
      <c r="F26" s="6">
        <f>+F25*0.18</f>
        <v>7897075.756862401</v>
      </c>
    </row>
    <row r="27" spans="1:6" x14ac:dyDescent="0.25">
      <c r="A27" s="11"/>
      <c r="B27" s="12" t="s">
        <v>36</v>
      </c>
      <c r="C27" s="13"/>
      <c r="D27" s="14"/>
      <c r="E27" s="14"/>
      <c r="F27" s="14">
        <f>+F26+F25</f>
        <v>51769718.850542411</v>
      </c>
    </row>
    <row r="28" spans="1:6" x14ac:dyDescent="0.25">
      <c r="A28" s="7"/>
      <c r="B28" s="8"/>
      <c r="C28" s="10"/>
      <c r="D28" s="9"/>
      <c r="E28" s="9"/>
      <c r="F28" s="9"/>
    </row>
    <row r="29" spans="1:6" x14ac:dyDescent="0.25">
      <c r="B29" s="15"/>
      <c r="C29" s="10"/>
      <c r="D29" s="9"/>
      <c r="E29" s="9"/>
      <c r="F29" s="9"/>
    </row>
  </sheetData>
  <sheetProtection formatCells="0" formatColumns="0" formatRows="0" insertColumns="0" insertRows="0" insertHyperlinks="0" deleteColumns="0" deleteRows="0" sort="0" autoFilter="0" pivotTables="0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Presupuestos.pe</dc:title>
  <dc:subject>Presupuestos.pe</dc:subject>
  <dc:creator>Presupuestos.pe</dc:creator>
  <cp:keywords>Presupuestos.pe</cp:keywords>
  <dc:description>Presupuestos.pe</dc:description>
  <cp:lastModifiedBy>Darcy Govea</cp:lastModifiedBy>
  <dcterms:created xsi:type="dcterms:W3CDTF">2026-09-03T16:10:53Z</dcterms:created>
  <dcterms:modified xsi:type="dcterms:W3CDTF">2026-09-03T16:17:32Z</dcterms:modified>
  <cp:category>Presupuestos.pe</cp:category>
</cp:coreProperties>
</file>