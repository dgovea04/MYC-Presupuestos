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MYC-Presupuestos\presupuesto-ejemplo\"/>
    </mc:Choice>
  </mc:AlternateContent>
  <xr:revisionPtr revIDLastSave="0" documentId="13_ncr:1_{94FD94A3-E491-44A8-A3E2-FA38C74AC7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RTIDAS" sheetId="1" r:id="rId1"/>
    <sheet name="Análisis de precios unitarios" sheetId="3" r:id="rId2"/>
    <sheet name="Sheet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3" l="1"/>
  <c r="F10" i="3"/>
  <c r="F4" i="3" s="1"/>
  <c r="F14" i="3"/>
  <c r="D4" i="3"/>
  <c r="A3" i="3"/>
</calcChain>
</file>

<file path=xl/sharedStrings.xml><?xml version="1.0" encoding="utf-8"?>
<sst xmlns="http://schemas.openxmlformats.org/spreadsheetml/2006/main" count="4509" uniqueCount="1631">
  <si>
    <t>PARTIDA</t>
  </si>
  <si>
    <t>UNIDAD</t>
  </si>
  <si>
    <t>PRECIO UNITARIO</t>
  </si>
  <si>
    <t>CERCO DE MADERA, H=2.20 M.</t>
  </si>
  <si>
    <t>ML</t>
  </si>
  <si>
    <t>446.94</t>
  </si>
  <si>
    <t>OFICINA, ALMACÉN, CASETA DE GUARDIANÍA</t>
  </si>
  <si>
    <t>M2</t>
  </si>
  <si>
    <t>200.66</t>
  </si>
  <si>
    <t>CARTEL DE OBRA 3.60 X 7.20 M</t>
  </si>
  <si>
    <t>UND</t>
  </si>
  <si>
    <t>2,309.66</t>
  </si>
  <si>
    <t>LIMPIEZA MANUAL DE TERRENO</t>
  </si>
  <si>
    <t>3.41</t>
  </si>
  <si>
    <t>LIMPIEZA DE TERRENO CON MAQUINA</t>
  </si>
  <si>
    <t>2.21</t>
  </si>
  <si>
    <t>TRAZO Y REPLANTEO DE EJES Y NIVELES</t>
  </si>
  <si>
    <t>2.27</t>
  </si>
  <si>
    <t>COLOCACION DE PLANTILLAS DE NIVEL</t>
  </si>
  <si>
    <t>PTO</t>
  </si>
  <si>
    <t>11.84</t>
  </si>
  <si>
    <t>DEMOLICION MANUAL DE CIMIENTOS</t>
  </si>
  <si>
    <t>M3</t>
  </si>
  <si>
    <t>459.56</t>
  </si>
  <si>
    <t>DEMOLICION MANUAL DE COLUMNAS</t>
  </si>
  <si>
    <t>551.48</t>
  </si>
  <si>
    <t>DEMOLICION DE ESTRUCTURAS DE CONCRETO ARMADO, CON MARTILLO NEUMATICO</t>
  </si>
  <si>
    <t>331.63</t>
  </si>
  <si>
    <t>DEMOLICION DE PISO DE CONCRETO, CON MARTILLO NEUMATICO</t>
  </si>
  <si>
    <t>16.89</t>
  </si>
  <si>
    <t>DEMOLICION DE CONCRETO SIMPLE MANUAL</t>
  </si>
  <si>
    <t>229.78</t>
  </si>
  <si>
    <t>PICADO DE CONCRETO PARA ANCLAJE COLUMNAS</t>
  </si>
  <si>
    <t>344.67</t>
  </si>
  <si>
    <t>DEMOLICIÓN DE MUROS DE LADRILLO KK-SOGA, MANUAL</t>
  </si>
  <si>
    <t>22.98</t>
  </si>
  <si>
    <t>DEMOLICION DE MUROS DE LADRILLO KK-CABEZA, MANUAL</t>
  </si>
  <si>
    <t>30.64</t>
  </si>
  <si>
    <t>DEMOLICION DE MUROS LADRILLO KK CANTO, MANUAL</t>
  </si>
  <si>
    <t>17.23</t>
  </si>
  <si>
    <t>DEMOLICION DE MUROS DE ADOBE - QUINCHA</t>
  </si>
  <si>
    <t>9.85</t>
  </si>
  <si>
    <t>DEMOLICION DE PISOS DE LOSETA</t>
  </si>
  <si>
    <t>11.49</t>
  </si>
  <si>
    <t>DEMOLICION DE PISOS DE MADERA</t>
  </si>
  <si>
    <t>6.89</t>
  </si>
  <si>
    <t>DEMOLICION DE PISO DE PARQUET</t>
  </si>
  <si>
    <t>3.45</t>
  </si>
  <si>
    <t>DESMONTAJE DE PUERTAS DE MADERA</t>
  </si>
  <si>
    <t>18.72</t>
  </si>
  <si>
    <t>DESMONTAJE DE CALAMINAS</t>
  </si>
  <si>
    <t>4.99</t>
  </si>
  <si>
    <t>RETIRO DE APARATOS SANITARIOS</t>
  </si>
  <si>
    <t>29.94</t>
  </si>
  <si>
    <t>DESMONTAJE DE ARTEFACTOS DE ILUMINACION</t>
  </si>
  <si>
    <t>52.47</t>
  </si>
  <si>
    <t>DESMONTAJE DE VENTANAS</t>
  </si>
  <si>
    <t>7.50</t>
  </si>
  <si>
    <t>CORTE SUPERFICIAL MANUAL, E=0.20M</t>
  </si>
  <si>
    <t>CORTE SUPERFICIAL MANUAL, E=0.40M</t>
  </si>
  <si>
    <t>13.79</t>
  </si>
  <si>
    <t>CORTE SUPERFICIAL CON EQUIPO, E=0.20M</t>
  </si>
  <si>
    <t>1.58</t>
  </si>
  <si>
    <t>CORTE SUPERFICIAL CON EQUIPO, E=0.40M</t>
  </si>
  <si>
    <t>3.17</t>
  </si>
  <si>
    <t>EXCAVACION MASIVA PARA SOTANO CON CARGADOR FRONTAL</t>
  </si>
  <si>
    <t>15.73</t>
  </si>
  <si>
    <t>EXCAVACION MASIVA PARA SOTANOS CON RETROEXCAVADORA</t>
  </si>
  <si>
    <t>EXCAVACIÓN PARA CIMENTACION DE CALZADURA CON RETROEXC.</t>
  </si>
  <si>
    <t>EXCAVACION MANUAL DE ZANJAS H=1.00M MATERIAL SUELTO</t>
  </si>
  <si>
    <t>33.81</t>
  </si>
  <si>
    <t>EXCAVACION MANUAL DE ZANJAS H=1.40M MATERIAL SUELTO</t>
  </si>
  <si>
    <t>38.64</t>
  </si>
  <si>
    <t>EXCAVACION MANUAL DE ZANJAS H=1.70M MATERIAL SUELTO</t>
  </si>
  <si>
    <t>45.08</t>
  </si>
  <si>
    <t>EXCAVACION DE ZANJAS H=1.00M ROCA FRACTURADA</t>
  </si>
  <si>
    <t>106.01</t>
  </si>
  <si>
    <t>EXCAVACION DE ZANJAS H=1.00M ROCA FIJA</t>
  </si>
  <si>
    <t>127.20</t>
  </si>
  <si>
    <t>EXCAVACIÓN MANUAL DE ZAPATAS H=1.00M MATERIAL SUELTO</t>
  </si>
  <si>
    <t>39.39</t>
  </si>
  <si>
    <t>EXCAVACIÓN MANUAL DE ZAPATAS H=1.40M MATERIAL SUELTO</t>
  </si>
  <si>
    <t>45.96</t>
  </si>
  <si>
    <t>EXCAVACIÓN MANUAL DE ZAPATAS H=1.70M MATERIAL SUELTO</t>
  </si>
  <si>
    <t>55.16</t>
  </si>
  <si>
    <t>EXCAVACIÓN DE ZAPATA H=1.00M ROCA FRACTURADA</t>
  </si>
  <si>
    <t>119.13</t>
  </si>
  <si>
    <t>EXCAVACION DE ZAPATA H=1.00M ROCA FIJA</t>
  </si>
  <si>
    <t>140.16</t>
  </si>
  <si>
    <t>RELLENO COMPACTADO, MAT. PROPIO PISÓN MANUAL</t>
  </si>
  <si>
    <t>20.30</t>
  </si>
  <si>
    <t>RELLENO COMPACTADO, MAT. PROPIO COMPACTADORA 4.0 HP</t>
  </si>
  <si>
    <t>35.74</t>
  </si>
  <si>
    <t>RELLENO COMPACTADO, MAT. PROPIO COMPACTADORA 5,8 HP</t>
  </si>
  <si>
    <t>RELLENO COMPACTADO, MAT. PROPIO COMPACTADORA 7,0 HP</t>
  </si>
  <si>
    <t>16.80</t>
  </si>
  <si>
    <t>NIVELACION, REFINE Y COMPACTACION, PISÓN MANUAL</t>
  </si>
  <si>
    <t>NIVELACION, REFINE Y COMPACTACION, COMPACTADORA 5,8 HP</t>
  </si>
  <si>
    <t>4.71</t>
  </si>
  <si>
    <t>ELIM. MAT. MANUAL, DP=30 M.</t>
  </si>
  <si>
    <t>ELIM. MAT. CARG.135HP / VOLQ.6 M3, D=05 KM</t>
  </si>
  <si>
    <t>19.41</t>
  </si>
  <si>
    <t>ELIM. MAT.CARG.135HP/VOLQ. 6M3, D=10 KM.</t>
  </si>
  <si>
    <t>ELIM.MAT CARG. MANUAL/VOLQ.4M3 DM=5 KM</t>
  </si>
  <si>
    <t>86.67</t>
  </si>
  <si>
    <t>ELIM.MAT.CARG.MANUAL/VOLQ.6M3 D=5 KM</t>
  </si>
  <si>
    <t>71.33</t>
  </si>
  <si>
    <t>ELIM.MAT.CARG.MANUAL/VOLQ.6M3 D=10 KM</t>
  </si>
  <si>
    <t>89.15</t>
  </si>
  <si>
    <t>CONCRETO PARA CALZADURAS CICLÓPEO 1:6 (C:H) +30%PG</t>
  </si>
  <si>
    <t>218.68</t>
  </si>
  <si>
    <t>CONCRETO PARA CALZADURAS CICLÓPEO 1:8 (C:H) +30%PG</t>
  </si>
  <si>
    <t>217.92</t>
  </si>
  <si>
    <t>CONCRETO PARA CALZADURAS CICLÓPEO 1:10 (C:H) +30%PG</t>
  </si>
  <si>
    <t>207.91</t>
  </si>
  <si>
    <t>ENCOFRADO PARA CALZADURAS NORMAL</t>
  </si>
  <si>
    <t>40.42</t>
  </si>
  <si>
    <t>CONCRETO PARA FALSA ZAPATA CICLÓPEO 1:6 +30% PG</t>
  </si>
  <si>
    <t>277.29</t>
  </si>
  <si>
    <t>CONCRETO PARA SOLADOS, E=0.10 M. C:H, 1:12</t>
  </si>
  <si>
    <t>38.07</t>
  </si>
  <si>
    <t>CONCRETO PARA SOLADOS, E=0.15 M. C:H, 1:12</t>
  </si>
  <si>
    <t>55.64</t>
  </si>
  <si>
    <t>CONCRETO PARA SOLADOS, E=2". C:H, 1:12</t>
  </si>
  <si>
    <t>24.26</t>
  </si>
  <si>
    <t>CONCRETO PARA SOLADOS, E=2". C:H, 1:10</t>
  </si>
  <si>
    <t>24.94</t>
  </si>
  <si>
    <t>CONCRETO PARA CIMIENTOS CICLÓPEO 1:6+30% PG</t>
  </si>
  <si>
    <t>227.66</t>
  </si>
  <si>
    <t>CONCRETO PARA CIMIENTOS CICLÓPEO 1:8+25% PG</t>
  </si>
  <si>
    <t>216.75</t>
  </si>
  <si>
    <t>CONCRETO PARA CIMIENTOS CICLÓPEO 1:10+30% PG</t>
  </si>
  <si>
    <t>209.48</t>
  </si>
  <si>
    <t>CONCRETO PARA SOBRECIMENTO CICLÓPEO 1:6+25% PM</t>
  </si>
  <si>
    <t>331.13</t>
  </si>
  <si>
    <t>CONCRETO PARA SOBRECIMENTO CICLÓPEO 1:8+25% PM</t>
  </si>
  <si>
    <t>278.08</t>
  </si>
  <si>
    <t>ENCOFRADO Y DESENCOFRADO NORMAL PARA SOBRECIMIENTO</t>
  </si>
  <si>
    <t>36.03</t>
  </si>
  <si>
    <t>CONCRETO 1:10(C:H) GRADAS Y RAMPAS</t>
  </si>
  <si>
    <t>260.03</t>
  </si>
  <si>
    <t>CONCRETO F'C=140 KG/CM2</t>
  </si>
  <si>
    <t>344.53</t>
  </si>
  <si>
    <t>CONCRETO F'C=175 KG/CM2</t>
  </si>
  <si>
    <t>369.03</t>
  </si>
  <si>
    <t>ENCOFRADO Y DESENCOFRADO GRADAS Y RAMPAS</t>
  </si>
  <si>
    <t>62.94</t>
  </si>
  <si>
    <t>CONCRETO PARA FALSO PISO E=3" MEZCLA 1:6 C:H</t>
  </si>
  <si>
    <t>26.63</t>
  </si>
  <si>
    <t>CONCRETO PARA FALSO PISO E=3" MEZCLA 1:8 C:H</t>
  </si>
  <si>
    <t>12.90</t>
  </si>
  <si>
    <t>CONCRETO PARA FALSO PISO E=4" MEZCLA 1:6 C:H</t>
  </si>
  <si>
    <t>32.72</t>
  </si>
  <si>
    <t>CONCRETO PARA FALSO PISO E=4" MEZCLA 1:8 C:H</t>
  </si>
  <si>
    <t>31.51</t>
  </si>
  <si>
    <t>HABILITACIÓN Y COLOCACIÓN DE ARMADURA REND. 200 KG/DÍA</t>
  </si>
  <si>
    <t>KG</t>
  </si>
  <si>
    <t>4.53</t>
  </si>
  <si>
    <t>HABILITACIÓN Y COLOCACIÓN DE ARMADURA REND. 250 KG/DÍA</t>
  </si>
  <si>
    <t>4.23</t>
  </si>
  <si>
    <t>HABILITACIÓN Y COLOCACIÓN DE ARMADURA REND. 300 KG/DÍA</t>
  </si>
  <si>
    <t>HABILITACIÓN Y COLOCACIÓN DE ARMADURA REND. 350 KG/DÍA</t>
  </si>
  <si>
    <t>3.87</t>
  </si>
  <si>
    <t>CONCRETO PARA CIMIENTO REFORZADO F´C=140 KG/CM2</t>
  </si>
  <si>
    <t>291.43</t>
  </si>
  <si>
    <t>CONCRETO PARA CIMIENTO REFORZADO F´C=175 KG/CM2</t>
  </si>
  <si>
    <t>318.00</t>
  </si>
  <si>
    <t>CONCRETO PARA CIMIENTO REFORZADO F´C=210 KG/CM2</t>
  </si>
  <si>
    <t>329.93</t>
  </si>
  <si>
    <t>ENCOFRADO/ DESENCOFRADO NORMAL, CIMIENTO REFORZADO</t>
  </si>
  <si>
    <t>27.95</t>
  </si>
  <si>
    <t>CONCRETO PARA ZAPATAS F´C=140 KG/CM2</t>
  </si>
  <si>
    <t>297.38</t>
  </si>
  <si>
    <t>CONCRETO PARA ZAPATAS F´C=175 KG/CM2</t>
  </si>
  <si>
    <t>321.88</t>
  </si>
  <si>
    <t>CONCRETO PARA ZAPATAS F´C=210 KG/CM2</t>
  </si>
  <si>
    <t>335.88</t>
  </si>
  <si>
    <t>CONCRETO PARA ZAPATAS F´C=245 KG/CM2</t>
  </si>
  <si>
    <t>376.13</t>
  </si>
  <si>
    <t>ENCOFRADO/ DESENCOFRADO NORMAL, ZAPATA</t>
  </si>
  <si>
    <t>40.75</t>
  </si>
  <si>
    <t>CONCRETO PARA VIGAS DE CIMENTACIÓN F´C=140 KG/CM2</t>
  </si>
  <si>
    <t>317.84</t>
  </si>
  <si>
    <t>CONCRETO PARA VIGAS DE CIMENTACIÓN F´C=175 KG/CM2</t>
  </si>
  <si>
    <t>342.34</t>
  </si>
  <si>
    <t>CONCRETO PARA VIGAS DE CIMENTACIÓN F¨C=210 KG/CM2</t>
  </si>
  <si>
    <t>356.34</t>
  </si>
  <si>
    <t>ENCOFRADO/ DESENCOFRADO NORMAL, VIGAS DE CIMENTACIÓN</t>
  </si>
  <si>
    <t>42.53</t>
  </si>
  <si>
    <t>CONCRETO PARA SOBRECIMIENTOS REFORZADOS F´C=140 KG/CM2</t>
  </si>
  <si>
    <t>373.89</t>
  </si>
  <si>
    <t>CONCRETO PARA SOBRECIMIENTOS REFORZADOS F´C=175 KG/CM2</t>
  </si>
  <si>
    <t>398.39</t>
  </si>
  <si>
    <t>CONCRETO PARA SOBRECIMIENTOS REFORZADOS F´C=210 KG/CM2</t>
  </si>
  <si>
    <t>412.39</t>
  </si>
  <si>
    <t>CONCRETO PARA SOBRECIMIENTOS REFORZADOS F´C=245 KG/CM2</t>
  </si>
  <si>
    <t>452.64</t>
  </si>
  <si>
    <t>ENCOFRADO Y DESENCOFRADO NORMAL, SOBRECIMIENTOS REFORZADO</t>
  </si>
  <si>
    <t>CONCRETO PREMEZCLADO F´C=175 KG/CM2 - CIMIENTO REFORZADO</t>
  </si>
  <si>
    <t>233.48</t>
  </si>
  <si>
    <t>CONCRETO PREMEZCLADO F´C=210 KG/CM2 - CIMIENTO REFORZADO</t>
  </si>
  <si>
    <t>248.78</t>
  </si>
  <si>
    <t>CONCRETO PREMEZCLADO F´C= 245 KG/CM2 - CIMIENTO REFORZADO</t>
  </si>
  <si>
    <t>267.14</t>
  </si>
  <si>
    <t>CONCRETO PREMEZCLADO F´C=280 KG/CM2 - CIMIENTO REFORZADO</t>
  </si>
  <si>
    <t>282.44</t>
  </si>
  <si>
    <t>CONCRETO PREMEZCLADO F´C= 315 KG/CM2 - CIMIENTO REFORZADO</t>
  </si>
  <si>
    <t>324.26</t>
  </si>
  <si>
    <t>CONCRETO PREMEZACLDO F´C=350 KG/CM2 - CIMIENTO REFORZADO</t>
  </si>
  <si>
    <t>CONCRETO PREMEZCLADO F´C=420 KG/CM2 - CIMIENTO REFORZADO</t>
  </si>
  <si>
    <t>336.50</t>
  </si>
  <si>
    <t>CONCRETO PREMEZCLADO F´C= 175 KG/CM2 - VIGA DE CIMENTACIÓN</t>
  </si>
  <si>
    <t>CONCRETO PREMEZCLADO F´C=210 KG/CM2 - VIGA DE CIMENTACIÓN</t>
  </si>
  <si>
    <t>CONCRETO PREMEZCLADO F´C=245 KG/CM2 - VIGA DE CIMENTACIÓN</t>
  </si>
  <si>
    <t>CONCRETO PREMEZCLADO F´C=280 KG/CM2 - VIGA DE CIMETACIÓN</t>
  </si>
  <si>
    <t>CONCRETO PREMEZCLADO F´C=315 KG/CM2 - VIGA DE CIMENATCIÓN</t>
  </si>
  <si>
    <t>CONCRETO PREMEZCLADO F´C=350 KG/CM2 - VIGA DE CIMENTACIÓN</t>
  </si>
  <si>
    <t>CONCRETO PREMEZCLADO F´C=420 KG/CM2 - VIGA DE CIMENTACIÓN</t>
  </si>
  <si>
    <t>CONCRETO PREMEZCLADO F´C=175 KG/CM2 - LOSA DE CIMENTACIÓN</t>
  </si>
  <si>
    <t>231.99</t>
  </si>
  <si>
    <t>CONCRETO PREMEZCLADO F´C=210 KG/CM2 - LOSA DE CIMENTACIÓN</t>
  </si>
  <si>
    <t>247.29</t>
  </si>
  <si>
    <t>CONCRETO PREMEZCLADO F´C =245 KG/CM2 - LOSA DE CIMENTACIÓN</t>
  </si>
  <si>
    <t>265.65</t>
  </si>
  <si>
    <t>CONCRETO PREMEZCLADO F´C=280 KG/CM2 - LOSA DE CIMENTACIÓN</t>
  </si>
  <si>
    <t>280.95</t>
  </si>
  <si>
    <t>CONCRETO PREMEZCLADO F´C=315 KG/CM2 - LOSA DE CIMENTACIÓN</t>
  </si>
  <si>
    <t>322.77</t>
  </si>
  <si>
    <t>CONCRETO PREMEZCLADO F´C=350 KG/CM2 - LOSA DE CIMENTACIÓN</t>
  </si>
  <si>
    <t>CONCRETO PREMEZCLADO F´C=420 KG/CM2 - LOSA DE CIMENTACIÓN</t>
  </si>
  <si>
    <t>335.01</t>
  </si>
  <si>
    <t>CONCRETO PREMEZCLADO F´C= 175 KG/CM2 - SOBRECIMIENTO REFORZADO</t>
  </si>
  <si>
    <t>250.63</t>
  </si>
  <si>
    <t>CONCRETO PREMEZCLADO F´C=210 KG/CM2 - SOBRECIMIENTO REFORZADO</t>
  </si>
  <si>
    <t>265.93</t>
  </si>
  <si>
    <t>CONCRETO PREMEZCLADO F´C=245 KG/CM2 - SOBRECIMIENTO REFORZADO</t>
  </si>
  <si>
    <t>284.29</t>
  </si>
  <si>
    <t>CONCRETO PREMEZCLADO F´C=280 KG/CM2 - SOBRECIMIENTO REFORZADO</t>
  </si>
  <si>
    <t>299.59</t>
  </si>
  <si>
    <t>CONCRETO PREMEZCLADO F´C=315 KG/CM2 - SOBRECIMIENTO REFORZADO</t>
  </si>
  <si>
    <t>341.41</t>
  </si>
  <si>
    <t>CONCRETO PREMEZCLADO F´C=350 KG/CM2 - SOBRECIMIENTO REFORZADO</t>
  </si>
  <si>
    <t>340.92</t>
  </si>
  <si>
    <t>CONCRETO PREMEZCLADO F´C=420 KG/CM2 - SOBRECIMIENTO REFORZADO</t>
  </si>
  <si>
    <t>353.65</t>
  </si>
  <si>
    <t>CONCRETO PREMEZCLADO F´C=175 KG/CM2 - MUROS Y TABIQUES</t>
  </si>
  <si>
    <t>470.48</t>
  </si>
  <si>
    <t>CONCRETO PREMEZCLADO F´C=210 KG/CM2 - MUROS Y TABIQUES</t>
  </si>
  <si>
    <t>485.78</t>
  </si>
  <si>
    <t>CONCRETO PREMEZCLADO F´C=245 KG/CM2 - MUROS Y TABIQUES</t>
  </si>
  <si>
    <t>504.14</t>
  </si>
  <si>
    <t>CONCRETO PREMEZCLADO F´C= 280 KG/CM2 - MUROS Y TABIQUES</t>
  </si>
  <si>
    <t>519.44</t>
  </si>
  <si>
    <t>CONCRETO PREMEZCLADO F´C= 315 KG/CM2 - MUROS Y TABIQUES</t>
  </si>
  <si>
    <t>561.26</t>
  </si>
  <si>
    <t>CONCRETO PREMEZCLADO F´C=350 KG/CM2 - MUROS Y TABIQUES</t>
  </si>
  <si>
    <t>CONCRETO PREMEZCLADO F´C=420 KG/CM2 - MUROS Y TABIQUES</t>
  </si>
  <si>
    <t>573.50</t>
  </si>
  <si>
    <t>CONCRETO PREMEZCLADO F´C=175 KG/CM2 - COLUMNAS</t>
  </si>
  <si>
    <t>462.78</t>
  </si>
  <si>
    <t>CONCRETO PREMEZCLADO F´C=210 KG/CM2 - COLUMNAS</t>
  </si>
  <si>
    <t>478.08</t>
  </si>
  <si>
    <t>CONCRETO PREMEZCLADO F´C=245 KG/CM2 - COLUMNAS</t>
  </si>
  <si>
    <t>496.44</t>
  </si>
  <si>
    <t>CONCRETO PREMEZCLADO F´C=280 KG/CM2 - COLUMNAS</t>
  </si>
  <si>
    <t>511.74</t>
  </si>
  <si>
    <t>CONCRETO PREMEZCLADO F´C=315 KG/CM2 - COLUMNAS</t>
  </si>
  <si>
    <t>553.56</t>
  </si>
  <si>
    <t>CONCRETO PREMEZCLADO F´C=350 KG/CM2 - COLUMNAS</t>
  </si>
  <si>
    <t>CONCRETO PREMEZCLADO F´C= 420 KG/CM2 - COLUMNAS</t>
  </si>
  <si>
    <t>565.80</t>
  </si>
  <si>
    <t>CONCRETO PREMEZCLADO F´C=175 KG/CM2 - VIGAS</t>
  </si>
  <si>
    <t>443.48</t>
  </si>
  <si>
    <t>CONCRETO PREMEZCLADO F´C= 210 KG/CM2 - VIGAS</t>
  </si>
  <si>
    <t>458.78</t>
  </si>
  <si>
    <t>CONCRETO PREMEZCLADO F´C=245 KG/CM2 - VIGAS</t>
  </si>
  <si>
    <t>477.14</t>
  </si>
  <si>
    <t>CONCRETO PREMEZCLADO F´C=280 KG/CM2 - VIGAS</t>
  </si>
  <si>
    <t>492.44</t>
  </si>
  <si>
    <t>CONCRETO PREMEZCLADO F´C= 315 KG/CM2 - VIGAS</t>
  </si>
  <si>
    <t>534.26</t>
  </si>
  <si>
    <t>CONCRETO PREMEZCLADO F´C=350 KG/M2 - VIGAS</t>
  </si>
  <si>
    <t>CONCRETO PREMEZCLADO F´C= 420 KD/CM2 - VIGAS</t>
  </si>
  <si>
    <t>546.50</t>
  </si>
  <si>
    <t>CONCRETO PREMEZCLADO LOZA MACIZA F´C=175 KG/CM2</t>
  </si>
  <si>
    <t>CONCRETO PREMEZCLADO LOSA MACIZA F´C=210 KG/CM2</t>
  </si>
  <si>
    <t>CONCRETO PREMEZCLADO LOSA MACIZA F´C=245 KG/CM2</t>
  </si>
  <si>
    <t>CONCRETO PREMEZCLADO LOSA MACIZA F´C=280 KG/CM2</t>
  </si>
  <si>
    <t>CONCRETO PREMEZCLADO LOSA MACIZA F´C=315 KG/CM2</t>
  </si>
  <si>
    <t>528.28</t>
  </si>
  <si>
    <t>CONCRETO PREMEZCLADO LOSA MACIZA F´C=350 KG/CM2</t>
  </si>
  <si>
    <t>CONCRETO PREMEZCLADO LOSA MACIZA F´C=420 KG/CM2</t>
  </si>
  <si>
    <t>CONCRETO PREMEZCLADO LOSA ALIGERADA F´C=175 KG/CM2</t>
  </si>
  <si>
    <t>CONCRETO PREMEZCLADO LOSA ALIGERADA F´C=210 KG/CM2</t>
  </si>
  <si>
    <t>CONCRETO PREMEZCLADO LOSA ALIGERADA F´C=245 KG/CM2</t>
  </si>
  <si>
    <t>CONCRETO PREMEZCLADO LOSA ALIGERADA F´C=280 KG/CM2</t>
  </si>
  <si>
    <t>CONCRETO PREMEZCLADO LOSA ALIGERADA F´C=315 KG/CM2</t>
  </si>
  <si>
    <t>CONCRETO PREMEZCLADO LOSA ALIGERADA F´C=350 KG/CM2</t>
  </si>
  <si>
    <t>CONCRETO PREMEZCLADO LOSA ALIGERADA F´C=420 KG/CM2</t>
  </si>
  <si>
    <t>CONCRETO PREMEZCLADO ESCALERA F´C=175 KG/CM2</t>
  </si>
  <si>
    <t>CONCRETO PREMEZCLADO ESCALERA F´C=210 KG/CM2</t>
  </si>
  <si>
    <t>CONCRETO PREMEZCLADO ESCALERA F´C=245 KG/CM2</t>
  </si>
  <si>
    <t>CONCRETO PREMEZCLADO ESCALERA F´C=280 KG/CM2</t>
  </si>
  <si>
    <t>CONCRETO PREMEZCLADO ESCALERA F´C=315 KG/CM2</t>
  </si>
  <si>
    <t>CONCRETO PREMEZCLADO ESCALERA F´C=350 KG/CM2</t>
  </si>
  <si>
    <t>CONCRETO PREMEZCLADO ESCALERA F´C=420 KG/CM2</t>
  </si>
  <si>
    <t>MURO DE LADRILLO KK DE ARCILLA, N-CAB. MEZCLA 1:5</t>
  </si>
  <si>
    <t>87.54</t>
  </si>
  <si>
    <t>MURO DE LADRILLO KK DE ARCILLA, N-SOG. MEZCLA 1:5</t>
  </si>
  <si>
    <t>53.06</t>
  </si>
  <si>
    <t>MURO DE LADRILLO KK DE ARCILLA, N-CAN. MEZCLA 1:5</t>
  </si>
  <si>
    <t>41.98</t>
  </si>
  <si>
    <t>MURO DE LADRILLO KK DE ARCILLA, N-CAB. MEZCLA 1:4</t>
  </si>
  <si>
    <t>88.94</t>
  </si>
  <si>
    <t>MURO DE LADRILLO KK DE ARCILLA, N-SOG. MEZCLA 1:4</t>
  </si>
  <si>
    <t>53.69</t>
  </si>
  <si>
    <t>MURO DE LADRILLO KK DE ARCILLA, N-CAN. MEZCLA 1:4</t>
  </si>
  <si>
    <t>42.35</t>
  </si>
  <si>
    <t>MURO DE LADRILLO KK DE ARCILLA, CV-CAB. MEZCLA 1:5</t>
  </si>
  <si>
    <t>101.48</t>
  </si>
  <si>
    <t>MURO DE LADRILLO KK DE ARCILLA, CV-SOG. MEZCLA 1 :5</t>
  </si>
  <si>
    <t>63.15</t>
  </si>
  <si>
    <t>MURO DE LADRILLO KK DE ARCILLA, CV-CAN.MEZCLA 1:5</t>
  </si>
  <si>
    <t>47.47</t>
  </si>
  <si>
    <t>MURO DE LADRILLO KK DE ARCILLA, CV-CAB. MEZCLA 1:4</t>
  </si>
  <si>
    <t>101.47</t>
  </si>
  <si>
    <t>MURO DE LADRILLO KK DE ARCILLA, CV-SOG. MEZCLA 1:4</t>
  </si>
  <si>
    <t>63.63</t>
  </si>
  <si>
    <t>MURO DE LADRILLO KK DE ARCILLA, CV-CAN. MEZCLA 1:4</t>
  </si>
  <si>
    <t>47.73</t>
  </si>
  <si>
    <t>MURO DE LAD. CORRIENTE ARCILLA, N-CABEZA, MEZCLA 1:5</t>
  </si>
  <si>
    <t>112.57</t>
  </si>
  <si>
    <t>MURO DE LAD. CORRIENTE ARCILLA, N-SOGA, MEZCLA 1:5</t>
  </si>
  <si>
    <t>69.73</t>
  </si>
  <si>
    <t>MURO DE LAD. CORRIENTE ARCILLA, N-CANTO, MEZCLA 1:5</t>
  </si>
  <si>
    <t>49.23</t>
  </si>
  <si>
    <t>MURO DE LAD. CORRIENTE ARCILLA, N-CABEZA, MECLA 1:4</t>
  </si>
  <si>
    <t>114.34</t>
  </si>
  <si>
    <t>MURO DE LADRILLO CORRIENTE ARCILLA DE SOGA - MEZCLA 1:4</t>
  </si>
  <si>
    <t>71.15</t>
  </si>
  <si>
    <t>MURO DE LADRILLO CORRIENTE ARCILLA DE CANTO - MEZCLA 1:4</t>
  </si>
  <si>
    <t>49.49</t>
  </si>
  <si>
    <t>MURO DE LAD. CORRIENTE ARCILLA, CV-CABEZA, MEZCLA 1:5</t>
  </si>
  <si>
    <t>133.81</t>
  </si>
  <si>
    <t>MURO DE LAD. CORRIENTE ARCILLA, CV-SOGA, MEZCLA 1:5</t>
  </si>
  <si>
    <t>81.60</t>
  </si>
  <si>
    <t>MURO DE LAD. CORRIENTE ARCILLA, CV-CANTO, MEZCLA1:5</t>
  </si>
  <si>
    <t>54.36</t>
  </si>
  <si>
    <t>MURO DE LAD. CORRIENTE ARCILLA, CV-CABEZA, MEZCLA 1:4</t>
  </si>
  <si>
    <t>135.14</t>
  </si>
  <si>
    <t>MURO DE LAD. CORRIENTE ARCILLA, CV-SOGA, MEZCLA 1:4</t>
  </si>
  <si>
    <t>82.16</t>
  </si>
  <si>
    <t>MURO DE LAD. CORRIENTE ARCILLA, CV-CANTO, MEZCLA 1:4</t>
  </si>
  <si>
    <t>54.53</t>
  </si>
  <si>
    <t>MURO LAD. PAND. DE CABEZA C:A 1:5 P/TARRAJEAR</t>
  </si>
  <si>
    <t>90.67</t>
  </si>
  <si>
    <t>MURO LADR.PANDERETA DE SOGA C:A 1:5 P/TARRAJEAR</t>
  </si>
  <si>
    <t>52.41</t>
  </si>
  <si>
    <t>MURO LAD. PANDERETA DE CANTO C.A.1:5 P/TARRAJEAR</t>
  </si>
  <si>
    <t>40.10</t>
  </si>
  <si>
    <t>MURO LAD. PANDERETA DE CABEZA C:A 1:4 P/TARRAJEAR</t>
  </si>
  <si>
    <t>91.64</t>
  </si>
  <si>
    <t>MURO LAD. PANDERETA DE SOGA C:A 1:4 P/TARRAJEAR</t>
  </si>
  <si>
    <t>53.01</t>
  </si>
  <si>
    <t>MURO LAD. PANDERETA DE CANTO C:A 1:4 P/TARRAJEAR</t>
  </si>
  <si>
    <t>48.98</t>
  </si>
  <si>
    <t>MURO LAD PANDERETA DE CAB. C:C:A 1:2:9 P/TARRAJEAR</t>
  </si>
  <si>
    <t>87.46</t>
  </si>
  <si>
    <t>MURO LAD.PANDERETA DE SOGA C.C.A. 1:2:9 P /TARRAJEAR</t>
  </si>
  <si>
    <t>51.26</t>
  </si>
  <si>
    <t>MURO LAD.PANDERETA DE CANTO C:C:A 1:2:9 P/TARRAJEAR</t>
  </si>
  <si>
    <t>39.85</t>
  </si>
  <si>
    <t>MURO LADRILLO SILICO CALCAREO KK NORMAL 14X24X29 SOGA SOLAQUEADO</t>
  </si>
  <si>
    <t>59.53</t>
  </si>
  <si>
    <t>MURO LADRILLO SILICO CALCAREO KK MODULADO 14X29X9 SOGA SOLAQUEADO</t>
  </si>
  <si>
    <t>51.87</t>
  </si>
  <si>
    <t>MURO LADRILLO SILICO CALCAREO ESTANDAR 12X29X9 SOAGA SOLAQUEADO</t>
  </si>
  <si>
    <t>MURO LADRILLO SILICO CALCAREO CORRIENTE 12X27X6 SOGA SOLQUEADO</t>
  </si>
  <si>
    <t>79.86</t>
  </si>
  <si>
    <t>MURO LADRILLO SILICO CALCAREO DEDALO 11.5X24X14 SOGA SOLAQUEADO</t>
  </si>
  <si>
    <t>50.22</t>
  </si>
  <si>
    <t>MURO LADRILLO SILICO CALCAREO MODULADO 10X29X9 SOGA SOLAQUEADO</t>
  </si>
  <si>
    <t>48.92</t>
  </si>
  <si>
    <t>MURO LADRILLO SILICO CALCAREO DUPLO 19X29X9 SOGA SOLAQUEADO</t>
  </si>
  <si>
    <t>92.30</t>
  </si>
  <si>
    <t>TARRAJEO RAYADO DE MUROS INTERIORES, MEZCLA 1:5</t>
  </si>
  <si>
    <t>20.89</t>
  </si>
  <si>
    <t>TARRAJEO FROTACHADO, MUROS INT. E=1.5CM, MEZCLA 1:5</t>
  </si>
  <si>
    <t>18.97</t>
  </si>
  <si>
    <t>TARRAJEO FROTACHADO, MUROS INT. E=2.0CM, MEZCLA 1:5</t>
  </si>
  <si>
    <t>23.73</t>
  </si>
  <si>
    <t>TARRAJEO FROTACHADO, MUROS INT. E=1.5CM, MEZCLA 1:4</t>
  </si>
  <si>
    <t>19.39</t>
  </si>
  <si>
    <t>TARRAJEO FROTACHADO, MUROS INT. E=2.0CM, MEZCLA 1:4</t>
  </si>
  <si>
    <t>24.27</t>
  </si>
  <si>
    <t>TARRAJEO FINO, MUROS INT. E=1.5CM, MEZCLA 1:4</t>
  </si>
  <si>
    <t>27.41</t>
  </si>
  <si>
    <t>TARRAJEO FROTACHADO, MUROS EXT. E=1.5CM, MEZCLA 1:4</t>
  </si>
  <si>
    <t>22.62</t>
  </si>
  <si>
    <t>TARRAJEO FROTACHADO, MUROS EXT. E=2.0CM, MEZCLA 1:5</t>
  </si>
  <si>
    <t>27.37</t>
  </si>
  <si>
    <t>TARRAJEO FROTACHADO, MUROS EXT. E=2.0CM, MEZCLA 1:4</t>
  </si>
  <si>
    <t>27.91</t>
  </si>
  <si>
    <t>TARRAJEO FINO, MUROS EXT. E=1.5CM, MEZCLA 1:5</t>
  </si>
  <si>
    <t>33.55</t>
  </si>
  <si>
    <t>TARRAJEO DE COLUMNAS E=1.5CM, MEZCLA 1:5</t>
  </si>
  <si>
    <t>28.59</t>
  </si>
  <si>
    <t>TARRAJEO DE COLUMNAS E=2.0CM, MEZCLA 1:5</t>
  </si>
  <si>
    <t>36.65</t>
  </si>
  <si>
    <t>VESTIDURA DE ARISTAS, COLUMNAS MANO DE OBRA + HERRAMIENTA</t>
  </si>
  <si>
    <t>10.72</t>
  </si>
  <si>
    <t>TARRAJEO DE VIGAS E=1.5CM, MEZCLA 1:5</t>
  </si>
  <si>
    <t>37.94</t>
  </si>
  <si>
    <t>TARRAJEO DE VIGAS E=2.0CM, MEZCLA 1:5</t>
  </si>
  <si>
    <t>49.15</t>
  </si>
  <si>
    <t>VESTIDURA DE ARISTAS, VIGAS MANO DE OBRA &amp; HERRAMIENTA</t>
  </si>
  <si>
    <t>11.92</t>
  </si>
  <si>
    <t>TARRAJEO (E=1.0 CM)</t>
  </si>
  <si>
    <t>13.45</t>
  </si>
  <si>
    <t>TARRAJEO (E=0.5CM)</t>
  </si>
  <si>
    <t>8.33</t>
  </si>
  <si>
    <t>SOLAQUEO CON IMPRIMANTE</t>
  </si>
  <si>
    <t>4.76</t>
  </si>
  <si>
    <t>SOLAQUEO CON MEZCLA DE CEMENTO</t>
  </si>
  <si>
    <t>5.73</t>
  </si>
  <si>
    <t>VESTIDURA DE DERRAMES, A=0.10, E=1.5CM, MEZCLA 1:5</t>
  </si>
  <si>
    <t>13.19</t>
  </si>
  <si>
    <t>VESTIDURA DE DERRAMES, A=0.10, E=2.0CM, MEZCLA 1:5</t>
  </si>
  <si>
    <t>15.62</t>
  </si>
  <si>
    <t>BRUÑAS DE 1.0CM MANO DE OBRA &amp; HERRAMIENTA</t>
  </si>
  <si>
    <t>UNION DE MUROS Y CIELORASOS CON MEZCLA</t>
  </si>
  <si>
    <t>8.82</t>
  </si>
  <si>
    <t>TARRAJEO DE CIELORASO E=1.5CM, MEZCLA 1:5</t>
  </si>
  <si>
    <t>33.26</t>
  </si>
  <si>
    <t>TARRAJEO DE CIELORASO E=1.5CM, MEZCLA 1:4</t>
  </si>
  <si>
    <t>33.63</t>
  </si>
  <si>
    <t>ENLUCIDO DE CIELORASO CON YESO E=1.0CM</t>
  </si>
  <si>
    <t>34.45</t>
  </si>
  <si>
    <t>CONTRAPISO E=40MM, BASE 3.0CM, MEZ. 1:5 PASTA 1:2</t>
  </si>
  <si>
    <t>24.56</t>
  </si>
  <si>
    <t>CONTRAPISO E=48MM, BASE 3.8CM, MEZ 1:5 PASTA 1:2</t>
  </si>
  <si>
    <t>29.95</t>
  </si>
  <si>
    <t>PISO DE CEMENTO PULIDO E=2", MEZCLA 1:4</t>
  </si>
  <si>
    <t>38.90</t>
  </si>
  <si>
    <t>PISO DE FROTACHADO E=4", MEZCLA 1:4</t>
  </si>
  <si>
    <t>PISO LOSETA VENECIANA COLOR CLARO 20 X 20CM</t>
  </si>
  <si>
    <t>57.20</t>
  </si>
  <si>
    <t>PISO LOSETA VENECIANA COLOR CLARO 30 X 30CM</t>
  </si>
  <si>
    <t>58.47</t>
  </si>
  <si>
    <t>PISO LOSETA VENECIANA C. CLARO 40X40</t>
  </si>
  <si>
    <t>57.19</t>
  </si>
  <si>
    <t>PISO LOSETA VENECIANA C. OSCURO 30X30</t>
  </si>
  <si>
    <t>57.42</t>
  </si>
  <si>
    <t>PISO LOSETA VENECIANA C. OSCURO 40X40</t>
  </si>
  <si>
    <t>54.04</t>
  </si>
  <si>
    <t>PISO LOSETA VINÍLICA 1.6 MM 30,5X30,5CM</t>
  </si>
  <si>
    <t>35.30</t>
  </si>
  <si>
    <t>PISO LOSETA VINÍLICA 2.5MM 305X30.5 CM</t>
  </si>
  <si>
    <t>48.95</t>
  </si>
  <si>
    <t>PISO LOSETA VINÍLICA 3.2 MM 30.5X30.5 CM</t>
  </si>
  <si>
    <t>59.45</t>
  </si>
  <si>
    <t>PISO DE MAYOLICA 15X15 BLANCA, 1RA.</t>
  </si>
  <si>
    <t>77.75</t>
  </si>
  <si>
    <t>PISO DE MAYOLICA 15X15 BLANCA, 2DA.</t>
  </si>
  <si>
    <t>75.12</t>
  </si>
  <si>
    <t>PISO DE MAYOLICA 15X15 COLOR</t>
  </si>
  <si>
    <t>79.32</t>
  </si>
  <si>
    <t>PISO DE PARQUET HUALTACO</t>
  </si>
  <si>
    <t>57.45</t>
  </si>
  <si>
    <t>PISO DE PARQUET OREJA LEÓN OSCURO 6X30</t>
  </si>
  <si>
    <t>59.55</t>
  </si>
  <si>
    <t>PISO DE PARQUET CORICASPI VETEADO 30X6</t>
  </si>
  <si>
    <t>57.61</t>
  </si>
  <si>
    <t>PISO DE PARQUET GUAYACÁN VETEADO NORTE</t>
  </si>
  <si>
    <t>61.54</t>
  </si>
  <si>
    <t>PISO DE ALFOMBRA DE NYLON 6 MM ALTO TRANSITO</t>
  </si>
  <si>
    <t>46.66</t>
  </si>
  <si>
    <t>PISO DE ALFOMBRA DE NYLON 9 MM ALTO TRANSITO</t>
  </si>
  <si>
    <t>72.70</t>
  </si>
  <si>
    <t>ZOCALO DE CEMENTO FROTACHADO E=2.0CM</t>
  </si>
  <si>
    <t>25.35</t>
  </si>
  <si>
    <t>ZOCALO DE CEMENTO COLOREADO E=2.0CM</t>
  </si>
  <si>
    <t>28.53</t>
  </si>
  <si>
    <t>ZOCALO DE CEMENTO CO. BRUÑADO E=2.0CM</t>
  </si>
  <si>
    <t>31.56</t>
  </si>
  <si>
    <t>ZÓCALO DE MAYÓLICA BLANCA 15X15, 1RA.</t>
  </si>
  <si>
    <t>ZÓCALO DE MAYÓLICA BLANCA 15X15, 2DA.</t>
  </si>
  <si>
    <t>ZÓCALO DE MAYÓLICA COLOR 15X15</t>
  </si>
  <si>
    <t>ZÓCALO DE MAYÓLICA DECORADA 15X15</t>
  </si>
  <si>
    <t>78.27</t>
  </si>
  <si>
    <t>ZÓCALO DE MAYÓLICA TRAVERTINO 20X20</t>
  </si>
  <si>
    <t>92.97</t>
  </si>
  <si>
    <t>ZÓCALO DE MAYÓLICA ROMA 20X20</t>
  </si>
  <si>
    <t>ZÓCALO DE BALDOSAS CERÁMICAS 20X20 SERIE PIEDRA</t>
  </si>
  <si>
    <t>122.03</t>
  </si>
  <si>
    <t>ZOCALO DE BALDOSAS CERÁMICAS 20X20 SERIE PROMOCIÓN</t>
  </si>
  <si>
    <t>118.88</t>
  </si>
  <si>
    <t>ZÓCALO DE BALDOSAS CERÁMICAS 30X30 SERIE PARQUET</t>
  </si>
  <si>
    <t>140.93</t>
  </si>
  <si>
    <t>ZÓCALO DE BALDOSAS CERÁMICAS 30X30 SERIE AMÉRICA</t>
  </si>
  <si>
    <t>116.78</t>
  </si>
  <si>
    <t>ZOCALO DE BALDOSAS CERAMICAS 30X30 SERIE NÓRDICA</t>
  </si>
  <si>
    <t>137.78</t>
  </si>
  <si>
    <t>ZÓCALO DE BALDOSAS CERÁMICAS 30X30 SERIE COLOR</t>
  </si>
  <si>
    <t>119.41</t>
  </si>
  <si>
    <t>ZÓCALO DE BALDOSAS CERÁMICAS 30X30 SEIRE PIEDRA AGATA</t>
  </si>
  <si>
    <t>138.31</t>
  </si>
  <si>
    <t>CONTRAZÓCALO CEM. PULIDO S/COLOR 10 CM</t>
  </si>
  <si>
    <t>10.18</t>
  </si>
  <si>
    <t>CONTRAZÓCALO CEMENTO PULIDO S/COLOR 20 CM</t>
  </si>
  <si>
    <t>12.57</t>
  </si>
  <si>
    <t>CONTRAZÓCALO CEM. PULIDO S/COLOR 25 CM</t>
  </si>
  <si>
    <t>13.69</t>
  </si>
  <si>
    <t>CONTRAZÓCALO CEM. PULIDO S/COLOR 30 CM</t>
  </si>
  <si>
    <t>CONTRAZÓCALO CEM. PULIDO COLOR 10 CM</t>
  </si>
  <si>
    <t>10.54</t>
  </si>
  <si>
    <t>CONTRAZÓCALO CEM. PULIDO COLOR 15 CM</t>
  </si>
  <si>
    <t>11.79</t>
  </si>
  <si>
    <t>CONTRAZÓCALO CEM. PULIDO COLOR 20 CM</t>
  </si>
  <si>
    <t>13.30</t>
  </si>
  <si>
    <t>CONTRAZÓCALO CEM. PULIDO COLOR 25 CM</t>
  </si>
  <si>
    <t>14.55</t>
  </si>
  <si>
    <t>CONTRAZÓCALO CEM. PULIDO COLOR 30 CM</t>
  </si>
  <si>
    <t>16.15</t>
  </si>
  <si>
    <t>CONTRAZÓCALO VENECIANO COLOR CLARO 10X30</t>
  </si>
  <si>
    <t>24.83</t>
  </si>
  <si>
    <t>CONTRAZÓCALO VENECIANO COLOR OSCURO 10X30</t>
  </si>
  <si>
    <t>24.31</t>
  </si>
  <si>
    <t>CONTRAZÓCALO VINÍLICO DE 1.6MM H=3"</t>
  </si>
  <si>
    <t>8.19</t>
  </si>
  <si>
    <t>CONTRAZÓCALO VINÍLICO DE 1.6 MM H=6"</t>
  </si>
  <si>
    <t>CONTRAZÓCALO DE 3/4" X 3" RODON 3/4" CEDRO</t>
  </si>
  <si>
    <t>17.95</t>
  </si>
  <si>
    <t>CONTRAZÓCALO 3/4"X4" RODON 3/4" CAOBA</t>
  </si>
  <si>
    <t>23.39</t>
  </si>
  <si>
    <t>REVESTIMIENTO DE GRADAS DE ESCALERA</t>
  </si>
  <si>
    <t>23.68</t>
  </si>
  <si>
    <t>REVESTIMIENTO CON PAPEL DECORATIVO</t>
  </si>
  <si>
    <t>23.38</t>
  </si>
  <si>
    <t>CUBIERTA CON TORTA DE BARRO 2"</t>
  </si>
  <si>
    <t>25.68</t>
  </si>
  <si>
    <t>CUBIERTA CON LADRILLO PASTELERO 25X25 ASENTADO CON BARRO</t>
  </si>
  <si>
    <t>39.51</t>
  </si>
  <si>
    <t>39.65</t>
  </si>
  <si>
    <t>CUBIERTA FIBRABLOCK 2.00 X 0.50M E=2"</t>
  </si>
  <si>
    <t>47.23</t>
  </si>
  <si>
    <t>CUBIERTA FIBRABLOCK 2.40 X 0.60M E=2"</t>
  </si>
  <si>
    <t>43.59</t>
  </si>
  <si>
    <t>CUBIERTA DE TEJA PIZARRA</t>
  </si>
  <si>
    <t>86.36</t>
  </si>
  <si>
    <t>CUBIERTA DE TEJA ARCILLA 36X16 CM</t>
  </si>
  <si>
    <t>71.83</t>
  </si>
  <si>
    <t>CUBIERTA TEJA ANDINA ETERNIT</t>
  </si>
  <si>
    <t>66.55</t>
  </si>
  <si>
    <t>PUERTA CONTRAPLACADA E=35MM TRIPLAY, LUPUNA 4 MM</t>
  </si>
  <si>
    <t>206.57</t>
  </si>
  <si>
    <t>220.87</t>
  </si>
  <si>
    <t>PUERTA CONTRAPLACADA E=45MM TRIPLAY LUPUNA 4 MMM</t>
  </si>
  <si>
    <t>213.11</t>
  </si>
  <si>
    <t>PUERTA CONTRAPLACADA E=45MM LUPUNA 6 MM</t>
  </si>
  <si>
    <t>227.41</t>
  </si>
  <si>
    <t>PUERTA DE TABLEROS REBAJADOS 45MM CEDRO</t>
  </si>
  <si>
    <t>288.75</t>
  </si>
  <si>
    <t>PUERTA DE GARAJE EN CEDRO</t>
  </si>
  <si>
    <t>320.31</t>
  </si>
  <si>
    <t>MARCOS DE MADERA PUERTA DE CEDRO 1 1/2"X3"</t>
  </si>
  <si>
    <t>16.60</t>
  </si>
  <si>
    <t>MARCOS DE MADERA PUERTA CEDRO 1 1/2"X4"</t>
  </si>
  <si>
    <t>19.75</t>
  </si>
  <si>
    <t>MARCOS DE MADERA PUERTA CEDRO 1 1/2"X6"</t>
  </si>
  <si>
    <t>27.26</t>
  </si>
  <si>
    <t>MARCOS DE MADERAS PUERTA CEDRO 1 1/2"X8"</t>
  </si>
  <si>
    <t>MARCOS DE MADERA PUERTA CEDRO 2"X4"</t>
  </si>
  <si>
    <t>MARCOS DE MADERA PUERTA CEDRO 2"X6"</t>
  </si>
  <si>
    <t>MARCOS DE MADERA P. PUERTAS CEDRO 2"X8"</t>
  </si>
  <si>
    <t>42.10</t>
  </si>
  <si>
    <t>VENTANA DE MADERA CON HOJAS, CEDRO</t>
  </si>
  <si>
    <t>122.10</t>
  </si>
  <si>
    <t>PASAMANOS DE MADERA 2"X3", CEDRO</t>
  </si>
  <si>
    <t>53.14</t>
  </si>
  <si>
    <t>PASAMANOS DE MADERA 2"X4", CEDRO</t>
  </si>
  <si>
    <t>57.06</t>
  </si>
  <si>
    <t>PASAMANOS DE MADERA 2"X3", CAOBA</t>
  </si>
  <si>
    <t>53.17</t>
  </si>
  <si>
    <t>PASAMANOS DE MADERA 2"X4", CAOBA</t>
  </si>
  <si>
    <t>57.29</t>
  </si>
  <si>
    <t>ENCHAPE DE MADERA MACHIMBRADA 1/2"X4"CEDRO+A715</t>
  </si>
  <si>
    <t>183.39</t>
  </si>
  <si>
    <t>ENCHAPE DE MADERA MACHIMBRADA 1/2"X4"DIABLO FUERTE</t>
  </si>
  <si>
    <t>150.44</t>
  </si>
  <si>
    <t>ENCHAPE DE MADERA MACHIMBRADA 1/2" X 4"CAOBA</t>
  </si>
  <si>
    <t>184.71</t>
  </si>
  <si>
    <t>ENCHAPE DE MADERA MACHIMBRADA 1/2"X4"ISHPINGO</t>
  </si>
  <si>
    <t>CORREAS DE MADERA 3" X 5"</t>
  </si>
  <si>
    <t>P2</t>
  </si>
  <si>
    <t>4.73</t>
  </si>
  <si>
    <t>PUERTA DE FIERRO</t>
  </si>
  <si>
    <t>275.06</t>
  </si>
  <si>
    <t>PUERTA DE FIERRO Y MALLA METÁLICA 2"X 2" # 10</t>
  </si>
  <si>
    <t>230.68</t>
  </si>
  <si>
    <t>VENTANA DE FIERRO CON REJA DE SEGURIDAD</t>
  </si>
  <si>
    <t>327.41</t>
  </si>
  <si>
    <t>VENTANA DE FIERRO SIN SEGURIDAD</t>
  </si>
  <si>
    <t>205.53</t>
  </si>
  <si>
    <t>CERCO METÁLICO CON MALLA 2"X2"NO.8</t>
  </si>
  <si>
    <t>113.25</t>
  </si>
  <si>
    <t>CERCO METÁLICO CON MALLA 2X2 #10</t>
  </si>
  <si>
    <t>109.99</t>
  </si>
  <si>
    <t>PASAMANOS DE TUBO GALVANIZADO DE 2"</t>
  </si>
  <si>
    <t>102.53</t>
  </si>
  <si>
    <t>PASAMANOS DE TUBO GALVANIZADO DE 1"</t>
  </si>
  <si>
    <t>77.18</t>
  </si>
  <si>
    <t>PSAMANOS DE TUBO GALVANIZADO DE 3"</t>
  </si>
  <si>
    <t>160.23</t>
  </si>
  <si>
    <t>ESCALERA DE GATO, TUBO FOGO 1 1/2" Y 3/4"</t>
  </si>
  <si>
    <t>108.64</t>
  </si>
  <si>
    <t>BISAGRA TIPO CAPUCHINA ALUMINIZADA 3"</t>
  </si>
  <si>
    <t>PZA</t>
  </si>
  <si>
    <t>BISAGRA TIPO CAPUCHINA ALUMINIZADA 3 1/2"</t>
  </si>
  <si>
    <t>BISAGRA TIPO CAPUCHINA ALUMINZADA 4"</t>
  </si>
  <si>
    <t>CERRADURA PUERTA PRINCIPAL PESADA</t>
  </si>
  <si>
    <t>143.91</t>
  </si>
  <si>
    <t>CERRADURA PARA BAÑO BRONCE</t>
  </si>
  <si>
    <t>98.91</t>
  </si>
  <si>
    <t>CERRADURA PARA PUERTA INTERIOR BRONCE ANTIGUO</t>
  </si>
  <si>
    <t>PICAPORTE</t>
  </si>
  <si>
    <t>52.29</t>
  </si>
  <si>
    <t>VIDRIO INCOLORO SIMPLE</t>
  </si>
  <si>
    <t>6.70</t>
  </si>
  <si>
    <t>VIDRIO INCOLORO SEMIDOBLE</t>
  </si>
  <si>
    <t>VIDRIO INCOLORO DOBLE</t>
  </si>
  <si>
    <t>11.65</t>
  </si>
  <si>
    <t>VIDRIO INCOLORO TRIPLE</t>
  </si>
  <si>
    <t>14.70</t>
  </si>
  <si>
    <t>PINTURA CIELORASOS A LA CAL</t>
  </si>
  <si>
    <t>4.96</t>
  </si>
  <si>
    <t>PINTURA DE CIELORASOS AL TEMPLE</t>
  </si>
  <si>
    <t>12.63</t>
  </si>
  <si>
    <t>PINTURA DE CIELORASOS,VINLICA 2 MANOS</t>
  </si>
  <si>
    <t>13.13</t>
  </si>
  <si>
    <t>PINTURA DE CIELORASOS, ESMALTE 2 MANOS</t>
  </si>
  <si>
    <t>17.65</t>
  </si>
  <si>
    <t>PINTURA DE CIELORASOS AL OLEO 2 MANOS</t>
  </si>
  <si>
    <t>21.17</t>
  </si>
  <si>
    <t>PINTURA DE MUROS INTERIORES A LA CAL</t>
  </si>
  <si>
    <t>7.58</t>
  </si>
  <si>
    <t>PINTURA DE MUROS INTERIORES AL TEMPLE</t>
  </si>
  <si>
    <t>11.58</t>
  </si>
  <si>
    <t>PINTURA DE MUROS, VINÍLICA 2 MANOS</t>
  </si>
  <si>
    <t>11.57</t>
  </si>
  <si>
    <t>PINTURA DE CONTRAZÓCALOS, ESMALTE - 2 MANOS</t>
  </si>
  <si>
    <t>4.49</t>
  </si>
  <si>
    <t>PINTURA EN CONTRAZÓCALOS CON BARNIZ - 2 MANOS</t>
  </si>
  <si>
    <t>4.30</t>
  </si>
  <si>
    <t>PINTURA EN CONTRAZÓCALOS AL ÓLEO - 2 MANOS</t>
  </si>
  <si>
    <t>4.32</t>
  </si>
  <si>
    <t>PINTURA EN PUERTAS DE MADERA, BARNIZ - 2 MANOS</t>
  </si>
  <si>
    <t>16.23</t>
  </si>
  <si>
    <t>PINTURA EN PUERTAS DE MADERA CON LACA - 2 MANOS</t>
  </si>
  <si>
    <t>65.57</t>
  </si>
  <si>
    <t>PINTURA EN PUERTAS DE MADERA AL OLEO - 2 MANOS</t>
  </si>
  <si>
    <t>PINTURA EN MAMPARAS DE MADERA C/BARNIZ-2 MANOS</t>
  </si>
  <si>
    <t>PINTURA EN VENTANAS DE MADERA, BARNIZ - 2MANOS</t>
  </si>
  <si>
    <t>PINTURA DE FONDO DE ESCALERAS VINILICA - 2 MANOS</t>
  </si>
  <si>
    <t>19.69</t>
  </si>
  <si>
    <t>PINTURA DE PASAMANOS DE MADERA / BARNIZ-2 MANOS</t>
  </si>
  <si>
    <t>9.55</t>
  </si>
  <si>
    <t>PINTURA DE PASAMANOS DE MADERA AL OLEO-2 MANOS</t>
  </si>
  <si>
    <t>9.20</t>
  </si>
  <si>
    <t>INODORO SIFON JET BLANCO COMERCIAL</t>
  </si>
  <si>
    <t>311.84</t>
  </si>
  <si>
    <t>INODORO TOP PIECE BLANCO COMERCIAL</t>
  </si>
  <si>
    <t>585.00</t>
  </si>
  <si>
    <t>LAVATORIO SONET BLANCO STANDARD</t>
  </si>
  <si>
    <t>303.34</t>
  </si>
  <si>
    <t>OVALIN TREBOL 20"X17" BLANCO STANDARD</t>
  </si>
  <si>
    <t>360.37</t>
  </si>
  <si>
    <t>BIDET TOP PIECE BLANCO COMERCIAL</t>
  </si>
  <si>
    <t>718.38</t>
  </si>
  <si>
    <t>URINARIO CADET BLANCO STANDARD TREBOL</t>
  </si>
  <si>
    <t>231.90</t>
  </si>
  <si>
    <t>INODORO SIFON JET COLOR ESPECIAL COMERCIAL</t>
  </si>
  <si>
    <t>404.33</t>
  </si>
  <si>
    <t>INODORO TOP PIECE COLOR ESPECIAL COMERCIAL</t>
  </si>
  <si>
    <t>501.55</t>
  </si>
  <si>
    <t>LAVATORIO SONNET COLOR ESPECIAL COMER</t>
  </si>
  <si>
    <t>487.33</t>
  </si>
  <si>
    <t>OVALIN GRANDE COLOR PREMIUM</t>
  </si>
  <si>
    <t>373.67</t>
  </si>
  <si>
    <t>BIDET TOP PIECE COLOR ESPECIAL COMERCIAL</t>
  </si>
  <si>
    <t>788.81</t>
  </si>
  <si>
    <t>LAVATORIO FONTANA BLANCO STANDARD</t>
  </si>
  <si>
    <t>349.92</t>
  </si>
  <si>
    <t>JABONERAS SIMPLE 15X 15 DE LOSA BLANCA</t>
  </si>
  <si>
    <t>7.77</t>
  </si>
  <si>
    <t>JABONERA CON ASA 15X15 DE LOSA BLANCA</t>
  </si>
  <si>
    <t>10.70</t>
  </si>
  <si>
    <t>JABONERAS SIMPLE 15X15 LOSA DE COLOR</t>
  </si>
  <si>
    <t>13.53</t>
  </si>
  <si>
    <t>JABONERAS CON ASA 15X15 LOSA DE COLOR</t>
  </si>
  <si>
    <t>13.93</t>
  </si>
  <si>
    <t>TOALLERA DE LOSA BLANCA</t>
  </si>
  <si>
    <t>9.44</t>
  </si>
  <si>
    <t>TOALLERA DE LOSA BLANCA BARRA PLASTICA</t>
  </si>
  <si>
    <t>TOALLERA DE LOSA DE COLOR BARRA PLASTICA</t>
  </si>
  <si>
    <t>11.44</t>
  </si>
  <si>
    <t>PAPELERA DE EMPOTRAR</t>
  </si>
  <si>
    <t>15.00</t>
  </si>
  <si>
    <t>INSTALACIÓN DE APARATOS SANITARIOS</t>
  </si>
  <si>
    <t>117.33</t>
  </si>
  <si>
    <t>INSTALACIÓN DE ACCESORIOS SANITARIOS</t>
  </si>
  <si>
    <t>23.46</t>
  </si>
  <si>
    <t>SALIDA DE DESAGUE PVC-SAL 4"</t>
  </si>
  <si>
    <t>165.53</t>
  </si>
  <si>
    <t>SALIDA DE VENTILACION PVC-SAL 2"</t>
  </si>
  <si>
    <t>105.80</t>
  </si>
  <si>
    <t>TUBERÍA DE PVC - SAL 2"</t>
  </si>
  <si>
    <t>27.69</t>
  </si>
  <si>
    <t>TUBERÍA DE PVC - SAL 3"</t>
  </si>
  <si>
    <t>30.76</t>
  </si>
  <si>
    <t>TUBERÍA DE PVC - SAL 4"</t>
  </si>
  <si>
    <t>35.38</t>
  </si>
  <si>
    <t>MOVILIZACION Y DESMOVILIZACION DE EQUIPOS</t>
  </si>
  <si>
    <t>GLB</t>
  </si>
  <si>
    <t>910,909.61</t>
  </si>
  <si>
    <t>TOPOGRAFIA Y GEOREFERENCIACION</t>
  </si>
  <si>
    <t>KM</t>
  </si>
  <si>
    <t>2,136.38</t>
  </si>
  <si>
    <t>MANTENIMIENTO DE TRANSITO Y SEGURIDAD VIAL</t>
  </si>
  <si>
    <t>2,463,021.62</t>
  </si>
  <si>
    <t>ACCESOS A CANTERAS, DME, PLANTAS Y FUENTES DE AGUA</t>
  </si>
  <si>
    <t>33,835.19</t>
  </si>
  <si>
    <t>DESBROCE Y LIMPIEZA EN ZONAS NO BOSCOSAS</t>
  </si>
  <si>
    <t>HA</t>
  </si>
  <si>
    <t>3,032.32</t>
  </si>
  <si>
    <t>EXCAVACION EN EXPLANACIONES EN MATERIAL SUELTO</t>
  </si>
  <si>
    <t>4.63</t>
  </si>
  <si>
    <t>EXCAVACION EN EXPLANACIONES EN ROCA SUELTA</t>
  </si>
  <si>
    <t>15.59</t>
  </si>
  <si>
    <t>EXCAVACION EN EXPLANACIONES EN ROCA FIJA</t>
  </si>
  <si>
    <t>27.62</t>
  </si>
  <si>
    <t>REMOCION DE DERRUMBES</t>
  </si>
  <si>
    <t>8.31</t>
  </si>
  <si>
    <t>PERFILADO Y COMPACTADO EN ZONAS DE CORTE</t>
  </si>
  <si>
    <t>1.89</t>
  </si>
  <si>
    <t>CONFORMACION DE TERRAPLENES</t>
  </si>
  <si>
    <t>6.94</t>
  </si>
  <si>
    <t>RELLENO EN LATERAL DE BERMAS</t>
  </si>
  <si>
    <t>38.76</t>
  </si>
  <si>
    <t>MEJORAMIENTO DE SUBRASANTE CON MATERIAL DE CANTERA</t>
  </si>
  <si>
    <t>11.98</t>
  </si>
  <si>
    <t>MEJORAMIENTO DE SUBRASANTE CON MATERIAL DE CANTERA, SOLUCION ESPECIAL</t>
  </si>
  <si>
    <t>117.77</t>
  </si>
  <si>
    <t>MATERIAL DE PRESTAMO PARA RELLENOS</t>
  </si>
  <si>
    <t>12.78</t>
  </si>
  <si>
    <t>SUB BASE GRANULAR</t>
  </si>
  <si>
    <t>54.17</t>
  </si>
  <si>
    <t>BASE DE CONCRETO HIDRAULICO F'C=85 KG/CM2</t>
  </si>
  <si>
    <t>319.07</t>
  </si>
  <si>
    <t>PAVIMENTO DE CONCRETO HIDRAULICO S'C=45 KG/CM2 (PAVIMENTADORA)</t>
  </si>
  <si>
    <t>515.70</t>
  </si>
  <si>
    <t>PAVIMENTO DE CONCRETO HIDRAULICO S'C=45 KG/CM2 (MANUAL)</t>
  </si>
  <si>
    <t>483.67</t>
  </si>
  <si>
    <t>ACERO LONGITUDINAL (BARRA DE AMARRE)</t>
  </si>
  <si>
    <t>16.93</t>
  </si>
  <si>
    <t>ACERO TRANSVERSAL (PASA JUNTA)</t>
  </si>
  <si>
    <t>16.71</t>
  </si>
  <si>
    <t>CANASTILLAS</t>
  </si>
  <si>
    <t>5.80</t>
  </si>
  <si>
    <t>JUNTA DE CONSTRUCCION DE CONCRETO HIDRAULICO</t>
  </si>
  <si>
    <t>10.23</t>
  </si>
  <si>
    <t>JUNTA DE CONTRACCION DE CONCRETO HIDRAULICO</t>
  </si>
  <si>
    <t>10.82</t>
  </si>
  <si>
    <t>JUNTA DE EXPANSION</t>
  </si>
  <si>
    <t>21.82</t>
  </si>
  <si>
    <t>SONORIZADORES</t>
  </si>
  <si>
    <t>1.86</t>
  </si>
  <si>
    <t>ENCOFRADO Y DESENCOFRADO PARA PAVIMENTOS</t>
  </si>
  <si>
    <t>53.12</t>
  </si>
  <si>
    <t>DEMOLICION DE ESTRUCTURAS</t>
  </si>
  <si>
    <t>151.27</t>
  </si>
  <si>
    <t>PEDRAPLENES PARA MEJORAMIENTO</t>
  </si>
  <si>
    <t>41.89</t>
  </si>
  <si>
    <t>EXCAVACION NO CLASIFICADA PARA ESTRUCTURAS</t>
  </si>
  <si>
    <t>6.50</t>
  </si>
  <si>
    <t>ELIMINACION DE ALCANTARILLAS EXISTENTES</t>
  </si>
  <si>
    <t>RELLENO PARA ESTRUCTURAS</t>
  </si>
  <si>
    <t>RELLENO PARA ESTRUCTURAS CON MATERIAL PROPIO</t>
  </si>
  <si>
    <t>28.74</t>
  </si>
  <si>
    <t>MATERIAL FILTRANTE</t>
  </si>
  <si>
    <t>77.64</t>
  </si>
  <si>
    <t>MATERIAL IMPERMEABLE</t>
  </si>
  <si>
    <t>76.66</t>
  </si>
  <si>
    <t>CONCRETO CLASE C (F'C=280 KG/CM2)</t>
  </si>
  <si>
    <t>453.81</t>
  </si>
  <si>
    <t>CONCRETO CLASE D (F'C=210 KG/CM2)</t>
  </si>
  <si>
    <t>421.60</t>
  </si>
  <si>
    <t>CONCRETO CLASE E (F'C=175 KG/CM2)</t>
  </si>
  <si>
    <t>386.41</t>
  </si>
  <si>
    <t>CONCRETO CICLOPEO (F'C=175 KG/CM2 + 30% PM)</t>
  </si>
  <si>
    <t>331.43</t>
  </si>
  <si>
    <t>CONCRETO CLASE H (F'C=100 KG/CM2)</t>
  </si>
  <si>
    <t>348.91</t>
  </si>
  <si>
    <t>ENCOFRADO Y DESENCOFRADO PARA OBRAS DE ARTE</t>
  </si>
  <si>
    <t>64.33</t>
  </si>
  <si>
    <t>ACERO DE REFUERZO F´Y = 4200 KG/CM2</t>
  </si>
  <si>
    <t>4.35</t>
  </si>
  <si>
    <t>TUBERIA CORRUGADA DE ACERO GALVANIZADO CIRCULAR DE D=0.90 m</t>
  </si>
  <si>
    <t>420.07</t>
  </si>
  <si>
    <t>TUBERIA CORRUGADA DE ACERO GALVANIZADO CIRCULAR DE D=1.20 m</t>
  </si>
  <si>
    <t>571.80</t>
  </si>
  <si>
    <t>TUBERIA CORRUGADA DE ACERO GALVANIZADO CIRCULAR DE D=1.50 m</t>
  </si>
  <si>
    <t>752.31</t>
  </si>
  <si>
    <t>TUBERIA CORRUGADA DE ACERO GALVANIZADO MULTIPLATE ABOVEDADA (4.04x2.84m)</t>
  </si>
  <si>
    <t>4,025.45</t>
  </si>
  <si>
    <t>SUBDREN TIPO 1</t>
  </si>
  <si>
    <t>176.81</t>
  </si>
  <si>
    <t>DESCARGA DE SUBDRENES TIPO 1</t>
  </si>
  <si>
    <t>134.20</t>
  </si>
  <si>
    <t>TRINCHERA DRENANTE</t>
  </si>
  <si>
    <t>80.29</t>
  </si>
  <si>
    <t>DESCARGA DE TRINCHERA DRENANTE</t>
  </si>
  <si>
    <t>54.82</t>
  </si>
  <si>
    <t>CUNETA REVESTIDA TIPO 1 (TRIANGULAR)</t>
  </si>
  <si>
    <t>117.06</t>
  </si>
  <si>
    <t>CUNETA REVESTIDA TIPO 2 (RECTANGULAR URBANA)</t>
  </si>
  <si>
    <t>479.95</t>
  </si>
  <si>
    <t>CUNETAS DE CORONACION REVESTIDA (ZANJA)</t>
  </si>
  <si>
    <t>71.90</t>
  </si>
  <si>
    <t>CUNETA DE BANQUETA REVESTIDA</t>
  </si>
  <si>
    <t>73.67</t>
  </si>
  <si>
    <t>CUNETA REVESTIDA TIPO BATEA</t>
  </si>
  <si>
    <t>274.35</t>
  </si>
  <si>
    <t>BORDILLOS</t>
  </si>
  <si>
    <t>98.65</t>
  </si>
  <si>
    <t>EMBOQUILLADO DE PIEDRA E=0.15m</t>
  </si>
  <si>
    <t>78.61</t>
  </si>
  <si>
    <t>EMBOQUILLADO DE PIEDRA E=0.20m</t>
  </si>
  <si>
    <t>111.16</t>
  </si>
  <si>
    <t>EMBOQUILLADO DE PIEDRA E=0.35m</t>
  </si>
  <si>
    <t>152.70</t>
  </si>
  <si>
    <t>TUBO DE PVC - SAP CLASE 10, D=1"</t>
  </si>
  <si>
    <t>6.76</t>
  </si>
  <si>
    <t>TUBO DE PVC - SAP CLASE 10, D=2"</t>
  </si>
  <si>
    <t>12.81</t>
  </si>
  <si>
    <t>TUBERIA RIGIDA PERFORADA (6")</t>
  </si>
  <si>
    <t>32.89</t>
  </si>
  <si>
    <t>TUBERIA RIGIDA NO PERFORADA (6")</t>
  </si>
  <si>
    <t>28.50</t>
  </si>
  <si>
    <t>TUBO DE PVC - SAP CLASE 10, D=4" C/PERFORACION</t>
  </si>
  <si>
    <t>26.99</t>
  </si>
  <si>
    <t>TUBO DE PVC - SAP CLASE 10, D=4" S/PERFORACION</t>
  </si>
  <si>
    <t>GEOTEXTIL NO TEJIDO CLASE 2</t>
  </si>
  <si>
    <t>9.83</t>
  </si>
  <si>
    <t>GEOCOMPUESTO DE DRENAJE</t>
  </si>
  <si>
    <t>26.33</t>
  </si>
  <si>
    <t>GEOMALLA UNIAXIAL 120 KN/M</t>
  </si>
  <si>
    <t>JUNTA DE CONSTRUCCION</t>
  </si>
  <si>
    <t>JUNTA TIPO 1 PARA MUROS</t>
  </si>
  <si>
    <t>43.17</t>
  </si>
  <si>
    <t>JUNTA TIPO 2 PARA MUROS</t>
  </si>
  <si>
    <t>45.03</t>
  </si>
  <si>
    <t>JUNTA CON EL PAVIMENTO RIGIDO</t>
  </si>
  <si>
    <t>15.94</t>
  </si>
  <si>
    <t>JUNTA DE CONSTRUCCION WATER STOP</t>
  </si>
  <si>
    <t>22.19</t>
  </si>
  <si>
    <t>ZANJA DE DRENAJE REVESTIDA</t>
  </si>
  <si>
    <t>83.77</t>
  </si>
  <si>
    <t>ZANJA DE DRENAJE SIN REVESTIR</t>
  </si>
  <si>
    <t>41.10</t>
  </si>
  <si>
    <t>GAVION TIPO CAJA DE 2.7 mm, 5.0x1.0x0.5 m</t>
  </si>
  <si>
    <t>227.28</t>
  </si>
  <si>
    <t>GAVION TIPO CAJA DE 2.7 mm, 5.0x1.0x1.0 m</t>
  </si>
  <si>
    <t>227.10</t>
  </si>
  <si>
    <t>GAVION TIPO CAJA DE 2.7 mm, 5.0x1.5x1.0 m</t>
  </si>
  <si>
    <t>GAVION TIPO CAJA DE 2.7 mm, 5.0x1.5x0.5 m</t>
  </si>
  <si>
    <t>257.60</t>
  </si>
  <si>
    <t>GAVION TIPO CAJA DE 2.7 mm, 1.0x1.0x4.0 m</t>
  </si>
  <si>
    <t>200.43</t>
  </si>
  <si>
    <t>GAVION TIPO CAJA DE 2.7 mm, 0.5x1.0x4.0 m</t>
  </si>
  <si>
    <t>237.32</t>
  </si>
  <si>
    <t>ENCAUZAMIENTO RIOS Y QUEBRADAS</t>
  </si>
  <si>
    <t>7.27</t>
  </si>
  <si>
    <t>CONSTRUCCION DE DIQUES PROVISIONALES</t>
  </si>
  <si>
    <t>COMPUERTA DE RIEGO (TIPO TARJETA)</t>
  </si>
  <si>
    <t>TRANSPORTE DE MATERIAL PROVENIENTE DE CANTERA PARA D&lt;= 1 KM</t>
  </si>
  <si>
    <t>M3K</t>
  </si>
  <si>
    <t>7.92</t>
  </si>
  <si>
    <t>TRANSPORTE DE MATERIAL PROVENIENTE DE CANTERA PARA D&gt; 1 KM</t>
  </si>
  <si>
    <t>1.56</t>
  </si>
  <si>
    <t>TRANSPORTE DE CONCRETO HIDRAULICO (CON VOLQUETE) PARA D&lt;= 1 KM</t>
  </si>
  <si>
    <t>13.70</t>
  </si>
  <si>
    <t>TRANSPORTE DE CONCRETO HIDRAULICO (CON VOLQUETE) PARA D&gt; 1 KM</t>
  </si>
  <si>
    <t>1.30</t>
  </si>
  <si>
    <t>TRANSPORTE DE CONCRETO HIDRAULICO (CON MIXER) PARA D&lt;= 1 KM</t>
  </si>
  <si>
    <t>19.87</t>
  </si>
  <si>
    <t>TRANSPORTE DE CONCRETO HIDRAULICO (CON MIXER) PARA D&gt; 1 KM</t>
  </si>
  <si>
    <t>1.91</t>
  </si>
  <si>
    <t>TRANSPORTE DE ELIMINACION DE MATERIAL A DME PARA D&lt;= 1 KM</t>
  </si>
  <si>
    <t>8.57</t>
  </si>
  <si>
    <t>TRANSPORTE DE ELIMINACION DE MATERIAL A DME PARA D&gt; 1 KM</t>
  </si>
  <si>
    <t>1.71</t>
  </si>
  <si>
    <t>SEÑALES PREVENTIVAS (0.75 x 0.75)</t>
  </si>
  <si>
    <t>414.38</t>
  </si>
  <si>
    <t>RETIRO DE SEÑALES TEMPORALES</t>
  </si>
  <si>
    <t>86.04</t>
  </si>
  <si>
    <t>SEÑALES PREVENTIDAS RECTANGULARES P-61(0.60mX0.40m)</t>
  </si>
  <si>
    <t>298.88</t>
  </si>
  <si>
    <t>SEÑALES REGLAMENTARIA OCTOGONAL R-1 (0.60X0.60)</t>
  </si>
  <si>
    <t>308.23</t>
  </si>
  <si>
    <t>SEÑAL REGLAMENTARIA RECTANGULAR (0.80m x 1.20m)</t>
  </si>
  <si>
    <t>511.95</t>
  </si>
  <si>
    <t>SEÑALES INFORMATIVAS</t>
  </si>
  <si>
    <t>534.09</t>
  </si>
  <si>
    <t>POSTES DE SOPORTES DE SEÑALES</t>
  </si>
  <si>
    <t>222.43</t>
  </si>
  <si>
    <t>ESTRUCTURA DE SOPORTE DE SEÑALES E-1</t>
  </si>
  <si>
    <t>1,787.87</t>
  </si>
  <si>
    <t>ESTRUCTURA DE SOPORTE DE SEÑALES E-2</t>
  </si>
  <si>
    <t>942.95</t>
  </si>
  <si>
    <t>POSTE DELINEADOR</t>
  </si>
  <si>
    <t>136.45</t>
  </si>
  <si>
    <t>MARCAS PERMANENTES EN EL PAVIMENTO</t>
  </si>
  <si>
    <t>9.22</t>
  </si>
  <si>
    <t>TACHAS BIDIRECCIONALES RETROREFLECTANTES</t>
  </si>
  <si>
    <t>14.39</t>
  </si>
  <si>
    <t>BARRERAS DE SEGURIDAD BORDE LATERAL</t>
  </si>
  <si>
    <t>289.12</t>
  </si>
  <si>
    <t>TRANSICION Y CONEXION DE BARRERA METALICA A BARRERA DE CONCRETO</t>
  </si>
  <si>
    <t>1,712.80</t>
  </si>
  <si>
    <t>BARRERA DE SEGURIDAD DE CONCRETO</t>
  </si>
  <si>
    <t>1,125.79</t>
  </si>
  <si>
    <t>CAPTAFAROS</t>
  </si>
  <si>
    <t>29.70</t>
  </si>
  <si>
    <t>POSTE DE KILOMETRAJE</t>
  </si>
  <si>
    <t>149.84</t>
  </si>
  <si>
    <t>PINTADO DE PARAPETOS DE MUROS Y ALCANTARILLAS</t>
  </si>
  <si>
    <t>25.50</t>
  </si>
  <si>
    <t>GIBAS O RESALTO LOMO DE TORO</t>
  </si>
  <si>
    <t>378.25</t>
  </si>
  <si>
    <t>RETIRO Y ALMACENAMIENTO DE TOP SOIL</t>
  </si>
  <si>
    <t>2.00</t>
  </si>
  <si>
    <t>REPOSICION DE TOP SOIL</t>
  </si>
  <si>
    <t>1.67</t>
  </si>
  <si>
    <t>READECUACION AMBIENTAL DE CANTERAS DE CERRO</t>
  </si>
  <si>
    <t>1.23</t>
  </si>
  <si>
    <t>READECUACION AMBIENTAL DE CANTERAS DE RIO</t>
  </si>
  <si>
    <t>1.13</t>
  </si>
  <si>
    <t>ACONDICIONAMIENTO DE DESECHOS Y MATERIAL EXCEDENTE</t>
  </si>
  <si>
    <t>1.81</t>
  </si>
  <si>
    <t>READECUACION AMBIENTAL DEL POLVORIN</t>
  </si>
  <si>
    <t>READECUACION AMBIENTAL DE PLANTAS DE CHANCADO</t>
  </si>
  <si>
    <t>READECUACION AMBIENTAL DE PLANTAS DE CONCRETO</t>
  </si>
  <si>
    <t>READECUACION AMBIENTAL DE PATIO DE MAQUINAS</t>
  </si>
  <si>
    <t>REVEGETACION DE (INSTALACIONES AUXILIARES)</t>
  </si>
  <si>
    <t>0.82</t>
  </si>
  <si>
    <t>MONITOREO DE CALIDAD DE AIRE</t>
  </si>
  <si>
    <t>CPÑA</t>
  </si>
  <si>
    <t>15,080.00</t>
  </si>
  <si>
    <t>MONITOREO DE CALIDAD DE AGUA</t>
  </si>
  <si>
    <t>3,267.00</t>
  </si>
  <si>
    <t>MONITOREO DE EFLUENTES</t>
  </si>
  <si>
    <t>1,894.50</t>
  </si>
  <si>
    <t>MONITOREO DE CALIDAD DE RUIDO</t>
  </si>
  <si>
    <t>1,080.00</t>
  </si>
  <si>
    <t>MONITOREO DE FLORA Y FAUNA</t>
  </si>
  <si>
    <t>15,000.00</t>
  </si>
  <si>
    <t>MONITOREO HIDROBIOLOGICO</t>
  </si>
  <si>
    <t>1,920.00</t>
  </si>
  <si>
    <t>SEÑALES INFORMATIVAS AMBIENTAL PERMANENTE</t>
  </si>
  <si>
    <t>PAGO POR DERECHO DE EXTRACCION DE MATERIALES DE CANTERAS DE RIO</t>
  </si>
  <si>
    <t>3.37</t>
  </si>
  <si>
    <t>PEAJE UCHUCHACUA</t>
  </si>
  <si>
    <t>2,398,543.17</t>
  </si>
  <si>
    <t>LOCAL PARA ALMACEN Y OFICINAS</t>
  </si>
  <si>
    <t>MES</t>
  </si>
  <si>
    <t>250.00</t>
  </si>
  <si>
    <t>CARTEL DE IDENTIFICACION DE OBRA 3.60M X 2.40M</t>
  </si>
  <si>
    <t>857.84</t>
  </si>
  <si>
    <t>FLETE DE TRANSPORTE TERRRESTRE DE HUANUCO HACIA HUAMPOY</t>
  </si>
  <si>
    <t>2,500.00</t>
  </si>
  <si>
    <t>1,819.57</t>
  </si>
  <si>
    <t>PICADO DE CONCRETO</t>
  </si>
  <si>
    <t>11.97</t>
  </si>
  <si>
    <t>ELIMINACION DE MATERIAL EXCEDENTE D=30 M</t>
  </si>
  <si>
    <t>10.30</t>
  </si>
  <si>
    <t>RESANE DE ESTRUCTURA DE CONCRETO</t>
  </si>
  <si>
    <t>29.16</t>
  </si>
  <si>
    <t>COMPUERTAS METALICAS CON SISTEMA DE ISAJE</t>
  </si>
  <si>
    <t>1,250.00</t>
  </si>
  <si>
    <t>REJILLA DE ACERO Ø 1/16" CON ESPACIAMIENTO DE 1"</t>
  </si>
  <si>
    <t>85.00</t>
  </si>
  <si>
    <t>LIMPIEZA Y DESINFECCION</t>
  </si>
  <si>
    <t>126.01</t>
  </si>
  <si>
    <t>PINTURA ESMALTE PARA ESTRUCTURAS HIDRAULICAS</t>
  </si>
  <si>
    <t>6.14</t>
  </si>
  <si>
    <t>DESMONTAJE Y RETIRO DE TUBERIA</t>
  </si>
  <si>
    <t>4.20</t>
  </si>
  <si>
    <t>TENDIDO DE TUBERIA Ø 10"</t>
  </si>
  <si>
    <t>43.23</t>
  </si>
  <si>
    <t>TAPA SANITARIA METALICA DE 0.60 x 0.60 M (E=1/8") SEGUN DISEÑO</t>
  </si>
  <si>
    <t>97.25</t>
  </si>
  <si>
    <t>TRAZO Y REPLANTEO</t>
  </si>
  <si>
    <t>651.01</t>
  </si>
  <si>
    <t>EXCAVACION MANUAL DE ZANJAS</t>
  </si>
  <si>
    <t>4.38</t>
  </si>
  <si>
    <t>REFINE, NIVELACION Y CONFORMACION DE FONDOS</t>
  </si>
  <si>
    <t>1.17</t>
  </si>
  <si>
    <t>CAMA DE APOYO P/TUBERIA</t>
  </si>
  <si>
    <t>1.78</t>
  </si>
  <si>
    <t>RELLENO Y COMPACTACION DE ZANJAS</t>
  </si>
  <si>
    <t>3.50</t>
  </si>
  <si>
    <t>INSTALACION DE TUBERIA Ø 10"</t>
  </si>
  <si>
    <t>38.35</t>
  </si>
  <si>
    <t>PRUEBA HIDRAULICA</t>
  </si>
  <si>
    <t>1.70</t>
  </si>
  <si>
    <t>2.63</t>
  </si>
  <si>
    <t>TRAZO, NIVELACION Y REPLANTEO</t>
  </si>
  <si>
    <t>1.83</t>
  </si>
  <si>
    <t>EXCAVACION MANUAL</t>
  </si>
  <si>
    <t>17.50</t>
  </si>
  <si>
    <t>CONCRETO F'C= 140 KG/CM2 PARA SOLADOS Y/O DADOS</t>
  </si>
  <si>
    <t>354.04</t>
  </si>
  <si>
    <t>CONCRETO F'C=210 KG/CM2 P/CAMARA ROMPE PRESION</t>
  </si>
  <si>
    <t>450.39</t>
  </si>
  <si>
    <t>ENCOFRADO Y DESENCOFRADO NORMAL</t>
  </si>
  <si>
    <t>19.68</t>
  </si>
  <si>
    <t>ACERO CORRUGADO F´Y = 4200 KG/CM2</t>
  </si>
  <si>
    <t>4.47</t>
  </si>
  <si>
    <t>TARRAJEO EN EXTERIORES</t>
  </si>
  <si>
    <t>14.78</t>
  </si>
  <si>
    <t>TARRAJEO INTERIOR CON IMPERMEABILIZANTE</t>
  </si>
  <si>
    <t>20.78</t>
  </si>
  <si>
    <t>PINTURA DE MURO EXTERIOR C/LATEX ESMALTE</t>
  </si>
  <si>
    <t>SUM. E INST. TUBERIA PVC C-10 10"</t>
  </si>
  <si>
    <t>SUM. E INST. TUBERIA PVC C-10 4"</t>
  </si>
  <si>
    <t>21.23</t>
  </si>
  <si>
    <t>NIVELACION Y COMPACTACION MANUAL P/RESERVORIO</t>
  </si>
  <si>
    <t>8.97</t>
  </si>
  <si>
    <t>CONFORMACION DE BASE GRANULAR E=0.15M</t>
  </si>
  <si>
    <t>28.40</t>
  </si>
  <si>
    <t>SOLADO DE CONCRETO F'C=100 KG/CM2</t>
  </si>
  <si>
    <t>346.36</t>
  </si>
  <si>
    <t>CASETA DE VALVULAS F'C=140 KG/CM2</t>
  </si>
  <si>
    <t>ENCOFRADO Y DESENCOFRADO P/CASETA DE VALVULAS</t>
  </si>
  <si>
    <t>DADO DE CONCRETO F'C=140 KG/CM2</t>
  </si>
  <si>
    <t>CONCRETO F'C=210 KG/CM2 P/RESERVORIO</t>
  </si>
  <si>
    <t>ENCOFRADO Y DESENCOFRADO P/MUROS</t>
  </si>
  <si>
    <t>26.67</t>
  </si>
  <si>
    <t>HABILITACION Y COLOCACION DE ACERO Ø 3/8"</t>
  </si>
  <si>
    <t>TARRAJEO EXTERIOR CON IMPERMEABILIZANTE</t>
  </si>
  <si>
    <t>21.89</t>
  </si>
  <si>
    <t>PENDIENTE DE FONDO CON IMPERMEABILIZANTE</t>
  </si>
  <si>
    <t>VALVULA Y ACCESORIOS DE 10" P/CAJA DE VALVULA DEL RESERVORIO</t>
  </si>
  <si>
    <t>1,273.55</t>
  </si>
  <si>
    <t>VALVULA Y ACCESORIOS DE 4" P/CAJA DE VALVULA DEL RESERVORIO</t>
  </si>
  <si>
    <t>345.69</t>
  </si>
  <si>
    <t>ACCESORIOS PARA RESERVORIO</t>
  </si>
  <si>
    <t>67.57</t>
  </si>
  <si>
    <t>CERCO DE PROTECCION DE ESTRUCTURAS</t>
  </si>
  <si>
    <t>17.45</t>
  </si>
  <si>
    <t>TAPA SANITARIA METALICA 70 X 70 CM</t>
  </si>
  <si>
    <t>102.35</t>
  </si>
  <si>
    <t>LECHO DE GRAVA</t>
  </si>
  <si>
    <t>222.00</t>
  </si>
  <si>
    <t>PINTURA ESMALTE EN ESTRUCTURAS SOBRESALIENTES</t>
  </si>
  <si>
    <t>NIVELACION Y COMPACTACION MANUAL</t>
  </si>
  <si>
    <t>CAMA DE APOYO PARA TUBERIA MAT. ZARANDEADO</t>
  </si>
  <si>
    <t>3.53</t>
  </si>
  <si>
    <t>ELIMINACION DE MATERIAL EXCEDENTE A MANO</t>
  </si>
  <si>
    <t>8.75</t>
  </si>
  <si>
    <t>TUBERIA PVC CL 10 4´´</t>
  </si>
  <si>
    <t>26.21</t>
  </si>
  <si>
    <t>TUBERIA PVC CL 10 2´´</t>
  </si>
  <si>
    <t>TUBERIA PVC CL 10 1´´</t>
  </si>
  <si>
    <t>10.69</t>
  </si>
  <si>
    <t>TUBERIA PVC CL 10 3/4´´</t>
  </si>
  <si>
    <t>8.50</t>
  </si>
  <si>
    <t>TEE PVC SAP 4´´</t>
  </si>
  <si>
    <t>43.74</t>
  </si>
  <si>
    <t>TEE PVC SAP 2´´</t>
  </si>
  <si>
    <t>34.74</t>
  </si>
  <si>
    <t>TEE PVC SAP 1´´</t>
  </si>
  <si>
    <t>25.24</t>
  </si>
  <si>
    <t>TEE PVC SAP 3/4´´</t>
  </si>
  <si>
    <t>23.74</t>
  </si>
  <si>
    <t>REDUCCION PVC SAP 4 a 2´´</t>
  </si>
  <si>
    <t>25.74</t>
  </si>
  <si>
    <t>REDUCCION PVC SAP 2 a 1´´</t>
  </si>
  <si>
    <t>30.84</t>
  </si>
  <si>
    <t>REDUCCION PVC SAP 2 a 3/4"</t>
  </si>
  <si>
    <t>REDUCCION PVC SAP 1 a 3/4"</t>
  </si>
  <si>
    <t>23.64</t>
  </si>
  <si>
    <t>CODO 45 PVC SAP 4"</t>
  </si>
  <si>
    <t>23.18</t>
  </si>
  <si>
    <t>CODO 45 PVC SAP 2"</t>
  </si>
  <si>
    <t>20.58</t>
  </si>
  <si>
    <t>CODO 45 PVC SAP 1"</t>
  </si>
  <si>
    <t>CODO 45 PVC SAP 3/4"</t>
  </si>
  <si>
    <t>12.18</t>
  </si>
  <si>
    <t>CODO 90 PVC SAP 3/4"</t>
  </si>
  <si>
    <t>12.58</t>
  </si>
  <si>
    <t>CONCRETO F'C=140 KG/CM2 P/VALVULAS DE CONTROL</t>
  </si>
  <si>
    <t>369.74</t>
  </si>
  <si>
    <t>ENCOFRADO Y DESENCOFRADO P/VALVULA DE CONTROL</t>
  </si>
  <si>
    <t>ENCOFRADO Y DESENCOFRADO P/HIDRANTES</t>
  </si>
  <si>
    <t>27.75</t>
  </si>
  <si>
    <t>TARRAJEO CON IMPERMEABILIZANTE</t>
  </si>
  <si>
    <t>VALVULA COMPUERTA Y ACCESORIOS Ø 4" P/VALVULA DE CONTROL</t>
  </si>
  <si>
    <t>492.75</t>
  </si>
  <si>
    <t>VALVULA COMPUERTA Y ACCESORIOS Ø 2" P/VALVULA DE CONTROL</t>
  </si>
  <si>
    <t>189.70</t>
  </si>
  <si>
    <t>VALVULA Y ACCESORIOS Ø 3/4" P/HIDRANTES</t>
  </si>
  <si>
    <t>50.20</t>
  </si>
  <si>
    <t>TAPA SANITARIA METALICA 40 X 40 CM.</t>
  </si>
  <si>
    <t>62.35</t>
  </si>
  <si>
    <t>LINEA MOVIL DE RIEGO Y ASPERSORES</t>
  </si>
  <si>
    <t>155.50</t>
  </si>
  <si>
    <t>EDUCACION DE RIEGO</t>
  </si>
  <si>
    <t>100.00</t>
  </si>
  <si>
    <t>FACILITADOR RIEGO</t>
  </si>
  <si>
    <t>BENEF</t>
  </si>
  <si>
    <t>16.00</t>
  </si>
  <si>
    <t>EXCAVACION EN ROCA TIPO IV</t>
  </si>
  <si>
    <t>145.64</t>
  </si>
  <si>
    <t>EXCAVACION DE TRINCHERA EN ROCA</t>
  </si>
  <si>
    <t>36.30</t>
  </si>
  <si>
    <t>EXCAVACION SUBTERRANEA EN ROCA TIPO II</t>
  </si>
  <si>
    <t>252.05</t>
  </si>
  <si>
    <t>EXCAVACION DESCENDENTE EN SUELO</t>
  </si>
  <si>
    <t>5.31</t>
  </si>
  <si>
    <t>EXCAVACION DESCENDENTE EN ROCA</t>
  </si>
  <si>
    <t>139.65</t>
  </si>
  <si>
    <t>EXCAVACION EN ROCA PARA GALERIA</t>
  </si>
  <si>
    <t>118.71</t>
  </si>
  <si>
    <t>77.89</t>
  </si>
  <si>
    <t>RELLENO CON MATERIAL PROPIO</t>
  </si>
  <si>
    <t>30.81</t>
  </si>
  <si>
    <t>CIMBRA METÁLICA TIPO CELOSIA (A)</t>
  </si>
  <si>
    <t>TON</t>
  </si>
  <si>
    <t>14,376.57</t>
  </si>
  <si>
    <t>TENSORES PARA CIMBRA TIPO CELOSIA (A)</t>
  </si>
  <si>
    <t>443.77</t>
  </si>
  <si>
    <t>CIMBRA METÁLICA TIPO CELOSIA (IV A)</t>
  </si>
  <si>
    <t>14,762.69</t>
  </si>
  <si>
    <t>MALLA ELECTROSOLDADA 4"x 4"</t>
  </si>
  <si>
    <t>30.53</t>
  </si>
  <si>
    <t>PLANCHA DE BERNOLD</t>
  </si>
  <si>
    <t>133.51</t>
  </si>
  <si>
    <t>INYECCIÓN DE CONCRETO FLUIDO (F'C=280 KG/CM2)</t>
  </si>
  <si>
    <t>397.53</t>
  </si>
  <si>
    <t>CONCRETO F'C=100 KG/CM2</t>
  </si>
  <si>
    <t>202.03</t>
  </si>
  <si>
    <t>255.13</t>
  </si>
  <si>
    <t>CONCRETO F'C=210 KG/CM2</t>
  </si>
  <si>
    <t>300.36</t>
  </si>
  <si>
    <t>SHOTCRETE (F´C=280 KG/CM2) SIN FIBRA METÁLICA</t>
  </si>
  <si>
    <t>565.95</t>
  </si>
  <si>
    <t>SHOTCRETE (F´C=280 KG/CM2) CON FIBRA METALICA</t>
  </si>
  <si>
    <t>749.56</t>
  </si>
  <si>
    <t>TUBOS DE DRENAJE D=3, L=0.50 M</t>
  </si>
  <si>
    <t>10.40</t>
  </si>
  <si>
    <t>MATERIAL GRAVOSO DE FILTRO</t>
  </si>
  <si>
    <t>29.64</t>
  </si>
  <si>
    <t>MALLA DOBLE TORSIÓN HEXAGONAL 10 X 12 CM</t>
  </si>
  <si>
    <t>26.31</t>
  </si>
  <si>
    <t>RESINA POLIUREA EN SPRAY</t>
  </si>
  <si>
    <t>178.52</t>
  </si>
  <si>
    <t>MORTERO A/C 5:1</t>
  </si>
  <si>
    <t>303.92</t>
  </si>
  <si>
    <t>PERNOS DE ANCLAJE D=25MM X 3.0M</t>
  </si>
  <si>
    <t>152.46</t>
  </si>
  <si>
    <t>CONFORMACIÓN DE TERRAPLÉN CON MATERIAL DE CANTERA</t>
  </si>
  <si>
    <t>7.16</t>
  </si>
  <si>
    <t>MATERIAL DE CANTERA</t>
  </si>
  <si>
    <t>17.40</t>
  </si>
  <si>
    <t>ENCOFRADO Y DESENCOFRADO</t>
  </si>
  <si>
    <t>60.26</t>
  </si>
  <si>
    <t>PERNOS DE ANCLAJE PASIVO D= 25 MM x 4.5 M</t>
  </si>
  <si>
    <t>209.60</t>
  </si>
  <si>
    <t>PERNOS DE ANCLAJE ACTIVO D=25 MM x 4.5 M</t>
  </si>
  <si>
    <t>219.75</t>
  </si>
  <si>
    <t>SOSTENIMIENTO CON SISTEMA DE PARAGUAS D=32 MM L=3.00M INC. ACCESORIOS</t>
  </si>
  <si>
    <t>100.32</t>
  </si>
  <si>
    <t>BOLSACRETE</t>
  </si>
  <si>
    <t>278.30</t>
  </si>
  <si>
    <t>PERNOS DE ANCLAJE PASIVO D= 19MM x 1.8M</t>
  </si>
  <si>
    <t>97.60</t>
  </si>
  <si>
    <t>INSTALACION DE DRENES D= 32 MM, L= 1.20 M</t>
  </si>
  <si>
    <t>76.32</t>
  </si>
  <si>
    <t>FALSO PISO E = 6"</t>
  </si>
  <si>
    <t>44.11</t>
  </si>
  <si>
    <t>MURO DE SOGA LADRILLO KING-KONG CON CEMENTO-CAL-ARENA</t>
  </si>
  <si>
    <t>76.74</t>
  </si>
  <si>
    <t>PUERTA METALICA</t>
  </si>
  <si>
    <t>133.13</t>
  </si>
  <si>
    <t>VENTANA METALICA</t>
  </si>
  <si>
    <t>126.10</t>
  </si>
  <si>
    <t>REJILLA METALICA</t>
  </si>
  <si>
    <t>116.61</t>
  </si>
  <si>
    <t>ESTRUCTURA DE MADERA</t>
  </si>
  <si>
    <t>6.64</t>
  </si>
  <si>
    <t>COBERTURA CON CALAMINA</t>
  </si>
  <si>
    <t>9.14</t>
  </si>
  <si>
    <t>ILUMINACION DE TUNEL</t>
  </si>
  <si>
    <t>5,700,060.21</t>
  </si>
  <si>
    <t>PERFORACIONES A ROTOPERCUSIÓN SISTEMA TIPO ODEX (TIRANTES FIBRA DE VIDRIO)</t>
  </si>
  <si>
    <t>435.86</t>
  </si>
  <si>
    <t>INSTRUMENTACION D= 50 MM, L= 6.00 M</t>
  </si>
  <si>
    <t>69.82</t>
  </si>
  <si>
    <t>CONFORMACION Y ACOMODO DE DME</t>
  </si>
  <si>
    <t>2.82</t>
  </si>
  <si>
    <t>AFIRMADO E= 0.20 m.</t>
  </si>
  <si>
    <t>15.42</t>
  </si>
  <si>
    <t>IMPRIMACION</t>
  </si>
  <si>
    <t>2.56</t>
  </si>
  <si>
    <t>CARPETA ASFALTICA EN CALIENTE (E= 0.05 m.)</t>
  </si>
  <si>
    <t>17.33</t>
  </si>
  <si>
    <t>CARPETA ASFALTICA EN FRIO (E= 0.05 m.)</t>
  </si>
  <si>
    <t>8.99</t>
  </si>
  <si>
    <t>IMPRIMACION REFORZADA</t>
  </si>
  <si>
    <t>4.25</t>
  </si>
  <si>
    <t>TRATAMIENTO SUPERFICIAL BICAPA</t>
  </si>
  <si>
    <t>10.13</t>
  </si>
  <si>
    <t>BERMAS (E= 0.05 m.)</t>
  </si>
  <si>
    <t>5.87</t>
  </si>
  <si>
    <t>MAMPOSTERIA DE PIEDRA (C/C F´C =140 KG/CM2 + 60% P.G)</t>
  </si>
  <si>
    <t>426.20</t>
  </si>
  <si>
    <t>DEFENSA RIBEREÑA CON ENROCADO</t>
  </si>
  <si>
    <t>53.62</t>
  </si>
  <si>
    <t>REVEGETACION DE TALUDES</t>
  </si>
  <si>
    <t>2.67</t>
  </si>
  <si>
    <t>RECUBRIMIENTO VEGETAL PARA DME</t>
  </si>
  <si>
    <t>11,668.28</t>
  </si>
  <si>
    <t>SEMBRIO DE GRASS</t>
  </si>
  <si>
    <t>3.56</t>
  </si>
  <si>
    <t>CONCRETO PARA VIGAS F´C =350 KG/CM2 (PREMEZCLADO)</t>
  </si>
  <si>
    <t>420.41</t>
  </si>
  <si>
    <t>CONCRETO PARA LOSA Y VIGA DIAFRAGMA F´C =280 KG/CM2 (PREMEZCLADO)</t>
  </si>
  <si>
    <t>303.59</t>
  </si>
  <si>
    <t>TENDONES EN VIGAS POSTENSADAS FS=18900 KG/CM2</t>
  </si>
  <si>
    <t>TN-M</t>
  </si>
  <si>
    <t>2.90</t>
  </si>
  <si>
    <t>IZAJE EN VIGAS</t>
  </si>
  <si>
    <t>516.40</t>
  </si>
  <si>
    <t>CONCRETO PARA LOSA F´C =280 KG/CM2 (PREMEZCLADO)</t>
  </si>
  <si>
    <t>289.88</t>
  </si>
  <si>
    <t>RIEGO DE LIGA</t>
  </si>
  <si>
    <t>2.30</t>
  </si>
  <si>
    <t>DISPOSITIVOS DE CONTROL SISMICO</t>
  </si>
  <si>
    <t>506.66</t>
  </si>
  <si>
    <t>APOYOS NEOPRENO (500X300X65)MM</t>
  </si>
  <si>
    <t>371.94</t>
  </si>
  <si>
    <t>JUNTAS DE DILATACION METALICA 2"</t>
  </si>
  <si>
    <t>121.29</t>
  </si>
  <si>
    <t>ENCOFRADO CARA NO VISTA EN ZAPATAS</t>
  </si>
  <si>
    <t>29.66</t>
  </si>
  <si>
    <t>FALSO PUENTE</t>
  </si>
  <si>
    <t>M</t>
  </si>
  <si>
    <t>1,736.72</t>
  </si>
  <si>
    <t>BARANDAS METALICAS EN RAMPAS</t>
  </si>
  <si>
    <t>117.11</t>
  </si>
  <si>
    <t>COBERTURA DE POLICARBONATO E=6MM INC. ESTRUCTURA METALICA</t>
  </si>
  <si>
    <t>16,522.04</t>
  </si>
  <si>
    <t>ESTABILIZACION DE TALUDES SHOTCRETE E=2" SIN MALLA</t>
  </si>
  <si>
    <t>26.61</t>
  </si>
  <si>
    <t>ESTABILIZACION DE TALUDES SHOTCRETE E=2" Y MALLA METALICA COCADA 4"-Ø 3.4MM</t>
  </si>
  <si>
    <t>41.91</t>
  </si>
  <si>
    <t>CANAL DE ANCLAJE PARA ESTABILIZACION DE TALUDES CON SHOTCRETE 30X30 CM</t>
  </si>
  <si>
    <t>48.75</t>
  </si>
  <si>
    <t>ANCLAJE PARA FIJACION DE MALLA DE ESTABILIZACION DE TALUDES</t>
  </si>
  <si>
    <t>187.67</t>
  </si>
  <si>
    <t>NIVELACION DE BUZON DE DESAGUE</t>
  </si>
  <si>
    <t>406.21</t>
  </si>
  <si>
    <t>MODULO DE PARADERO</t>
  </si>
  <si>
    <t>7,008.44</t>
  </si>
  <si>
    <t>DEPOSITO DE BASURA</t>
  </si>
  <si>
    <t>307.66</t>
  </si>
  <si>
    <t>JARDINERAS</t>
  </si>
  <si>
    <t>299.65</t>
  </si>
  <si>
    <t>SISTEMA DE DRENAJE</t>
  </si>
  <si>
    <t>11,014.18</t>
  </si>
  <si>
    <t>EMPALME DE DRENAJE A BUZON EXISTENTE</t>
  </si>
  <si>
    <t>46.43</t>
  </si>
  <si>
    <t>SUMINISTRO Y COLOCACION DE TUBERIA PVC SAP 6" P/EMPALME A BUZON EXISTENTE</t>
  </si>
  <si>
    <t>42.85</t>
  </si>
  <si>
    <t>SUMINISTRO Y COLOCACION DE CODO PVC SAP 6" X 45"</t>
  </si>
  <si>
    <t>PZ</t>
  </si>
  <si>
    <t>39.73</t>
  </si>
  <si>
    <t>SUMINISTRO E INSTALACION DE BARANDA METALICA EN VEREDA</t>
  </si>
  <si>
    <t>153.94</t>
  </si>
  <si>
    <t>BUZON DE CONCRETO H= 4.00 M, D= 1.50 M, TAPA C°A°</t>
  </si>
  <si>
    <t>2,215.69</t>
  </si>
  <si>
    <t>TUBERIA DE CONCRETO REFORZADO (CR 450MM)</t>
  </si>
  <si>
    <t>239.96</t>
  </si>
  <si>
    <t>TUBERIA DE CONCRETO SIMPLE NORMALIZADO (CSN 200MM)</t>
  </si>
  <si>
    <t>35.87</t>
  </si>
  <si>
    <t>EMPALME DE TUBERIA A BUZON EXISTENTE</t>
  </si>
  <si>
    <t>199.08</t>
  </si>
  <si>
    <t>EXCAVACION Y RELLENO DE ZANJAS PARA REDES SANITARIAS</t>
  </si>
  <si>
    <t>EXCAVACION PARA BUZON</t>
  </si>
  <si>
    <t>58.42</t>
  </si>
  <si>
    <t>REUBICACION TUBERIA HD 600MM EN TRAMO BAJO VIGA DE PUENTE</t>
  </si>
  <si>
    <t>2,619.62</t>
  </si>
  <si>
    <t>REUBICACION TUBERIA HD 600MM EN TRAMO FUERA DE VIGAS DE PUENTE</t>
  </si>
  <si>
    <t>2,394.47</t>
  </si>
  <si>
    <t>REPOSICION DE CONEXIONES DOMICILIARIAS DE AGUA</t>
  </si>
  <si>
    <t>216.46</t>
  </si>
  <si>
    <t>REPOSICION DE CONEXIONES DOMICILIARIAS DE DESAGUE</t>
  </si>
  <si>
    <t>281.29</t>
  </si>
  <si>
    <t>ACERAS, VEREDAS Y RAMPAS F´C =210 KG/CM2 (PREMEZCLADO)</t>
  </si>
  <si>
    <t>45.17</t>
  </si>
  <si>
    <t>ADOQUINES DE CONCRETO PARA PARADEROS</t>
  </si>
  <si>
    <t>44.31</t>
  </si>
  <si>
    <t>SARDINEL P/ACERAS VEREDAS 0.15 M x 0.35 M F´C =210 KG/CM2</t>
  </si>
  <si>
    <t>22.96</t>
  </si>
  <si>
    <t>SARDINEL SUMERGIDO 0.15 M x 0.30 M F´C =210 KG/CM2 (PREMEZCLADO)</t>
  </si>
  <si>
    <t>17.16</t>
  </si>
  <si>
    <t>CAPATAZ</t>
  </si>
  <si>
    <t>HH</t>
  </si>
  <si>
    <t>OPERARIO</t>
  </si>
  <si>
    <t>OFICIAL</t>
  </si>
  <si>
    <t>PEON</t>
  </si>
  <si>
    <t>CLAVO PARA MADERA C/C 2"</t>
  </si>
  <si>
    <t>MADERA TORNILLO</t>
  </si>
  <si>
    <t>CONCRETO PREMEZCLADO F'C=175 KG/CM2</t>
  </si>
  <si>
    <t>1.2 CARTEL DE IDENTIFICACION DE OBRA 3.60M X 2.40M</t>
  </si>
  <si>
    <t>Rendimiento: 1.0000 GLB/DIA</t>
  </si>
  <si>
    <t>Unidad: GLB</t>
  </si>
  <si>
    <t>Costo Unitario:</t>
  </si>
  <si>
    <t>Insumo</t>
  </si>
  <si>
    <t>Unidad</t>
  </si>
  <si>
    <t>Cuadrilla</t>
  </si>
  <si>
    <t>Cantidad</t>
  </si>
  <si>
    <t>PU</t>
  </si>
  <si>
    <t>Parcial</t>
  </si>
  <si>
    <t xml:space="preserve">  PEON</t>
  </si>
  <si>
    <t>Mano de obra:</t>
  </si>
  <si>
    <t xml:space="preserve">  CLAVOS C/C 3/4"</t>
  </si>
  <si>
    <t xml:space="preserve">  CEMENTO PORTLAND TIPO I (42.5KG)</t>
  </si>
  <si>
    <t>BOL</t>
  </si>
  <si>
    <t xml:space="preserve">  MADERA TORNILLO</t>
  </si>
  <si>
    <t xml:space="preserve">  HORMIGON</t>
  </si>
  <si>
    <t>Materiales:</t>
  </si>
  <si>
    <t xml:space="preserve">  HERRAMIENTAS MANUALES</t>
  </si>
  <si>
    <t>%MO</t>
  </si>
  <si>
    <t>Equipo:</t>
  </si>
  <si>
    <t xml:space="preserve">  GIGANTOGRAFIA DE 3.60x2.40M S/DISEÑO</t>
  </si>
  <si>
    <t>Subcontratos:</t>
  </si>
  <si>
    <t xml:space="preserve">  TANQUE PE NEGRO 1000 C/ACC</t>
  </si>
  <si>
    <t xml:space="preserve">  OPERARIO</t>
  </si>
  <si>
    <t>Unidad: UND</t>
  </si>
  <si>
    <t>Rendimiento: 1.0000 UND/DIA</t>
  </si>
  <si>
    <t>21.6 TANQUE DE AGUA 1000 LITROS</t>
  </si>
  <si>
    <t xml:space="preserve">  NIPLE DE FIERRO GALVANIZADO DE  3/4" x 2"</t>
  </si>
  <si>
    <t xml:space="preserve">  VALVULA COMPUERTA DE 3/4"</t>
  </si>
  <si>
    <t xml:space="preserve">  UNION UNIVERSAL PVC 3/4"</t>
  </si>
  <si>
    <t xml:space="preserve">  CINTA TEFLON</t>
  </si>
  <si>
    <t>Rendimiento: 8.0000 UND/DIA</t>
  </si>
  <si>
    <t>21.5 VALVULA COMPUERTA Y ACCESORIOS DE 3/4"</t>
  </si>
  <si>
    <t xml:space="preserve">  NIPLE DE FIERRO GALVANIZADO DE  1/2" x 2"</t>
  </si>
  <si>
    <t xml:space="preserve">  VALVULA COMPUERTA DE 1/2"</t>
  </si>
  <si>
    <t xml:space="preserve">  UNION UNIVERSAL PVC 1/2"</t>
  </si>
  <si>
    <t>21.4 VALVULA COMPUERTA Y ACCESORIOS DE 1/2"</t>
  </si>
  <si>
    <t xml:space="preserve">  TEE ROSCA 1/2" PARA AGUA</t>
  </si>
  <si>
    <t xml:space="preserve">  TUBO 5M CLASE 10 ROSCA 3/4" PARA AGUA</t>
  </si>
  <si>
    <t>Unidad: M</t>
  </si>
  <si>
    <t>Rendimiento: 15.0000 M/DIA</t>
  </si>
  <si>
    <t>21.3 RED DE DISTRIBUCION INTERNA CON TUBERIA DE PVC CLASE 10 DE 3/4"</t>
  </si>
  <si>
    <t xml:space="preserve">  TUBO 5M CLASE 10 ROSCA 1/2" PARA AGUA</t>
  </si>
  <si>
    <t>21.2 RED DE DISTRIBUCION INTERNA CON TUBERIA DE PVC CLASE 10 DE 1/2"</t>
  </si>
  <si>
    <t xml:space="preserve">  CODO FIERRO GALVANIZADO 1/2</t>
  </si>
  <si>
    <t xml:space="preserve">  CODO PVC AGUA ROSCADA 1/2"X90</t>
  </si>
  <si>
    <t>Unidad: PTO</t>
  </si>
  <si>
    <t>Rendimiento: 3.0000 PTO/DIA</t>
  </si>
  <si>
    <t>21.1 SALIDA DE AGUA FRIA TUBERIA PVC CLASE 10, D = 1/2"</t>
  </si>
  <si>
    <t xml:space="preserve">  CAJA DE CONCRETO PARA DESAGUE DE 12" X 24"</t>
  </si>
  <si>
    <t>Rendimiento: 5.0000 UND/DIA</t>
  </si>
  <si>
    <t>20.5 CAJA REGISTRO DE DESAGÜE 12" X 24"</t>
  </si>
  <si>
    <t xml:space="preserve">  REGISTRO BRONCE 4"</t>
  </si>
  <si>
    <t>Rendimiento: 7.0000 UND/DIA</t>
  </si>
  <si>
    <t>20.4 REGISTRO DE BRONCE 4"</t>
  </si>
  <si>
    <t xml:space="preserve">  CODOS PVC 90° SAL °  4" A 2" (VENTILAC.)</t>
  </si>
  <si>
    <t xml:space="preserve">  CODOS PVC 90° SAL °  2"</t>
  </si>
  <si>
    <t xml:space="preserve">  TUBO PVC C/CAMPANA SAL 3M. °  2"</t>
  </si>
  <si>
    <t>GAL</t>
  </si>
  <si>
    <t xml:space="preserve">  PEGAMENTO PVC</t>
  </si>
  <si>
    <t xml:space="preserve">  CAPATAZ</t>
  </si>
  <si>
    <t>Rendimiento: 4.0000 PTO/DIA</t>
  </si>
  <si>
    <t>20.3 SALIDA DE VENTILACION PVC-SAL 2"</t>
  </si>
  <si>
    <t xml:space="preserve">  YEE PVC DESAGUE SAL 4"</t>
  </si>
  <si>
    <t xml:space="preserve">  TRAMPA "P" (SAL) ° 4"</t>
  </si>
  <si>
    <t xml:space="preserve">  CODOS PVC 90° SAL °  4"</t>
  </si>
  <si>
    <t xml:space="preserve">  TUBO PVC C/CAMPANA SAL 3M. °  4"</t>
  </si>
  <si>
    <t>20.2 SALIDA DE DESAGUE PVC-SAL 4"</t>
  </si>
  <si>
    <t xml:space="preserve">  CODOS PVC 90° SAL 2"</t>
  </si>
  <si>
    <t xml:space="preserve">  TUBO PVC C/CAMPANA SAL 2" x 3M</t>
  </si>
  <si>
    <t>20.1 SALIDA DE DESAGUE PVC-SAL 2"</t>
  </si>
  <si>
    <t xml:space="preserve">  TABLERO ELECTRICO DE POLICARBONADO 12 POLOS</t>
  </si>
  <si>
    <t xml:space="preserve">  INTERRUPTOR TERMOMAGNETICO EMGRAMPE 2 x 20A</t>
  </si>
  <si>
    <t xml:space="preserve">  INTERRUPTOR TERMOMAGNETICO EMGRAMPE 2 x 60A</t>
  </si>
  <si>
    <t>19.7 TABLERO ELECTRICO DE POLICARBONATO DE 12 POLOS</t>
  </si>
  <si>
    <t xml:space="preserve">  DOSIS QUIMICA THOR GEL CAJA X 5KG</t>
  </si>
  <si>
    <t xml:space="preserve">  CAJA REGISTRO PUESTA A TIERRA</t>
  </si>
  <si>
    <t xml:space="preserve">  VARILLA DE COBRE D=5/8" de 2.5m</t>
  </si>
  <si>
    <t xml:space="preserve">  CONECTOR BR BARRA 5/8 3/4 P/PUES.TIERRA</t>
  </si>
  <si>
    <t xml:space="preserve">  TIERRA DE CHACRA</t>
  </si>
  <si>
    <t>19.6 POZO A TIERRA</t>
  </si>
  <si>
    <t xml:space="preserve">  CINTA AISLANTE ELECTRICA</t>
  </si>
  <si>
    <t xml:space="preserve">  CABLE TW 2.50 MM2</t>
  </si>
  <si>
    <t xml:space="preserve">  CAJA ELECTR RECTANG FO.GO.4X2 1/8</t>
  </si>
  <si>
    <t xml:space="preserve">  CURVA PVC ELECTRICA SAP 1/2"</t>
  </si>
  <si>
    <t xml:space="preserve">  TUBO PVC ELECTRICO SAP 1/2" X 3M</t>
  </si>
  <si>
    <t>Rendimiento: 6.0000 PTO/DIA</t>
  </si>
  <si>
    <t>19.5 SALIDA PARA CALENTADOR ELECTRICO</t>
  </si>
  <si>
    <t>19.4 SALIDA PARA COCINA ELECTRICA</t>
  </si>
  <si>
    <t xml:space="preserve">  WALL SOCKET </t>
  </si>
  <si>
    <t>19.3 SALIDA PARA BRAQUETE</t>
  </si>
  <si>
    <t>19.2 SALIDA PARA TOMACORRIENTES</t>
  </si>
  <si>
    <t xml:space="preserve">  CAJA OCTOGONAL GALV.</t>
  </si>
  <si>
    <t>19.1 SALIDA PARA CENTRO DE LUZ</t>
  </si>
  <si>
    <t xml:space="preserve">  JABONERA SIN ASA BLANCO STD</t>
  </si>
  <si>
    <t>Unidad: PZA</t>
  </si>
  <si>
    <t>Rendimiento: 1.0000 PZA/DIA</t>
  </si>
  <si>
    <t>18.5 JABONERAS SIMPLE 15X 15 DE LOSA BLANCA</t>
  </si>
  <si>
    <t xml:space="preserve">  PAPELERA DE EMPOTRAR LOSA C/EJE 15X15 CM</t>
  </si>
  <si>
    <t>18.4 PAPELERA DE EMPOTRAR</t>
  </si>
  <si>
    <t xml:space="preserve">  TOALLERO PAR SIN BARRA BLANCO STD</t>
  </si>
  <si>
    <t>18.3 TOALLERA DE LOSA BLANCA</t>
  </si>
  <si>
    <t xml:space="preserve">  TUBO PROLONG. DESAGUE BRONCE 1 1/4X5 "</t>
  </si>
  <si>
    <t xml:space="preserve">  TRAMPA TIPO BRONCE CROMADA DE 1 1/4"</t>
  </si>
  <si>
    <t xml:space="preserve">  TUBO ABASTO ALUMINIO TRENZADO 1/2"</t>
  </si>
  <si>
    <t xml:space="preserve">  MEZC.P/LAVAT.4"CROMO-CROMO AVANTE</t>
  </si>
  <si>
    <t xml:space="preserve">  LAVATORIO SONET BLANCO STD</t>
  </si>
  <si>
    <t>18.2 LAVATORIO SONET BLANCO STANDARD</t>
  </si>
  <si>
    <t xml:space="preserve">  ASIENTO P/INODORO MOPLEN BLANCO NACIONAL</t>
  </si>
  <si>
    <t xml:space="preserve">  PERNO DE SUJECION O/INODORO</t>
  </si>
  <si>
    <t xml:space="preserve">  PERNO DE ANCLAJE P/INODORO</t>
  </si>
  <si>
    <t xml:space="preserve">  VALV.ENTRAD.DESCARG.P/T.BAJO STAND.(JGO)</t>
  </si>
  <si>
    <t xml:space="preserve">  MANIJA METALICA P/INODORO MOD.PESADO CR</t>
  </si>
  <si>
    <t xml:space="preserve">  ESTANQUE C/TAPA TOP PIECE BLANCO STD</t>
  </si>
  <si>
    <t xml:space="preserve">  INODORO TOP PIECE (TAZA) BLANCO STD</t>
  </si>
  <si>
    <t>18.1 INODORO TOP PIECE BLANCO COMERCIAL</t>
  </si>
  <si>
    <t xml:space="preserve">  SELLADOR PARA MADERA</t>
  </si>
  <si>
    <t xml:space="preserve">  BARNIZ</t>
  </si>
  <si>
    <t xml:space="preserve">  LIJA PARA MADERA</t>
  </si>
  <si>
    <t>Unidad: M2</t>
  </si>
  <si>
    <t>Rendimiento: 18.0000 M2/DIA</t>
  </si>
  <si>
    <t>17.5 PINTURA EN PUERTAS DE MADERA, BARNIZ - 2 MANOS</t>
  </si>
  <si>
    <t>Rendimiento: 20.0000 M2/DIA</t>
  </si>
  <si>
    <t>17.4 PINTURA EN VENTANAS DE MADERA, BARNIZ - 2MANOS</t>
  </si>
  <si>
    <t xml:space="preserve">  IMPRIMANTE PARA MUROS</t>
  </si>
  <si>
    <t xml:space="preserve">  PINTURA LATEX</t>
  </si>
  <si>
    <t>Rendimiento: 30.0000 M2/DIA</t>
  </si>
  <si>
    <t>17.3 PINTURA DE MUROS EXTERIORES, VINÍLICA 2 MANOS</t>
  </si>
  <si>
    <t>17.2 PINTURA DE MUROS INTERIORES, VINÍLICA 2 MANOS</t>
  </si>
  <si>
    <t xml:space="preserve">  SELLADOR PARA MUROS</t>
  </si>
  <si>
    <t xml:space="preserve">  MADERA PARA ANDAMIOS</t>
  </si>
  <si>
    <t xml:space="preserve">  CLAVOS 2"</t>
  </si>
  <si>
    <t>Rendimiento: 25.0000 M2/DIA</t>
  </si>
  <si>
    <t>17.1 PINTURA DE CIELORASOS,VINLICA 2 MANOS</t>
  </si>
  <si>
    <t xml:space="preserve">  VIDRIO MEDIO DOBLE</t>
  </si>
  <si>
    <t>Unidad: P2</t>
  </si>
  <si>
    <t>Rendimiento: 60.0000 P2/DIA</t>
  </si>
  <si>
    <t>16.1 VIDRIO INCOLORO SEMIDOBLE</t>
  </si>
  <si>
    <t xml:space="preserve">  CERRADURA PERILLA PARA DORMITORIO BRONCE</t>
  </si>
  <si>
    <t>Rendimiento: 4.0000 PZA/DIA</t>
  </si>
  <si>
    <t>15.4 CERRADURA PARA PUERTA INTERIOR BRONCE ANTIGUO</t>
  </si>
  <si>
    <t xml:space="preserve">  CERRADURA PERILLA PARA BAÑO BRONCE</t>
  </si>
  <si>
    <t>15.3 CERRADURA PARA BAÑO BRONCE</t>
  </si>
  <si>
    <t xml:space="preserve">  CERRADURA PERILLA PARA PUERTA PRINCIPAL BRONCE</t>
  </si>
  <si>
    <t>15.2 CERRADURA PUERTA PRINCIPAL PESADA</t>
  </si>
  <si>
    <t xml:space="preserve">  BISAGRA CAPUCHINO ALUMINIO 3 1/2"X 3 1/2"</t>
  </si>
  <si>
    <t>Rendimiento: 12.0000 PZA/DIA</t>
  </si>
  <si>
    <t>15.1 BISAGRA TIPO CAPUCHINA ALUMINIZADA 3 1/2"</t>
  </si>
  <si>
    <t>HM</t>
  </si>
  <si>
    <t xml:space="preserve">  CEPILLADORA ELECTRICA</t>
  </si>
  <si>
    <t xml:space="preserve">  SIERRA CIRCULAR</t>
  </si>
  <si>
    <t xml:space="preserve">  MADERA CEDRO</t>
  </si>
  <si>
    <t xml:space="preserve">  COLA SINTETICA</t>
  </si>
  <si>
    <t xml:space="preserve">  OFICIAL</t>
  </si>
  <si>
    <t>Rendimiento: 2.0000 M2/DIA</t>
  </si>
  <si>
    <t>14.3 PUERTA DE DE CEDRO 45MM</t>
  </si>
  <si>
    <t>Rendimiento: 40.0000 M2/DIA</t>
  </si>
  <si>
    <t>14.2 VENTANA DE MADERA CON HOJAS, CEDRO</t>
  </si>
  <si>
    <t>PLN</t>
  </si>
  <si>
    <t xml:space="preserve">  TRIPLAY LUPUNA 1.20 X 2.40M X 6MM</t>
  </si>
  <si>
    <t>Rendimiento: 3.0000 M2/DIA</t>
  </si>
  <si>
    <t>14.1 PUERTA CONTRAPLACADA E=35MM TRIPLAY 4 MM</t>
  </si>
  <si>
    <t xml:space="preserve">  AGUA PARA LA OBRA</t>
  </si>
  <si>
    <t>BLS</t>
  </si>
  <si>
    <t>MLL</t>
  </si>
  <si>
    <t xml:space="preserve">  LADRILLO PASTELERO 25 X 25CM CON HUECO</t>
  </si>
  <si>
    <t xml:space="preserve">  ARENA FINA</t>
  </si>
  <si>
    <t>13.1 CUBIERTA CON LADRILLO PASTELERO 25X25 ASENTADO CON MORTERO 1:4</t>
  </si>
  <si>
    <t xml:space="preserve">  REGLA DE MADERA</t>
  </si>
  <si>
    <t>Unidad: ML</t>
  </si>
  <si>
    <t>Rendimiento: 10.0000 ML/DIA</t>
  </si>
  <si>
    <t>12.1 REVESTIMIENTO DE GRADAS DE ESCALERA</t>
  </si>
  <si>
    <t xml:space="preserve">  FRAGUA PARA CERAMICA (1 KG)</t>
  </si>
  <si>
    <t xml:space="preserve">  BALDOSA  I 30X30 NORDICA</t>
  </si>
  <si>
    <t xml:space="preserve">  ARENA GRUESA</t>
  </si>
  <si>
    <t>Rendimiento: 4.0000 M2/DIA</t>
  </si>
  <si>
    <t>11.1 ZOCALO DE BALDOSAS CERAMICAS 30X30 CM</t>
  </si>
  <si>
    <t xml:space="preserve">  CONTRAZOCALO LOSETA VENECIANA 10X30 CLARO</t>
  </si>
  <si>
    <t>Rendimiento: 18.0000 ML/DIA</t>
  </si>
  <si>
    <t>10.1 CONTRAZÓCALO VENECIANO 10X30CM</t>
  </si>
  <si>
    <t xml:space="preserve">  CERA LIQUIDA</t>
  </si>
  <si>
    <t xml:space="preserve">  PARQUET HUALTACO DE SELVA</t>
  </si>
  <si>
    <t xml:space="preserve">  LAMINA DE POLIETILENO E = 2MM</t>
  </si>
  <si>
    <t>Rendimiento: 8.0000 M2/DIA</t>
  </si>
  <si>
    <t>9.3 PISO DE PARQUET</t>
  </si>
  <si>
    <t xml:space="preserve">  LOSETA VENECIANA 30X30 CLARA</t>
  </si>
  <si>
    <t>Rendimiento: 12.0000 M2/DIA</t>
  </si>
  <si>
    <t>9.2 PISO LOSETA VENECIANA 30 X 30CM</t>
  </si>
  <si>
    <t xml:space="preserve">  MEZCLADORA DE CONCRETO 18 HP 11-12 P3</t>
  </si>
  <si>
    <t>Rendimiento: 100.0000 M2/DIA</t>
  </si>
  <si>
    <t>9.1 CONTRAPISO DE 2"</t>
  </si>
  <si>
    <t xml:space="preserve">  CLAVOS 3"</t>
  </si>
  <si>
    <t>8.1 TARRAJEO DE CIELORASO E=1.5CM, MEZCLA 1:4</t>
  </si>
  <si>
    <t>7.2 TARRAJEO FROTACHADO, MUROS EXT. E=1.5CM, MEZCLA 1:4</t>
  </si>
  <si>
    <t>Rendimiento: 15.0000 M2/DIA</t>
  </si>
  <si>
    <t>7.1 TARRAJEO FROTACHADO, MUROS INT. E=1.5CM, MEZCLA 1:4</t>
  </si>
  <si>
    <t xml:space="preserve">  LADRILLO ARCILLA KK TIPO IV 18 HUECOS 9 X 12.5 X 23CM</t>
  </si>
  <si>
    <t>Rendimiento: 9.5000 M2/DIA</t>
  </si>
  <si>
    <t>6.2 MURO DE LADRILLO KK DE ARCILLA, N-SOG. MEZCLA 1:4</t>
  </si>
  <si>
    <t>Rendimiento: 6.5000 M2/DIA</t>
  </si>
  <si>
    <t>6.1 MURO DE LADRILLO KK DE ARCILLA, CABEZA. MEZCLA 1:4</t>
  </si>
  <si>
    <t xml:space="preserve">  ACERO CORRUGADO F´Y = 4200 KG/CM2 GRADO 60</t>
  </si>
  <si>
    <t xml:space="preserve">  ALAMBRE NEGRO N° 16</t>
  </si>
  <si>
    <t>Unidad: KG</t>
  </si>
  <si>
    <t>Rendimiento: 250.0000 KG/DIA</t>
  </si>
  <si>
    <t>5.6.3 ACERO DE REFUERZO F´Y = 4200 KG/CM2</t>
  </si>
  <si>
    <t xml:space="preserve">  MADERA PARA ENCOFRADO</t>
  </si>
  <si>
    <t>Rendimiento: 14.0000 M2/DIA</t>
  </si>
  <si>
    <t>5.6.2 ENCOFRADO Y DESENCOFRADO NORMAL PARA ESCALERAS</t>
  </si>
  <si>
    <t xml:space="preserve">  VIBRADOR DE CONCRETO 4 HP 1.50"</t>
  </si>
  <si>
    <t xml:space="preserve">  GRASA MULTI PROPOSITOS</t>
  </si>
  <si>
    <t xml:space="preserve">  GASOLINA 84 OCTANOS</t>
  </si>
  <si>
    <t xml:space="preserve">  PIEDRA CHANCADA DE 1/2"</t>
  </si>
  <si>
    <t xml:space="preserve">  OPERADOR DE EQUIPO LIVIANO</t>
  </si>
  <si>
    <t>Unidad: M3</t>
  </si>
  <si>
    <t>Rendimiento: 9.0000 M3/DIA</t>
  </si>
  <si>
    <t>5.6.1 CONCRETO PARA ESCALERAS F´C=210 KG/CM2</t>
  </si>
  <si>
    <t xml:space="preserve">  LADRILLO ARCILLA HUECO 15 15x30x30cm</t>
  </si>
  <si>
    <t>Rendimiento: 1,600.0000 PZA/DIA</t>
  </si>
  <si>
    <t>5.5.4 LADRILLO HUECO DE ARCILLA H = 15 CM PARA LOSA ALIGERADA</t>
  </si>
  <si>
    <t>5.5.3 ACERO DE REFUERZO F´Y = 4200 KG/CM2</t>
  </si>
  <si>
    <t xml:space="preserve">  CLAVOS 4"</t>
  </si>
  <si>
    <t>5.5.2 ENCOFRADO Y DESENCOFRADO NORMAL PARA LOSAS ALIGERADAS</t>
  </si>
  <si>
    <t>Rendimiento: 12.0000 M3/DIA</t>
  </si>
  <si>
    <t>5.5.1 CONCRETO PARA LOSAS ALIGERADAS F´C=210 KG/CM2</t>
  </si>
  <si>
    <t>5.4.3 ACERO DE REFUERZO F´Y = 4200 KG/CM2</t>
  </si>
  <si>
    <t>5.4.2 ENCOFRADO Y DESENCOFRADO NORMAL PARA VIGAS</t>
  </si>
  <si>
    <t>5.4.1 CONCRETO PARA VIGAS F'C=210 KG/CM2</t>
  </si>
  <si>
    <t>5.3.3 ACERO DE REFUERZO F´Y = 4200 KG/CM2</t>
  </si>
  <si>
    <t xml:space="preserve">  LACA DESMOLDEADORA</t>
  </si>
  <si>
    <t xml:space="preserve">  TRIPLAY DE 4´X 8´X 18 MM</t>
  </si>
  <si>
    <t xml:space="preserve">  CLAVOS</t>
  </si>
  <si>
    <t xml:space="preserve">  ALAMBRE NEGRO N° 8</t>
  </si>
  <si>
    <t>5.3.2 ENCOFRADO Y DESENCOFRADO NORMAL PARA COLUMNAS</t>
  </si>
  <si>
    <t>5.3.1 CONCRETO PARA COLUMNAS F´C=210 KG/CM2</t>
  </si>
  <si>
    <t>5.2.3 ACERO DE REFUERZO F´Y = 4200 KG/CM2</t>
  </si>
  <si>
    <t>Rendimiento: 10.0000 M2/DIA</t>
  </si>
  <si>
    <t>5.2.2 ENCOFRADO/ DESENCOFRADO NORMAL, VIGAS DE CIMENTACIÓN</t>
  </si>
  <si>
    <t>Rendimiento: 17.0000 M3/DIA</t>
  </si>
  <si>
    <t>5.2.1 CONCRETO PARA VIGAS DE CIMENTACIÓN F¨C=210 KG/CM2</t>
  </si>
  <si>
    <t>5.1.3 ACERO DE REFUERZO F´Y = 4200 KG/CM2</t>
  </si>
  <si>
    <t>5.1.2 ENCOFRADO/ DESENCOFRADO NORMAL, ZAPATA</t>
  </si>
  <si>
    <t>5.1.1 CONCRETO PARA ZAPATAS F´C=210 KG/CM2</t>
  </si>
  <si>
    <t>Rendimiento: 110.0000 M2/DIA</t>
  </si>
  <si>
    <t>4.5 CONCRETO PARA FALSO PISO E=4" MEZCLA 1:8 C:H</t>
  </si>
  <si>
    <t>4.4 CONCRETO PARA SOBRECIMENTO CICLÓPEO 1:8+25% PM</t>
  </si>
  <si>
    <t>Rendimiento: 16.0000 M2/DIA</t>
  </si>
  <si>
    <t>4.3 ENCOFRADO Y DESENCOFRADO NORMAL PARA SOBRECIMIENTO</t>
  </si>
  <si>
    <t xml:space="preserve">  PIEDRA GRANDE PARA ZANJA</t>
  </si>
  <si>
    <t>Rendimiento: 25.0000 M3/DIA</t>
  </si>
  <si>
    <t>4.2 CONCRETO PARA CIMIENTOS CICLÓPEO 1:10+30% PG</t>
  </si>
  <si>
    <t xml:space="preserve">  MEZCLADORA DE CONCRETO 8 HP 9 P3</t>
  </si>
  <si>
    <t>Rendimiento: 60.0000 M2/DIA</t>
  </si>
  <si>
    <t>4.1 CONCRETO PARA SOLADOS, E=0.10 M. C:H, 1:12</t>
  </si>
  <si>
    <t>Rendimiento: 6.0000 M3/DIA</t>
  </si>
  <si>
    <t>3.3 ELIMINACION DE MATERIAL EXCEDENTE A MANO</t>
  </si>
  <si>
    <t xml:space="preserve">  PISON MANUAL</t>
  </si>
  <si>
    <t>3.2 NIVELACION, REFINE Y COMPACTACION, PISÓN MANUAL</t>
  </si>
  <si>
    <t>Rendimiento: 4.0000 M3/DIA</t>
  </si>
  <si>
    <t>3.1 EXCAVACION MANUAL H=1.00 EN TERRENO NORMAL</t>
  </si>
  <si>
    <t>2.3 DEMOLICION DE MUROS DE ADOBE - QUINCHA</t>
  </si>
  <si>
    <t>Rendimiento: 0.2500 M3/DIA</t>
  </si>
  <si>
    <t>2.2 DEMOLICION MANUAL DE COLUMNAS</t>
  </si>
  <si>
    <t>Rendimiento: 0.3000 M3/DIA</t>
  </si>
  <si>
    <t>2.1 DEMOLICION MANUAL DE CIMIENTOS</t>
  </si>
  <si>
    <t xml:space="preserve">  TEODOLITO</t>
  </si>
  <si>
    <t xml:space="preserve">  JALON</t>
  </si>
  <si>
    <t xml:space="preserve">  MIRA TOPOGRAFICA</t>
  </si>
  <si>
    <t xml:space="preserve">  OCRE ROJO</t>
  </si>
  <si>
    <t xml:space="preserve">  PINTURA ESMALTE</t>
  </si>
  <si>
    <t xml:space="preserve">  WINCHA</t>
  </si>
  <si>
    <t xml:space="preserve">  YESO BOLSA 25 KG</t>
  </si>
  <si>
    <t xml:space="preserve">  TOPOGRAFO</t>
  </si>
  <si>
    <t>Rendimiento: 50.0000 M2/DIA</t>
  </si>
  <si>
    <t>1.4 TRAZO Y REPLANTEO</t>
  </si>
  <si>
    <t>1.3 LIMPIEZA MANUAL DE TERRENO</t>
  </si>
  <si>
    <t xml:space="preserve">  MOVILIZACION Y DESMOVILIZACION DE EQUIPOS</t>
  </si>
  <si>
    <t>1.1 MOVILIZACION Y DESMOVILIZACION DE EQUIPOS</t>
  </si>
  <si>
    <t>ANALISIS DE COSTOS UNITARIOS</t>
  </si>
  <si>
    <t>Unidad:</t>
  </si>
  <si>
    <t>TRIPLAY LUPUNA 1.20 X 2.40M X 12MM</t>
  </si>
  <si>
    <t>CALAMINA GALVANIZADA 2.40M X 0.80M X 0.25MM</t>
  </si>
  <si>
    <t>HERRAMIENTAS MANUALES</t>
  </si>
  <si>
    <t>CONCRETO PARA FALSO PISO E = 4"</t>
  </si>
  <si>
    <t>CLAVO PARA MADERA C/C 3"</t>
  </si>
  <si>
    <t>PIEDRA MEDIANA DE 6"</t>
  </si>
  <si>
    <t>HORMIGON</t>
  </si>
  <si>
    <t>CEMENTO PORTLAND TIPO I (42.5KG)</t>
  </si>
  <si>
    <t>LIJA PARA MADERA</t>
  </si>
  <si>
    <t>PERNO 5/8" X 10" CON TUERCA</t>
  </si>
  <si>
    <t>ARANDELA 5/8"</t>
  </si>
  <si>
    <t>PINTURA ESMALTE</t>
  </si>
  <si>
    <t>TRACTOR SOBRE ORUGAS 75-100 HP</t>
  </si>
  <si>
    <t>TOPOGRAFO</t>
  </si>
  <si>
    <t>CLAVOS 3"</t>
  </si>
  <si>
    <t>YESO BOLSA 25 KG</t>
  </si>
  <si>
    <t>WINCHA</t>
  </si>
  <si>
    <t>MIRA TOPOGRAFICA</t>
  </si>
  <si>
    <t>JALON</t>
  </si>
  <si>
    <t>TEODOLITO</t>
  </si>
  <si>
    <t>NIVEL TOPOGRAFICO</t>
  </si>
  <si>
    <t>OPERADOR DE EQUIPO LIVIANO</t>
  </si>
  <si>
    <t>COMPRESORA NEUMATICA 76 HP 125-175 PCM</t>
  </si>
  <si>
    <t>MARTILLO NEUMATICO 21-24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</si>
</sst>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"/>
    <numFmt numFmtId="165" formatCode="d\.m"/>
    <numFmt numFmtId="170" formatCode="#,##0.0000"/>
  </numFmts>
  <fonts count="7" x14ac:knownFonts="1">
    <font>
      <sz val="10"/>
      <color rgb="FF000000"/>
      <name val="Arial"/>
      <scheme val="minor"/>
    </font>
    <font>
      <b/>
      <sz val="10"/>
      <color rgb="FF333333"/>
      <name val="Arial"/>
    </font>
    <font>
      <sz val="10"/>
      <color rgb="FF333333"/>
      <name val="Calibri"/>
    </font>
    <font>
      <sz val="12"/>
      <color rgb="FF333333"/>
      <name val="Calibri"/>
      <family val="2"/>
    </font>
    <font>
      <sz val="12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rgb="FFC5D9F1"/>
        <bgColor rgb="FF000000"/>
      </patternFill>
    </fill>
  </fills>
  <borders count="4">
    <border>
      <left/>
      <right/>
      <top/>
      <bottom/>
      <diagonal/>
    </border>
    <border>
      <left style="thin">
        <color rgb="FFDEDEDE"/>
      </left>
      <right style="thin">
        <color rgb="FFDEDEDE"/>
      </right>
      <top/>
      <bottom style="thin">
        <color rgb="FFDEDEDE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6" fillId="0" borderId="0"/>
  </cellStyleXfs>
  <cellXfs count="36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2" fillId="0" borderId="1" xfId="0" applyFont="1" applyBorder="1"/>
    <xf numFmtId="164" fontId="2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6" fillId="0" borderId="0" xfId="1"/>
    <xf numFmtId="4" fontId="6" fillId="0" borderId="0" xfId="1" applyNumberFormat="1" applyAlignment="1">
      <alignment horizontal="right" vertical="center"/>
    </xf>
    <xf numFmtId="170" fontId="6" fillId="0" borderId="0" xfId="1" applyNumberFormat="1" applyAlignment="1">
      <alignment horizontal="right" vertical="center"/>
    </xf>
    <xf numFmtId="170" fontId="6" fillId="0" borderId="0" xfId="1" applyNumberFormat="1" applyAlignment="1">
      <alignment vertical="center"/>
    </xf>
    <xf numFmtId="0" fontId="6" fillId="0" borderId="0" xfId="1" applyAlignment="1">
      <alignment horizontal="center" vertical="center"/>
    </xf>
    <xf numFmtId="0" fontId="6" fillId="0" borderId="0" xfId="1" applyAlignment="1">
      <alignment vertical="center"/>
    </xf>
    <xf numFmtId="4" fontId="5" fillId="0" borderId="0" xfId="1" applyNumberFormat="1" applyFont="1" applyAlignment="1">
      <alignment horizontal="right" vertical="center"/>
    </xf>
    <xf numFmtId="170" fontId="5" fillId="0" borderId="0" xfId="1" applyNumberFormat="1" applyFont="1" applyAlignment="1">
      <alignment horizontal="right" vertical="center"/>
    </xf>
    <xf numFmtId="170" fontId="5" fillId="0" borderId="0" xfId="1" applyNumberFormat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4" fontId="5" fillId="4" borderId="0" xfId="1" applyNumberFormat="1" applyFont="1" applyFill="1" applyAlignment="1">
      <alignment horizontal="center" vertical="center"/>
    </xf>
    <xf numFmtId="170" fontId="5" fillId="4" borderId="0" xfId="1" applyNumberFormat="1" applyFont="1" applyFill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4" fontId="5" fillId="4" borderId="0" xfId="1" applyNumberFormat="1" applyFont="1" applyFill="1" applyAlignment="1">
      <alignment horizontal="right" vertical="center"/>
    </xf>
    <xf numFmtId="170" fontId="5" fillId="4" borderId="0" xfId="1" applyNumberFormat="1" applyFont="1" applyFill="1" applyAlignment="1">
      <alignment horizontal="right" vertical="center"/>
    </xf>
    <xf numFmtId="170" fontId="5" fillId="4" borderId="0" xfId="1" applyNumberFormat="1" applyFont="1" applyFill="1" applyAlignment="1">
      <alignment vertical="center"/>
    </xf>
    <xf numFmtId="0" fontId="5" fillId="4" borderId="0" xfId="1" applyFont="1" applyFill="1" applyAlignment="1">
      <alignment vertical="center"/>
    </xf>
    <xf numFmtId="0" fontId="5" fillId="4" borderId="0" xfId="1" applyFont="1" applyFill="1"/>
    <xf numFmtId="0" fontId="5" fillId="0" borderId="0" xfId="1" applyFont="1"/>
    <xf numFmtId="0" fontId="5" fillId="0" borderId="0" xfId="1" applyFont="1"/>
    <xf numFmtId="0" fontId="5" fillId="0" borderId="0" xfId="1" applyFont="1" applyAlignment="1">
      <alignment horizontal="center"/>
    </xf>
  </cellXfs>
  <cellStyles count="2">
    <cellStyle name="Normal" xfId="0" builtinId="0"/>
    <cellStyle name="Normal 2" xfId="1" xr:uid="{F172AEE7-6BB5-460D-A5A4-F2F879FF567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701"/>
  <sheetViews>
    <sheetView tabSelected="1" workbookViewId="0">
      <selection activeCell="H29" sqref="H29"/>
    </sheetView>
  </sheetViews>
  <sheetFormatPr defaultColWidth="12.5703125" defaultRowHeight="15.75" customHeight="1" x14ac:dyDescent="0.2"/>
  <cols>
    <col min="1" max="1" width="73.5703125" customWidth="1"/>
    <col min="3" max="3" width="17.7109375" bestFit="1" customWidth="1"/>
  </cols>
  <sheetData>
    <row r="1" spans="1:4" x14ac:dyDescent="0.2">
      <c r="A1" s="1" t="s">
        <v>0</v>
      </c>
      <c r="B1" s="2" t="s">
        <v>1</v>
      </c>
      <c r="C1" s="3" t="s">
        <v>2</v>
      </c>
    </row>
    <row r="2" spans="1:4" x14ac:dyDescent="0.2">
      <c r="A2" s="4" t="s">
        <v>3</v>
      </c>
      <c r="B2" s="5" t="s">
        <v>4</v>
      </c>
      <c r="C2" s="6" t="s">
        <v>5</v>
      </c>
    </row>
    <row r="3" spans="1:4" x14ac:dyDescent="0.2">
      <c r="A3" s="4" t="s">
        <v>6</v>
      </c>
      <c r="B3" s="5" t="s">
        <v>7</v>
      </c>
      <c r="C3" s="6" t="s">
        <v>8</v>
      </c>
      <c r="D3" s="7"/>
    </row>
    <row r="4" spans="1:4" x14ac:dyDescent="0.2">
      <c r="A4" s="4" t="s">
        <v>9</v>
      </c>
      <c r="B4" s="5" t="s">
        <v>10</v>
      </c>
      <c r="C4" s="6" t="s">
        <v>11</v>
      </c>
      <c r="D4" s="7"/>
    </row>
    <row r="5" spans="1:4" x14ac:dyDescent="0.2">
      <c r="A5" s="4" t="s">
        <v>12</v>
      </c>
      <c r="B5" s="5" t="s">
        <v>7</v>
      </c>
      <c r="C5" s="6" t="s">
        <v>13</v>
      </c>
      <c r="D5" s="7"/>
    </row>
    <row r="6" spans="1:4" x14ac:dyDescent="0.2">
      <c r="A6" s="4" t="s">
        <v>14</v>
      </c>
      <c r="B6" s="5" t="s">
        <v>7</v>
      </c>
      <c r="C6" s="6" t="s">
        <v>15</v>
      </c>
      <c r="D6" s="7"/>
    </row>
    <row r="7" spans="1:4" x14ac:dyDescent="0.2">
      <c r="A7" s="4" t="s">
        <v>16</v>
      </c>
      <c r="B7" s="5" t="s">
        <v>7</v>
      </c>
      <c r="C7" s="6" t="s">
        <v>17</v>
      </c>
      <c r="D7" s="7"/>
    </row>
    <row r="8" spans="1:4" x14ac:dyDescent="0.2">
      <c r="A8" s="4" t="s">
        <v>18</v>
      </c>
      <c r="B8" s="5" t="s">
        <v>19</v>
      </c>
      <c r="C8" s="6" t="s">
        <v>20</v>
      </c>
      <c r="D8" s="7"/>
    </row>
    <row r="9" spans="1:4" x14ac:dyDescent="0.2">
      <c r="A9" s="4" t="s">
        <v>21</v>
      </c>
      <c r="B9" s="5" t="s">
        <v>22</v>
      </c>
      <c r="C9" s="6" t="s">
        <v>23</v>
      </c>
      <c r="D9" s="7"/>
    </row>
    <row r="10" spans="1:4" x14ac:dyDescent="0.2">
      <c r="A10" s="4" t="s">
        <v>24</v>
      </c>
      <c r="B10" s="5" t="s">
        <v>22</v>
      </c>
      <c r="C10" s="6" t="s">
        <v>25</v>
      </c>
      <c r="D10" s="7"/>
    </row>
    <row r="11" spans="1:4" x14ac:dyDescent="0.2">
      <c r="A11" s="4" t="s">
        <v>26</v>
      </c>
      <c r="B11" s="5" t="s">
        <v>22</v>
      </c>
      <c r="C11" s="6" t="s">
        <v>27</v>
      </c>
      <c r="D11" s="7"/>
    </row>
    <row r="12" spans="1:4" x14ac:dyDescent="0.2">
      <c r="A12" s="4" t="s">
        <v>28</v>
      </c>
      <c r="B12" s="5" t="s">
        <v>7</v>
      </c>
      <c r="C12" s="6" t="s">
        <v>29</v>
      </c>
      <c r="D12" s="7"/>
    </row>
    <row r="13" spans="1:4" x14ac:dyDescent="0.2">
      <c r="A13" s="4" t="s">
        <v>30</v>
      </c>
      <c r="B13" s="5" t="s">
        <v>22</v>
      </c>
      <c r="C13" s="6" t="s">
        <v>31</v>
      </c>
      <c r="D13" s="7"/>
    </row>
    <row r="14" spans="1:4" x14ac:dyDescent="0.2">
      <c r="A14" s="4" t="s">
        <v>32</v>
      </c>
      <c r="B14" s="5" t="s">
        <v>22</v>
      </c>
      <c r="C14" s="6" t="s">
        <v>33</v>
      </c>
      <c r="D14" s="7"/>
    </row>
    <row r="15" spans="1:4" x14ac:dyDescent="0.2">
      <c r="A15" s="4" t="s">
        <v>34</v>
      </c>
      <c r="B15" s="5" t="s">
        <v>7</v>
      </c>
      <c r="C15" s="6" t="s">
        <v>35</v>
      </c>
      <c r="D15" s="7"/>
    </row>
    <row r="16" spans="1:4" x14ac:dyDescent="0.2">
      <c r="A16" s="4" t="s">
        <v>36</v>
      </c>
      <c r="B16" s="5" t="s">
        <v>7</v>
      </c>
      <c r="C16" s="6" t="s">
        <v>37</v>
      </c>
      <c r="D16" s="7"/>
    </row>
    <row r="17" spans="1:4" x14ac:dyDescent="0.2">
      <c r="A17" s="4" t="s">
        <v>38</v>
      </c>
      <c r="B17" s="5" t="s">
        <v>7</v>
      </c>
      <c r="C17" s="6" t="s">
        <v>39</v>
      </c>
      <c r="D17" s="7"/>
    </row>
    <row r="18" spans="1:4" x14ac:dyDescent="0.2">
      <c r="A18" s="4" t="s">
        <v>40</v>
      </c>
      <c r="B18" s="5" t="s">
        <v>7</v>
      </c>
      <c r="C18" s="6" t="s">
        <v>41</v>
      </c>
      <c r="D18" s="7"/>
    </row>
    <row r="19" spans="1:4" x14ac:dyDescent="0.2">
      <c r="A19" s="4" t="s">
        <v>42</v>
      </c>
      <c r="B19" s="5" t="s">
        <v>7</v>
      </c>
      <c r="C19" s="6" t="s">
        <v>43</v>
      </c>
      <c r="D19" s="7"/>
    </row>
    <row r="20" spans="1:4" x14ac:dyDescent="0.2">
      <c r="A20" s="4" t="s">
        <v>44</v>
      </c>
      <c r="B20" s="5" t="s">
        <v>7</v>
      </c>
      <c r="C20" s="6" t="s">
        <v>45</v>
      </c>
      <c r="D20" s="7"/>
    </row>
    <row r="21" spans="1:4" x14ac:dyDescent="0.2">
      <c r="A21" s="4" t="s">
        <v>46</v>
      </c>
      <c r="B21" s="5" t="s">
        <v>7</v>
      </c>
      <c r="C21" s="6" t="s">
        <v>47</v>
      </c>
      <c r="D21" s="7"/>
    </row>
    <row r="22" spans="1:4" x14ac:dyDescent="0.2">
      <c r="A22" s="4" t="s">
        <v>48</v>
      </c>
      <c r="B22" s="5" t="s">
        <v>7</v>
      </c>
      <c r="C22" s="6" t="s">
        <v>49</v>
      </c>
      <c r="D22" s="7"/>
    </row>
    <row r="23" spans="1:4" x14ac:dyDescent="0.2">
      <c r="A23" s="4" t="s">
        <v>50</v>
      </c>
      <c r="B23" s="5" t="s">
        <v>7</v>
      </c>
      <c r="C23" s="6" t="s">
        <v>51</v>
      </c>
      <c r="D23" s="7"/>
    </row>
    <row r="24" spans="1:4" x14ac:dyDescent="0.2">
      <c r="A24" s="4" t="s">
        <v>52</v>
      </c>
      <c r="B24" s="5" t="s">
        <v>10</v>
      </c>
      <c r="C24" s="6" t="s">
        <v>53</v>
      </c>
      <c r="D24" s="7"/>
    </row>
    <row r="25" spans="1:4" x14ac:dyDescent="0.2">
      <c r="A25" s="4" t="s">
        <v>54</v>
      </c>
      <c r="B25" s="5" t="s">
        <v>10</v>
      </c>
      <c r="C25" s="6" t="s">
        <v>55</v>
      </c>
      <c r="D25" s="7"/>
    </row>
    <row r="26" spans="1:4" x14ac:dyDescent="0.2">
      <c r="A26" s="4" t="s">
        <v>56</v>
      </c>
      <c r="B26" s="5" t="s">
        <v>7</v>
      </c>
      <c r="C26" s="6" t="s">
        <v>57</v>
      </c>
      <c r="D26" s="7"/>
    </row>
    <row r="27" spans="1:4" x14ac:dyDescent="0.2">
      <c r="A27" s="4" t="s">
        <v>58</v>
      </c>
      <c r="B27" s="5" t="s">
        <v>7</v>
      </c>
      <c r="C27" s="6" t="s">
        <v>45</v>
      </c>
      <c r="D27" s="7"/>
    </row>
    <row r="28" spans="1:4" x14ac:dyDescent="0.2">
      <c r="A28" s="4" t="s">
        <v>59</v>
      </c>
      <c r="B28" s="5" t="s">
        <v>7</v>
      </c>
      <c r="C28" s="6" t="s">
        <v>60</v>
      </c>
      <c r="D28" s="7"/>
    </row>
    <row r="29" spans="1:4" x14ac:dyDescent="0.2">
      <c r="A29" s="4" t="s">
        <v>61</v>
      </c>
      <c r="B29" s="5" t="s">
        <v>7</v>
      </c>
      <c r="C29" s="6" t="s">
        <v>62</v>
      </c>
      <c r="D29" s="7"/>
    </row>
    <row r="30" spans="1:4" x14ac:dyDescent="0.2">
      <c r="A30" s="4" t="s">
        <v>63</v>
      </c>
      <c r="B30" s="5" t="s">
        <v>7</v>
      </c>
      <c r="C30" s="6" t="s">
        <v>64</v>
      </c>
      <c r="D30" s="7"/>
    </row>
    <row r="31" spans="1:4" x14ac:dyDescent="0.2">
      <c r="A31" s="4" t="s">
        <v>65</v>
      </c>
      <c r="B31" s="5" t="s">
        <v>22</v>
      </c>
      <c r="C31" s="6" t="s">
        <v>66</v>
      </c>
      <c r="D31" s="7"/>
    </row>
    <row r="32" spans="1:4" x14ac:dyDescent="0.2">
      <c r="A32" s="4" t="s">
        <v>67</v>
      </c>
      <c r="B32" s="5" t="s">
        <v>22</v>
      </c>
      <c r="C32" s="8">
        <v>46170</v>
      </c>
      <c r="D32" s="7"/>
    </row>
    <row r="33" spans="1:4" x14ac:dyDescent="0.2">
      <c r="A33" s="4" t="s">
        <v>68</v>
      </c>
      <c r="B33" s="5" t="s">
        <v>22</v>
      </c>
      <c r="C33" s="8">
        <v>46149</v>
      </c>
      <c r="D33" s="7"/>
    </row>
    <row r="34" spans="1:4" x14ac:dyDescent="0.2">
      <c r="A34" s="4" t="s">
        <v>69</v>
      </c>
      <c r="B34" s="5" t="s">
        <v>22</v>
      </c>
      <c r="C34" s="6" t="s">
        <v>70</v>
      </c>
      <c r="D34" s="7"/>
    </row>
    <row r="35" spans="1:4" x14ac:dyDescent="0.2">
      <c r="A35" s="4" t="s">
        <v>71</v>
      </c>
      <c r="B35" s="5" t="s">
        <v>22</v>
      </c>
      <c r="C35" s="6" t="s">
        <v>72</v>
      </c>
      <c r="D35" s="7"/>
    </row>
    <row r="36" spans="1:4" x14ac:dyDescent="0.2">
      <c r="A36" s="4" t="s">
        <v>73</v>
      </c>
      <c r="B36" s="5" t="s">
        <v>22</v>
      </c>
      <c r="C36" s="6" t="s">
        <v>74</v>
      </c>
      <c r="D36" s="7"/>
    </row>
    <row r="37" spans="1:4" x14ac:dyDescent="0.2">
      <c r="A37" s="4" t="s">
        <v>75</v>
      </c>
      <c r="B37" s="5" t="s">
        <v>22</v>
      </c>
      <c r="C37" s="6" t="s">
        <v>76</v>
      </c>
      <c r="D37" s="7"/>
    </row>
    <row r="38" spans="1:4" x14ac:dyDescent="0.2">
      <c r="A38" s="4" t="s">
        <v>77</v>
      </c>
      <c r="B38" s="5" t="s">
        <v>22</v>
      </c>
      <c r="C38" s="6" t="s">
        <v>78</v>
      </c>
      <c r="D38" s="7"/>
    </row>
    <row r="39" spans="1:4" x14ac:dyDescent="0.2">
      <c r="A39" s="4" t="s">
        <v>79</v>
      </c>
      <c r="B39" s="5" t="s">
        <v>22</v>
      </c>
      <c r="C39" s="6" t="s">
        <v>80</v>
      </c>
      <c r="D39" s="7"/>
    </row>
    <row r="40" spans="1:4" x14ac:dyDescent="0.2">
      <c r="A40" s="4" t="s">
        <v>81</v>
      </c>
      <c r="B40" s="5" t="s">
        <v>22</v>
      </c>
      <c r="C40" s="6" t="s">
        <v>82</v>
      </c>
      <c r="D40" s="7"/>
    </row>
    <row r="41" spans="1:4" x14ac:dyDescent="0.2">
      <c r="A41" s="4" t="s">
        <v>83</v>
      </c>
      <c r="B41" s="5" t="s">
        <v>22</v>
      </c>
      <c r="C41" s="6" t="s">
        <v>84</v>
      </c>
      <c r="D41" s="7"/>
    </row>
    <row r="42" spans="1:4" x14ac:dyDescent="0.2">
      <c r="A42" s="4" t="s">
        <v>85</v>
      </c>
      <c r="B42" s="5" t="s">
        <v>22</v>
      </c>
      <c r="C42" s="6" t="s">
        <v>86</v>
      </c>
      <c r="D42" s="7"/>
    </row>
    <row r="43" spans="1:4" x14ac:dyDescent="0.2">
      <c r="A43" s="4" t="s">
        <v>87</v>
      </c>
      <c r="B43" s="5" t="s">
        <v>22</v>
      </c>
      <c r="C43" s="6" t="s">
        <v>88</v>
      </c>
      <c r="D43" s="7"/>
    </row>
    <row r="44" spans="1:4" x14ac:dyDescent="0.2">
      <c r="A44" s="4" t="s">
        <v>89</v>
      </c>
      <c r="B44" s="5" t="s">
        <v>22</v>
      </c>
      <c r="C44" s="6" t="s">
        <v>90</v>
      </c>
      <c r="D44" s="7"/>
    </row>
    <row r="45" spans="1:4" x14ac:dyDescent="0.2">
      <c r="A45" s="4" t="s">
        <v>91</v>
      </c>
      <c r="B45" s="5" t="s">
        <v>22</v>
      </c>
      <c r="C45" s="6" t="s">
        <v>92</v>
      </c>
      <c r="D45" s="7"/>
    </row>
    <row r="46" spans="1:4" x14ac:dyDescent="0.2">
      <c r="A46" s="4" t="s">
        <v>93</v>
      </c>
      <c r="B46" s="5" t="s">
        <v>22</v>
      </c>
      <c r="C46" s="9">
        <v>46321</v>
      </c>
      <c r="D46" s="7"/>
    </row>
    <row r="47" spans="1:4" x14ac:dyDescent="0.2">
      <c r="A47" s="4" t="s">
        <v>94</v>
      </c>
      <c r="B47" s="5" t="s">
        <v>22</v>
      </c>
      <c r="C47" s="6" t="s">
        <v>95</v>
      </c>
      <c r="D47" s="7"/>
    </row>
    <row r="48" spans="1:4" x14ac:dyDescent="0.2">
      <c r="A48" s="4" t="s">
        <v>96</v>
      </c>
      <c r="B48" s="5" t="s">
        <v>7</v>
      </c>
      <c r="C48" s="8">
        <v>46147</v>
      </c>
      <c r="D48" s="7"/>
    </row>
    <row r="49" spans="1:4" x14ac:dyDescent="0.2">
      <c r="A49" s="4" t="s">
        <v>97</v>
      </c>
      <c r="B49" s="5" t="s">
        <v>7</v>
      </c>
      <c r="C49" s="6" t="s">
        <v>98</v>
      </c>
      <c r="D49" s="7"/>
    </row>
    <row r="50" spans="1:4" x14ac:dyDescent="0.2">
      <c r="A50" s="4" t="s">
        <v>99</v>
      </c>
      <c r="B50" s="5" t="s">
        <v>22</v>
      </c>
      <c r="C50" s="6" t="s">
        <v>35</v>
      </c>
      <c r="D50" s="7"/>
    </row>
    <row r="51" spans="1:4" x14ac:dyDescent="0.2">
      <c r="A51" s="4" t="s">
        <v>100</v>
      </c>
      <c r="B51" s="5" t="s">
        <v>22</v>
      </c>
      <c r="C51" s="6" t="s">
        <v>101</v>
      </c>
      <c r="D51" s="7"/>
    </row>
    <row r="52" spans="1:4" x14ac:dyDescent="0.2">
      <c r="A52" s="4" t="s">
        <v>102</v>
      </c>
      <c r="B52" s="5" t="s">
        <v>22</v>
      </c>
      <c r="C52" s="8">
        <v>46203</v>
      </c>
      <c r="D52" s="7"/>
    </row>
    <row r="53" spans="1:4" x14ac:dyDescent="0.2">
      <c r="A53" s="4" t="s">
        <v>103</v>
      </c>
      <c r="B53" s="5" t="s">
        <v>22</v>
      </c>
      <c r="C53" s="6" t="s">
        <v>104</v>
      </c>
      <c r="D53" s="7"/>
    </row>
    <row r="54" spans="1:4" x14ac:dyDescent="0.2">
      <c r="A54" s="4" t="s">
        <v>105</v>
      </c>
      <c r="B54" s="5" t="s">
        <v>22</v>
      </c>
      <c r="C54" s="6" t="s">
        <v>106</v>
      </c>
      <c r="D54" s="7"/>
    </row>
    <row r="55" spans="1:4" x14ac:dyDescent="0.2">
      <c r="A55" s="4" t="s">
        <v>107</v>
      </c>
      <c r="B55" s="5" t="s">
        <v>22</v>
      </c>
      <c r="C55" s="6" t="s">
        <v>108</v>
      </c>
      <c r="D55" s="7"/>
    </row>
    <row r="56" spans="1:4" x14ac:dyDescent="0.2">
      <c r="A56" s="4" t="s">
        <v>109</v>
      </c>
      <c r="B56" s="5" t="s">
        <v>22</v>
      </c>
      <c r="C56" s="6" t="s">
        <v>110</v>
      </c>
      <c r="D56" s="7"/>
    </row>
    <row r="57" spans="1:4" x14ac:dyDescent="0.2">
      <c r="A57" s="4" t="s">
        <v>111</v>
      </c>
      <c r="B57" s="5" t="s">
        <v>22</v>
      </c>
      <c r="C57" s="6" t="s">
        <v>112</v>
      </c>
      <c r="D57" s="7"/>
    </row>
    <row r="58" spans="1:4" x14ac:dyDescent="0.2">
      <c r="A58" s="4" t="s">
        <v>113</v>
      </c>
      <c r="B58" s="5" t="s">
        <v>22</v>
      </c>
      <c r="C58" s="6" t="s">
        <v>114</v>
      </c>
      <c r="D58" s="7"/>
    </row>
    <row r="59" spans="1:4" x14ac:dyDescent="0.2">
      <c r="A59" s="4" t="s">
        <v>115</v>
      </c>
      <c r="B59" s="5" t="s">
        <v>7</v>
      </c>
      <c r="C59" s="6" t="s">
        <v>116</v>
      </c>
      <c r="D59" s="7"/>
    </row>
    <row r="60" spans="1:4" x14ac:dyDescent="0.2">
      <c r="A60" s="4" t="s">
        <v>117</v>
      </c>
      <c r="B60" s="5" t="s">
        <v>22</v>
      </c>
      <c r="C60" s="6" t="s">
        <v>118</v>
      </c>
      <c r="D60" s="7"/>
    </row>
    <row r="61" spans="1:4" x14ac:dyDescent="0.2">
      <c r="A61" s="4" t="s">
        <v>119</v>
      </c>
      <c r="B61" s="5" t="s">
        <v>7</v>
      </c>
      <c r="C61" s="6" t="s">
        <v>120</v>
      </c>
      <c r="D61" s="7"/>
    </row>
    <row r="62" spans="1:4" x14ac:dyDescent="0.2">
      <c r="A62" s="4" t="s">
        <v>121</v>
      </c>
      <c r="B62" s="5" t="s">
        <v>7</v>
      </c>
      <c r="C62" s="6" t="s">
        <v>122</v>
      </c>
      <c r="D62" s="7"/>
    </row>
    <row r="63" spans="1:4" x14ac:dyDescent="0.2">
      <c r="A63" s="4" t="s">
        <v>123</v>
      </c>
      <c r="B63" s="5" t="s">
        <v>7</v>
      </c>
      <c r="C63" s="6" t="s">
        <v>124</v>
      </c>
      <c r="D63" s="7"/>
    </row>
    <row r="64" spans="1:4" x14ac:dyDescent="0.2">
      <c r="A64" s="4" t="s">
        <v>125</v>
      </c>
      <c r="B64" s="5" t="s">
        <v>7</v>
      </c>
      <c r="C64" s="6" t="s">
        <v>126</v>
      </c>
      <c r="D64" s="7"/>
    </row>
    <row r="65" spans="1:4" x14ac:dyDescent="0.2">
      <c r="A65" s="4" t="s">
        <v>127</v>
      </c>
      <c r="B65" s="5" t="s">
        <v>22</v>
      </c>
      <c r="C65" s="6" t="s">
        <v>128</v>
      </c>
      <c r="D65" s="7"/>
    </row>
    <row r="66" spans="1:4" x14ac:dyDescent="0.2">
      <c r="A66" s="4" t="s">
        <v>129</v>
      </c>
      <c r="B66" s="5" t="s">
        <v>22</v>
      </c>
      <c r="C66" s="6" t="s">
        <v>130</v>
      </c>
      <c r="D66" s="7"/>
    </row>
    <row r="67" spans="1:4" x14ac:dyDescent="0.2">
      <c r="A67" s="4" t="s">
        <v>131</v>
      </c>
      <c r="B67" s="5" t="s">
        <v>22</v>
      </c>
      <c r="C67" s="6" t="s">
        <v>132</v>
      </c>
      <c r="D67" s="7"/>
    </row>
    <row r="68" spans="1:4" x14ac:dyDescent="0.2">
      <c r="A68" s="4" t="s">
        <v>133</v>
      </c>
      <c r="B68" s="5" t="s">
        <v>22</v>
      </c>
      <c r="C68" s="6" t="s">
        <v>134</v>
      </c>
      <c r="D68" s="7"/>
    </row>
    <row r="69" spans="1:4" x14ac:dyDescent="0.2">
      <c r="A69" s="4" t="s">
        <v>135</v>
      </c>
      <c r="B69" s="5" t="s">
        <v>22</v>
      </c>
      <c r="C69" s="6" t="s">
        <v>136</v>
      </c>
      <c r="D69" s="7"/>
    </row>
    <row r="70" spans="1:4" x14ac:dyDescent="0.2">
      <c r="A70" s="4" t="s">
        <v>137</v>
      </c>
      <c r="B70" s="5" t="s">
        <v>7</v>
      </c>
      <c r="C70" s="6" t="s">
        <v>138</v>
      </c>
      <c r="D70" s="7"/>
    </row>
    <row r="71" spans="1:4" x14ac:dyDescent="0.2">
      <c r="A71" s="4" t="s">
        <v>139</v>
      </c>
      <c r="B71" s="5" t="s">
        <v>22</v>
      </c>
      <c r="C71" s="6" t="s">
        <v>140</v>
      </c>
      <c r="D71" s="7"/>
    </row>
    <row r="72" spans="1:4" x14ac:dyDescent="0.2">
      <c r="A72" s="4" t="s">
        <v>141</v>
      </c>
      <c r="B72" s="5" t="s">
        <v>22</v>
      </c>
      <c r="C72" s="6" t="s">
        <v>142</v>
      </c>
      <c r="D72" s="7"/>
    </row>
    <row r="73" spans="1:4" x14ac:dyDescent="0.2">
      <c r="A73" s="4" t="s">
        <v>143</v>
      </c>
      <c r="B73" s="5" t="s">
        <v>22</v>
      </c>
      <c r="C73" s="6" t="s">
        <v>144</v>
      </c>
      <c r="D73" s="7"/>
    </row>
    <row r="74" spans="1:4" x14ac:dyDescent="0.2">
      <c r="A74" s="4" t="s">
        <v>145</v>
      </c>
      <c r="B74" s="5" t="s">
        <v>7</v>
      </c>
      <c r="C74" s="6" t="s">
        <v>146</v>
      </c>
      <c r="D74" s="7"/>
    </row>
    <row r="75" spans="1:4" x14ac:dyDescent="0.2">
      <c r="A75" s="4" t="s">
        <v>147</v>
      </c>
      <c r="B75" s="5" t="s">
        <v>7</v>
      </c>
      <c r="C75" s="6" t="s">
        <v>148</v>
      </c>
      <c r="D75" s="7"/>
    </row>
    <row r="76" spans="1:4" x14ac:dyDescent="0.2">
      <c r="A76" s="4" t="s">
        <v>149</v>
      </c>
      <c r="B76" s="5"/>
      <c r="C76" s="6" t="s">
        <v>150</v>
      </c>
      <c r="D76" s="7"/>
    </row>
    <row r="77" spans="1:4" x14ac:dyDescent="0.2">
      <c r="A77" s="4" t="s">
        <v>151</v>
      </c>
      <c r="B77" s="5" t="s">
        <v>7</v>
      </c>
      <c r="C77" s="6" t="s">
        <v>152</v>
      </c>
      <c r="D77" s="7"/>
    </row>
    <row r="78" spans="1:4" x14ac:dyDescent="0.2">
      <c r="A78" s="4" t="s">
        <v>153</v>
      </c>
      <c r="B78" s="5" t="s">
        <v>7</v>
      </c>
      <c r="C78" s="6" t="s">
        <v>154</v>
      </c>
      <c r="D78" s="7"/>
    </row>
    <row r="79" spans="1:4" x14ac:dyDescent="0.2">
      <c r="A79" s="4" t="s">
        <v>155</v>
      </c>
      <c r="B79" s="5" t="s">
        <v>156</v>
      </c>
      <c r="C79" s="6" t="s">
        <v>157</v>
      </c>
      <c r="D79" s="7"/>
    </row>
    <row r="80" spans="1:4" x14ac:dyDescent="0.2">
      <c r="A80" s="4" t="s">
        <v>158</v>
      </c>
      <c r="B80" s="5" t="s">
        <v>156</v>
      </c>
      <c r="C80" s="6" t="s">
        <v>159</v>
      </c>
      <c r="D80" s="7"/>
    </row>
    <row r="81" spans="1:4" x14ac:dyDescent="0.2">
      <c r="A81" s="4" t="s">
        <v>160</v>
      </c>
      <c r="B81" s="5" t="s">
        <v>156</v>
      </c>
      <c r="C81" s="8">
        <v>46057</v>
      </c>
      <c r="D81" s="7"/>
    </row>
    <row r="82" spans="1:4" x14ac:dyDescent="0.2">
      <c r="A82" s="4" t="s">
        <v>161</v>
      </c>
      <c r="B82" s="5" t="s">
        <v>156</v>
      </c>
      <c r="C82" s="6" t="s">
        <v>162</v>
      </c>
      <c r="D82" s="7"/>
    </row>
    <row r="83" spans="1:4" x14ac:dyDescent="0.2">
      <c r="A83" s="4" t="s">
        <v>163</v>
      </c>
      <c r="B83" s="5" t="s">
        <v>22</v>
      </c>
      <c r="C83" s="6" t="s">
        <v>164</v>
      </c>
      <c r="D83" s="7"/>
    </row>
    <row r="84" spans="1:4" x14ac:dyDescent="0.2">
      <c r="A84" s="4" t="s">
        <v>165</v>
      </c>
      <c r="B84" s="5" t="s">
        <v>22</v>
      </c>
      <c r="C84" s="6" t="s">
        <v>166</v>
      </c>
      <c r="D84" s="7"/>
    </row>
    <row r="85" spans="1:4" x14ac:dyDescent="0.2">
      <c r="A85" s="4" t="s">
        <v>167</v>
      </c>
      <c r="B85" s="5" t="s">
        <v>22</v>
      </c>
      <c r="C85" s="6" t="s">
        <v>168</v>
      </c>
      <c r="D85" s="7"/>
    </row>
    <row r="86" spans="1:4" x14ac:dyDescent="0.2">
      <c r="A86" s="4" t="s">
        <v>169</v>
      </c>
      <c r="B86" s="5" t="s">
        <v>7</v>
      </c>
      <c r="C86" s="6" t="s">
        <v>170</v>
      </c>
      <c r="D86" s="7"/>
    </row>
    <row r="87" spans="1:4" x14ac:dyDescent="0.2">
      <c r="A87" s="4" t="s">
        <v>171</v>
      </c>
      <c r="B87" s="5" t="s">
        <v>22</v>
      </c>
      <c r="C87" s="6" t="s">
        <v>172</v>
      </c>
      <c r="D87" s="7"/>
    </row>
    <row r="88" spans="1:4" x14ac:dyDescent="0.2">
      <c r="A88" s="4" t="s">
        <v>173</v>
      </c>
      <c r="B88" s="5" t="s">
        <v>22</v>
      </c>
      <c r="C88" s="6" t="s">
        <v>174</v>
      </c>
      <c r="D88" s="7"/>
    </row>
    <row r="89" spans="1:4" x14ac:dyDescent="0.2">
      <c r="A89" s="4" t="s">
        <v>175</v>
      </c>
      <c r="B89" s="5" t="s">
        <v>22</v>
      </c>
      <c r="C89" s="6" t="s">
        <v>176</v>
      </c>
      <c r="D89" s="7"/>
    </row>
    <row r="90" spans="1:4" x14ac:dyDescent="0.2">
      <c r="A90" s="4" t="s">
        <v>177</v>
      </c>
      <c r="B90" s="5" t="s">
        <v>22</v>
      </c>
      <c r="C90" s="6" t="s">
        <v>178</v>
      </c>
      <c r="D90" s="7"/>
    </row>
    <row r="91" spans="1:4" x14ac:dyDescent="0.2">
      <c r="A91" s="4" t="s">
        <v>179</v>
      </c>
      <c r="B91" s="5" t="s">
        <v>7</v>
      </c>
      <c r="C91" s="6" t="s">
        <v>180</v>
      </c>
      <c r="D91" s="7"/>
    </row>
    <row r="92" spans="1:4" x14ac:dyDescent="0.2">
      <c r="A92" s="4" t="s">
        <v>181</v>
      </c>
      <c r="B92" s="5" t="s">
        <v>22</v>
      </c>
      <c r="C92" s="6" t="s">
        <v>182</v>
      </c>
      <c r="D92" s="7"/>
    </row>
    <row r="93" spans="1:4" x14ac:dyDescent="0.2">
      <c r="A93" s="4" t="s">
        <v>183</v>
      </c>
      <c r="B93" s="5" t="s">
        <v>22</v>
      </c>
      <c r="C93" s="6" t="s">
        <v>184</v>
      </c>
      <c r="D93" s="7"/>
    </row>
    <row r="94" spans="1:4" x14ac:dyDescent="0.2">
      <c r="A94" s="4" t="s">
        <v>185</v>
      </c>
      <c r="B94" s="5" t="s">
        <v>22</v>
      </c>
      <c r="C94" s="6" t="s">
        <v>186</v>
      </c>
      <c r="D94" s="7"/>
    </row>
    <row r="95" spans="1:4" x14ac:dyDescent="0.2">
      <c r="A95" s="4" t="s">
        <v>187</v>
      </c>
      <c r="B95" s="5" t="s">
        <v>7</v>
      </c>
      <c r="C95" s="6" t="s">
        <v>188</v>
      </c>
      <c r="D95" s="7"/>
    </row>
    <row r="96" spans="1:4" x14ac:dyDescent="0.2">
      <c r="A96" s="4" t="s">
        <v>189</v>
      </c>
      <c r="B96" s="5" t="s">
        <v>22</v>
      </c>
      <c r="C96" s="6" t="s">
        <v>190</v>
      </c>
      <c r="D96" s="7"/>
    </row>
    <row r="97" spans="1:4" x14ac:dyDescent="0.2">
      <c r="A97" s="4" t="s">
        <v>191</v>
      </c>
      <c r="B97" s="5" t="s">
        <v>22</v>
      </c>
      <c r="C97" s="6" t="s">
        <v>192</v>
      </c>
      <c r="D97" s="7"/>
    </row>
    <row r="98" spans="1:4" x14ac:dyDescent="0.2">
      <c r="A98" s="4" t="s">
        <v>193</v>
      </c>
      <c r="B98" s="5" t="s">
        <v>22</v>
      </c>
      <c r="C98" s="6" t="s">
        <v>194</v>
      </c>
      <c r="D98" s="7"/>
    </row>
    <row r="99" spans="1:4" x14ac:dyDescent="0.2">
      <c r="A99" s="4" t="s">
        <v>195</v>
      </c>
      <c r="B99" s="5" t="s">
        <v>22</v>
      </c>
      <c r="C99" s="6" t="s">
        <v>196</v>
      </c>
      <c r="D99" s="7"/>
    </row>
    <row r="100" spans="1:4" x14ac:dyDescent="0.2">
      <c r="A100" s="4" t="s">
        <v>197</v>
      </c>
      <c r="B100" s="5" t="s">
        <v>7</v>
      </c>
      <c r="C100" s="6" t="s">
        <v>138</v>
      </c>
      <c r="D100" s="7"/>
    </row>
    <row r="101" spans="1:4" x14ac:dyDescent="0.2">
      <c r="A101" s="4" t="s">
        <v>198</v>
      </c>
      <c r="B101" s="5" t="s">
        <v>22</v>
      </c>
      <c r="C101" s="6" t="s">
        <v>199</v>
      </c>
      <c r="D101" s="7"/>
    </row>
    <row r="102" spans="1:4" x14ac:dyDescent="0.2">
      <c r="A102" s="4" t="s">
        <v>200</v>
      </c>
      <c r="B102" s="5" t="s">
        <v>22</v>
      </c>
      <c r="C102" s="6" t="s">
        <v>201</v>
      </c>
      <c r="D102" s="7"/>
    </row>
    <row r="103" spans="1:4" x14ac:dyDescent="0.2">
      <c r="A103" s="4" t="s">
        <v>202</v>
      </c>
      <c r="B103" s="5" t="s">
        <v>22</v>
      </c>
      <c r="C103" s="6" t="s">
        <v>203</v>
      </c>
      <c r="D103" s="7"/>
    </row>
    <row r="104" spans="1:4" x14ac:dyDescent="0.2">
      <c r="A104" s="4" t="s">
        <v>204</v>
      </c>
      <c r="B104" s="5" t="s">
        <v>22</v>
      </c>
      <c r="C104" s="6" t="s">
        <v>205</v>
      </c>
      <c r="D104" s="7"/>
    </row>
    <row r="105" spans="1:4" x14ac:dyDescent="0.2">
      <c r="A105" s="4" t="s">
        <v>206</v>
      </c>
      <c r="B105" s="5" t="s">
        <v>22</v>
      </c>
      <c r="C105" s="6" t="s">
        <v>207</v>
      </c>
      <c r="D105" s="7"/>
    </row>
    <row r="106" spans="1:4" x14ac:dyDescent="0.2">
      <c r="A106" s="4" t="s">
        <v>208</v>
      </c>
      <c r="B106" s="5" t="s">
        <v>22</v>
      </c>
      <c r="C106" s="6" t="s">
        <v>207</v>
      </c>
      <c r="D106" s="7"/>
    </row>
    <row r="107" spans="1:4" x14ac:dyDescent="0.2">
      <c r="A107" s="4" t="s">
        <v>209</v>
      </c>
      <c r="B107" s="5" t="s">
        <v>22</v>
      </c>
      <c r="C107" s="6" t="s">
        <v>210</v>
      </c>
      <c r="D107" s="7"/>
    </row>
    <row r="108" spans="1:4" x14ac:dyDescent="0.2">
      <c r="A108" s="4" t="s">
        <v>211</v>
      </c>
      <c r="B108" s="5" t="s">
        <v>22</v>
      </c>
      <c r="C108" s="6" t="s">
        <v>199</v>
      </c>
      <c r="D108" s="7"/>
    </row>
    <row r="109" spans="1:4" x14ac:dyDescent="0.2">
      <c r="A109" s="4" t="s">
        <v>212</v>
      </c>
      <c r="B109" s="5" t="s">
        <v>22</v>
      </c>
      <c r="C109" s="6" t="s">
        <v>201</v>
      </c>
      <c r="D109" s="7"/>
    </row>
    <row r="110" spans="1:4" x14ac:dyDescent="0.2">
      <c r="A110" s="4" t="s">
        <v>213</v>
      </c>
      <c r="B110" s="5" t="s">
        <v>22</v>
      </c>
      <c r="C110" s="6" t="s">
        <v>203</v>
      </c>
      <c r="D110" s="7"/>
    </row>
    <row r="111" spans="1:4" x14ac:dyDescent="0.2">
      <c r="A111" s="4" t="s">
        <v>214</v>
      </c>
      <c r="B111" s="5" t="s">
        <v>22</v>
      </c>
      <c r="C111" s="6" t="s">
        <v>205</v>
      </c>
      <c r="D111" s="7"/>
    </row>
    <row r="112" spans="1:4" x14ac:dyDescent="0.2">
      <c r="A112" s="4" t="s">
        <v>215</v>
      </c>
      <c r="B112" s="5" t="s">
        <v>22</v>
      </c>
      <c r="C112" s="6" t="s">
        <v>207</v>
      </c>
      <c r="D112" s="7"/>
    </row>
    <row r="113" spans="1:4" x14ac:dyDescent="0.2">
      <c r="A113" s="4" t="s">
        <v>216</v>
      </c>
      <c r="B113" s="5" t="s">
        <v>22</v>
      </c>
      <c r="C113" s="6" t="s">
        <v>207</v>
      </c>
      <c r="D113" s="7"/>
    </row>
    <row r="114" spans="1:4" x14ac:dyDescent="0.2">
      <c r="A114" s="4" t="s">
        <v>217</v>
      </c>
      <c r="B114" s="5" t="s">
        <v>22</v>
      </c>
      <c r="C114" s="6" t="s">
        <v>210</v>
      </c>
      <c r="D114" s="7"/>
    </row>
    <row r="115" spans="1:4" x14ac:dyDescent="0.2">
      <c r="A115" s="4" t="s">
        <v>218</v>
      </c>
      <c r="B115" s="5" t="s">
        <v>22</v>
      </c>
      <c r="C115" s="6" t="s">
        <v>219</v>
      </c>
      <c r="D115" s="7"/>
    </row>
    <row r="116" spans="1:4" x14ac:dyDescent="0.2">
      <c r="A116" s="4" t="s">
        <v>220</v>
      </c>
      <c r="B116" s="5" t="s">
        <v>22</v>
      </c>
      <c r="C116" s="6" t="s">
        <v>221</v>
      </c>
      <c r="D116" s="7"/>
    </row>
    <row r="117" spans="1:4" x14ac:dyDescent="0.2">
      <c r="A117" s="4" t="s">
        <v>222</v>
      </c>
      <c r="B117" s="5" t="s">
        <v>22</v>
      </c>
      <c r="C117" s="6" t="s">
        <v>223</v>
      </c>
      <c r="D117" s="7"/>
    </row>
    <row r="118" spans="1:4" x14ac:dyDescent="0.2">
      <c r="A118" s="4" t="s">
        <v>224</v>
      </c>
      <c r="B118" s="5" t="s">
        <v>22</v>
      </c>
      <c r="C118" s="6" t="s">
        <v>225</v>
      </c>
      <c r="D118" s="7"/>
    </row>
    <row r="119" spans="1:4" x14ac:dyDescent="0.2">
      <c r="A119" s="4" t="s">
        <v>226</v>
      </c>
      <c r="B119" s="5" t="s">
        <v>22</v>
      </c>
      <c r="C119" s="6" t="s">
        <v>227</v>
      </c>
      <c r="D119" s="7"/>
    </row>
    <row r="120" spans="1:4" x14ac:dyDescent="0.2">
      <c r="A120" s="4" t="s">
        <v>228</v>
      </c>
      <c r="B120" s="5" t="s">
        <v>22</v>
      </c>
      <c r="C120" s="6" t="s">
        <v>227</v>
      </c>
      <c r="D120" s="7"/>
    </row>
    <row r="121" spans="1:4" x14ac:dyDescent="0.2">
      <c r="A121" s="4" t="s">
        <v>229</v>
      </c>
      <c r="B121" s="5" t="s">
        <v>22</v>
      </c>
      <c r="C121" s="6" t="s">
        <v>230</v>
      </c>
      <c r="D121" s="7"/>
    </row>
    <row r="122" spans="1:4" x14ac:dyDescent="0.2">
      <c r="A122" s="4" t="s">
        <v>231</v>
      </c>
      <c r="B122" s="5" t="s">
        <v>22</v>
      </c>
      <c r="C122" s="6" t="s">
        <v>232</v>
      </c>
      <c r="D122" s="7"/>
    </row>
    <row r="123" spans="1:4" x14ac:dyDescent="0.2">
      <c r="A123" s="4" t="s">
        <v>233</v>
      </c>
      <c r="B123" s="5" t="s">
        <v>22</v>
      </c>
      <c r="C123" s="6" t="s">
        <v>234</v>
      </c>
      <c r="D123" s="7"/>
    </row>
    <row r="124" spans="1:4" x14ac:dyDescent="0.2">
      <c r="A124" s="4" t="s">
        <v>235</v>
      </c>
      <c r="B124" s="5" t="s">
        <v>22</v>
      </c>
      <c r="C124" s="6" t="s">
        <v>236</v>
      </c>
      <c r="D124" s="7"/>
    </row>
    <row r="125" spans="1:4" x14ac:dyDescent="0.2">
      <c r="A125" s="4" t="s">
        <v>237</v>
      </c>
      <c r="B125" s="5" t="s">
        <v>22</v>
      </c>
      <c r="C125" s="6" t="s">
        <v>238</v>
      </c>
      <c r="D125" s="7"/>
    </row>
    <row r="126" spans="1:4" x14ac:dyDescent="0.2">
      <c r="A126" s="4" t="s">
        <v>239</v>
      </c>
      <c r="B126" s="5" t="s">
        <v>22</v>
      </c>
      <c r="C126" s="6" t="s">
        <v>240</v>
      </c>
      <c r="D126" s="7"/>
    </row>
    <row r="127" spans="1:4" x14ac:dyDescent="0.2">
      <c r="A127" s="4" t="s">
        <v>241</v>
      </c>
      <c r="B127" s="5" t="s">
        <v>22</v>
      </c>
      <c r="C127" s="6" t="s">
        <v>242</v>
      </c>
      <c r="D127" s="7"/>
    </row>
    <row r="128" spans="1:4" x14ac:dyDescent="0.2">
      <c r="A128" s="4" t="s">
        <v>243</v>
      </c>
      <c r="B128" s="5" t="s">
        <v>22</v>
      </c>
      <c r="C128" s="6" t="s">
        <v>244</v>
      </c>
      <c r="D128" s="7"/>
    </row>
    <row r="129" spans="1:4" x14ac:dyDescent="0.2">
      <c r="A129" s="4" t="s">
        <v>245</v>
      </c>
      <c r="B129" s="5" t="s">
        <v>22</v>
      </c>
      <c r="C129" s="6" t="s">
        <v>246</v>
      </c>
      <c r="D129" s="7"/>
    </row>
    <row r="130" spans="1:4" x14ac:dyDescent="0.2">
      <c r="A130" s="4" t="s">
        <v>247</v>
      </c>
      <c r="B130" s="5" t="s">
        <v>22</v>
      </c>
      <c r="C130" s="6" t="s">
        <v>248</v>
      </c>
      <c r="D130" s="7"/>
    </row>
    <row r="131" spans="1:4" x14ac:dyDescent="0.2">
      <c r="A131" s="4" t="s">
        <v>249</v>
      </c>
      <c r="B131" s="5" t="s">
        <v>22</v>
      </c>
      <c r="C131" s="6" t="s">
        <v>250</v>
      </c>
      <c r="D131" s="7"/>
    </row>
    <row r="132" spans="1:4" x14ac:dyDescent="0.2">
      <c r="A132" s="4" t="s">
        <v>251</v>
      </c>
      <c r="B132" s="5" t="s">
        <v>22</v>
      </c>
      <c r="C132" s="6" t="s">
        <v>252</v>
      </c>
      <c r="D132" s="7"/>
    </row>
    <row r="133" spans="1:4" x14ac:dyDescent="0.2">
      <c r="A133" s="4" t="s">
        <v>253</v>
      </c>
      <c r="B133" s="5" t="s">
        <v>22</v>
      </c>
      <c r="C133" s="6" t="s">
        <v>254</v>
      </c>
      <c r="D133" s="7"/>
    </row>
    <row r="134" spans="1:4" x14ac:dyDescent="0.2">
      <c r="A134" s="4" t="s">
        <v>255</v>
      </c>
      <c r="B134" s="5" t="s">
        <v>22</v>
      </c>
      <c r="C134" s="6" t="s">
        <v>254</v>
      </c>
      <c r="D134" s="7"/>
    </row>
    <row r="135" spans="1:4" x14ac:dyDescent="0.2">
      <c r="A135" s="4" t="s">
        <v>256</v>
      </c>
      <c r="B135" s="5" t="s">
        <v>22</v>
      </c>
      <c r="C135" s="6" t="s">
        <v>257</v>
      </c>
      <c r="D135" s="7"/>
    </row>
    <row r="136" spans="1:4" x14ac:dyDescent="0.2">
      <c r="A136" s="4" t="s">
        <v>258</v>
      </c>
      <c r="B136" s="5" t="s">
        <v>22</v>
      </c>
      <c r="C136" s="6" t="s">
        <v>259</v>
      </c>
      <c r="D136" s="7"/>
    </row>
    <row r="137" spans="1:4" x14ac:dyDescent="0.2">
      <c r="A137" s="4" t="s">
        <v>260</v>
      </c>
      <c r="B137" s="5" t="s">
        <v>22</v>
      </c>
      <c r="C137" s="6" t="s">
        <v>261</v>
      </c>
      <c r="D137" s="7"/>
    </row>
    <row r="138" spans="1:4" x14ac:dyDescent="0.2">
      <c r="A138" s="4" t="s">
        <v>262</v>
      </c>
      <c r="B138" s="5" t="s">
        <v>22</v>
      </c>
      <c r="C138" s="6" t="s">
        <v>263</v>
      </c>
      <c r="D138" s="7"/>
    </row>
    <row r="139" spans="1:4" x14ac:dyDescent="0.2">
      <c r="A139" s="4" t="s">
        <v>264</v>
      </c>
      <c r="B139" s="5" t="s">
        <v>22</v>
      </c>
      <c r="C139" s="6" t="s">
        <v>265</v>
      </c>
      <c r="D139" s="7"/>
    </row>
    <row r="140" spans="1:4" x14ac:dyDescent="0.2">
      <c r="A140" s="4" t="s">
        <v>266</v>
      </c>
      <c r="B140" s="5" t="s">
        <v>22</v>
      </c>
      <c r="C140" s="6" t="s">
        <v>267</v>
      </c>
      <c r="D140" s="7"/>
    </row>
    <row r="141" spans="1:4" x14ac:dyDescent="0.2">
      <c r="A141" s="4" t="s">
        <v>268</v>
      </c>
      <c r="B141" s="5" t="s">
        <v>22</v>
      </c>
      <c r="C141" s="6" t="s">
        <v>267</v>
      </c>
      <c r="D141" s="7"/>
    </row>
    <row r="142" spans="1:4" x14ac:dyDescent="0.2">
      <c r="A142" s="4" t="s">
        <v>269</v>
      </c>
      <c r="B142" s="5" t="s">
        <v>22</v>
      </c>
      <c r="C142" s="6" t="s">
        <v>270</v>
      </c>
      <c r="D142" s="7"/>
    </row>
    <row r="143" spans="1:4" x14ac:dyDescent="0.2">
      <c r="A143" s="4" t="s">
        <v>271</v>
      </c>
      <c r="B143" s="5" t="s">
        <v>22</v>
      </c>
      <c r="C143" s="6" t="s">
        <v>272</v>
      </c>
      <c r="D143" s="7"/>
    </row>
    <row r="144" spans="1:4" x14ac:dyDescent="0.2">
      <c r="A144" s="4" t="s">
        <v>273</v>
      </c>
      <c r="B144" s="5" t="s">
        <v>22</v>
      </c>
      <c r="C144" s="6" t="s">
        <v>274</v>
      </c>
      <c r="D144" s="7"/>
    </row>
    <row r="145" spans="1:4" x14ac:dyDescent="0.2">
      <c r="A145" s="4" t="s">
        <v>275</v>
      </c>
      <c r="B145" s="5" t="s">
        <v>22</v>
      </c>
      <c r="C145" s="6" t="s">
        <v>276</v>
      </c>
      <c r="D145" s="7"/>
    </row>
    <row r="146" spans="1:4" x14ac:dyDescent="0.2">
      <c r="A146" s="4" t="s">
        <v>277</v>
      </c>
      <c r="B146" s="5" t="s">
        <v>22</v>
      </c>
      <c r="C146" s="6" t="s">
        <v>278</v>
      </c>
      <c r="D146" s="7"/>
    </row>
    <row r="147" spans="1:4" x14ac:dyDescent="0.2">
      <c r="A147" s="4" t="s">
        <v>279</v>
      </c>
      <c r="B147" s="5" t="s">
        <v>22</v>
      </c>
      <c r="C147" s="6" t="s">
        <v>280</v>
      </c>
      <c r="D147" s="7"/>
    </row>
    <row r="148" spans="1:4" x14ac:dyDescent="0.2">
      <c r="A148" s="4" t="s">
        <v>281</v>
      </c>
      <c r="B148" s="5" t="s">
        <v>22</v>
      </c>
      <c r="C148" s="6" t="s">
        <v>280</v>
      </c>
      <c r="D148" s="7"/>
    </row>
    <row r="149" spans="1:4" x14ac:dyDescent="0.2">
      <c r="A149" s="4" t="s">
        <v>282</v>
      </c>
      <c r="B149" s="5" t="s">
        <v>22</v>
      </c>
      <c r="C149" s="6" t="s">
        <v>283</v>
      </c>
      <c r="D149" s="7"/>
    </row>
    <row r="150" spans="1:4" x14ac:dyDescent="0.2">
      <c r="A150" s="4" t="s">
        <v>284</v>
      </c>
      <c r="B150" s="5" t="s">
        <v>22</v>
      </c>
      <c r="C150" s="6" t="s">
        <v>272</v>
      </c>
      <c r="D150" s="7"/>
    </row>
    <row r="151" spans="1:4" x14ac:dyDescent="0.2">
      <c r="A151" s="4" t="s">
        <v>285</v>
      </c>
      <c r="B151" s="5" t="s">
        <v>22</v>
      </c>
      <c r="C151" s="6" t="s">
        <v>274</v>
      </c>
      <c r="D151" s="7"/>
    </row>
    <row r="152" spans="1:4" x14ac:dyDescent="0.2">
      <c r="A152" s="4" t="s">
        <v>286</v>
      </c>
      <c r="B152" s="5" t="s">
        <v>22</v>
      </c>
      <c r="C152" s="6" t="s">
        <v>276</v>
      </c>
      <c r="D152" s="7"/>
    </row>
    <row r="153" spans="1:4" x14ac:dyDescent="0.2">
      <c r="A153" s="4" t="s">
        <v>287</v>
      </c>
      <c r="B153" s="5" t="s">
        <v>22</v>
      </c>
      <c r="C153" s="6" t="s">
        <v>278</v>
      </c>
      <c r="D153" s="7"/>
    </row>
    <row r="154" spans="1:4" x14ac:dyDescent="0.2">
      <c r="A154" s="4" t="s">
        <v>288</v>
      </c>
      <c r="B154" s="5" t="s">
        <v>22</v>
      </c>
      <c r="C154" s="6" t="s">
        <v>289</v>
      </c>
      <c r="D154" s="7"/>
    </row>
    <row r="155" spans="1:4" x14ac:dyDescent="0.2">
      <c r="A155" s="4" t="s">
        <v>290</v>
      </c>
      <c r="B155" s="5" t="s">
        <v>22</v>
      </c>
      <c r="C155" s="6" t="s">
        <v>280</v>
      </c>
      <c r="D155" s="7"/>
    </row>
    <row r="156" spans="1:4" x14ac:dyDescent="0.2">
      <c r="A156" s="4" t="s">
        <v>291</v>
      </c>
      <c r="B156" s="5" t="s">
        <v>22</v>
      </c>
      <c r="C156" s="6" t="s">
        <v>283</v>
      </c>
      <c r="D156" s="7"/>
    </row>
    <row r="157" spans="1:4" x14ac:dyDescent="0.2">
      <c r="A157" s="4" t="s">
        <v>292</v>
      </c>
      <c r="B157" s="5" t="s">
        <v>22</v>
      </c>
      <c r="C157" s="6" t="s">
        <v>272</v>
      </c>
      <c r="D157" s="7"/>
    </row>
    <row r="158" spans="1:4" x14ac:dyDescent="0.2">
      <c r="A158" s="4" t="s">
        <v>293</v>
      </c>
      <c r="B158" s="5" t="s">
        <v>22</v>
      </c>
      <c r="C158" s="6" t="s">
        <v>274</v>
      </c>
      <c r="D158" s="7"/>
    </row>
    <row r="159" spans="1:4" x14ac:dyDescent="0.2">
      <c r="A159" s="4" t="s">
        <v>294</v>
      </c>
      <c r="B159" s="5" t="s">
        <v>22</v>
      </c>
      <c r="C159" s="6" t="s">
        <v>276</v>
      </c>
      <c r="D159" s="7"/>
    </row>
    <row r="160" spans="1:4" x14ac:dyDescent="0.2">
      <c r="A160" s="4" t="s">
        <v>295</v>
      </c>
      <c r="B160" s="5" t="s">
        <v>22</v>
      </c>
      <c r="C160" s="6" t="s">
        <v>278</v>
      </c>
      <c r="D160" s="7"/>
    </row>
    <row r="161" spans="1:4" x14ac:dyDescent="0.2">
      <c r="A161" s="4" t="s">
        <v>296</v>
      </c>
      <c r="B161" s="5" t="s">
        <v>22</v>
      </c>
      <c r="C161" s="6" t="s">
        <v>280</v>
      </c>
      <c r="D161" s="7"/>
    </row>
    <row r="162" spans="1:4" x14ac:dyDescent="0.2">
      <c r="A162" s="4" t="s">
        <v>297</v>
      </c>
      <c r="B162" s="5" t="s">
        <v>22</v>
      </c>
      <c r="C162" s="6" t="s">
        <v>280</v>
      </c>
      <c r="D162" s="7"/>
    </row>
    <row r="163" spans="1:4" x14ac:dyDescent="0.2">
      <c r="A163" s="4" t="s">
        <v>298</v>
      </c>
      <c r="B163" s="5" t="s">
        <v>22</v>
      </c>
      <c r="C163" s="6" t="s">
        <v>283</v>
      </c>
      <c r="D163" s="7"/>
    </row>
    <row r="164" spans="1:4" x14ac:dyDescent="0.2">
      <c r="A164" s="4" t="s">
        <v>299</v>
      </c>
      <c r="B164" s="5" t="s">
        <v>22</v>
      </c>
      <c r="C164" s="6" t="s">
        <v>259</v>
      </c>
      <c r="D164" s="7"/>
    </row>
    <row r="165" spans="1:4" x14ac:dyDescent="0.2">
      <c r="A165" s="4" t="s">
        <v>300</v>
      </c>
      <c r="B165" s="5" t="s">
        <v>22</v>
      </c>
      <c r="C165" s="6" t="s">
        <v>261</v>
      </c>
      <c r="D165" s="7"/>
    </row>
    <row r="166" spans="1:4" x14ac:dyDescent="0.2">
      <c r="A166" s="4" t="s">
        <v>301</v>
      </c>
      <c r="B166" s="5" t="s">
        <v>22</v>
      </c>
      <c r="C166" s="6" t="s">
        <v>263</v>
      </c>
      <c r="D166" s="7"/>
    </row>
    <row r="167" spans="1:4" x14ac:dyDescent="0.2">
      <c r="A167" s="4" t="s">
        <v>302</v>
      </c>
      <c r="B167" s="5" t="s">
        <v>22</v>
      </c>
      <c r="C167" s="6" t="s">
        <v>265</v>
      </c>
      <c r="D167" s="7"/>
    </row>
    <row r="168" spans="1:4" x14ac:dyDescent="0.2">
      <c r="A168" s="4" t="s">
        <v>303</v>
      </c>
      <c r="B168" s="5" t="s">
        <v>22</v>
      </c>
      <c r="C168" s="6" t="s">
        <v>267</v>
      </c>
      <c r="D168" s="7"/>
    </row>
    <row r="169" spans="1:4" x14ac:dyDescent="0.2">
      <c r="A169" s="4" t="s">
        <v>304</v>
      </c>
      <c r="B169" s="5" t="s">
        <v>22</v>
      </c>
      <c r="C169" s="6" t="s">
        <v>267</v>
      </c>
      <c r="D169" s="7"/>
    </row>
    <row r="170" spans="1:4" x14ac:dyDescent="0.2">
      <c r="A170" s="4" t="s">
        <v>305</v>
      </c>
      <c r="B170" s="5" t="s">
        <v>22</v>
      </c>
      <c r="C170" s="6" t="s">
        <v>270</v>
      </c>
      <c r="D170" s="7"/>
    </row>
    <row r="171" spans="1:4" x14ac:dyDescent="0.2">
      <c r="A171" s="4" t="s">
        <v>306</v>
      </c>
      <c r="B171" s="5" t="s">
        <v>7</v>
      </c>
      <c r="C171" s="6" t="s">
        <v>307</v>
      </c>
      <c r="D171" s="7"/>
    </row>
    <row r="172" spans="1:4" x14ac:dyDescent="0.2">
      <c r="A172" s="4" t="s">
        <v>308</v>
      </c>
      <c r="B172" s="5" t="s">
        <v>7</v>
      </c>
      <c r="C172" s="6" t="s">
        <v>309</v>
      </c>
      <c r="D172" s="7"/>
    </row>
    <row r="173" spans="1:4" x14ac:dyDescent="0.2">
      <c r="A173" s="4" t="s">
        <v>310</v>
      </c>
      <c r="B173" s="5" t="s">
        <v>7</v>
      </c>
      <c r="C173" s="6" t="s">
        <v>311</v>
      </c>
      <c r="D173" s="7"/>
    </row>
    <row r="174" spans="1:4" x14ac:dyDescent="0.2">
      <c r="A174" s="4" t="s">
        <v>312</v>
      </c>
      <c r="B174" s="5" t="s">
        <v>7</v>
      </c>
      <c r="C174" s="6" t="s">
        <v>313</v>
      </c>
      <c r="D174" s="7"/>
    </row>
    <row r="175" spans="1:4" x14ac:dyDescent="0.2">
      <c r="A175" s="4" t="s">
        <v>314</v>
      </c>
      <c r="B175" s="5" t="s">
        <v>7</v>
      </c>
      <c r="C175" s="6" t="s">
        <v>315</v>
      </c>
      <c r="D175" s="7"/>
    </row>
    <row r="176" spans="1:4" x14ac:dyDescent="0.2">
      <c r="A176" s="4" t="s">
        <v>316</v>
      </c>
      <c r="B176" s="5" t="s">
        <v>7</v>
      </c>
      <c r="C176" s="6" t="s">
        <v>317</v>
      </c>
      <c r="D176" s="7"/>
    </row>
    <row r="177" spans="1:4" x14ac:dyDescent="0.2">
      <c r="A177" s="4" t="s">
        <v>318</v>
      </c>
      <c r="B177" s="5" t="s">
        <v>7</v>
      </c>
      <c r="C177" s="6" t="s">
        <v>319</v>
      </c>
      <c r="D177" s="7"/>
    </row>
    <row r="178" spans="1:4" x14ac:dyDescent="0.2">
      <c r="A178" s="4" t="s">
        <v>320</v>
      </c>
      <c r="B178" s="5" t="s">
        <v>7</v>
      </c>
      <c r="C178" s="6" t="s">
        <v>321</v>
      </c>
      <c r="D178" s="7"/>
    </row>
    <row r="179" spans="1:4" x14ac:dyDescent="0.2">
      <c r="A179" s="4" t="s">
        <v>322</v>
      </c>
      <c r="B179" s="5" t="s">
        <v>7</v>
      </c>
      <c r="C179" s="6" t="s">
        <v>323</v>
      </c>
      <c r="D179" s="7"/>
    </row>
    <row r="180" spans="1:4" x14ac:dyDescent="0.2">
      <c r="A180" s="4" t="s">
        <v>324</v>
      </c>
      <c r="B180" s="5" t="s">
        <v>7</v>
      </c>
      <c r="C180" s="6" t="s">
        <v>325</v>
      </c>
      <c r="D180" s="7"/>
    </row>
    <row r="181" spans="1:4" x14ac:dyDescent="0.2">
      <c r="A181" s="4" t="s">
        <v>326</v>
      </c>
      <c r="B181" s="5" t="s">
        <v>7</v>
      </c>
      <c r="C181" s="6" t="s">
        <v>327</v>
      </c>
      <c r="D181" s="7"/>
    </row>
    <row r="182" spans="1:4" x14ac:dyDescent="0.2">
      <c r="A182" s="4" t="s">
        <v>328</v>
      </c>
      <c r="B182" s="5" t="s">
        <v>7</v>
      </c>
      <c r="C182" s="6" t="s">
        <v>329</v>
      </c>
      <c r="D182" s="7"/>
    </row>
    <row r="183" spans="1:4" x14ac:dyDescent="0.2">
      <c r="A183" s="4" t="s">
        <v>330</v>
      </c>
      <c r="B183" s="5" t="s">
        <v>7</v>
      </c>
      <c r="C183" s="6" t="s">
        <v>331</v>
      </c>
      <c r="D183" s="7"/>
    </row>
    <row r="184" spans="1:4" x14ac:dyDescent="0.2">
      <c r="A184" s="4" t="s">
        <v>332</v>
      </c>
      <c r="B184" s="5" t="s">
        <v>7</v>
      </c>
      <c r="C184" s="6" t="s">
        <v>333</v>
      </c>
      <c r="D184" s="7"/>
    </row>
    <row r="185" spans="1:4" x14ac:dyDescent="0.2">
      <c r="A185" s="4" t="s">
        <v>334</v>
      </c>
      <c r="B185" s="5" t="s">
        <v>7</v>
      </c>
      <c r="C185" s="6" t="s">
        <v>335</v>
      </c>
      <c r="D185" s="7"/>
    </row>
    <row r="186" spans="1:4" x14ac:dyDescent="0.2">
      <c r="A186" s="4" t="s">
        <v>336</v>
      </c>
      <c r="B186" s="5" t="s">
        <v>7</v>
      </c>
      <c r="C186" s="6" t="s">
        <v>337</v>
      </c>
      <c r="D186" s="7"/>
    </row>
    <row r="187" spans="1:4" x14ac:dyDescent="0.2">
      <c r="A187" s="4" t="s">
        <v>338</v>
      </c>
      <c r="B187" s="5" t="s">
        <v>7</v>
      </c>
      <c r="C187" s="6" t="s">
        <v>339</v>
      </c>
      <c r="D187" s="7"/>
    </row>
    <row r="188" spans="1:4" x14ac:dyDescent="0.2">
      <c r="A188" s="4" t="s">
        <v>340</v>
      </c>
      <c r="B188" s="5" t="s">
        <v>7</v>
      </c>
      <c r="C188" s="6" t="s">
        <v>341</v>
      </c>
      <c r="D188" s="7"/>
    </row>
    <row r="189" spans="1:4" x14ac:dyDescent="0.2">
      <c r="A189" s="4" t="s">
        <v>342</v>
      </c>
      <c r="B189" s="5" t="s">
        <v>7</v>
      </c>
      <c r="C189" s="6" t="s">
        <v>343</v>
      </c>
      <c r="D189" s="7"/>
    </row>
    <row r="190" spans="1:4" x14ac:dyDescent="0.2">
      <c r="A190" s="4" t="s">
        <v>344</v>
      </c>
      <c r="B190" s="5" t="s">
        <v>7</v>
      </c>
      <c r="C190" s="6" t="s">
        <v>345</v>
      </c>
      <c r="D190" s="7"/>
    </row>
    <row r="191" spans="1:4" x14ac:dyDescent="0.2">
      <c r="A191" s="4" t="s">
        <v>346</v>
      </c>
      <c r="B191" s="5" t="s">
        <v>7</v>
      </c>
      <c r="C191" s="6" t="s">
        <v>347</v>
      </c>
      <c r="D191" s="7"/>
    </row>
    <row r="192" spans="1:4" x14ac:dyDescent="0.2">
      <c r="A192" s="4" t="s">
        <v>348</v>
      </c>
      <c r="B192" s="5" t="s">
        <v>7</v>
      </c>
      <c r="C192" s="6" t="s">
        <v>349</v>
      </c>
      <c r="D192" s="7"/>
    </row>
    <row r="193" spans="1:4" x14ac:dyDescent="0.2">
      <c r="A193" s="4" t="s">
        <v>350</v>
      </c>
      <c r="B193" s="5" t="s">
        <v>7</v>
      </c>
      <c r="C193" s="6" t="s">
        <v>351</v>
      </c>
      <c r="D193" s="7"/>
    </row>
    <row r="194" spans="1:4" x14ac:dyDescent="0.2">
      <c r="A194" s="4" t="s">
        <v>352</v>
      </c>
      <c r="B194" s="5" t="s">
        <v>7</v>
      </c>
      <c r="C194" s="6" t="s">
        <v>353</v>
      </c>
      <c r="D194" s="7"/>
    </row>
    <row r="195" spans="1:4" x14ac:dyDescent="0.2">
      <c r="A195" s="4" t="s">
        <v>354</v>
      </c>
      <c r="B195" s="5" t="s">
        <v>7</v>
      </c>
      <c r="C195" s="6" t="s">
        <v>355</v>
      </c>
      <c r="D195" s="7"/>
    </row>
    <row r="196" spans="1:4" x14ac:dyDescent="0.2">
      <c r="A196" s="4" t="s">
        <v>356</v>
      </c>
      <c r="B196" s="5" t="s">
        <v>7</v>
      </c>
      <c r="C196" s="6" t="s">
        <v>357</v>
      </c>
      <c r="D196" s="7"/>
    </row>
    <row r="197" spans="1:4" x14ac:dyDescent="0.2">
      <c r="A197" s="4" t="s">
        <v>358</v>
      </c>
      <c r="B197" s="5" t="s">
        <v>7</v>
      </c>
      <c r="C197" s="6" t="s">
        <v>359</v>
      </c>
      <c r="D197" s="7"/>
    </row>
    <row r="198" spans="1:4" x14ac:dyDescent="0.2">
      <c r="A198" s="4" t="s">
        <v>360</v>
      </c>
      <c r="B198" s="5" t="s">
        <v>7</v>
      </c>
      <c r="C198" s="6" t="s">
        <v>361</v>
      </c>
      <c r="D198" s="7"/>
    </row>
    <row r="199" spans="1:4" x14ac:dyDescent="0.2">
      <c r="A199" s="4" t="s">
        <v>362</v>
      </c>
      <c r="B199" s="5" t="s">
        <v>7</v>
      </c>
      <c r="C199" s="6" t="s">
        <v>363</v>
      </c>
      <c r="D199" s="7"/>
    </row>
    <row r="200" spans="1:4" x14ac:dyDescent="0.2">
      <c r="A200" s="4" t="s">
        <v>364</v>
      </c>
      <c r="B200" s="5" t="s">
        <v>7</v>
      </c>
      <c r="C200" s="6" t="s">
        <v>365</v>
      </c>
      <c r="D200" s="7"/>
    </row>
    <row r="201" spans="1:4" x14ac:dyDescent="0.2">
      <c r="A201" s="4" t="s">
        <v>366</v>
      </c>
      <c r="B201" s="5" t="s">
        <v>7</v>
      </c>
      <c r="C201" s="6" t="s">
        <v>367</v>
      </c>
      <c r="D201" s="7"/>
    </row>
    <row r="202" spans="1:4" x14ac:dyDescent="0.2">
      <c r="A202" s="4" t="s">
        <v>368</v>
      </c>
      <c r="B202" s="5" t="s">
        <v>7</v>
      </c>
      <c r="C202" s="6" t="s">
        <v>369</v>
      </c>
      <c r="D202" s="7"/>
    </row>
    <row r="203" spans="1:4" x14ac:dyDescent="0.2">
      <c r="A203" s="4" t="s">
        <v>370</v>
      </c>
      <c r="B203" s="5" t="s">
        <v>7</v>
      </c>
      <c r="C203" s="6" t="s">
        <v>371</v>
      </c>
      <c r="D203" s="7"/>
    </row>
    <row r="204" spans="1:4" x14ac:dyDescent="0.2">
      <c r="A204" s="4" t="s">
        <v>372</v>
      </c>
      <c r="B204" s="5" t="s">
        <v>7</v>
      </c>
      <c r="C204" s="6" t="s">
        <v>373</v>
      </c>
      <c r="D204" s="7"/>
    </row>
    <row r="205" spans="1:4" x14ac:dyDescent="0.2">
      <c r="A205" s="4" t="s">
        <v>374</v>
      </c>
      <c r="B205" s="5" t="s">
        <v>7</v>
      </c>
      <c r="C205" s="6" t="s">
        <v>375</v>
      </c>
      <c r="D205" s="7"/>
    </row>
    <row r="206" spans="1:4" x14ac:dyDescent="0.2">
      <c r="A206" s="4" t="s">
        <v>376</v>
      </c>
      <c r="B206" s="5" t="s">
        <v>7</v>
      </c>
      <c r="C206" s="6" t="s">
        <v>369</v>
      </c>
      <c r="D206" s="7"/>
    </row>
    <row r="207" spans="1:4" x14ac:dyDescent="0.2">
      <c r="A207" s="4" t="s">
        <v>377</v>
      </c>
      <c r="B207" s="5" t="s">
        <v>7</v>
      </c>
      <c r="C207" s="6" t="s">
        <v>378</v>
      </c>
      <c r="D207" s="7"/>
    </row>
    <row r="208" spans="1:4" x14ac:dyDescent="0.2">
      <c r="A208" s="4" t="s">
        <v>379</v>
      </c>
      <c r="B208" s="5" t="s">
        <v>7</v>
      </c>
      <c r="C208" s="6" t="s">
        <v>380</v>
      </c>
      <c r="D208" s="7"/>
    </row>
    <row r="209" spans="1:4" x14ac:dyDescent="0.2">
      <c r="A209" s="4" t="s">
        <v>381</v>
      </c>
      <c r="B209" s="5" t="s">
        <v>7</v>
      </c>
      <c r="C209" s="6" t="s">
        <v>382</v>
      </c>
      <c r="D209" s="7"/>
    </row>
    <row r="210" spans="1:4" x14ac:dyDescent="0.2">
      <c r="A210" s="4" t="s">
        <v>383</v>
      </c>
      <c r="B210" s="5" t="s">
        <v>7</v>
      </c>
      <c r="C210" s="6" t="s">
        <v>384</v>
      </c>
      <c r="D210" s="7"/>
    </row>
    <row r="211" spans="1:4" x14ac:dyDescent="0.2">
      <c r="A211" s="4" t="s">
        <v>385</v>
      </c>
      <c r="B211" s="5" t="s">
        <v>7</v>
      </c>
      <c r="C211" s="6" t="s">
        <v>386</v>
      </c>
      <c r="D211" s="7"/>
    </row>
    <row r="212" spans="1:4" x14ac:dyDescent="0.2">
      <c r="A212" s="4" t="s">
        <v>387</v>
      </c>
      <c r="B212" s="5" t="s">
        <v>7</v>
      </c>
      <c r="C212" s="6" t="s">
        <v>388</v>
      </c>
      <c r="D212" s="7"/>
    </row>
    <row r="213" spans="1:4" x14ac:dyDescent="0.2">
      <c r="A213" s="4" t="s">
        <v>389</v>
      </c>
      <c r="B213" s="5" t="s">
        <v>7</v>
      </c>
      <c r="C213" s="6" t="s">
        <v>390</v>
      </c>
      <c r="D213" s="7"/>
    </row>
    <row r="214" spans="1:4" x14ac:dyDescent="0.2">
      <c r="A214" s="4" t="s">
        <v>391</v>
      </c>
      <c r="B214" s="5" t="s">
        <v>7</v>
      </c>
      <c r="C214" s="6" t="s">
        <v>392</v>
      </c>
      <c r="D214" s="7"/>
    </row>
    <row r="215" spans="1:4" x14ac:dyDescent="0.2">
      <c r="A215" s="4" t="s">
        <v>393</v>
      </c>
      <c r="B215" s="5" t="s">
        <v>7</v>
      </c>
      <c r="C215" s="6" t="s">
        <v>394</v>
      </c>
      <c r="D215" s="7"/>
    </row>
    <row r="216" spans="1:4" x14ac:dyDescent="0.2">
      <c r="A216" s="4" t="s">
        <v>395</v>
      </c>
      <c r="B216" s="5" t="s">
        <v>7</v>
      </c>
      <c r="C216" s="6" t="s">
        <v>396</v>
      </c>
      <c r="D216" s="7"/>
    </row>
    <row r="217" spans="1:4" x14ac:dyDescent="0.2">
      <c r="A217" s="4" t="s">
        <v>397</v>
      </c>
      <c r="B217" s="5" t="s">
        <v>7</v>
      </c>
      <c r="C217" s="6" t="s">
        <v>398</v>
      </c>
      <c r="D217" s="7"/>
    </row>
    <row r="218" spans="1:4" x14ac:dyDescent="0.2">
      <c r="A218" s="4" t="s">
        <v>399</v>
      </c>
      <c r="B218" s="5" t="s">
        <v>7</v>
      </c>
      <c r="C218" s="6" t="s">
        <v>400</v>
      </c>
      <c r="D218" s="7"/>
    </row>
    <row r="219" spans="1:4" x14ac:dyDescent="0.2">
      <c r="A219" s="4" t="s">
        <v>397</v>
      </c>
      <c r="B219" s="5" t="s">
        <v>7</v>
      </c>
      <c r="C219" s="8">
        <v>46135</v>
      </c>
      <c r="D219" s="7"/>
    </row>
    <row r="220" spans="1:4" x14ac:dyDescent="0.2">
      <c r="A220" s="4" t="s">
        <v>401</v>
      </c>
      <c r="B220" s="5" t="s">
        <v>7</v>
      </c>
      <c r="C220" s="6" t="s">
        <v>402</v>
      </c>
      <c r="D220" s="7"/>
    </row>
    <row r="221" spans="1:4" x14ac:dyDescent="0.2">
      <c r="A221" s="4" t="s">
        <v>403</v>
      </c>
      <c r="B221" s="5" t="s">
        <v>7</v>
      </c>
      <c r="C221" s="6" t="s">
        <v>404</v>
      </c>
      <c r="D221" s="7"/>
    </row>
    <row r="222" spans="1:4" x14ac:dyDescent="0.2">
      <c r="A222" s="4" t="s">
        <v>405</v>
      </c>
      <c r="B222" s="5" t="s">
        <v>7</v>
      </c>
      <c r="C222" s="6" t="s">
        <v>406</v>
      </c>
      <c r="D222" s="7"/>
    </row>
    <row r="223" spans="1:4" x14ac:dyDescent="0.2">
      <c r="A223" s="4" t="s">
        <v>407</v>
      </c>
      <c r="B223" s="5" t="s">
        <v>7</v>
      </c>
      <c r="C223" s="6" t="s">
        <v>408</v>
      </c>
      <c r="D223" s="7"/>
    </row>
    <row r="224" spans="1:4" x14ac:dyDescent="0.2">
      <c r="A224" s="4" t="s">
        <v>409</v>
      </c>
      <c r="B224" s="5" t="s">
        <v>4</v>
      </c>
      <c r="C224" s="6" t="s">
        <v>410</v>
      </c>
      <c r="D224" s="7"/>
    </row>
    <row r="225" spans="1:4" x14ac:dyDescent="0.2">
      <c r="A225" s="4" t="s">
        <v>411</v>
      </c>
      <c r="B225" s="5" t="s">
        <v>7</v>
      </c>
      <c r="C225" s="6" t="s">
        <v>412</v>
      </c>
      <c r="D225" s="7"/>
    </row>
    <row r="226" spans="1:4" x14ac:dyDescent="0.2">
      <c r="A226" s="4" t="s">
        <v>413</v>
      </c>
      <c r="B226" s="5" t="s">
        <v>7</v>
      </c>
      <c r="C226" s="6" t="s">
        <v>414</v>
      </c>
      <c r="D226" s="7"/>
    </row>
    <row r="227" spans="1:4" x14ac:dyDescent="0.2">
      <c r="A227" s="4" t="s">
        <v>415</v>
      </c>
      <c r="B227" s="5" t="s">
        <v>4</v>
      </c>
      <c r="C227" s="6" t="s">
        <v>416</v>
      </c>
      <c r="D227" s="7"/>
    </row>
    <row r="228" spans="1:4" x14ac:dyDescent="0.2">
      <c r="A228" s="4" t="s">
        <v>417</v>
      </c>
      <c r="B228" s="5" t="s">
        <v>7</v>
      </c>
      <c r="C228" s="6" t="s">
        <v>418</v>
      </c>
      <c r="D228" s="7"/>
    </row>
    <row r="229" spans="1:4" x14ac:dyDescent="0.2">
      <c r="A229" s="4" t="s">
        <v>419</v>
      </c>
      <c r="B229" s="5" t="s">
        <v>7</v>
      </c>
      <c r="C229" s="6" t="s">
        <v>420</v>
      </c>
      <c r="D229" s="7"/>
    </row>
    <row r="230" spans="1:4" x14ac:dyDescent="0.2">
      <c r="A230" s="4" t="s">
        <v>421</v>
      </c>
      <c r="B230" s="5" t="s">
        <v>7</v>
      </c>
      <c r="C230" s="6" t="s">
        <v>422</v>
      </c>
      <c r="D230" s="7"/>
    </row>
    <row r="231" spans="1:4" x14ac:dyDescent="0.2">
      <c r="A231" s="4" t="s">
        <v>423</v>
      </c>
      <c r="B231" s="5" t="s">
        <v>7</v>
      </c>
      <c r="C231" s="6" t="s">
        <v>424</v>
      </c>
      <c r="D231" s="7"/>
    </row>
    <row r="232" spans="1:4" x14ac:dyDescent="0.2">
      <c r="A232" s="4" t="s">
        <v>425</v>
      </c>
      <c r="B232" s="5" t="s">
        <v>4</v>
      </c>
      <c r="C232" s="6" t="s">
        <v>426</v>
      </c>
      <c r="D232" s="7"/>
    </row>
    <row r="233" spans="1:4" x14ac:dyDescent="0.2">
      <c r="A233" s="4" t="s">
        <v>427</v>
      </c>
      <c r="B233" s="5" t="s">
        <v>4</v>
      </c>
      <c r="C233" s="6" t="s">
        <v>428</v>
      </c>
      <c r="D233" s="7"/>
    </row>
    <row r="234" spans="1:4" x14ac:dyDescent="0.2">
      <c r="A234" s="4" t="s">
        <v>429</v>
      </c>
      <c r="B234" s="5" t="s">
        <v>4</v>
      </c>
      <c r="C234" s="6" t="s">
        <v>410</v>
      </c>
      <c r="D234" s="7"/>
    </row>
    <row r="235" spans="1:4" x14ac:dyDescent="0.2">
      <c r="A235" s="4" t="s">
        <v>430</v>
      </c>
      <c r="B235" s="5" t="s">
        <v>4</v>
      </c>
      <c r="C235" s="6" t="s">
        <v>431</v>
      </c>
      <c r="D235" s="7"/>
    </row>
    <row r="236" spans="1:4" x14ac:dyDescent="0.2">
      <c r="A236" s="4" t="s">
        <v>432</v>
      </c>
      <c r="B236" s="5" t="s">
        <v>7</v>
      </c>
      <c r="C236" s="6" t="s">
        <v>433</v>
      </c>
      <c r="D236" s="7"/>
    </row>
    <row r="237" spans="1:4" x14ac:dyDescent="0.2">
      <c r="A237" s="4" t="s">
        <v>434</v>
      </c>
      <c r="B237" s="5" t="s">
        <v>7</v>
      </c>
      <c r="C237" s="6" t="s">
        <v>435</v>
      </c>
      <c r="D237" s="7"/>
    </row>
    <row r="238" spans="1:4" x14ac:dyDescent="0.2">
      <c r="A238" s="4" t="s">
        <v>436</v>
      </c>
      <c r="B238" s="5" t="s">
        <v>7</v>
      </c>
      <c r="C238" s="6" t="s">
        <v>437</v>
      </c>
      <c r="D238" s="7"/>
    </row>
    <row r="239" spans="1:4" x14ac:dyDescent="0.2">
      <c r="A239" s="4" t="s">
        <v>438</v>
      </c>
      <c r="B239" s="5" t="s">
        <v>7</v>
      </c>
      <c r="C239" s="6" t="s">
        <v>439</v>
      </c>
      <c r="D239" s="7"/>
    </row>
    <row r="240" spans="1:4" x14ac:dyDescent="0.2">
      <c r="A240" s="4" t="s">
        <v>440</v>
      </c>
      <c r="B240" s="5" t="s">
        <v>7</v>
      </c>
      <c r="C240" s="6" t="s">
        <v>441</v>
      </c>
      <c r="D240" s="7"/>
    </row>
    <row r="241" spans="1:4" x14ac:dyDescent="0.2">
      <c r="A241" s="4" t="s">
        <v>442</v>
      </c>
      <c r="B241" s="5" t="s">
        <v>7</v>
      </c>
      <c r="C241" s="6" t="s">
        <v>443</v>
      </c>
      <c r="D241" s="7"/>
    </row>
    <row r="242" spans="1:4" x14ac:dyDescent="0.2">
      <c r="A242" s="4" t="s">
        <v>444</v>
      </c>
      <c r="B242" s="5" t="s">
        <v>7</v>
      </c>
      <c r="C242" s="8">
        <v>46135</v>
      </c>
      <c r="D242" s="7"/>
    </row>
    <row r="243" spans="1:4" x14ac:dyDescent="0.2">
      <c r="A243" s="4" t="s">
        <v>445</v>
      </c>
      <c r="B243" s="5" t="s">
        <v>7</v>
      </c>
      <c r="C243" s="6" t="s">
        <v>446</v>
      </c>
      <c r="D243" s="7"/>
    </row>
    <row r="244" spans="1:4" x14ac:dyDescent="0.2">
      <c r="A244" s="4" t="s">
        <v>447</v>
      </c>
      <c r="B244" s="5" t="s">
        <v>7</v>
      </c>
      <c r="C244" s="6" t="s">
        <v>448</v>
      </c>
      <c r="D244" s="7"/>
    </row>
    <row r="245" spans="1:4" x14ac:dyDescent="0.2">
      <c r="A245" s="4" t="s">
        <v>449</v>
      </c>
      <c r="B245" s="5" t="s">
        <v>7</v>
      </c>
      <c r="C245" s="6" t="s">
        <v>450</v>
      </c>
      <c r="D245" s="7"/>
    </row>
    <row r="246" spans="1:4" x14ac:dyDescent="0.2">
      <c r="A246" s="4" t="s">
        <v>451</v>
      </c>
      <c r="B246" s="5" t="s">
        <v>7</v>
      </c>
      <c r="C246" s="6" t="s">
        <v>452</v>
      </c>
      <c r="D246" s="7"/>
    </row>
    <row r="247" spans="1:4" x14ac:dyDescent="0.2">
      <c r="A247" s="4" t="s">
        <v>453</v>
      </c>
      <c r="B247" s="5" t="s">
        <v>7</v>
      </c>
      <c r="C247" s="6" t="s">
        <v>454</v>
      </c>
      <c r="D247" s="7"/>
    </row>
    <row r="248" spans="1:4" x14ac:dyDescent="0.2">
      <c r="A248" s="4" t="s">
        <v>455</v>
      </c>
      <c r="B248" s="5" t="s">
        <v>7</v>
      </c>
      <c r="C248" s="6" t="s">
        <v>456</v>
      </c>
      <c r="D248" s="7"/>
    </row>
    <row r="249" spans="1:4" x14ac:dyDescent="0.2">
      <c r="A249" s="4" t="s">
        <v>457</v>
      </c>
      <c r="B249" s="5" t="s">
        <v>7</v>
      </c>
      <c r="C249" s="6" t="s">
        <v>458</v>
      </c>
      <c r="D249" s="7"/>
    </row>
    <row r="250" spans="1:4" x14ac:dyDescent="0.2">
      <c r="A250" s="4" t="s">
        <v>459</v>
      </c>
      <c r="B250" s="5" t="s">
        <v>7</v>
      </c>
      <c r="C250" s="6" t="s">
        <v>460</v>
      </c>
      <c r="D250" s="7"/>
    </row>
    <row r="251" spans="1:4" x14ac:dyDescent="0.2">
      <c r="A251" s="4" t="s">
        <v>461</v>
      </c>
      <c r="B251" s="5" t="s">
        <v>7</v>
      </c>
      <c r="C251" s="6" t="s">
        <v>462</v>
      </c>
      <c r="D251" s="7"/>
    </row>
    <row r="252" spans="1:4" x14ac:dyDescent="0.2">
      <c r="A252" s="4" t="s">
        <v>463</v>
      </c>
      <c r="B252" s="5" t="s">
        <v>7</v>
      </c>
      <c r="C252" s="6" t="s">
        <v>464</v>
      </c>
      <c r="D252" s="7"/>
    </row>
    <row r="253" spans="1:4" x14ac:dyDescent="0.2">
      <c r="A253" s="4" t="s">
        <v>465</v>
      </c>
      <c r="B253" s="5" t="s">
        <v>7</v>
      </c>
      <c r="C253" s="6" t="s">
        <v>466</v>
      </c>
      <c r="D253" s="7"/>
    </row>
    <row r="254" spans="1:4" x14ac:dyDescent="0.2">
      <c r="A254" s="4" t="s">
        <v>467</v>
      </c>
      <c r="B254" s="5" t="s">
        <v>7</v>
      </c>
      <c r="C254" s="6" t="s">
        <v>468</v>
      </c>
      <c r="D254" s="7"/>
    </row>
    <row r="255" spans="1:4" x14ac:dyDescent="0.2">
      <c r="A255" s="4" t="s">
        <v>469</v>
      </c>
      <c r="B255" s="5" t="s">
        <v>7</v>
      </c>
      <c r="C255" s="6" t="s">
        <v>470</v>
      </c>
      <c r="D255" s="7"/>
    </row>
    <row r="256" spans="1:4" x14ac:dyDescent="0.2">
      <c r="A256" s="4" t="s">
        <v>471</v>
      </c>
      <c r="B256" s="5" t="s">
        <v>7</v>
      </c>
      <c r="C256" s="6" t="s">
        <v>472</v>
      </c>
      <c r="D256" s="7"/>
    </row>
    <row r="257" spans="1:4" x14ac:dyDescent="0.2">
      <c r="A257" s="4" t="s">
        <v>473</v>
      </c>
      <c r="B257" s="5" t="s">
        <v>7</v>
      </c>
      <c r="C257" s="6" t="s">
        <v>474</v>
      </c>
      <c r="D257" s="7"/>
    </row>
    <row r="258" spans="1:4" x14ac:dyDescent="0.2">
      <c r="A258" s="4" t="s">
        <v>475</v>
      </c>
      <c r="B258" s="5" t="s">
        <v>7</v>
      </c>
      <c r="C258" s="6" t="s">
        <v>476</v>
      </c>
      <c r="D258" s="7"/>
    </row>
    <row r="259" spans="1:4" x14ac:dyDescent="0.2">
      <c r="A259" s="4" t="s">
        <v>477</v>
      </c>
      <c r="B259" s="5" t="s">
        <v>7</v>
      </c>
      <c r="C259" s="6" t="s">
        <v>478</v>
      </c>
      <c r="D259" s="7"/>
    </row>
    <row r="260" spans="1:4" x14ac:dyDescent="0.2">
      <c r="A260" s="4" t="s">
        <v>479</v>
      </c>
      <c r="B260" s="5" t="s">
        <v>7</v>
      </c>
      <c r="C260" s="6" t="s">
        <v>480</v>
      </c>
      <c r="D260" s="7"/>
    </row>
    <row r="261" spans="1:4" x14ac:dyDescent="0.2">
      <c r="A261" s="4" t="s">
        <v>481</v>
      </c>
      <c r="B261" s="5" t="s">
        <v>7</v>
      </c>
      <c r="C261" s="6" t="s">
        <v>482</v>
      </c>
      <c r="D261" s="7"/>
    </row>
    <row r="262" spans="1:4" x14ac:dyDescent="0.2">
      <c r="A262" s="4" t="s">
        <v>483</v>
      </c>
      <c r="B262" s="5" t="s">
        <v>7</v>
      </c>
      <c r="C262" s="6" t="s">
        <v>484</v>
      </c>
      <c r="D262" s="7"/>
    </row>
    <row r="263" spans="1:4" x14ac:dyDescent="0.2">
      <c r="A263" s="4" t="s">
        <v>485</v>
      </c>
      <c r="B263" s="5" t="s">
        <v>7</v>
      </c>
      <c r="C263" s="6" t="s">
        <v>462</v>
      </c>
      <c r="D263" s="7"/>
    </row>
    <row r="264" spans="1:4" x14ac:dyDescent="0.2">
      <c r="A264" s="4" t="s">
        <v>486</v>
      </c>
      <c r="B264" s="5" t="s">
        <v>7</v>
      </c>
      <c r="C264" s="6" t="s">
        <v>464</v>
      </c>
      <c r="D264" s="7"/>
    </row>
    <row r="265" spans="1:4" x14ac:dyDescent="0.2">
      <c r="A265" s="4" t="s">
        <v>487</v>
      </c>
      <c r="B265" s="5" t="s">
        <v>7</v>
      </c>
      <c r="C265" s="6" t="s">
        <v>462</v>
      </c>
      <c r="D265" s="7"/>
    </row>
    <row r="266" spans="1:4" x14ac:dyDescent="0.2">
      <c r="A266" s="4" t="s">
        <v>488</v>
      </c>
      <c r="B266" s="5" t="s">
        <v>7</v>
      </c>
      <c r="C266" s="6" t="s">
        <v>489</v>
      </c>
      <c r="D266" s="7"/>
    </row>
    <row r="267" spans="1:4" x14ac:dyDescent="0.2">
      <c r="A267" s="4" t="s">
        <v>490</v>
      </c>
      <c r="B267" s="5" t="s">
        <v>7</v>
      </c>
      <c r="C267" s="6" t="s">
        <v>491</v>
      </c>
      <c r="D267" s="7"/>
    </row>
    <row r="268" spans="1:4" x14ac:dyDescent="0.2">
      <c r="A268" s="4" t="s">
        <v>492</v>
      </c>
      <c r="B268" s="5" t="s">
        <v>7</v>
      </c>
      <c r="C268" s="6" t="s">
        <v>491</v>
      </c>
      <c r="D268" s="7"/>
    </row>
    <row r="269" spans="1:4" x14ac:dyDescent="0.2">
      <c r="A269" s="4" t="s">
        <v>493</v>
      </c>
      <c r="B269" s="5" t="s">
        <v>7</v>
      </c>
      <c r="C269" s="6" t="s">
        <v>494</v>
      </c>
      <c r="D269" s="7"/>
    </row>
    <row r="270" spans="1:4" x14ac:dyDescent="0.2">
      <c r="A270" s="4" t="s">
        <v>495</v>
      </c>
      <c r="B270" s="5" t="s">
        <v>7</v>
      </c>
      <c r="C270" s="6" t="s">
        <v>496</v>
      </c>
      <c r="D270" s="7"/>
    </row>
    <row r="271" spans="1:4" x14ac:dyDescent="0.2">
      <c r="A271" s="4" t="s">
        <v>497</v>
      </c>
      <c r="B271" s="5" t="s">
        <v>7</v>
      </c>
      <c r="C271" s="6" t="s">
        <v>498</v>
      </c>
      <c r="D271" s="7"/>
    </row>
    <row r="272" spans="1:4" x14ac:dyDescent="0.2">
      <c r="A272" s="4" t="s">
        <v>499</v>
      </c>
      <c r="B272" s="5" t="s">
        <v>7</v>
      </c>
      <c r="C272" s="6" t="s">
        <v>500</v>
      </c>
      <c r="D272" s="7"/>
    </row>
    <row r="273" spans="1:4" x14ac:dyDescent="0.2">
      <c r="A273" s="4" t="s">
        <v>501</v>
      </c>
      <c r="B273" s="5" t="s">
        <v>7</v>
      </c>
      <c r="C273" s="6" t="s">
        <v>502</v>
      </c>
      <c r="D273" s="7"/>
    </row>
    <row r="274" spans="1:4" x14ac:dyDescent="0.2">
      <c r="A274" s="4" t="s">
        <v>503</v>
      </c>
      <c r="B274" s="5" t="s">
        <v>7</v>
      </c>
      <c r="C274" s="6" t="s">
        <v>504</v>
      </c>
      <c r="D274" s="7"/>
    </row>
    <row r="275" spans="1:4" x14ac:dyDescent="0.2">
      <c r="A275" s="4" t="s">
        <v>505</v>
      </c>
      <c r="B275" s="5" t="s">
        <v>7</v>
      </c>
      <c r="C275" s="6" t="s">
        <v>506</v>
      </c>
      <c r="D275" s="7"/>
    </row>
    <row r="276" spans="1:4" x14ac:dyDescent="0.2">
      <c r="A276" s="4" t="s">
        <v>507</v>
      </c>
      <c r="B276" s="5" t="s">
        <v>4</v>
      </c>
      <c r="C276" s="6" t="s">
        <v>508</v>
      </c>
      <c r="D276" s="7"/>
    </row>
    <row r="277" spans="1:4" x14ac:dyDescent="0.2">
      <c r="A277" s="4" t="s">
        <v>509</v>
      </c>
      <c r="B277" s="5" t="s">
        <v>4</v>
      </c>
      <c r="C277" s="6" t="s">
        <v>510</v>
      </c>
      <c r="D277" s="7"/>
    </row>
    <row r="278" spans="1:4" x14ac:dyDescent="0.2">
      <c r="A278" s="4" t="s">
        <v>511</v>
      </c>
      <c r="B278" s="5" t="s">
        <v>4</v>
      </c>
      <c r="C278" s="6" t="s">
        <v>512</v>
      </c>
      <c r="D278" s="7"/>
    </row>
    <row r="279" spans="1:4" x14ac:dyDescent="0.2">
      <c r="A279" s="4" t="s">
        <v>513</v>
      </c>
      <c r="B279" s="5" t="s">
        <v>4</v>
      </c>
      <c r="C279" s="8">
        <v>46188</v>
      </c>
      <c r="D279" s="7"/>
    </row>
    <row r="280" spans="1:4" x14ac:dyDescent="0.2">
      <c r="A280" s="4" t="s">
        <v>514</v>
      </c>
      <c r="B280" s="5" t="s">
        <v>4</v>
      </c>
      <c r="C280" s="6" t="s">
        <v>515</v>
      </c>
      <c r="D280" s="7"/>
    </row>
    <row r="281" spans="1:4" x14ac:dyDescent="0.2">
      <c r="A281" s="4" t="s">
        <v>516</v>
      </c>
      <c r="B281" s="5" t="s">
        <v>4</v>
      </c>
      <c r="C281" s="6" t="s">
        <v>517</v>
      </c>
      <c r="D281" s="7"/>
    </row>
    <row r="282" spans="1:4" x14ac:dyDescent="0.2">
      <c r="A282" s="4" t="s">
        <v>518</v>
      </c>
      <c r="B282" s="5" t="s">
        <v>4</v>
      </c>
      <c r="C282" s="6" t="s">
        <v>519</v>
      </c>
      <c r="D282" s="7"/>
    </row>
    <row r="283" spans="1:4" x14ac:dyDescent="0.2">
      <c r="A283" s="4" t="s">
        <v>520</v>
      </c>
      <c r="B283" s="5" t="s">
        <v>4</v>
      </c>
      <c r="C283" s="6" t="s">
        <v>521</v>
      </c>
      <c r="D283" s="7"/>
    </row>
    <row r="284" spans="1:4" x14ac:dyDescent="0.2">
      <c r="A284" s="4" t="s">
        <v>522</v>
      </c>
      <c r="B284" s="5" t="s">
        <v>4</v>
      </c>
      <c r="C284" s="6" t="s">
        <v>523</v>
      </c>
      <c r="D284" s="7"/>
    </row>
    <row r="285" spans="1:4" x14ac:dyDescent="0.2">
      <c r="A285" s="4" t="s">
        <v>524</v>
      </c>
      <c r="B285" s="5" t="s">
        <v>4</v>
      </c>
      <c r="C285" s="6" t="s">
        <v>525</v>
      </c>
      <c r="D285" s="7"/>
    </row>
    <row r="286" spans="1:4" x14ac:dyDescent="0.2">
      <c r="A286" s="4" t="s">
        <v>526</v>
      </c>
      <c r="B286" s="5" t="s">
        <v>4</v>
      </c>
      <c r="C286" s="6" t="s">
        <v>527</v>
      </c>
      <c r="D286" s="7"/>
    </row>
    <row r="287" spans="1:4" x14ac:dyDescent="0.2">
      <c r="A287" s="4" t="s">
        <v>528</v>
      </c>
      <c r="B287" s="5" t="s">
        <v>4</v>
      </c>
      <c r="C287" s="6" t="s">
        <v>529</v>
      </c>
      <c r="D287" s="7"/>
    </row>
    <row r="288" spans="1:4" x14ac:dyDescent="0.2">
      <c r="A288" s="4" t="s">
        <v>530</v>
      </c>
      <c r="B288" s="5" t="s">
        <v>4</v>
      </c>
      <c r="C288" s="8">
        <v>46037</v>
      </c>
      <c r="D288" s="7"/>
    </row>
    <row r="289" spans="1:4" x14ac:dyDescent="0.2">
      <c r="A289" s="4" t="s">
        <v>531</v>
      </c>
      <c r="B289" s="5" t="s">
        <v>4</v>
      </c>
      <c r="C289" s="6" t="s">
        <v>532</v>
      </c>
      <c r="D289" s="7"/>
    </row>
    <row r="290" spans="1:4" x14ac:dyDescent="0.2">
      <c r="A290" s="4" t="s">
        <v>533</v>
      </c>
      <c r="B290" s="5" t="s">
        <v>4</v>
      </c>
      <c r="C290" s="6" t="s">
        <v>534</v>
      </c>
      <c r="D290" s="7"/>
    </row>
    <row r="291" spans="1:4" x14ac:dyDescent="0.2">
      <c r="A291" s="4" t="s">
        <v>535</v>
      </c>
      <c r="B291" s="5" t="s">
        <v>4</v>
      </c>
      <c r="C291" s="6" t="s">
        <v>536</v>
      </c>
      <c r="D291" s="7"/>
    </row>
    <row r="292" spans="1:4" x14ac:dyDescent="0.2">
      <c r="A292" s="4" t="s">
        <v>537</v>
      </c>
      <c r="B292" s="5" t="s">
        <v>7</v>
      </c>
      <c r="C292" s="6" t="s">
        <v>538</v>
      </c>
      <c r="D292" s="7"/>
    </row>
    <row r="293" spans="1:4" x14ac:dyDescent="0.2">
      <c r="A293" s="4" t="s">
        <v>539</v>
      </c>
      <c r="B293" s="5" t="s">
        <v>7</v>
      </c>
      <c r="C293" s="6" t="s">
        <v>540</v>
      </c>
      <c r="D293" s="7"/>
    </row>
    <row r="294" spans="1:4" x14ac:dyDescent="0.2">
      <c r="A294" s="4" t="s">
        <v>541</v>
      </c>
      <c r="B294" s="5" t="s">
        <v>7</v>
      </c>
      <c r="C294" s="6" t="s">
        <v>542</v>
      </c>
      <c r="D294" s="7"/>
    </row>
    <row r="295" spans="1:4" x14ac:dyDescent="0.2">
      <c r="A295" s="4" t="s">
        <v>541</v>
      </c>
      <c r="B295" s="5" t="s">
        <v>7</v>
      </c>
      <c r="C295" s="6" t="s">
        <v>543</v>
      </c>
      <c r="D295" s="7"/>
    </row>
    <row r="296" spans="1:4" x14ac:dyDescent="0.2">
      <c r="A296" s="4" t="s">
        <v>544</v>
      </c>
      <c r="B296" s="5" t="s">
        <v>7</v>
      </c>
      <c r="C296" s="6" t="s">
        <v>545</v>
      </c>
      <c r="D296" s="7"/>
    </row>
    <row r="297" spans="1:4" x14ac:dyDescent="0.2">
      <c r="A297" s="4" t="s">
        <v>546</v>
      </c>
      <c r="B297" s="5" t="s">
        <v>7</v>
      </c>
      <c r="C297" s="6" t="s">
        <v>547</v>
      </c>
      <c r="D297" s="7"/>
    </row>
    <row r="298" spans="1:4" x14ac:dyDescent="0.2">
      <c r="A298" s="4" t="s">
        <v>548</v>
      </c>
      <c r="B298" s="5" t="s">
        <v>7</v>
      </c>
      <c r="C298" s="6" t="s">
        <v>549</v>
      </c>
      <c r="D298" s="7"/>
    </row>
    <row r="299" spans="1:4" x14ac:dyDescent="0.2">
      <c r="A299" s="4" t="s">
        <v>550</v>
      </c>
      <c r="B299" s="5" t="s">
        <v>7</v>
      </c>
      <c r="C299" s="6" t="s">
        <v>551</v>
      </c>
      <c r="D299" s="7"/>
    </row>
    <row r="300" spans="1:4" x14ac:dyDescent="0.2">
      <c r="A300" s="4" t="s">
        <v>552</v>
      </c>
      <c r="B300" s="5" t="s">
        <v>7</v>
      </c>
      <c r="C300" s="6" t="s">
        <v>553</v>
      </c>
      <c r="D300" s="7"/>
    </row>
    <row r="301" spans="1:4" x14ac:dyDescent="0.2">
      <c r="A301" s="4" t="s">
        <v>554</v>
      </c>
      <c r="B301" s="5" t="s">
        <v>7</v>
      </c>
      <c r="C301" s="6" t="s">
        <v>555</v>
      </c>
      <c r="D301" s="7"/>
    </row>
    <row r="302" spans="1:4" x14ac:dyDescent="0.2">
      <c r="A302" s="4" t="s">
        <v>554</v>
      </c>
      <c r="B302" s="5" t="s">
        <v>7</v>
      </c>
      <c r="C302" s="6" t="s">
        <v>556</v>
      </c>
      <c r="D302" s="7"/>
    </row>
    <row r="303" spans="1:4" x14ac:dyDescent="0.2">
      <c r="A303" s="4" t="s">
        <v>557</v>
      </c>
      <c r="B303" s="5" t="s">
        <v>7</v>
      </c>
      <c r="C303" s="6" t="s">
        <v>558</v>
      </c>
      <c r="D303" s="7"/>
    </row>
    <row r="304" spans="1:4" x14ac:dyDescent="0.2">
      <c r="A304" s="4" t="s">
        <v>559</v>
      </c>
      <c r="B304" s="5" t="s">
        <v>7</v>
      </c>
      <c r="C304" s="6" t="s">
        <v>560</v>
      </c>
      <c r="D304" s="7"/>
    </row>
    <row r="305" spans="1:4" x14ac:dyDescent="0.2">
      <c r="A305" s="4" t="s">
        <v>561</v>
      </c>
      <c r="B305" s="5" t="s">
        <v>7</v>
      </c>
      <c r="C305" s="6" t="s">
        <v>562</v>
      </c>
      <c r="D305" s="7"/>
    </row>
    <row r="306" spans="1:4" x14ac:dyDescent="0.2">
      <c r="A306" s="4" t="s">
        <v>563</v>
      </c>
      <c r="B306" s="5" t="s">
        <v>7</v>
      </c>
      <c r="C306" s="6" t="s">
        <v>564</v>
      </c>
      <c r="D306" s="7"/>
    </row>
    <row r="307" spans="1:4" x14ac:dyDescent="0.2">
      <c r="A307" s="4" t="s">
        <v>565</v>
      </c>
      <c r="B307" s="5" t="s">
        <v>4</v>
      </c>
      <c r="C307" s="6" t="s">
        <v>566</v>
      </c>
      <c r="D307" s="7"/>
    </row>
    <row r="308" spans="1:4" x14ac:dyDescent="0.2">
      <c r="A308" s="4" t="s">
        <v>567</v>
      </c>
      <c r="B308" s="5" t="s">
        <v>4</v>
      </c>
      <c r="C308" s="6" t="s">
        <v>568</v>
      </c>
      <c r="D308" s="7"/>
    </row>
    <row r="309" spans="1:4" x14ac:dyDescent="0.2">
      <c r="A309" s="4" t="s">
        <v>569</v>
      </c>
      <c r="B309" s="5" t="s">
        <v>4</v>
      </c>
      <c r="C309" s="6" t="s">
        <v>570</v>
      </c>
      <c r="D309" s="7"/>
    </row>
    <row r="310" spans="1:4" x14ac:dyDescent="0.2">
      <c r="A310" s="4" t="s">
        <v>571</v>
      </c>
      <c r="B310" s="5" t="s">
        <v>4</v>
      </c>
      <c r="C310" s="6" t="s">
        <v>435</v>
      </c>
      <c r="D310" s="7"/>
    </row>
    <row r="311" spans="1:4" x14ac:dyDescent="0.2">
      <c r="A311" s="4" t="s">
        <v>572</v>
      </c>
      <c r="B311" s="5" t="s">
        <v>4</v>
      </c>
      <c r="C311" s="8">
        <v>46077</v>
      </c>
      <c r="D311" s="7"/>
    </row>
    <row r="312" spans="1:4" x14ac:dyDescent="0.2">
      <c r="A312" s="4" t="s">
        <v>573</v>
      </c>
      <c r="B312" s="5" t="s">
        <v>4</v>
      </c>
      <c r="C312" s="6" t="s">
        <v>435</v>
      </c>
      <c r="D312" s="7"/>
    </row>
    <row r="313" spans="1:4" x14ac:dyDescent="0.2">
      <c r="A313" s="4" t="s">
        <v>574</v>
      </c>
      <c r="B313" s="5" t="s">
        <v>4</v>
      </c>
      <c r="C313" s="6" t="s">
        <v>575</v>
      </c>
      <c r="D313" s="7"/>
    </row>
    <row r="314" spans="1:4" x14ac:dyDescent="0.2">
      <c r="A314" s="4" t="s">
        <v>576</v>
      </c>
      <c r="B314" s="5" t="s">
        <v>7</v>
      </c>
      <c r="C314" s="6" t="s">
        <v>577</v>
      </c>
      <c r="D314" s="7"/>
    </row>
    <row r="315" spans="1:4" x14ac:dyDescent="0.2">
      <c r="A315" s="4" t="s">
        <v>578</v>
      </c>
      <c r="B315" s="5" t="s">
        <v>4</v>
      </c>
      <c r="C315" s="6" t="s">
        <v>579</v>
      </c>
      <c r="D315" s="7"/>
    </row>
    <row r="316" spans="1:4" x14ac:dyDescent="0.2">
      <c r="A316" s="4" t="s">
        <v>580</v>
      </c>
      <c r="B316" s="5" t="s">
        <v>4</v>
      </c>
      <c r="C316" s="6" t="s">
        <v>581</v>
      </c>
      <c r="D316" s="7"/>
    </row>
    <row r="317" spans="1:4" x14ac:dyDescent="0.2">
      <c r="A317" s="4" t="s">
        <v>582</v>
      </c>
      <c r="B317" s="5" t="s">
        <v>4</v>
      </c>
      <c r="C317" s="6" t="s">
        <v>583</v>
      </c>
      <c r="D317" s="7"/>
    </row>
    <row r="318" spans="1:4" x14ac:dyDescent="0.2">
      <c r="A318" s="4" t="s">
        <v>584</v>
      </c>
      <c r="B318" s="5" t="s">
        <v>4</v>
      </c>
      <c r="C318" s="6" t="s">
        <v>585</v>
      </c>
      <c r="D318" s="7"/>
    </row>
    <row r="319" spans="1:4" x14ac:dyDescent="0.2">
      <c r="A319" s="4" t="s">
        <v>586</v>
      </c>
      <c r="B319" s="5" t="s">
        <v>7</v>
      </c>
      <c r="C319" s="6" t="s">
        <v>587</v>
      </c>
      <c r="D319" s="7"/>
    </row>
    <row r="320" spans="1:4" x14ac:dyDescent="0.2">
      <c r="A320" s="4" t="s">
        <v>588</v>
      </c>
      <c r="B320" s="5" t="s">
        <v>7</v>
      </c>
      <c r="C320" s="6" t="s">
        <v>589</v>
      </c>
      <c r="D320" s="7"/>
    </row>
    <row r="321" spans="1:4" x14ac:dyDescent="0.2">
      <c r="A321" s="4" t="s">
        <v>590</v>
      </c>
      <c r="B321" s="5" t="s">
        <v>7</v>
      </c>
      <c r="C321" s="6" t="s">
        <v>591</v>
      </c>
      <c r="D321" s="7"/>
    </row>
    <row r="322" spans="1:4" x14ac:dyDescent="0.2">
      <c r="A322" s="4" t="s">
        <v>592</v>
      </c>
      <c r="B322" s="5" t="s">
        <v>7</v>
      </c>
      <c r="C322" s="6" t="s">
        <v>589</v>
      </c>
      <c r="D322" s="7"/>
    </row>
    <row r="323" spans="1:4" x14ac:dyDescent="0.2">
      <c r="A323" s="4" t="s">
        <v>593</v>
      </c>
      <c r="B323" s="5" t="s">
        <v>594</v>
      </c>
      <c r="C323" s="6" t="s">
        <v>595</v>
      </c>
      <c r="D323" s="7"/>
    </row>
    <row r="324" spans="1:4" x14ac:dyDescent="0.2">
      <c r="A324" s="4" t="s">
        <v>596</v>
      </c>
      <c r="B324" s="5" t="s">
        <v>7</v>
      </c>
      <c r="C324" s="6" t="s">
        <v>597</v>
      </c>
      <c r="D324" s="7"/>
    </row>
    <row r="325" spans="1:4" x14ac:dyDescent="0.2">
      <c r="A325" s="4" t="s">
        <v>598</v>
      </c>
      <c r="B325" s="5" t="s">
        <v>7</v>
      </c>
      <c r="C325" s="6" t="s">
        <v>599</v>
      </c>
      <c r="D325" s="7"/>
    </row>
    <row r="326" spans="1:4" x14ac:dyDescent="0.2">
      <c r="A326" s="4" t="s">
        <v>600</v>
      </c>
      <c r="B326" s="5" t="s">
        <v>7</v>
      </c>
      <c r="C326" s="6" t="s">
        <v>601</v>
      </c>
      <c r="D326" s="7"/>
    </row>
    <row r="327" spans="1:4" x14ac:dyDescent="0.2">
      <c r="A327" s="4" t="s">
        <v>602</v>
      </c>
      <c r="B327" s="5" t="s">
        <v>7</v>
      </c>
      <c r="C327" s="6" t="s">
        <v>603</v>
      </c>
      <c r="D327" s="7"/>
    </row>
    <row r="328" spans="1:4" x14ac:dyDescent="0.2">
      <c r="A328" s="4" t="s">
        <v>604</v>
      </c>
      <c r="B328" s="5" t="s">
        <v>7</v>
      </c>
      <c r="C328" s="6" t="s">
        <v>605</v>
      </c>
      <c r="D328" s="7"/>
    </row>
    <row r="329" spans="1:4" x14ac:dyDescent="0.2">
      <c r="A329" s="4" t="s">
        <v>606</v>
      </c>
      <c r="B329" s="5" t="s">
        <v>7</v>
      </c>
      <c r="C329" s="6" t="s">
        <v>607</v>
      </c>
      <c r="D329" s="7"/>
    </row>
    <row r="330" spans="1:4" x14ac:dyDescent="0.2">
      <c r="A330" s="4" t="s">
        <v>608</v>
      </c>
      <c r="B330" s="5" t="s">
        <v>4</v>
      </c>
      <c r="C330" s="6" t="s">
        <v>609</v>
      </c>
      <c r="D330" s="7"/>
    </row>
    <row r="331" spans="1:4" x14ac:dyDescent="0.2">
      <c r="A331" s="4" t="s">
        <v>610</v>
      </c>
      <c r="B331" s="5" t="s">
        <v>4</v>
      </c>
      <c r="C331" s="6" t="s">
        <v>611</v>
      </c>
      <c r="D331" s="7"/>
    </row>
    <row r="332" spans="1:4" x14ac:dyDescent="0.2">
      <c r="A332" s="4" t="s">
        <v>612</v>
      </c>
      <c r="B332" s="5" t="s">
        <v>4</v>
      </c>
      <c r="C332" s="6" t="s">
        <v>613</v>
      </c>
      <c r="D332" s="7"/>
    </row>
    <row r="333" spans="1:4" x14ac:dyDescent="0.2">
      <c r="A333" s="4" t="s">
        <v>614</v>
      </c>
      <c r="B333" s="5" t="s">
        <v>10</v>
      </c>
      <c r="C333" s="6" t="s">
        <v>615</v>
      </c>
      <c r="D333" s="7"/>
    </row>
    <row r="334" spans="1:4" x14ac:dyDescent="0.2">
      <c r="A334" s="4" t="s">
        <v>616</v>
      </c>
      <c r="B334" s="5" t="s">
        <v>617</v>
      </c>
      <c r="C334" s="8">
        <v>46109</v>
      </c>
      <c r="D334" s="7"/>
    </row>
    <row r="335" spans="1:4" x14ac:dyDescent="0.2">
      <c r="A335" s="4" t="s">
        <v>618</v>
      </c>
      <c r="B335" s="5" t="s">
        <v>617</v>
      </c>
      <c r="C335" s="8">
        <v>46111</v>
      </c>
      <c r="D335" s="7"/>
    </row>
    <row r="336" spans="1:4" x14ac:dyDescent="0.2">
      <c r="A336" s="4" t="s">
        <v>619</v>
      </c>
      <c r="B336" s="5" t="s">
        <v>617</v>
      </c>
      <c r="C336" s="6" t="s">
        <v>138</v>
      </c>
      <c r="D336" s="7"/>
    </row>
    <row r="337" spans="1:4" x14ac:dyDescent="0.2">
      <c r="A337" s="4" t="s">
        <v>620</v>
      </c>
      <c r="B337" s="5" t="s">
        <v>617</v>
      </c>
      <c r="C337" s="6" t="s">
        <v>621</v>
      </c>
      <c r="D337" s="7"/>
    </row>
    <row r="338" spans="1:4" x14ac:dyDescent="0.2">
      <c r="A338" s="4" t="s">
        <v>622</v>
      </c>
      <c r="B338" s="5" t="s">
        <v>617</v>
      </c>
      <c r="C338" s="6" t="s">
        <v>623</v>
      </c>
      <c r="D338" s="7"/>
    </row>
    <row r="339" spans="1:4" x14ac:dyDescent="0.2">
      <c r="A339" s="4" t="s">
        <v>624</v>
      </c>
      <c r="B339" s="5" t="s">
        <v>617</v>
      </c>
      <c r="C339" s="6" t="s">
        <v>623</v>
      </c>
      <c r="D339" s="7"/>
    </row>
    <row r="340" spans="1:4" x14ac:dyDescent="0.2">
      <c r="A340" s="4" t="s">
        <v>625</v>
      </c>
      <c r="B340" s="5" t="s">
        <v>617</v>
      </c>
      <c r="C340" s="6" t="s">
        <v>626</v>
      </c>
      <c r="D340" s="7"/>
    </row>
    <row r="341" spans="1:4" x14ac:dyDescent="0.2">
      <c r="A341" s="4" t="s">
        <v>627</v>
      </c>
      <c r="B341" s="5" t="s">
        <v>594</v>
      </c>
      <c r="C341" s="6" t="s">
        <v>628</v>
      </c>
      <c r="D341" s="7"/>
    </row>
    <row r="342" spans="1:4" x14ac:dyDescent="0.2">
      <c r="A342" s="4" t="s">
        <v>629</v>
      </c>
      <c r="B342" s="5" t="s">
        <v>594</v>
      </c>
      <c r="C342" s="8">
        <v>46150</v>
      </c>
      <c r="D342" s="7"/>
    </row>
    <row r="343" spans="1:4" x14ac:dyDescent="0.2">
      <c r="A343" s="4" t="s">
        <v>630</v>
      </c>
      <c r="B343" s="5" t="s">
        <v>594</v>
      </c>
      <c r="C343" s="6" t="s">
        <v>631</v>
      </c>
      <c r="D343" s="7"/>
    </row>
    <row r="344" spans="1:4" x14ac:dyDescent="0.2">
      <c r="A344" s="4" t="s">
        <v>632</v>
      </c>
      <c r="B344" s="5" t="s">
        <v>594</v>
      </c>
      <c r="C344" s="6" t="s">
        <v>633</v>
      </c>
      <c r="D344" s="7"/>
    </row>
    <row r="345" spans="1:4" x14ac:dyDescent="0.2">
      <c r="A345" s="4" t="s">
        <v>634</v>
      </c>
      <c r="B345" s="5" t="s">
        <v>7</v>
      </c>
      <c r="C345" s="6" t="s">
        <v>635</v>
      </c>
      <c r="D345" s="7"/>
    </row>
    <row r="346" spans="1:4" x14ac:dyDescent="0.2">
      <c r="A346" s="4" t="s">
        <v>636</v>
      </c>
      <c r="B346" s="5" t="s">
        <v>7</v>
      </c>
      <c r="C346" s="6" t="s">
        <v>637</v>
      </c>
      <c r="D346" s="7"/>
    </row>
    <row r="347" spans="1:4" x14ac:dyDescent="0.2">
      <c r="A347" s="4" t="s">
        <v>638</v>
      </c>
      <c r="B347" s="5" t="s">
        <v>7</v>
      </c>
      <c r="C347" s="6" t="s">
        <v>639</v>
      </c>
      <c r="D347" s="7"/>
    </row>
    <row r="348" spans="1:4" x14ac:dyDescent="0.2">
      <c r="A348" s="4" t="s">
        <v>640</v>
      </c>
      <c r="B348" s="5" t="s">
        <v>7</v>
      </c>
      <c r="C348" s="6" t="s">
        <v>641</v>
      </c>
      <c r="D348" s="7"/>
    </row>
    <row r="349" spans="1:4" x14ac:dyDescent="0.2">
      <c r="A349" s="4" t="s">
        <v>642</v>
      </c>
      <c r="B349" s="5" t="s">
        <v>7</v>
      </c>
      <c r="C349" s="6" t="s">
        <v>643</v>
      </c>
      <c r="D349" s="7"/>
    </row>
    <row r="350" spans="1:4" x14ac:dyDescent="0.2">
      <c r="A350" s="4" t="s">
        <v>644</v>
      </c>
      <c r="B350" s="5" t="s">
        <v>7</v>
      </c>
      <c r="C350" s="6" t="s">
        <v>645</v>
      </c>
      <c r="D350" s="7"/>
    </row>
    <row r="351" spans="1:4" x14ac:dyDescent="0.2">
      <c r="A351" s="4" t="s">
        <v>646</v>
      </c>
      <c r="B351" s="5" t="s">
        <v>7</v>
      </c>
      <c r="C351" s="6" t="s">
        <v>647</v>
      </c>
      <c r="D351" s="7"/>
    </row>
    <row r="352" spans="1:4" x14ac:dyDescent="0.2">
      <c r="A352" s="4" t="s">
        <v>648</v>
      </c>
      <c r="B352" s="5" t="s">
        <v>7</v>
      </c>
      <c r="C352" s="6" t="s">
        <v>649</v>
      </c>
      <c r="D352" s="7"/>
    </row>
    <row r="353" spans="1:4" x14ac:dyDescent="0.2">
      <c r="A353" s="4" t="s">
        <v>650</v>
      </c>
      <c r="B353" s="5" t="s">
        <v>4</v>
      </c>
      <c r="C353" s="6" t="s">
        <v>651</v>
      </c>
      <c r="D353" s="7"/>
    </row>
    <row r="354" spans="1:4" x14ac:dyDescent="0.2">
      <c r="A354" s="4" t="s">
        <v>652</v>
      </c>
      <c r="B354" s="5" t="s">
        <v>4</v>
      </c>
      <c r="C354" s="6" t="s">
        <v>653</v>
      </c>
      <c r="D354" s="7"/>
    </row>
    <row r="355" spans="1:4" x14ac:dyDescent="0.2">
      <c r="A355" s="4" t="s">
        <v>654</v>
      </c>
      <c r="B355" s="5" t="s">
        <v>4</v>
      </c>
      <c r="C355" s="6" t="s">
        <v>655</v>
      </c>
      <c r="D355" s="7"/>
    </row>
    <row r="356" spans="1:4" x14ac:dyDescent="0.2">
      <c r="A356" s="4" t="s">
        <v>656</v>
      </c>
      <c r="B356" s="5" t="s">
        <v>7</v>
      </c>
      <c r="C356" s="6" t="s">
        <v>657</v>
      </c>
      <c r="D356" s="7"/>
    </row>
    <row r="357" spans="1:4" x14ac:dyDescent="0.2">
      <c r="A357" s="4" t="s">
        <v>658</v>
      </c>
      <c r="B357" s="5" t="s">
        <v>7</v>
      </c>
      <c r="C357" s="6" t="s">
        <v>659</v>
      </c>
      <c r="D357" s="7"/>
    </row>
    <row r="358" spans="1:4" x14ac:dyDescent="0.2">
      <c r="A358" s="4" t="s">
        <v>660</v>
      </c>
      <c r="B358" s="5" t="s">
        <v>7</v>
      </c>
      <c r="C358" s="8">
        <v>46260</v>
      </c>
      <c r="D358" s="7"/>
    </row>
    <row r="359" spans="1:4" x14ac:dyDescent="0.2">
      <c r="A359" s="4" t="s">
        <v>661</v>
      </c>
      <c r="B359" s="5" t="s">
        <v>7</v>
      </c>
      <c r="C359" s="8">
        <v>46247</v>
      </c>
      <c r="D359" s="7"/>
    </row>
    <row r="360" spans="1:4" x14ac:dyDescent="0.2">
      <c r="A360" s="4" t="s">
        <v>662</v>
      </c>
      <c r="B360" s="5" t="s">
        <v>7</v>
      </c>
      <c r="C360" s="8">
        <v>46094</v>
      </c>
      <c r="D360" s="7"/>
    </row>
    <row r="361" spans="1:4" x14ac:dyDescent="0.2">
      <c r="A361" s="4" t="s">
        <v>663</v>
      </c>
      <c r="B361" s="5" t="s">
        <v>7</v>
      </c>
      <c r="C361" s="6" t="s">
        <v>664</v>
      </c>
      <c r="D361" s="7"/>
    </row>
    <row r="362" spans="1:4" x14ac:dyDescent="0.2">
      <c r="A362" s="4" t="s">
        <v>665</v>
      </c>
      <c r="B362" s="5" t="s">
        <v>7</v>
      </c>
      <c r="C362" s="6" t="s">
        <v>666</v>
      </c>
      <c r="D362" s="7"/>
    </row>
    <row r="363" spans="1:4" x14ac:dyDescent="0.2">
      <c r="A363" s="4" t="s">
        <v>667</v>
      </c>
      <c r="B363" s="5" t="s">
        <v>7</v>
      </c>
      <c r="C363" s="6" t="s">
        <v>668</v>
      </c>
      <c r="D363" s="7"/>
    </row>
    <row r="364" spans="1:4" x14ac:dyDescent="0.2">
      <c r="A364" s="4" t="s">
        <v>669</v>
      </c>
      <c r="B364" s="5" t="s">
        <v>617</v>
      </c>
      <c r="C364" s="6" t="s">
        <v>670</v>
      </c>
      <c r="D364" s="7"/>
    </row>
    <row r="365" spans="1:4" x14ac:dyDescent="0.2">
      <c r="A365" s="4" t="s">
        <v>671</v>
      </c>
      <c r="B365" s="5" t="s">
        <v>617</v>
      </c>
      <c r="C365" s="6" t="s">
        <v>672</v>
      </c>
      <c r="D365" s="7"/>
    </row>
    <row r="366" spans="1:4" x14ac:dyDescent="0.2">
      <c r="A366" s="4" t="s">
        <v>673</v>
      </c>
      <c r="B366" s="5" t="s">
        <v>617</v>
      </c>
      <c r="C366" s="6" t="s">
        <v>674</v>
      </c>
      <c r="D366" s="7"/>
    </row>
    <row r="367" spans="1:4" x14ac:dyDescent="0.2">
      <c r="A367" s="4" t="s">
        <v>675</v>
      </c>
      <c r="B367" s="5" t="s">
        <v>617</v>
      </c>
      <c r="C367" s="6" t="s">
        <v>676</v>
      </c>
      <c r="D367" s="7"/>
    </row>
    <row r="368" spans="1:4" x14ac:dyDescent="0.2">
      <c r="A368" s="4" t="s">
        <v>677</v>
      </c>
      <c r="B368" s="5" t="s">
        <v>617</v>
      </c>
      <c r="C368" s="6" t="s">
        <v>678</v>
      </c>
      <c r="D368" s="7"/>
    </row>
    <row r="369" spans="1:4" x14ac:dyDescent="0.2">
      <c r="A369" s="4" t="s">
        <v>679</v>
      </c>
      <c r="B369" s="5" t="s">
        <v>617</v>
      </c>
      <c r="C369" s="6" t="s">
        <v>680</v>
      </c>
      <c r="D369" s="7"/>
    </row>
    <row r="370" spans="1:4" x14ac:dyDescent="0.2">
      <c r="A370" s="4" t="s">
        <v>681</v>
      </c>
      <c r="B370" s="5" t="s">
        <v>617</v>
      </c>
      <c r="C370" s="6" t="s">
        <v>682</v>
      </c>
      <c r="D370" s="7"/>
    </row>
    <row r="371" spans="1:4" x14ac:dyDescent="0.2">
      <c r="A371" s="4" t="s">
        <v>683</v>
      </c>
      <c r="B371" s="5" t="s">
        <v>617</v>
      </c>
      <c r="C371" s="6" t="s">
        <v>684</v>
      </c>
      <c r="D371" s="7"/>
    </row>
    <row r="372" spans="1:4" x14ac:dyDescent="0.2">
      <c r="A372" s="4" t="s">
        <v>685</v>
      </c>
      <c r="B372" s="5" t="s">
        <v>617</v>
      </c>
      <c r="C372" s="6" t="s">
        <v>686</v>
      </c>
      <c r="D372" s="7"/>
    </row>
    <row r="373" spans="1:4" x14ac:dyDescent="0.2">
      <c r="A373" s="4" t="s">
        <v>687</v>
      </c>
      <c r="B373" s="5" t="s">
        <v>617</v>
      </c>
      <c r="C373" s="6" t="s">
        <v>688</v>
      </c>
      <c r="D373" s="7"/>
    </row>
    <row r="374" spans="1:4" x14ac:dyDescent="0.2">
      <c r="A374" s="4" t="s">
        <v>689</v>
      </c>
      <c r="B374" s="5" t="s">
        <v>617</v>
      </c>
      <c r="C374" s="6" t="s">
        <v>690</v>
      </c>
      <c r="D374" s="7"/>
    </row>
    <row r="375" spans="1:4" x14ac:dyDescent="0.2">
      <c r="A375" s="4" t="s">
        <v>691</v>
      </c>
      <c r="B375" s="5" t="s">
        <v>617</v>
      </c>
      <c r="C375" s="6" t="s">
        <v>692</v>
      </c>
      <c r="D375" s="7"/>
    </row>
    <row r="376" spans="1:4" x14ac:dyDescent="0.2">
      <c r="A376" s="4" t="s">
        <v>693</v>
      </c>
      <c r="B376" s="5" t="s">
        <v>617</v>
      </c>
      <c r="C376" s="6" t="s">
        <v>694</v>
      </c>
      <c r="D376" s="7"/>
    </row>
    <row r="377" spans="1:4" x14ac:dyDescent="0.2">
      <c r="A377" s="4" t="s">
        <v>695</v>
      </c>
      <c r="B377" s="5" t="s">
        <v>617</v>
      </c>
      <c r="C377" s="6" t="s">
        <v>696</v>
      </c>
      <c r="D377" s="7"/>
    </row>
    <row r="378" spans="1:4" x14ac:dyDescent="0.2">
      <c r="A378" s="4" t="s">
        <v>697</v>
      </c>
      <c r="B378" s="5" t="s">
        <v>617</v>
      </c>
      <c r="C378" s="6" t="s">
        <v>698</v>
      </c>
      <c r="D378" s="7"/>
    </row>
    <row r="379" spans="1:4" x14ac:dyDescent="0.2">
      <c r="A379" s="4" t="s">
        <v>699</v>
      </c>
      <c r="B379" s="5" t="s">
        <v>617</v>
      </c>
      <c r="C379" s="6" t="s">
        <v>700</v>
      </c>
      <c r="D379" s="7"/>
    </row>
    <row r="380" spans="1:4" x14ac:dyDescent="0.2">
      <c r="A380" s="4" t="s">
        <v>701</v>
      </c>
      <c r="B380" s="5" t="s">
        <v>617</v>
      </c>
      <c r="C380" s="6" t="s">
        <v>702</v>
      </c>
      <c r="D380" s="7"/>
    </row>
    <row r="381" spans="1:4" x14ac:dyDescent="0.2">
      <c r="A381" s="4" t="s">
        <v>703</v>
      </c>
      <c r="B381" s="5" t="s">
        <v>617</v>
      </c>
      <c r="C381" s="6" t="s">
        <v>702</v>
      </c>
      <c r="D381" s="7"/>
    </row>
    <row r="382" spans="1:4" x14ac:dyDescent="0.2">
      <c r="A382" s="4" t="s">
        <v>704</v>
      </c>
      <c r="B382" s="5" t="s">
        <v>617</v>
      </c>
      <c r="C382" s="6" t="s">
        <v>705</v>
      </c>
      <c r="D382" s="7"/>
    </row>
    <row r="383" spans="1:4" x14ac:dyDescent="0.2">
      <c r="A383" s="4" t="s">
        <v>706</v>
      </c>
      <c r="B383" s="5" t="s">
        <v>617</v>
      </c>
      <c r="C383" s="6" t="s">
        <v>707</v>
      </c>
      <c r="D383" s="7"/>
    </row>
    <row r="384" spans="1:4" x14ac:dyDescent="0.2">
      <c r="A384" s="4" t="s">
        <v>708</v>
      </c>
      <c r="B384" s="5" t="s">
        <v>10</v>
      </c>
      <c r="C384" s="6" t="s">
        <v>709</v>
      </c>
      <c r="D384" s="7"/>
    </row>
    <row r="385" spans="1:4" x14ac:dyDescent="0.2">
      <c r="A385" s="4" t="s">
        <v>710</v>
      </c>
      <c r="B385" s="5" t="s">
        <v>10</v>
      </c>
      <c r="C385" s="6" t="s">
        <v>711</v>
      </c>
      <c r="D385" s="7"/>
    </row>
    <row r="386" spans="1:4" x14ac:dyDescent="0.2">
      <c r="A386" s="4" t="s">
        <v>712</v>
      </c>
      <c r="B386" s="5" t="s">
        <v>19</v>
      </c>
      <c r="C386" s="6" t="s">
        <v>713</v>
      </c>
      <c r="D386" s="7"/>
    </row>
    <row r="387" spans="1:4" x14ac:dyDescent="0.2">
      <c r="A387" s="4" t="s">
        <v>714</v>
      </c>
      <c r="B387" s="5" t="s">
        <v>19</v>
      </c>
      <c r="C387" s="6" t="s">
        <v>715</v>
      </c>
      <c r="D387" s="7"/>
    </row>
    <row r="388" spans="1:4" x14ac:dyDescent="0.2">
      <c r="A388" s="4" t="s">
        <v>716</v>
      </c>
      <c r="B388" s="5" t="s">
        <v>4</v>
      </c>
      <c r="C388" s="6" t="s">
        <v>717</v>
      </c>
      <c r="D388" s="7"/>
    </row>
    <row r="389" spans="1:4" x14ac:dyDescent="0.2">
      <c r="A389" s="4" t="s">
        <v>718</v>
      </c>
      <c r="B389" s="5" t="s">
        <v>4</v>
      </c>
      <c r="C389" s="6" t="s">
        <v>719</v>
      </c>
      <c r="D389" s="7"/>
    </row>
    <row r="390" spans="1:4" x14ac:dyDescent="0.2">
      <c r="A390" s="4" t="s">
        <v>720</v>
      </c>
      <c r="B390" s="5" t="s">
        <v>4</v>
      </c>
      <c r="C390" s="6" t="s">
        <v>721</v>
      </c>
      <c r="D390" s="7"/>
    </row>
    <row r="391" spans="1:4" x14ac:dyDescent="0.2">
      <c r="A391" s="4" t="s">
        <v>722</v>
      </c>
      <c r="B391" s="5" t="s">
        <v>723</v>
      </c>
      <c r="C391" s="6" t="s">
        <v>724</v>
      </c>
      <c r="D391" s="7"/>
    </row>
    <row r="392" spans="1:4" x14ac:dyDescent="0.2">
      <c r="A392" s="4" t="s">
        <v>725</v>
      </c>
      <c r="B392" s="5" t="s">
        <v>726</v>
      </c>
      <c r="C392" s="6" t="s">
        <v>727</v>
      </c>
      <c r="D392" s="7"/>
    </row>
    <row r="393" spans="1:4" x14ac:dyDescent="0.2">
      <c r="A393" s="4" t="s">
        <v>728</v>
      </c>
      <c r="B393" s="5" t="s">
        <v>723</v>
      </c>
      <c r="C393" s="6" t="s">
        <v>729</v>
      </c>
      <c r="D393" s="7"/>
    </row>
    <row r="394" spans="1:4" x14ac:dyDescent="0.2">
      <c r="A394" s="4" t="s">
        <v>730</v>
      </c>
      <c r="B394" s="5" t="s">
        <v>726</v>
      </c>
      <c r="C394" s="6" t="s">
        <v>731</v>
      </c>
      <c r="D394" s="7"/>
    </row>
    <row r="395" spans="1:4" x14ac:dyDescent="0.2">
      <c r="A395" s="4" t="s">
        <v>732</v>
      </c>
      <c r="B395" s="5" t="s">
        <v>733</v>
      </c>
      <c r="C395" s="6" t="s">
        <v>734</v>
      </c>
      <c r="D395" s="7"/>
    </row>
    <row r="396" spans="1:4" x14ac:dyDescent="0.2">
      <c r="A396" s="4" t="s">
        <v>735</v>
      </c>
      <c r="B396" s="5" t="s">
        <v>22</v>
      </c>
      <c r="C396" s="6" t="s">
        <v>736</v>
      </c>
      <c r="D396" s="7"/>
    </row>
    <row r="397" spans="1:4" x14ac:dyDescent="0.2">
      <c r="A397" s="4" t="s">
        <v>737</v>
      </c>
      <c r="B397" s="5" t="s">
        <v>22</v>
      </c>
      <c r="C397" s="6" t="s">
        <v>738</v>
      </c>
      <c r="D397" s="7"/>
    </row>
    <row r="398" spans="1:4" x14ac:dyDescent="0.2">
      <c r="A398" s="4" t="s">
        <v>739</v>
      </c>
      <c r="B398" s="5" t="s">
        <v>22</v>
      </c>
      <c r="C398" s="6" t="s">
        <v>740</v>
      </c>
      <c r="D398" s="7"/>
    </row>
    <row r="399" spans="1:4" x14ac:dyDescent="0.2">
      <c r="A399" s="4" t="s">
        <v>741</v>
      </c>
      <c r="B399" s="5" t="s">
        <v>22</v>
      </c>
      <c r="C399" s="6" t="s">
        <v>742</v>
      </c>
      <c r="D399" s="7"/>
    </row>
    <row r="400" spans="1:4" x14ac:dyDescent="0.2">
      <c r="A400" s="4" t="s">
        <v>743</v>
      </c>
      <c r="B400" s="5" t="s">
        <v>7</v>
      </c>
      <c r="C400" s="6" t="s">
        <v>744</v>
      </c>
      <c r="D400" s="7"/>
    </row>
    <row r="401" spans="1:4" x14ac:dyDescent="0.2">
      <c r="A401" s="4" t="s">
        <v>745</v>
      </c>
      <c r="B401" s="5" t="s">
        <v>22</v>
      </c>
      <c r="C401" s="6" t="s">
        <v>746</v>
      </c>
      <c r="D401" s="7"/>
    </row>
    <row r="402" spans="1:4" x14ac:dyDescent="0.2">
      <c r="A402" s="4" t="s">
        <v>747</v>
      </c>
      <c r="B402" s="5" t="s">
        <v>22</v>
      </c>
      <c r="C402" s="6" t="s">
        <v>748</v>
      </c>
      <c r="D402" s="7"/>
    </row>
    <row r="403" spans="1:4" x14ac:dyDescent="0.2">
      <c r="A403" s="4" t="s">
        <v>749</v>
      </c>
      <c r="B403" s="5" t="s">
        <v>22</v>
      </c>
      <c r="C403" s="6" t="s">
        <v>750</v>
      </c>
      <c r="D403" s="7"/>
    </row>
    <row r="404" spans="1:4" x14ac:dyDescent="0.2">
      <c r="A404" s="4" t="s">
        <v>751</v>
      </c>
      <c r="B404" s="5" t="s">
        <v>22</v>
      </c>
      <c r="C404" s="6" t="s">
        <v>752</v>
      </c>
      <c r="D404" s="7"/>
    </row>
    <row r="405" spans="1:4" x14ac:dyDescent="0.2">
      <c r="A405" s="4" t="s">
        <v>753</v>
      </c>
      <c r="B405" s="5" t="s">
        <v>22</v>
      </c>
      <c r="C405" s="6" t="s">
        <v>754</v>
      </c>
      <c r="D405" s="7"/>
    </row>
    <row r="406" spans="1:4" x14ac:dyDescent="0.2">
      <c r="A406" s="4" t="s">
        <v>755</v>
      </c>
      <c r="B406" s="5" t="s">
        <v>22</v>
      </c>
      <c r="C406" s="6" t="s">
        <v>756</v>
      </c>
      <c r="D406" s="7"/>
    </row>
    <row r="407" spans="1:4" x14ac:dyDescent="0.2">
      <c r="A407" s="4" t="s">
        <v>757</v>
      </c>
      <c r="B407" s="5" t="s">
        <v>22</v>
      </c>
      <c r="C407" s="6" t="s">
        <v>758</v>
      </c>
      <c r="D407" s="7"/>
    </row>
    <row r="408" spans="1:4" x14ac:dyDescent="0.2">
      <c r="A408" s="4" t="s">
        <v>759</v>
      </c>
      <c r="B408" s="5" t="s">
        <v>22</v>
      </c>
      <c r="C408" s="6" t="s">
        <v>760</v>
      </c>
      <c r="D408" s="7"/>
    </row>
    <row r="409" spans="1:4" x14ac:dyDescent="0.2">
      <c r="A409" s="4" t="s">
        <v>761</v>
      </c>
      <c r="B409" s="5" t="s">
        <v>22</v>
      </c>
      <c r="C409" s="6" t="s">
        <v>762</v>
      </c>
      <c r="D409" s="7"/>
    </row>
    <row r="410" spans="1:4" x14ac:dyDescent="0.2">
      <c r="A410" s="4" t="s">
        <v>763</v>
      </c>
      <c r="B410" s="5" t="s">
        <v>156</v>
      </c>
      <c r="C410" s="6" t="s">
        <v>764</v>
      </c>
      <c r="D410" s="7"/>
    </row>
    <row r="411" spans="1:4" x14ac:dyDescent="0.2">
      <c r="A411" s="4" t="s">
        <v>765</v>
      </c>
      <c r="B411" s="5" t="s">
        <v>156</v>
      </c>
      <c r="C411" s="6" t="s">
        <v>766</v>
      </c>
      <c r="D411" s="7"/>
    </row>
    <row r="412" spans="1:4" x14ac:dyDescent="0.2">
      <c r="A412" s="4" t="s">
        <v>767</v>
      </c>
      <c r="B412" s="5" t="s">
        <v>156</v>
      </c>
      <c r="C412" s="6" t="s">
        <v>768</v>
      </c>
      <c r="D412" s="7"/>
    </row>
    <row r="413" spans="1:4" x14ac:dyDescent="0.2">
      <c r="A413" s="4" t="s">
        <v>769</v>
      </c>
      <c r="B413" s="5" t="s">
        <v>4</v>
      </c>
      <c r="C413" s="6" t="s">
        <v>770</v>
      </c>
      <c r="D413" s="7"/>
    </row>
    <row r="414" spans="1:4" x14ac:dyDescent="0.2">
      <c r="A414" s="4" t="s">
        <v>771</v>
      </c>
      <c r="B414" s="5" t="s">
        <v>4</v>
      </c>
      <c r="C414" s="6" t="s">
        <v>772</v>
      </c>
      <c r="D414" s="7"/>
    </row>
    <row r="415" spans="1:4" x14ac:dyDescent="0.2">
      <c r="A415" s="4" t="s">
        <v>773</v>
      </c>
      <c r="B415" s="5" t="s">
        <v>4</v>
      </c>
      <c r="C415" s="6" t="s">
        <v>774</v>
      </c>
      <c r="D415" s="7"/>
    </row>
    <row r="416" spans="1:4" x14ac:dyDescent="0.2">
      <c r="A416" s="4" t="s">
        <v>775</v>
      </c>
      <c r="B416" s="5" t="s">
        <v>10</v>
      </c>
      <c r="C416" s="6" t="s">
        <v>776</v>
      </c>
      <c r="D416" s="7"/>
    </row>
    <row r="417" spans="1:4" x14ac:dyDescent="0.2">
      <c r="A417" s="4" t="s">
        <v>777</v>
      </c>
      <c r="B417" s="5" t="s">
        <v>7</v>
      </c>
      <c r="C417" s="6" t="s">
        <v>778</v>
      </c>
      <c r="D417" s="7"/>
    </row>
    <row r="418" spans="1:4" x14ac:dyDescent="0.2">
      <c r="A418" s="4" t="s">
        <v>779</v>
      </c>
      <c r="B418" s="5" t="s">
        <v>22</v>
      </c>
      <c r="C418" s="6" t="s">
        <v>780</v>
      </c>
      <c r="D418" s="7"/>
    </row>
    <row r="419" spans="1:4" x14ac:dyDescent="0.2">
      <c r="A419" s="4" t="s">
        <v>781</v>
      </c>
      <c r="B419" s="5" t="s">
        <v>22</v>
      </c>
      <c r="C419" s="6" t="s">
        <v>782</v>
      </c>
      <c r="D419" s="7"/>
    </row>
    <row r="420" spans="1:4" x14ac:dyDescent="0.2">
      <c r="A420" s="4" t="s">
        <v>783</v>
      </c>
      <c r="B420" s="5" t="s">
        <v>22</v>
      </c>
      <c r="C420" s="6" t="s">
        <v>784</v>
      </c>
      <c r="D420" s="7"/>
    </row>
    <row r="421" spans="1:4" x14ac:dyDescent="0.2">
      <c r="A421" s="4" t="s">
        <v>785</v>
      </c>
      <c r="B421" s="5" t="s">
        <v>22</v>
      </c>
      <c r="C421" s="8">
        <v>46230</v>
      </c>
      <c r="D421" s="7"/>
    </row>
    <row r="422" spans="1:4" x14ac:dyDescent="0.2">
      <c r="A422" s="4" t="s">
        <v>786</v>
      </c>
      <c r="B422" s="5" t="s">
        <v>22</v>
      </c>
      <c r="C422" s="6" t="s">
        <v>748</v>
      </c>
      <c r="D422" s="7"/>
    </row>
    <row r="423" spans="1:4" x14ac:dyDescent="0.2">
      <c r="A423" s="4" t="s">
        <v>787</v>
      </c>
      <c r="B423" s="5" t="s">
        <v>22</v>
      </c>
      <c r="C423" s="6" t="s">
        <v>788</v>
      </c>
      <c r="D423" s="7"/>
    </row>
    <row r="424" spans="1:4" x14ac:dyDescent="0.2">
      <c r="A424" s="4" t="s">
        <v>789</v>
      </c>
      <c r="B424" s="5" t="s">
        <v>22</v>
      </c>
      <c r="C424" s="6" t="s">
        <v>790</v>
      </c>
      <c r="D424" s="7"/>
    </row>
    <row r="425" spans="1:4" x14ac:dyDescent="0.2">
      <c r="A425" s="4" t="s">
        <v>791</v>
      </c>
      <c r="B425" s="5" t="s">
        <v>22</v>
      </c>
      <c r="C425" s="6" t="s">
        <v>792</v>
      </c>
      <c r="D425" s="7"/>
    </row>
    <row r="426" spans="1:4" x14ac:dyDescent="0.2">
      <c r="A426" s="4" t="s">
        <v>793</v>
      </c>
      <c r="B426" s="5" t="s">
        <v>22</v>
      </c>
      <c r="C426" s="6" t="s">
        <v>794</v>
      </c>
      <c r="D426" s="7"/>
    </row>
    <row r="427" spans="1:4" x14ac:dyDescent="0.2">
      <c r="A427" s="4" t="s">
        <v>795</v>
      </c>
      <c r="B427" s="5" t="s">
        <v>22</v>
      </c>
      <c r="C427" s="6" t="s">
        <v>796</v>
      </c>
      <c r="D427" s="7"/>
    </row>
    <row r="428" spans="1:4" x14ac:dyDescent="0.2">
      <c r="A428" s="4" t="s">
        <v>797</v>
      </c>
      <c r="B428" s="5" t="s">
        <v>22</v>
      </c>
      <c r="C428" s="6" t="s">
        <v>798</v>
      </c>
      <c r="D428" s="7"/>
    </row>
    <row r="429" spans="1:4" x14ac:dyDescent="0.2">
      <c r="A429" s="4" t="s">
        <v>799</v>
      </c>
      <c r="B429" s="5" t="s">
        <v>22</v>
      </c>
      <c r="C429" s="6" t="s">
        <v>800</v>
      </c>
      <c r="D429" s="7"/>
    </row>
    <row r="430" spans="1:4" x14ac:dyDescent="0.2">
      <c r="A430" s="4" t="s">
        <v>801</v>
      </c>
      <c r="B430" s="5" t="s">
        <v>22</v>
      </c>
      <c r="C430" s="6" t="s">
        <v>802</v>
      </c>
      <c r="D430" s="7"/>
    </row>
    <row r="431" spans="1:4" x14ac:dyDescent="0.2">
      <c r="A431" s="4" t="s">
        <v>803</v>
      </c>
      <c r="B431" s="5" t="s">
        <v>7</v>
      </c>
      <c r="C431" s="6" t="s">
        <v>804</v>
      </c>
      <c r="D431" s="7"/>
    </row>
    <row r="432" spans="1:4" x14ac:dyDescent="0.2">
      <c r="A432" s="4" t="s">
        <v>805</v>
      </c>
      <c r="B432" s="5" t="s">
        <v>156</v>
      </c>
      <c r="C432" s="6" t="s">
        <v>806</v>
      </c>
      <c r="D432" s="7"/>
    </row>
    <row r="433" spans="1:4" x14ac:dyDescent="0.2">
      <c r="A433" s="4" t="s">
        <v>807</v>
      </c>
      <c r="B433" s="5" t="s">
        <v>4</v>
      </c>
      <c r="C433" s="6" t="s">
        <v>808</v>
      </c>
      <c r="D433" s="7"/>
    </row>
    <row r="434" spans="1:4" x14ac:dyDescent="0.2">
      <c r="A434" s="4" t="s">
        <v>809</v>
      </c>
      <c r="B434" s="5" t="s">
        <v>4</v>
      </c>
      <c r="C434" s="6" t="s">
        <v>810</v>
      </c>
      <c r="D434" s="7"/>
    </row>
    <row r="435" spans="1:4" x14ac:dyDescent="0.2">
      <c r="A435" s="4" t="s">
        <v>811</v>
      </c>
      <c r="B435" s="5" t="s">
        <v>4</v>
      </c>
      <c r="C435" s="6" t="s">
        <v>812</v>
      </c>
      <c r="D435" s="7"/>
    </row>
    <row r="436" spans="1:4" x14ac:dyDescent="0.2">
      <c r="A436" s="4" t="s">
        <v>813</v>
      </c>
      <c r="B436" s="5" t="s">
        <v>4</v>
      </c>
      <c r="C436" s="6" t="s">
        <v>814</v>
      </c>
      <c r="D436" s="7"/>
    </row>
    <row r="437" spans="1:4" x14ac:dyDescent="0.2">
      <c r="A437" s="4" t="s">
        <v>815</v>
      </c>
      <c r="B437" s="5" t="s">
        <v>4</v>
      </c>
      <c r="C437" s="6" t="s">
        <v>816</v>
      </c>
      <c r="D437" s="7"/>
    </row>
    <row r="438" spans="1:4" x14ac:dyDescent="0.2">
      <c r="A438" s="4" t="s">
        <v>817</v>
      </c>
      <c r="B438" s="5" t="s">
        <v>4</v>
      </c>
      <c r="C438" s="6" t="s">
        <v>818</v>
      </c>
      <c r="D438" s="7"/>
    </row>
    <row r="439" spans="1:4" x14ac:dyDescent="0.2">
      <c r="A439" s="4" t="s">
        <v>819</v>
      </c>
      <c r="B439" s="5" t="s">
        <v>4</v>
      </c>
      <c r="C439" s="6" t="s">
        <v>820</v>
      </c>
      <c r="D439" s="7"/>
    </row>
    <row r="440" spans="1:4" x14ac:dyDescent="0.2">
      <c r="A440" s="4" t="s">
        <v>821</v>
      </c>
      <c r="B440" s="5" t="s">
        <v>4</v>
      </c>
      <c r="C440" s="6" t="s">
        <v>822</v>
      </c>
      <c r="D440" s="7"/>
    </row>
    <row r="441" spans="1:4" x14ac:dyDescent="0.2">
      <c r="A441" s="4" t="s">
        <v>823</v>
      </c>
      <c r="B441" s="5" t="s">
        <v>4</v>
      </c>
      <c r="C441" s="6" t="s">
        <v>824</v>
      </c>
      <c r="D441" s="7"/>
    </row>
    <row r="442" spans="1:4" x14ac:dyDescent="0.2">
      <c r="A442" s="4" t="s">
        <v>825</v>
      </c>
      <c r="B442" s="5" t="s">
        <v>4</v>
      </c>
      <c r="C442" s="6" t="s">
        <v>826</v>
      </c>
      <c r="D442" s="7"/>
    </row>
    <row r="443" spans="1:4" x14ac:dyDescent="0.2">
      <c r="A443" s="4" t="s">
        <v>827</v>
      </c>
      <c r="B443" s="5" t="s">
        <v>4</v>
      </c>
      <c r="C443" s="6" t="s">
        <v>828</v>
      </c>
      <c r="D443" s="7"/>
    </row>
    <row r="444" spans="1:4" x14ac:dyDescent="0.2">
      <c r="A444" s="4" t="s">
        <v>829</v>
      </c>
      <c r="B444" s="5" t="s">
        <v>4</v>
      </c>
      <c r="C444" s="6" t="s">
        <v>830</v>
      </c>
      <c r="D444" s="7"/>
    </row>
    <row r="445" spans="1:4" x14ac:dyDescent="0.2">
      <c r="A445" s="4" t="s">
        <v>831</v>
      </c>
      <c r="B445" s="5" t="s">
        <v>4</v>
      </c>
      <c r="C445" s="6" t="s">
        <v>832</v>
      </c>
      <c r="D445" s="7"/>
    </row>
    <row r="446" spans="1:4" x14ac:dyDescent="0.2">
      <c r="A446" s="4" t="s">
        <v>833</v>
      </c>
      <c r="B446" s="5" t="s">
        <v>4</v>
      </c>
      <c r="C446" s="6" t="s">
        <v>834</v>
      </c>
      <c r="D446" s="7"/>
    </row>
    <row r="447" spans="1:4" x14ac:dyDescent="0.2">
      <c r="A447" s="4" t="s">
        <v>835</v>
      </c>
      <c r="B447" s="5" t="s">
        <v>7</v>
      </c>
      <c r="C447" s="6" t="s">
        <v>836</v>
      </c>
      <c r="D447" s="7"/>
    </row>
    <row r="448" spans="1:4" x14ac:dyDescent="0.2">
      <c r="A448" s="4" t="s">
        <v>837</v>
      </c>
      <c r="B448" s="5" t="s">
        <v>7</v>
      </c>
      <c r="C448" s="6" t="s">
        <v>838</v>
      </c>
      <c r="D448" s="7"/>
    </row>
    <row r="449" spans="1:4" x14ac:dyDescent="0.2">
      <c r="A449" s="4" t="s">
        <v>839</v>
      </c>
      <c r="B449" s="5" t="s">
        <v>7</v>
      </c>
      <c r="C449" s="6" t="s">
        <v>840</v>
      </c>
      <c r="D449" s="7"/>
    </row>
    <row r="450" spans="1:4" x14ac:dyDescent="0.2">
      <c r="A450" s="4" t="s">
        <v>841</v>
      </c>
      <c r="B450" s="5" t="s">
        <v>4</v>
      </c>
      <c r="C450" s="6" t="s">
        <v>842</v>
      </c>
      <c r="D450" s="7"/>
    </row>
    <row r="451" spans="1:4" x14ac:dyDescent="0.2">
      <c r="A451" s="4" t="s">
        <v>843</v>
      </c>
      <c r="B451" s="5" t="s">
        <v>4</v>
      </c>
      <c r="C451" s="6" t="s">
        <v>844</v>
      </c>
      <c r="D451" s="7"/>
    </row>
    <row r="452" spans="1:4" x14ac:dyDescent="0.2">
      <c r="A452" s="4" t="s">
        <v>845</v>
      </c>
      <c r="B452" s="5" t="s">
        <v>4</v>
      </c>
      <c r="C452" s="6" t="s">
        <v>846</v>
      </c>
      <c r="D452" s="7"/>
    </row>
    <row r="453" spans="1:4" x14ac:dyDescent="0.2">
      <c r="A453" s="4" t="s">
        <v>847</v>
      </c>
      <c r="B453" s="5" t="s">
        <v>4</v>
      </c>
      <c r="C453" s="6" t="s">
        <v>848</v>
      </c>
      <c r="D453" s="7"/>
    </row>
    <row r="454" spans="1:4" x14ac:dyDescent="0.2">
      <c r="A454" s="4" t="s">
        <v>849</v>
      </c>
      <c r="B454" s="5" t="s">
        <v>4</v>
      </c>
      <c r="C454" s="6" t="s">
        <v>850</v>
      </c>
      <c r="D454" s="7"/>
    </row>
    <row r="455" spans="1:4" x14ac:dyDescent="0.2">
      <c r="A455" s="4" t="s">
        <v>851</v>
      </c>
      <c r="B455" s="5" t="s">
        <v>4</v>
      </c>
      <c r="C455" s="6" t="s">
        <v>850</v>
      </c>
      <c r="D455" s="7"/>
    </row>
    <row r="456" spans="1:4" x14ac:dyDescent="0.2">
      <c r="A456" s="4" t="s">
        <v>852</v>
      </c>
      <c r="B456" s="5" t="s">
        <v>7</v>
      </c>
      <c r="C456" s="6" t="s">
        <v>853</v>
      </c>
      <c r="D456" s="7"/>
    </row>
    <row r="457" spans="1:4" x14ac:dyDescent="0.2">
      <c r="A457" s="4" t="s">
        <v>854</v>
      </c>
      <c r="B457" s="5" t="s">
        <v>7</v>
      </c>
      <c r="C457" s="6" t="s">
        <v>855</v>
      </c>
      <c r="D457" s="7"/>
    </row>
    <row r="458" spans="1:4" x14ac:dyDescent="0.2">
      <c r="A458" s="4" t="s">
        <v>856</v>
      </c>
      <c r="B458" s="5" t="s">
        <v>7</v>
      </c>
      <c r="C458" s="6" t="s">
        <v>772</v>
      </c>
      <c r="D458" s="7"/>
    </row>
    <row r="459" spans="1:4" x14ac:dyDescent="0.2">
      <c r="A459" s="4" t="s">
        <v>857</v>
      </c>
      <c r="B459" s="5" t="s">
        <v>4</v>
      </c>
      <c r="C459" s="8">
        <v>46292</v>
      </c>
      <c r="D459" s="7"/>
    </row>
    <row r="460" spans="1:4" x14ac:dyDescent="0.2">
      <c r="A460" s="4" t="s">
        <v>858</v>
      </c>
      <c r="B460" s="5" t="s">
        <v>4</v>
      </c>
      <c r="C460" s="6" t="s">
        <v>859</v>
      </c>
      <c r="D460" s="7"/>
    </row>
    <row r="461" spans="1:4" x14ac:dyDescent="0.2">
      <c r="A461" s="4" t="s">
        <v>860</v>
      </c>
      <c r="B461" s="5" t="s">
        <v>4</v>
      </c>
      <c r="C461" s="6" t="s">
        <v>861</v>
      </c>
      <c r="D461" s="7"/>
    </row>
    <row r="462" spans="1:4" x14ac:dyDescent="0.2">
      <c r="A462" s="4" t="s">
        <v>862</v>
      </c>
      <c r="B462" s="5" t="s">
        <v>4</v>
      </c>
      <c r="C462" s="6" t="s">
        <v>863</v>
      </c>
      <c r="D462" s="7"/>
    </row>
    <row r="463" spans="1:4" x14ac:dyDescent="0.2">
      <c r="A463" s="4" t="s">
        <v>864</v>
      </c>
      <c r="B463" s="5" t="s">
        <v>4</v>
      </c>
      <c r="C463" s="6" t="s">
        <v>865</v>
      </c>
      <c r="D463" s="7"/>
    </row>
    <row r="464" spans="1:4" x14ac:dyDescent="0.2">
      <c r="A464" s="4" t="s">
        <v>866</v>
      </c>
      <c r="B464" s="5" t="s">
        <v>4</v>
      </c>
      <c r="C464" s="6" t="s">
        <v>867</v>
      </c>
      <c r="D464" s="7"/>
    </row>
    <row r="465" spans="1:4" x14ac:dyDescent="0.2">
      <c r="A465" s="4" t="s">
        <v>868</v>
      </c>
      <c r="B465" s="5" t="s">
        <v>4</v>
      </c>
      <c r="C465" s="6" t="s">
        <v>869</v>
      </c>
      <c r="D465" s="7"/>
    </row>
    <row r="466" spans="1:4" x14ac:dyDescent="0.2">
      <c r="A466" s="4" t="s">
        <v>870</v>
      </c>
      <c r="B466" s="5" t="s">
        <v>22</v>
      </c>
      <c r="C466" s="6" t="s">
        <v>871</v>
      </c>
      <c r="D466" s="7"/>
    </row>
    <row r="467" spans="1:4" x14ac:dyDescent="0.2">
      <c r="A467" s="4" t="s">
        <v>872</v>
      </c>
      <c r="B467" s="5" t="s">
        <v>22</v>
      </c>
      <c r="C467" s="6" t="s">
        <v>873</v>
      </c>
      <c r="D467" s="7"/>
    </row>
    <row r="468" spans="1:4" x14ac:dyDescent="0.2">
      <c r="A468" s="4" t="s">
        <v>874</v>
      </c>
      <c r="B468" s="5" t="s">
        <v>22</v>
      </c>
      <c r="C468" s="6" t="s">
        <v>112</v>
      </c>
      <c r="D468" s="7"/>
    </row>
    <row r="469" spans="1:4" x14ac:dyDescent="0.2">
      <c r="A469" s="4" t="s">
        <v>875</v>
      </c>
      <c r="B469" s="5" t="s">
        <v>22</v>
      </c>
      <c r="C469" s="6" t="s">
        <v>876</v>
      </c>
      <c r="D469" s="7"/>
    </row>
    <row r="470" spans="1:4" x14ac:dyDescent="0.2">
      <c r="A470" s="4" t="s">
        <v>877</v>
      </c>
      <c r="B470" s="5" t="s">
        <v>22</v>
      </c>
      <c r="C470" s="6" t="s">
        <v>878</v>
      </c>
      <c r="D470" s="7"/>
    </row>
    <row r="471" spans="1:4" x14ac:dyDescent="0.2">
      <c r="A471" s="4" t="s">
        <v>879</v>
      </c>
      <c r="B471" s="5" t="s">
        <v>22</v>
      </c>
      <c r="C471" s="6" t="s">
        <v>880</v>
      </c>
      <c r="D471" s="7"/>
    </row>
    <row r="472" spans="1:4" x14ac:dyDescent="0.2">
      <c r="A472" s="4" t="s">
        <v>881</v>
      </c>
      <c r="B472" s="5" t="s">
        <v>22</v>
      </c>
      <c r="C472" s="6" t="s">
        <v>882</v>
      </c>
      <c r="D472" s="7"/>
    </row>
    <row r="473" spans="1:4" x14ac:dyDescent="0.2">
      <c r="A473" s="4" t="s">
        <v>883</v>
      </c>
      <c r="B473" s="5" t="s">
        <v>22</v>
      </c>
      <c r="C473" s="6" t="s">
        <v>628</v>
      </c>
      <c r="D473" s="7"/>
    </row>
    <row r="474" spans="1:4" x14ac:dyDescent="0.2">
      <c r="A474" s="4" t="s">
        <v>884</v>
      </c>
      <c r="B474" s="5" t="s">
        <v>156</v>
      </c>
      <c r="C474" s="6" t="s">
        <v>754</v>
      </c>
      <c r="D474" s="7"/>
    </row>
    <row r="475" spans="1:4" x14ac:dyDescent="0.2">
      <c r="A475" s="4" t="s">
        <v>885</v>
      </c>
      <c r="B475" s="5" t="s">
        <v>886</v>
      </c>
      <c r="C475" s="6" t="s">
        <v>887</v>
      </c>
      <c r="D475" s="7"/>
    </row>
    <row r="476" spans="1:4" x14ac:dyDescent="0.2">
      <c r="A476" s="4" t="s">
        <v>888</v>
      </c>
      <c r="B476" s="5" t="s">
        <v>886</v>
      </c>
      <c r="C476" s="6" t="s">
        <v>889</v>
      </c>
      <c r="D476" s="7"/>
    </row>
    <row r="477" spans="1:4" x14ac:dyDescent="0.2">
      <c r="A477" s="4" t="s">
        <v>890</v>
      </c>
      <c r="B477" s="5" t="s">
        <v>886</v>
      </c>
      <c r="C477" s="6" t="s">
        <v>891</v>
      </c>
      <c r="D477" s="7"/>
    </row>
    <row r="478" spans="1:4" x14ac:dyDescent="0.2">
      <c r="A478" s="4" t="s">
        <v>892</v>
      </c>
      <c r="B478" s="5" t="s">
        <v>886</v>
      </c>
      <c r="C478" s="6" t="s">
        <v>893</v>
      </c>
      <c r="D478" s="7"/>
    </row>
    <row r="479" spans="1:4" x14ac:dyDescent="0.2">
      <c r="A479" s="4" t="s">
        <v>894</v>
      </c>
      <c r="B479" s="5" t="s">
        <v>886</v>
      </c>
      <c r="C479" s="6" t="s">
        <v>895</v>
      </c>
      <c r="D479" s="7"/>
    </row>
    <row r="480" spans="1:4" x14ac:dyDescent="0.2">
      <c r="A480" s="4" t="s">
        <v>896</v>
      </c>
      <c r="B480" s="5" t="s">
        <v>886</v>
      </c>
      <c r="C480" s="6" t="s">
        <v>897</v>
      </c>
      <c r="D480" s="7"/>
    </row>
    <row r="481" spans="1:4" x14ac:dyDescent="0.2">
      <c r="A481" s="4" t="s">
        <v>898</v>
      </c>
      <c r="B481" s="5" t="s">
        <v>886</v>
      </c>
      <c r="C481" s="6" t="s">
        <v>899</v>
      </c>
      <c r="D481" s="7"/>
    </row>
    <row r="482" spans="1:4" x14ac:dyDescent="0.2">
      <c r="A482" s="4" t="s">
        <v>900</v>
      </c>
      <c r="B482" s="5" t="s">
        <v>886</v>
      </c>
      <c r="C482" s="6" t="s">
        <v>901</v>
      </c>
      <c r="D482" s="7"/>
    </row>
    <row r="483" spans="1:4" x14ac:dyDescent="0.2">
      <c r="A483" s="4" t="s">
        <v>902</v>
      </c>
      <c r="B483" s="5" t="s">
        <v>10</v>
      </c>
      <c r="C483" s="6" t="s">
        <v>903</v>
      </c>
      <c r="D483" s="7"/>
    </row>
    <row r="484" spans="1:4" x14ac:dyDescent="0.2">
      <c r="A484" s="4" t="s">
        <v>904</v>
      </c>
      <c r="B484" s="5" t="s">
        <v>10</v>
      </c>
      <c r="C484" s="6" t="s">
        <v>905</v>
      </c>
      <c r="D484" s="7"/>
    </row>
    <row r="485" spans="1:4" x14ac:dyDescent="0.2">
      <c r="A485" s="4" t="s">
        <v>906</v>
      </c>
      <c r="B485" s="5" t="s">
        <v>10</v>
      </c>
      <c r="C485" s="6" t="s">
        <v>907</v>
      </c>
      <c r="D485" s="7"/>
    </row>
    <row r="486" spans="1:4" x14ac:dyDescent="0.2">
      <c r="A486" s="4" t="s">
        <v>908</v>
      </c>
      <c r="B486" s="5" t="s">
        <v>10</v>
      </c>
      <c r="C486" s="6" t="s">
        <v>909</v>
      </c>
      <c r="D486" s="7"/>
    </row>
    <row r="487" spans="1:4" x14ac:dyDescent="0.2">
      <c r="A487" s="4" t="s">
        <v>910</v>
      </c>
      <c r="B487" s="5" t="s">
        <v>10</v>
      </c>
      <c r="C487" s="6" t="s">
        <v>911</v>
      </c>
      <c r="D487" s="7"/>
    </row>
    <row r="488" spans="1:4" x14ac:dyDescent="0.2">
      <c r="A488" s="4" t="s">
        <v>912</v>
      </c>
      <c r="B488" s="5" t="s">
        <v>7</v>
      </c>
      <c r="C488" s="6" t="s">
        <v>913</v>
      </c>
      <c r="D488" s="7"/>
    </row>
    <row r="489" spans="1:4" x14ac:dyDescent="0.2">
      <c r="A489" s="4" t="s">
        <v>914</v>
      </c>
      <c r="B489" s="5" t="s">
        <v>10</v>
      </c>
      <c r="C489" s="6" t="s">
        <v>915</v>
      </c>
      <c r="D489" s="7"/>
    </row>
    <row r="490" spans="1:4" x14ac:dyDescent="0.2">
      <c r="A490" s="4" t="s">
        <v>916</v>
      </c>
      <c r="B490" s="5" t="s">
        <v>10</v>
      </c>
      <c r="C490" s="6" t="s">
        <v>917</v>
      </c>
      <c r="D490" s="7"/>
    </row>
    <row r="491" spans="1:4" x14ac:dyDescent="0.2">
      <c r="A491" s="4" t="s">
        <v>918</v>
      </c>
      <c r="B491" s="5" t="s">
        <v>10</v>
      </c>
      <c r="C491" s="6" t="s">
        <v>919</v>
      </c>
      <c r="D491" s="7"/>
    </row>
    <row r="492" spans="1:4" x14ac:dyDescent="0.2">
      <c r="A492" s="4" t="s">
        <v>920</v>
      </c>
      <c r="B492" s="5" t="s">
        <v>10</v>
      </c>
      <c r="C492" s="6" t="s">
        <v>921</v>
      </c>
      <c r="D492" s="7"/>
    </row>
    <row r="493" spans="1:4" x14ac:dyDescent="0.2">
      <c r="A493" s="4" t="s">
        <v>922</v>
      </c>
      <c r="B493" s="5" t="s">
        <v>7</v>
      </c>
      <c r="C493" s="6" t="s">
        <v>923</v>
      </c>
      <c r="D493" s="7"/>
    </row>
    <row r="494" spans="1:4" x14ac:dyDescent="0.2">
      <c r="A494" s="4" t="s">
        <v>924</v>
      </c>
      <c r="B494" s="5" t="s">
        <v>10</v>
      </c>
      <c r="C494" s="6" t="s">
        <v>925</v>
      </c>
      <c r="D494" s="7"/>
    </row>
    <row r="495" spans="1:4" x14ac:dyDescent="0.2">
      <c r="A495" s="4" t="s">
        <v>926</v>
      </c>
      <c r="B495" s="5" t="s">
        <v>4</v>
      </c>
      <c r="C495" s="6" t="s">
        <v>927</v>
      </c>
      <c r="D495" s="7"/>
    </row>
    <row r="496" spans="1:4" x14ac:dyDescent="0.2">
      <c r="A496" s="4" t="s">
        <v>928</v>
      </c>
      <c r="B496" s="5" t="s">
        <v>10</v>
      </c>
      <c r="C496" s="6" t="s">
        <v>929</v>
      </c>
      <c r="D496" s="7"/>
    </row>
    <row r="497" spans="1:4" x14ac:dyDescent="0.2">
      <c r="A497" s="4" t="s">
        <v>930</v>
      </c>
      <c r="B497" s="5" t="s">
        <v>4</v>
      </c>
      <c r="C497" s="6" t="s">
        <v>931</v>
      </c>
      <c r="D497" s="7"/>
    </row>
    <row r="498" spans="1:4" x14ac:dyDescent="0.2">
      <c r="A498" s="4" t="s">
        <v>932</v>
      </c>
      <c r="B498" s="5" t="s">
        <v>10</v>
      </c>
      <c r="C498" s="6" t="s">
        <v>933</v>
      </c>
      <c r="D498" s="7"/>
    </row>
    <row r="499" spans="1:4" x14ac:dyDescent="0.2">
      <c r="A499" s="4" t="s">
        <v>934</v>
      </c>
      <c r="B499" s="5" t="s">
        <v>10</v>
      </c>
      <c r="C499" s="6" t="s">
        <v>935</v>
      </c>
      <c r="D499" s="7"/>
    </row>
    <row r="500" spans="1:4" x14ac:dyDescent="0.2">
      <c r="A500" s="4" t="s">
        <v>936</v>
      </c>
      <c r="B500" s="5" t="s">
        <v>7</v>
      </c>
      <c r="C500" s="6" t="s">
        <v>937</v>
      </c>
      <c r="D500" s="7"/>
    </row>
    <row r="501" spans="1:4" x14ac:dyDescent="0.2">
      <c r="A501" s="4" t="s">
        <v>938</v>
      </c>
      <c r="B501" s="5" t="s">
        <v>4</v>
      </c>
      <c r="C501" s="6" t="s">
        <v>939</v>
      </c>
      <c r="D501" s="7"/>
    </row>
    <row r="502" spans="1:4" x14ac:dyDescent="0.2">
      <c r="A502" s="4" t="s">
        <v>940</v>
      </c>
      <c r="B502" s="5" t="s">
        <v>7</v>
      </c>
      <c r="C502" s="6" t="s">
        <v>941</v>
      </c>
      <c r="D502" s="7"/>
    </row>
    <row r="503" spans="1:4" x14ac:dyDescent="0.2">
      <c r="A503" s="4" t="s">
        <v>942</v>
      </c>
      <c r="B503" s="5" t="s">
        <v>7</v>
      </c>
      <c r="C503" s="6" t="s">
        <v>943</v>
      </c>
      <c r="D503" s="7"/>
    </row>
    <row r="504" spans="1:4" x14ac:dyDescent="0.2">
      <c r="A504" s="4" t="s">
        <v>944</v>
      </c>
      <c r="B504" s="5" t="s">
        <v>7</v>
      </c>
      <c r="C504" s="6" t="s">
        <v>945</v>
      </c>
      <c r="D504" s="7"/>
    </row>
    <row r="505" spans="1:4" x14ac:dyDescent="0.2">
      <c r="A505" s="4" t="s">
        <v>946</v>
      </c>
      <c r="B505" s="5" t="s">
        <v>7</v>
      </c>
      <c r="C505" s="6" t="s">
        <v>947</v>
      </c>
      <c r="D505" s="7"/>
    </row>
    <row r="506" spans="1:4" x14ac:dyDescent="0.2">
      <c r="A506" s="4" t="s">
        <v>948</v>
      </c>
      <c r="B506" s="5" t="s">
        <v>22</v>
      </c>
      <c r="C506" s="6" t="s">
        <v>949</v>
      </c>
      <c r="D506" s="7"/>
    </row>
    <row r="507" spans="1:4" x14ac:dyDescent="0.2">
      <c r="A507" s="4" t="s">
        <v>950</v>
      </c>
      <c r="B507" s="5" t="s">
        <v>7</v>
      </c>
      <c r="C507" s="6" t="s">
        <v>943</v>
      </c>
      <c r="D507" s="7"/>
    </row>
    <row r="508" spans="1:4" x14ac:dyDescent="0.2">
      <c r="A508" s="4" t="s">
        <v>951</v>
      </c>
      <c r="B508" s="5" t="s">
        <v>7</v>
      </c>
      <c r="C508" s="6" t="s">
        <v>943</v>
      </c>
      <c r="D508" s="7"/>
    </row>
    <row r="509" spans="1:4" x14ac:dyDescent="0.2">
      <c r="A509" s="4" t="s">
        <v>952</v>
      </c>
      <c r="B509" s="5" t="s">
        <v>7</v>
      </c>
      <c r="C509" s="6" t="s">
        <v>943</v>
      </c>
      <c r="D509" s="7"/>
    </row>
    <row r="510" spans="1:4" x14ac:dyDescent="0.2">
      <c r="A510" s="4" t="s">
        <v>953</v>
      </c>
      <c r="B510" s="5" t="s">
        <v>7</v>
      </c>
      <c r="C510" s="9">
        <v>46357</v>
      </c>
      <c r="D510" s="7"/>
    </row>
    <row r="511" spans="1:4" x14ac:dyDescent="0.2">
      <c r="A511" s="4" t="s">
        <v>954</v>
      </c>
      <c r="B511" s="5" t="s">
        <v>7</v>
      </c>
      <c r="C511" s="6" t="s">
        <v>955</v>
      </c>
      <c r="D511" s="7"/>
    </row>
    <row r="512" spans="1:4" x14ac:dyDescent="0.2">
      <c r="A512" s="4" t="s">
        <v>956</v>
      </c>
      <c r="B512" s="5" t="s">
        <v>957</v>
      </c>
      <c r="C512" s="6" t="s">
        <v>958</v>
      </c>
      <c r="D512" s="7"/>
    </row>
    <row r="513" spans="1:4" x14ac:dyDescent="0.2">
      <c r="A513" s="4" t="s">
        <v>959</v>
      </c>
      <c r="B513" s="5" t="s">
        <v>957</v>
      </c>
      <c r="C513" s="6" t="s">
        <v>960</v>
      </c>
      <c r="D513" s="7"/>
    </row>
    <row r="514" spans="1:4" x14ac:dyDescent="0.2">
      <c r="A514" s="4" t="s">
        <v>961</v>
      </c>
      <c r="B514" s="5" t="s">
        <v>957</v>
      </c>
      <c r="C514" s="6" t="s">
        <v>962</v>
      </c>
      <c r="D514" s="7"/>
    </row>
    <row r="515" spans="1:4" x14ac:dyDescent="0.2">
      <c r="A515" s="4" t="s">
        <v>963</v>
      </c>
      <c r="B515" s="5" t="s">
        <v>957</v>
      </c>
      <c r="C515" s="6" t="s">
        <v>964</v>
      </c>
      <c r="D515" s="7"/>
    </row>
    <row r="516" spans="1:4" x14ac:dyDescent="0.2">
      <c r="A516" s="4" t="s">
        <v>965</v>
      </c>
      <c r="B516" s="5" t="s">
        <v>957</v>
      </c>
      <c r="C516" s="6" t="s">
        <v>966</v>
      </c>
      <c r="D516" s="7"/>
    </row>
    <row r="517" spans="1:4" x14ac:dyDescent="0.2">
      <c r="A517" s="4" t="s">
        <v>967</v>
      </c>
      <c r="B517" s="5" t="s">
        <v>957</v>
      </c>
      <c r="C517" s="6" t="s">
        <v>968</v>
      </c>
      <c r="D517" s="7"/>
    </row>
    <row r="518" spans="1:4" x14ac:dyDescent="0.2">
      <c r="A518" s="4" t="s">
        <v>969</v>
      </c>
      <c r="B518" s="5" t="s">
        <v>7</v>
      </c>
      <c r="C518" s="6" t="s">
        <v>913</v>
      </c>
      <c r="D518" s="7"/>
    </row>
    <row r="519" spans="1:4" x14ac:dyDescent="0.2">
      <c r="A519" s="4" t="s">
        <v>970</v>
      </c>
      <c r="B519" s="5" t="s">
        <v>22</v>
      </c>
      <c r="C519" s="6" t="s">
        <v>971</v>
      </c>
      <c r="D519" s="7"/>
    </row>
    <row r="520" spans="1:4" x14ac:dyDescent="0.2">
      <c r="A520" s="4" t="s">
        <v>972</v>
      </c>
      <c r="B520" s="5" t="s">
        <v>723</v>
      </c>
      <c r="C520" s="6" t="s">
        <v>973</v>
      </c>
      <c r="D520" s="7"/>
    </row>
    <row r="521" spans="1:4" x14ac:dyDescent="0.2">
      <c r="A521" s="4" t="s">
        <v>974</v>
      </c>
      <c r="B521" s="5" t="s">
        <v>975</v>
      </c>
      <c r="C521" s="6" t="s">
        <v>976</v>
      </c>
      <c r="D521" s="7"/>
    </row>
    <row r="522" spans="1:4" x14ac:dyDescent="0.2">
      <c r="A522" s="4" t="s">
        <v>977</v>
      </c>
      <c r="B522" s="5" t="s">
        <v>723</v>
      </c>
      <c r="C522" s="6" t="s">
        <v>978</v>
      </c>
      <c r="D522" s="7"/>
    </row>
    <row r="523" spans="1:4" x14ac:dyDescent="0.2">
      <c r="A523" s="4" t="s">
        <v>979</v>
      </c>
      <c r="B523" s="5" t="s">
        <v>723</v>
      </c>
      <c r="C523" s="6" t="s">
        <v>980</v>
      </c>
      <c r="D523" s="7"/>
    </row>
    <row r="524" spans="1:4" x14ac:dyDescent="0.2">
      <c r="A524" s="4" t="s">
        <v>722</v>
      </c>
      <c r="B524" s="5" t="s">
        <v>723</v>
      </c>
      <c r="C524" s="6" t="s">
        <v>981</v>
      </c>
      <c r="D524" s="7"/>
    </row>
    <row r="525" spans="1:4" x14ac:dyDescent="0.2">
      <c r="A525" s="4" t="s">
        <v>982</v>
      </c>
      <c r="B525" s="5" t="s">
        <v>7</v>
      </c>
      <c r="C525" s="6" t="s">
        <v>983</v>
      </c>
      <c r="D525" s="7"/>
    </row>
    <row r="526" spans="1:4" x14ac:dyDescent="0.2">
      <c r="A526" s="4" t="s">
        <v>984</v>
      </c>
      <c r="B526" s="5" t="s">
        <v>22</v>
      </c>
      <c r="C526" s="6" t="s">
        <v>985</v>
      </c>
      <c r="D526" s="7"/>
    </row>
    <row r="527" spans="1:4" x14ac:dyDescent="0.2">
      <c r="A527" s="4" t="s">
        <v>986</v>
      </c>
      <c r="B527" s="5" t="s">
        <v>7</v>
      </c>
      <c r="C527" s="6" t="s">
        <v>987</v>
      </c>
      <c r="D527" s="7"/>
    </row>
    <row r="528" spans="1:4" x14ac:dyDescent="0.2">
      <c r="A528" s="4" t="s">
        <v>988</v>
      </c>
      <c r="B528" s="5" t="s">
        <v>723</v>
      </c>
      <c r="C528" s="6" t="s">
        <v>989</v>
      </c>
      <c r="D528" s="7"/>
    </row>
    <row r="529" spans="1:4" x14ac:dyDescent="0.2">
      <c r="A529" s="4" t="s">
        <v>990</v>
      </c>
      <c r="B529" s="5" t="s">
        <v>10</v>
      </c>
      <c r="C529" s="6" t="s">
        <v>991</v>
      </c>
      <c r="D529" s="7"/>
    </row>
    <row r="530" spans="1:4" x14ac:dyDescent="0.2">
      <c r="A530" s="4" t="s">
        <v>992</v>
      </c>
      <c r="B530" s="5" t="s">
        <v>723</v>
      </c>
      <c r="C530" s="6" t="s">
        <v>993</v>
      </c>
      <c r="D530" s="7"/>
    </row>
    <row r="531" spans="1:4" x14ac:dyDescent="0.2">
      <c r="A531" s="4" t="s">
        <v>994</v>
      </c>
      <c r="B531" s="5" t="s">
        <v>7</v>
      </c>
      <c r="C531" s="6" t="s">
        <v>995</v>
      </c>
      <c r="D531" s="7"/>
    </row>
    <row r="532" spans="1:4" x14ac:dyDescent="0.2">
      <c r="A532" s="4" t="s">
        <v>996</v>
      </c>
      <c r="B532" s="5" t="s">
        <v>4</v>
      </c>
      <c r="C532" s="6" t="s">
        <v>997</v>
      </c>
      <c r="D532" s="7"/>
    </row>
    <row r="533" spans="1:4" x14ac:dyDescent="0.2">
      <c r="A533" s="4" t="s">
        <v>998</v>
      </c>
      <c r="B533" s="5" t="s">
        <v>4</v>
      </c>
      <c r="C533" s="6" t="s">
        <v>999</v>
      </c>
      <c r="D533" s="7"/>
    </row>
    <row r="534" spans="1:4" x14ac:dyDescent="0.2">
      <c r="A534" s="4" t="s">
        <v>1000</v>
      </c>
      <c r="B534" s="5" t="s">
        <v>10</v>
      </c>
      <c r="C534" s="6" t="s">
        <v>1001</v>
      </c>
      <c r="D534" s="7"/>
    </row>
    <row r="535" spans="1:4" x14ac:dyDescent="0.2">
      <c r="A535" s="4" t="s">
        <v>1002</v>
      </c>
      <c r="B535" s="5" t="s">
        <v>726</v>
      </c>
      <c r="C535" s="6" t="s">
        <v>1003</v>
      </c>
      <c r="D535" s="7"/>
    </row>
    <row r="536" spans="1:4" x14ac:dyDescent="0.2">
      <c r="A536" s="4" t="s">
        <v>1004</v>
      </c>
      <c r="B536" s="5" t="s">
        <v>4</v>
      </c>
      <c r="C536" s="6" t="s">
        <v>1005</v>
      </c>
      <c r="D536" s="7"/>
    </row>
    <row r="537" spans="1:4" x14ac:dyDescent="0.2">
      <c r="A537" s="4" t="s">
        <v>1006</v>
      </c>
      <c r="B537" s="5" t="s">
        <v>4</v>
      </c>
      <c r="C537" s="6" t="s">
        <v>1007</v>
      </c>
      <c r="D537" s="7"/>
    </row>
    <row r="538" spans="1:4" x14ac:dyDescent="0.2">
      <c r="A538" s="4" t="s">
        <v>1008</v>
      </c>
      <c r="B538" s="5" t="s">
        <v>4</v>
      </c>
      <c r="C538" s="6" t="s">
        <v>1009</v>
      </c>
      <c r="D538" s="7"/>
    </row>
    <row r="539" spans="1:4" x14ac:dyDescent="0.2">
      <c r="A539" s="4" t="s">
        <v>1010</v>
      </c>
      <c r="B539" s="5" t="s">
        <v>22</v>
      </c>
      <c r="C539" s="6" t="s">
        <v>1011</v>
      </c>
      <c r="D539" s="7"/>
    </row>
    <row r="540" spans="1:4" x14ac:dyDescent="0.2">
      <c r="A540" s="4" t="s">
        <v>1012</v>
      </c>
      <c r="B540" s="5" t="s">
        <v>4</v>
      </c>
      <c r="C540" s="6" t="s">
        <v>1013</v>
      </c>
      <c r="D540" s="7"/>
    </row>
    <row r="541" spans="1:4" x14ac:dyDescent="0.2">
      <c r="A541" s="4" t="s">
        <v>1014</v>
      </c>
      <c r="B541" s="5" t="s">
        <v>4</v>
      </c>
      <c r="C541" s="6" t="s">
        <v>1015</v>
      </c>
      <c r="D541" s="7"/>
    </row>
    <row r="542" spans="1:4" x14ac:dyDescent="0.2">
      <c r="A542" s="4" t="s">
        <v>12</v>
      </c>
      <c r="B542" s="5" t="s">
        <v>7</v>
      </c>
      <c r="C542" s="6" t="s">
        <v>1016</v>
      </c>
      <c r="D542" s="7"/>
    </row>
    <row r="543" spans="1:4" x14ac:dyDescent="0.2">
      <c r="A543" s="4" t="s">
        <v>1017</v>
      </c>
      <c r="B543" s="5" t="s">
        <v>7</v>
      </c>
      <c r="C543" s="6" t="s">
        <v>1018</v>
      </c>
      <c r="D543" s="7"/>
    </row>
    <row r="544" spans="1:4" x14ac:dyDescent="0.2">
      <c r="A544" s="4" t="s">
        <v>1019</v>
      </c>
      <c r="B544" s="5" t="s">
        <v>22</v>
      </c>
      <c r="C544" s="6" t="s">
        <v>1020</v>
      </c>
      <c r="D544" s="7"/>
    </row>
    <row r="545" spans="1:4" x14ac:dyDescent="0.2">
      <c r="A545" s="4" t="s">
        <v>1021</v>
      </c>
      <c r="B545" s="5" t="s">
        <v>22</v>
      </c>
      <c r="C545" s="6" t="s">
        <v>1022</v>
      </c>
      <c r="D545" s="7"/>
    </row>
    <row r="546" spans="1:4" x14ac:dyDescent="0.2">
      <c r="A546" s="4" t="s">
        <v>1023</v>
      </c>
      <c r="B546" s="5" t="s">
        <v>22</v>
      </c>
      <c r="C546" s="6" t="s">
        <v>1024</v>
      </c>
      <c r="D546" s="7"/>
    </row>
    <row r="547" spans="1:4" x14ac:dyDescent="0.2">
      <c r="A547" s="4" t="s">
        <v>1025</v>
      </c>
      <c r="B547" s="5" t="s">
        <v>7</v>
      </c>
      <c r="C547" s="6" t="s">
        <v>1026</v>
      </c>
      <c r="D547" s="7"/>
    </row>
    <row r="548" spans="1:4" x14ac:dyDescent="0.2">
      <c r="A548" s="4" t="s">
        <v>1027</v>
      </c>
      <c r="B548" s="5" t="s">
        <v>156</v>
      </c>
      <c r="C548" s="6" t="s">
        <v>1028</v>
      </c>
      <c r="D548" s="7"/>
    </row>
    <row r="549" spans="1:4" x14ac:dyDescent="0.2">
      <c r="A549" s="4" t="s">
        <v>1029</v>
      </c>
      <c r="B549" s="5" t="s">
        <v>7</v>
      </c>
      <c r="C549" s="6" t="s">
        <v>1030</v>
      </c>
      <c r="D549" s="7"/>
    </row>
    <row r="550" spans="1:4" x14ac:dyDescent="0.2">
      <c r="A550" s="4" t="s">
        <v>1031</v>
      </c>
      <c r="B550" s="5" t="s">
        <v>7</v>
      </c>
      <c r="C550" s="6" t="s">
        <v>1032</v>
      </c>
      <c r="D550" s="7"/>
    </row>
    <row r="551" spans="1:4" x14ac:dyDescent="0.2">
      <c r="A551" s="4" t="s">
        <v>1033</v>
      </c>
      <c r="B551" s="5" t="s">
        <v>7</v>
      </c>
      <c r="C551" s="6" t="s">
        <v>995</v>
      </c>
      <c r="D551" s="7"/>
    </row>
    <row r="552" spans="1:4" x14ac:dyDescent="0.2">
      <c r="A552" s="4" t="s">
        <v>1034</v>
      </c>
      <c r="B552" s="5" t="s">
        <v>4</v>
      </c>
      <c r="C552" s="6" t="s">
        <v>999</v>
      </c>
      <c r="D552" s="7"/>
    </row>
    <row r="553" spans="1:4" x14ac:dyDescent="0.2">
      <c r="A553" s="4" t="s">
        <v>1035</v>
      </c>
      <c r="B553" s="5" t="s">
        <v>4</v>
      </c>
      <c r="C553" s="6" t="s">
        <v>1036</v>
      </c>
      <c r="D553" s="7"/>
    </row>
    <row r="554" spans="1:4" x14ac:dyDescent="0.2">
      <c r="A554" s="4" t="s">
        <v>1037</v>
      </c>
      <c r="B554" s="5" t="s">
        <v>7</v>
      </c>
      <c r="C554" s="6" t="s">
        <v>1038</v>
      </c>
      <c r="D554" s="7"/>
    </row>
    <row r="555" spans="1:4" x14ac:dyDescent="0.2">
      <c r="A555" s="4" t="s">
        <v>1039</v>
      </c>
      <c r="B555" s="5" t="s">
        <v>7</v>
      </c>
      <c r="C555" s="6" t="s">
        <v>1040</v>
      </c>
      <c r="D555" s="7"/>
    </row>
    <row r="556" spans="1:4" x14ac:dyDescent="0.2">
      <c r="A556" s="4" t="s">
        <v>1041</v>
      </c>
      <c r="B556" s="5" t="s">
        <v>22</v>
      </c>
      <c r="C556" s="6" t="s">
        <v>1042</v>
      </c>
      <c r="D556" s="7"/>
    </row>
    <row r="557" spans="1:4" x14ac:dyDescent="0.2">
      <c r="A557" s="4" t="s">
        <v>1043</v>
      </c>
      <c r="B557" s="5" t="s">
        <v>22</v>
      </c>
      <c r="C557" s="6" t="s">
        <v>1022</v>
      </c>
      <c r="D557" s="7"/>
    </row>
    <row r="558" spans="1:4" x14ac:dyDescent="0.2">
      <c r="A558" s="4" t="s">
        <v>1044</v>
      </c>
      <c r="B558" s="5" t="s">
        <v>7</v>
      </c>
      <c r="C558" s="6" t="s">
        <v>1026</v>
      </c>
      <c r="D558" s="7"/>
    </row>
    <row r="559" spans="1:4" x14ac:dyDescent="0.2">
      <c r="A559" s="4" t="s">
        <v>1045</v>
      </c>
      <c r="B559" s="5" t="s">
        <v>22</v>
      </c>
      <c r="C559" s="6" t="s">
        <v>1022</v>
      </c>
      <c r="D559" s="7"/>
    </row>
    <row r="560" spans="1:4" x14ac:dyDescent="0.2">
      <c r="A560" s="4" t="s">
        <v>1046</v>
      </c>
      <c r="B560" s="5" t="s">
        <v>22</v>
      </c>
      <c r="C560" s="6" t="s">
        <v>1024</v>
      </c>
      <c r="D560" s="7"/>
    </row>
    <row r="561" spans="1:4" x14ac:dyDescent="0.2">
      <c r="A561" s="4" t="s">
        <v>1047</v>
      </c>
      <c r="B561" s="5" t="s">
        <v>7</v>
      </c>
      <c r="C561" s="6" t="s">
        <v>1048</v>
      </c>
      <c r="D561" s="7"/>
    </row>
    <row r="562" spans="1:4" x14ac:dyDescent="0.2">
      <c r="A562" s="4" t="s">
        <v>1049</v>
      </c>
      <c r="B562" s="5" t="s">
        <v>156</v>
      </c>
      <c r="C562" s="8">
        <v>46269</v>
      </c>
      <c r="D562" s="7"/>
    </row>
    <row r="563" spans="1:4" x14ac:dyDescent="0.2">
      <c r="A563" s="4" t="s">
        <v>1050</v>
      </c>
      <c r="B563" s="5" t="s">
        <v>7</v>
      </c>
      <c r="C563" s="6" t="s">
        <v>1051</v>
      </c>
      <c r="D563" s="7"/>
    </row>
    <row r="564" spans="1:4" x14ac:dyDescent="0.2">
      <c r="A564" s="4" t="s">
        <v>1052</v>
      </c>
      <c r="B564" s="5" t="s">
        <v>7</v>
      </c>
      <c r="C564" s="6" t="s">
        <v>1051</v>
      </c>
      <c r="D564" s="7"/>
    </row>
    <row r="565" spans="1:4" x14ac:dyDescent="0.2">
      <c r="A565" s="4" t="s">
        <v>1053</v>
      </c>
      <c r="B565" s="5" t="s">
        <v>10</v>
      </c>
      <c r="C565" s="6" t="s">
        <v>1054</v>
      </c>
      <c r="D565" s="7"/>
    </row>
    <row r="566" spans="1:4" x14ac:dyDescent="0.2">
      <c r="A566" s="4" t="s">
        <v>1055</v>
      </c>
      <c r="B566" s="5" t="s">
        <v>10</v>
      </c>
      <c r="C566" s="6" t="s">
        <v>1056</v>
      </c>
      <c r="D566" s="7"/>
    </row>
    <row r="567" spans="1:4" x14ac:dyDescent="0.2">
      <c r="A567" s="4" t="s">
        <v>1057</v>
      </c>
      <c r="B567" s="5" t="s">
        <v>10</v>
      </c>
      <c r="C567" s="6" t="s">
        <v>1058</v>
      </c>
      <c r="D567" s="7"/>
    </row>
    <row r="568" spans="1:4" x14ac:dyDescent="0.2">
      <c r="A568" s="4" t="s">
        <v>1059</v>
      </c>
      <c r="B568" s="5" t="s">
        <v>4</v>
      </c>
      <c r="C568" s="6" t="s">
        <v>1060</v>
      </c>
      <c r="D568" s="7"/>
    </row>
    <row r="569" spans="1:4" x14ac:dyDescent="0.2">
      <c r="A569" s="4" t="s">
        <v>1061</v>
      </c>
      <c r="B569" s="5" t="s">
        <v>10</v>
      </c>
      <c r="C569" s="6" t="s">
        <v>1062</v>
      </c>
      <c r="D569" s="7"/>
    </row>
    <row r="570" spans="1:4" x14ac:dyDescent="0.2">
      <c r="A570" s="4" t="s">
        <v>1063</v>
      </c>
      <c r="B570" s="5" t="s">
        <v>22</v>
      </c>
      <c r="C570" s="6" t="s">
        <v>1064</v>
      </c>
      <c r="D570" s="7"/>
    </row>
    <row r="571" spans="1:4" x14ac:dyDescent="0.2">
      <c r="A571" s="4" t="s">
        <v>1065</v>
      </c>
      <c r="B571" s="5" t="s">
        <v>7</v>
      </c>
      <c r="C571" s="6" t="s">
        <v>995</v>
      </c>
      <c r="D571" s="7"/>
    </row>
    <row r="572" spans="1:4" x14ac:dyDescent="0.2">
      <c r="A572" s="4" t="s">
        <v>1004</v>
      </c>
      <c r="B572" s="5" t="s">
        <v>22</v>
      </c>
      <c r="C572" s="6" t="s">
        <v>1020</v>
      </c>
      <c r="D572" s="7"/>
    </row>
    <row r="573" spans="1:4" x14ac:dyDescent="0.2">
      <c r="A573" s="4" t="s">
        <v>1066</v>
      </c>
      <c r="B573" s="5" t="s">
        <v>7</v>
      </c>
      <c r="C573" s="6" t="s">
        <v>1016</v>
      </c>
      <c r="D573" s="7"/>
    </row>
    <row r="574" spans="1:4" x14ac:dyDescent="0.2">
      <c r="A574" s="4" t="s">
        <v>1067</v>
      </c>
      <c r="B574" s="5" t="s">
        <v>22</v>
      </c>
      <c r="C574" s="6" t="s">
        <v>1068</v>
      </c>
      <c r="D574" s="7"/>
    </row>
    <row r="575" spans="1:4" x14ac:dyDescent="0.2">
      <c r="A575" s="4" t="s">
        <v>1069</v>
      </c>
      <c r="B575" s="5" t="s">
        <v>22</v>
      </c>
      <c r="C575" s="6" t="s">
        <v>1070</v>
      </c>
      <c r="D575" s="7"/>
    </row>
    <row r="576" spans="1:4" x14ac:dyDescent="0.2">
      <c r="A576" s="4" t="s">
        <v>1071</v>
      </c>
      <c r="B576" s="5" t="s">
        <v>4</v>
      </c>
      <c r="C576" s="6" t="s">
        <v>1072</v>
      </c>
      <c r="D576" s="7"/>
    </row>
    <row r="577" spans="1:4" x14ac:dyDescent="0.2">
      <c r="A577" s="4" t="s">
        <v>1073</v>
      </c>
      <c r="B577" s="5" t="s">
        <v>4</v>
      </c>
      <c r="C577" s="9">
        <v>46314</v>
      </c>
      <c r="D577" s="7"/>
    </row>
    <row r="578" spans="1:4" x14ac:dyDescent="0.2">
      <c r="A578" s="4" t="s">
        <v>1074</v>
      </c>
      <c r="B578" s="5" t="s">
        <v>4</v>
      </c>
      <c r="C578" s="6" t="s">
        <v>1075</v>
      </c>
      <c r="D578" s="7"/>
    </row>
    <row r="579" spans="1:4" x14ac:dyDescent="0.2">
      <c r="A579" s="4" t="s">
        <v>1076</v>
      </c>
      <c r="B579" s="5" t="s">
        <v>4</v>
      </c>
      <c r="C579" s="6" t="s">
        <v>1077</v>
      </c>
      <c r="D579" s="7"/>
    </row>
    <row r="580" spans="1:4" x14ac:dyDescent="0.2">
      <c r="A580" s="4" t="s">
        <v>1078</v>
      </c>
      <c r="B580" s="5" t="s">
        <v>10</v>
      </c>
      <c r="C580" s="6" t="s">
        <v>1079</v>
      </c>
      <c r="D580" s="7"/>
    </row>
    <row r="581" spans="1:4" x14ac:dyDescent="0.2">
      <c r="A581" s="4" t="s">
        <v>1080</v>
      </c>
      <c r="B581" s="5" t="s">
        <v>10</v>
      </c>
      <c r="C581" s="6" t="s">
        <v>1081</v>
      </c>
      <c r="D581" s="7"/>
    </row>
    <row r="582" spans="1:4" x14ac:dyDescent="0.2">
      <c r="A582" s="4" t="s">
        <v>1082</v>
      </c>
      <c r="B582" s="5" t="s">
        <v>10</v>
      </c>
      <c r="C582" s="6" t="s">
        <v>1083</v>
      </c>
      <c r="D582" s="7"/>
    </row>
    <row r="583" spans="1:4" x14ac:dyDescent="0.2">
      <c r="A583" s="4" t="s">
        <v>1084</v>
      </c>
      <c r="B583" s="5" t="s">
        <v>10</v>
      </c>
      <c r="C583" s="6" t="s">
        <v>1085</v>
      </c>
      <c r="D583" s="7"/>
    </row>
    <row r="584" spans="1:4" x14ac:dyDescent="0.2">
      <c r="A584" s="4" t="s">
        <v>1086</v>
      </c>
      <c r="B584" s="5" t="s">
        <v>10</v>
      </c>
      <c r="C584" s="6" t="s">
        <v>1087</v>
      </c>
      <c r="D584" s="7"/>
    </row>
    <row r="585" spans="1:4" x14ac:dyDescent="0.2">
      <c r="A585" s="4" t="s">
        <v>1088</v>
      </c>
      <c r="B585" s="5" t="s">
        <v>10</v>
      </c>
      <c r="C585" s="6" t="s">
        <v>1089</v>
      </c>
      <c r="D585" s="7"/>
    </row>
    <row r="586" spans="1:4" x14ac:dyDescent="0.2">
      <c r="A586" s="4" t="s">
        <v>1090</v>
      </c>
      <c r="B586" s="5" t="s">
        <v>10</v>
      </c>
      <c r="C586" s="8">
        <v>46139</v>
      </c>
      <c r="D586" s="7"/>
    </row>
    <row r="587" spans="1:4" x14ac:dyDescent="0.2">
      <c r="A587" s="4" t="s">
        <v>1091</v>
      </c>
      <c r="B587" s="5" t="s">
        <v>10</v>
      </c>
      <c r="C587" s="6" t="s">
        <v>1092</v>
      </c>
      <c r="D587" s="7"/>
    </row>
    <row r="588" spans="1:4" x14ac:dyDescent="0.2">
      <c r="A588" s="4" t="s">
        <v>1093</v>
      </c>
      <c r="B588" s="5" t="s">
        <v>10</v>
      </c>
      <c r="C588" s="6" t="s">
        <v>1094</v>
      </c>
      <c r="D588" s="7"/>
    </row>
    <row r="589" spans="1:4" x14ac:dyDescent="0.2">
      <c r="A589" s="4" t="s">
        <v>1095</v>
      </c>
      <c r="B589" s="5" t="s">
        <v>10</v>
      </c>
      <c r="C589" s="6" t="s">
        <v>1096</v>
      </c>
      <c r="D589" s="7"/>
    </row>
    <row r="590" spans="1:4" x14ac:dyDescent="0.2">
      <c r="A590" s="4" t="s">
        <v>1097</v>
      </c>
      <c r="B590" s="5" t="s">
        <v>10</v>
      </c>
      <c r="C590" s="8">
        <v>46247</v>
      </c>
      <c r="D590" s="7"/>
    </row>
    <row r="591" spans="1:4" x14ac:dyDescent="0.2">
      <c r="A591" s="4" t="s">
        <v>1098</v>
      </c>
      <c r="B591" s="5" t="s">
        <v>10</v>
      </c>
      <c r="C591" s="6" t="s">
        <v>1099</v>
      </c>
      <c r="D591" s="7"/>
    </row>
    <row r="592" spans="1:4" x14ac:dyDescent="0.2">
      <c r="A592" s="4" t="s">
        <v>1100</v>
      </c>
      <c r="B592" s="5" t="s">
        <v>10</v>
      </c>
      <c r="C592" s="6" t="s">
        <v>1101</v>
      </c>
      <c r="D592" s="7"/>
    </row>
    <row r="593" spans="1:4" x14ac:dyDescent="0.2">
      <c r="A593" s="4" t="s">
        <v>1102</v>
      </c>
      <c r="B593" s="5" t="s">
        <v>22</v>
      </c>
      <c r="C593" s="6" t="s">
        <v>1103</v>
      </c>
      <c r="D593" s="7"/>
    </row>
    <row r="594" spans="1:4" x14ac:dyDescent="0.2">
      <c r="A594" s="4" t="s">
        <v>1104</v>
      </c>
      <c r="B594" s="5" t="s">
        <v>7</v>
      </c>
      <c r="C594" s="6" t="s">
        <v>1026</v>
      </c>
      <c r="D594" s="7"/>
    </row>
    <row r="595" spans="1:4" x14ac:dyDescent="0.2">
      <c r="A595" s="4" t="s">
        <v>141</v>
      </c>
      <c r="B595" s="5" t="s">
        <v>22</v>
      </c>
      <c r="C595" s="6" t="s">
        <v>1103</v>
      </c>
      <c r="D595" s="7"/>
    </row>
    <row r="596" spans="1:4" x14ac:dyDescent="0.2">
      <c r="A596" s="4" t="s">
        <v>1105</v>
      </c>
      <c r="B596" s="5" t="s">
        <v>7</v>
      </c>
      <c r="C596" s="6" t="s">
        <v>1106</v>
      </c>
      <c r="D596" s="7"/>
    </row>
    <row r="597" spans="1:4" x14ac:dyDescent="0.2">
      <c r="A597" s="4" t="s">
        <v>1107</v>
      </c>
      <c r="B597" s="5" t="s">
        <v>7</v>
      </c>
      <c r="C597" s="6" t="s">
        <v>1051</v>
      </c>
      <c r="D597" s="7"/>
    </row>
    <row r="598" spans="1:4" x14ac:dyDescent="0.2">
      <c r="A598" s="4" t="s">
        <v>1108</v>
      </c>
      <c r="B598" s="5" t="s">
        <v>10</v>
      </c>
      <c r="C598" s="6" t="s">
        <v>1109</v>
      </c>
      <c r="D598" s="7"/>
    </row>
    <row r="599" spans="1:4" x14ac:dyDescent="0.2">
      <c r="A599" s="4" t="s">
        <v>1110</v>
      </c>
      <c r="B599" s="5" t="s">
        <v>10</v>
      </c>
      <c r="C599" s="6" t="s">
        <v>1111</v>
      </c>
      <c r="D599" s="7"/>
    </row>
    <row r="600" spans="1:4" x14ac:dyDescent="0.2">
      <c r="A600" s="4" t="s">
        <v>1112</v>
      </c>
      <c r="B600" s="5" t="s">
        <v>10</v>
      </c>
      <c r="C600" s="6" t="s">
        <v>1113</v>
      </c>
      <c r="D600" s="7"/>
    </row>
    <row r="601" spans="1:4" x14ac:dyDescent="0.2">
      <c r="A601" s="4" t="s">
        <v>1114</v>
      </c>
      <c r="B601" s="5" t="s">
        <v>10</v>
      </c>
      <c r="C601" s="6" t="s">
        <v>1115</v>
      </c>
      <c r="D601" s="7"/>
    </row>
    <row r="602" spans="1:4" x14ac:dyDescent="0.2">
      <c r="A602" s="4" t="s">
        <v>1116</v>
      </c>
      <c r="B602" s="5" t="s">
        <v>10</v>
      </c>
      <c r="C602" s="6" t="s">
        <v>1117</v>
      </c>
      <c r="D602" s="7"/>
    </row>
    <row r="603" spans="1:4" x14ac:dyDescent="0.2">
      <c r="A603" s="4" t="s">
        <v>1118</v>
      </c>
      <c r="B603" s="5" t="s">
        <v>723</v>
      </c>
      <c r="C603" s="6" t="s">
        <v>1119</v>
      </c>
      <c r="D603" s="7"/>
    </row>
    <row r="604" spans="1:4" x14ac:dyDescent="0.2">
      <c r="A604" s="4" t="s">
        <v>1120</v>
      </c>
      <c r="B604" s="5" t="s">
        <v>1121</v>
      </c>
      <c r="C604" s="6" t="s">
        <v>1122</v>
      </c>
      <c r="D604" s="7"/>
    </row>
    <row r="605" spans="1:4" x14ac:dyDescent="0.2">
      <c r="A605" s="4" t="s">
        <v>1123</v>
      </c>
      <c r="B605" s="5" t="s">
        <v>22</v>
      </c>
      <c r="C605" s="6" t="s">
        <v>1124</v>
      </c>
      <c r="D605" s="7"/>
    </row>
    <row r="606" spans="1:4" x14ac:dyDescent="0.2">
      <c r="A606" s="4" t="s">
        <v>1125</v>
      </c>
      <c r="B606" s="5" t="s">
        <v>22</v>
      </c>
      <c r="C606" s="6" t="s">
        <v>1126</v>
      </c>
      <c r="D606" s="7"/>
    </row>
    <row r="607" spans="1:4" x14ac:dyDescent="0.2">
      <c r="A607" s="4" t="s">
        <v>1127</v>
      </c>
      <c r="B607" s="5" t="s">
        <v>22</v>
      </c>
      <c r="C607" s="6" t="s">
        <v>1128</v>
      </c>
      <c r="D607" s="7"/>
    </row>
    <row r="608" spans="1:4" x14ac:dyDescent="0.2">
      <c r="A608" s="4" t="s">
        <v>1129</v>
      </c>
      <c r="B608" s="5" t="s">
        <v>22</v>
      </c>
      <c r="C608" s="6" t="s">
        <v>1130</v>
      </c>
      <c r="D608" s="7"/>
    </row>
    <row r="609" spans="1:4" x14ac:dyDescent="0.2">
      <c r="A609" s="4" t="s">
        <v>1131</v>
      </c>
      <c r="B609" s="5" t="s">
        <v>22</v>
      </c>
      <c r="C609" s="6" t="s">
        <v>1132</v>
      </c>
      <c r="D609" s="7"/>
    </row>
    <row r="610" spans="1:4" x14ac:dyDescent="0.2">
      <c r="A610" s="4" t="s">
        <v>1133</v>
      </c>
      <c r="B610" s="5" t="s">
        <v>22</v>
      </c>
      <c r="C610" s="6" t="s">
        <v>1134</v>
      </c>
      <c r="D610" s="7"/>
    </row>
    <row r="611" spans="1:4" x14ac:dyDescent="0.2">
      <c r="A611" s="4" t="s">
        <v>1019</v>
      </c>
      <c r="B611" s="5" t="s">
        <v>22</v>
      </c>
      <c r="C611" s="6" t="s">
        <v>1135</v>
      </c>
      <c r="D611" s="7"/>
    </row>
    <row r="612" spans="1:4" x14ac:dyDescent="0.2">
      <c r="A612" s="4" t="s">
        <v>1136</v>
      </c>
      <c r="B612" s="5" t="s">
        <v>22</v>
      </c>
      <c r="C612" s="6" t="s">
        <v>1137</v>
      </c>
      <c r="D612" s="7"/>
    </row>
    <row r="613" spans="1:4" x14ac:dyDescent="0.2">
      <c r="A613" s="4" t="s">
        <v>1138</v>
      </c>
      <c r="B613" s="5" t="s">
        <v>1139</v>
      </c>
      <c r="C613" s="6" t="s">
        <v>1140</v>
      </c>
      <c r="D613" s="7"/>
    </row>
    <row r="614" spans="1:4" x14ac:dyDescent="0.2">
      <c r="A614" s="4" t="s">
        <v>1141</v>
      </c>
      <c r="B614" s="5" t="s">
        <v>10</v>
      </c>
      <c r="C614" s="6" t="s">
        <v>1142</v>
      </c>
      <c r="D614" s="7"/>
    </row>
    <row r="615" spans="1:4" x14ac:dyDescent="0.2">
      <c r="A615" s="4" t="s">
        <v>1143</v>
      </c>
      <c r="B615" s="5" t="s">
        <v>1139</v>
      </c>
      <c r="C615" s="6" t="s">
        <v>1144</v>
      </c>
      <c r="D615" s="7"/>
    </row>
    <row r="616" spans="1:4" x14ac:dyDescent="0.2">
      <c r="A616" s="4" t="s">
        <v>1145</v>
      </c>
      <c r="B616" s="5" t="s">
        <v>7</v>
      </c>
      <c r="C616" s="6" t="s">
        <v>1146</v>
      </c>
      <c r="D616" s="7"/>
    </row>
    <row r="617" spans="1:4" x14ac:dyDescent="0.2">
      <c r="A617" s="4" t="s">
        <v>1147</v>
      </c>
      <c r="B617" s="5" t="s">
        <v>7</v>
      </c>
      <c r="C617" s="6" t="s">
        <v>1148</v>
      </c>
      <c r="D617" s="7"/>
    </row>
    <row r="618" spans="1:4" x14ac:dyDescent="0.2">
      <c r="A618" s="4" t="s">
        <v>1149</v>
      </c>
      <c r="B618" s="5" t="s">
        <v>22</v>
      </c>
      <c r="C618" s="6" t="s">
        <v>1150</v>
      </c>
      <c r="D618" s="7"/>
    </row>
    <row r="619" spans="1:4" x14ac:dyDescent="0.2">
      <c r="A619" s="4" t="s">
        <v>1151</v>
      </c>
      <c r="B619" s="5" t="s">
        <v>22</v>
      </c>
      <c r="C619" s="6" t="s">
        <v>1152</v>
      </c>
      <c r="D619" s="7"/>
    </row>
    <row r="620" spans="1:4" x14ac:dyDescent="0.2">
      <c r="A620" s="4" t="s">
        <v>143</v>
      </c>
      <c r="B620" s="5" t="s">
        <v>22</v>
      </c>
      <c r="C620" s="6" t="s">
        <v>1153</v>
      </c>
      <c r="D620" s="7"/>
    </row>
    <row r="621" spans="1:4" x14ac:dyDescent="0.2">
      <c r="A621" s="4" t="s">
        <v>1154</v>
      </c>
      <c r="B621" s="5" t="s">
        <v>22</v>
      </c>
      <c r="C621" s="6" t="s">
        <v>1155</v>
      </c>
      <c r="D621" s="7"/>
    </row>
    <row r="622" spans="1:4" x14ac:dyDescent="0.2">
      <c r="A622" s="4" t="s">
        <v>1156</v>
      </c>
      <c r="B622" s="5" t="s">
        <v>22</v>
      </c>
      <c r="C622" s="6" t="s">
        <v>1157</v>
      </c>
      <c r="D622" s="7"/>
    </row>
    <row r="623" spans="1:4" x14ac:dyDescent="0.2">
      <c r="A623" s="4" t="s">
        <v>1158</v>
      </c>
      <c r="B623" s="5" t="s">
        <v>22</v>
      </c>
      <c r="C623" s="6" t="s">
        <v>1159</v>
      </c>
      <c r="D623" s="7"/>
    </row>
    <row r="624" spans="1:4" x14ac:dyDescent="0.2">
      <c r="A624" s="4" t="s">
        <v>1160</v>
      </c>
      <c r="B624" s="5" t="s">
        <v>10</v>
      </c>
      <c r="C624" s="6" t="s">
        <v>1161</v>
      </c>
      <c r="D624" s="7"/>
    </row>
    <row r="625" spans="1:4" x14ac:dyDescent="0.2">
      <c r="A625" s="4" t="s">
        <v>1162</v>
      </c>
      <c r="B625" s="5" t="s">
        <v>22</v>
      </c>
      <c r="C625" s="6" t="s">
        <v>1163</v>
      </c>
      <c r="D625" s="7"/>
    </row>
    <row r="626" spans="1:4" x14ac:dyDescent="0.2">
      <c r="A626" s="4" t="s">
        <v>1164</v>
      </c>
      <c r="B626" s="5" t="s">
        <v>7</v>
      </c>
      <c r="C626" s="6" t="s">
        <v>1165</v>
      </c>
      <c r="D626" s="7"/>
    </row>
    <row r="627" spans="1:4" x14ac:dyDescent="0.2">
      <c r="A627" s="4" t="s">
        <v>1166</v>
      </c>
      <c r="B627" s="5" t="s">
        <v>7</v>
      </c>
      <c r="C627" s="6" t="s">
        <v>1167</v>
      </c>
      <c r="D627" s="7"/>
    </row>
    <row r="628" spans="1:4" x14ac:dyDescent="0.2">
      <c r="A628" s="4" t="s">
        <v>1168</v>
      </c>
      <c r="B628" s="5" t="s">
        <v>22</v>
      </c>
      <c r="C628" s="6" t="s">
        <v>1169</v>
      </c>
      <c r="D628" s="7"/>
    </row>
    <row r="629" spans="1:4" x14ac:dyDescent="0.2">
      <c r="A629" s="4" t="s">
        <v>1170</v>
      </c>
      <c r="B629" s="5" t="s">
        <v>10</v>
      </c>
      <c r="C629" s="6" t="s">
        <v>1171</v>
      </c>
      <c r="D629" s="7"/>
    </row>
    <row r="630" spans="1:4" x14ac:dyDescent="0.2">
      <c r="A630" s="4" t="s">
        <v>1172</v>
      </c>
      <c r="B630" s="5" t="s">
        <v>22</v>
      </c>
      <c r="C630" s="6" t="s">
        <v>1173</v>
      </c>
      <c r="D630" s="7"/>
    </row>
    <row r="631" spans="1:4" x14ac:dyDescent="0.2">
      <c r="A631" s="4" t="s">
        <v>1174</v>
      </c>
      <c r="B631" s="5" t="s">
        <v>22</v>
      </c>
      <c r="C631" s="6" t="s">
        <v>1175</v>
      </c>
      <c r="D631" s="7"/>
    </row>
    <row r="632" spans="1:4" x14ac:dyDescent="0.2">
      <c r="A632" s="4" t="s">
        <v>1176</v>
      </c>
      <c r="B632" s="5" t="s">
        <v>7</v>
      </c>
      <c r="C632" s="6" t="s">
        <v>1177</v>
      </c>
      <c r="D632" s="7"/>
    </row>
    <row r="633" spans="1:4" x14ac:dyDescent="0.2">
      <c r="A633" s="4" t="s">
        <v>1178</v>
      </c>
      <c r="B633" s="5" t="s">
        <v>10</v>
      </c>
      <c r="C633" s="6" t="s">
        <v>1179</v>
      </c>
      <c r="D633" s="7"/>
    </row>
    <row r="634" spans="1:4" x14ac:dyDescent="0.2">
      <c r="A634" s="4" t="s">
        <v>1180</v>
      </c>
      <c r="B634" s="5" t="s">
        <v>10</v>
      </c>
      <c r="C634" s="6" t="s">
        <v>1181</v>
      </c>
      <c r="D634" s="7"/>
    </row>
    <row r="635" spans="1:4" x14ac:dyDescent="0.2">
      <c r="A635" s="4" t="s">
        <v>1182</v>
      </c>
      <c r="B635" s="5" t="s">
        <v>4</v>
      </c>
      <c r="C635" s="6" t="s">
        <v>1183</v>
      </c>
      <c r="D635" s="7"/>
    </row>
    <row r="636" spans="1:4" x14ac:dyDescent="0.2">
      <c r="A636" s="4" t="s">
        <v>1184</v>
      </c>
      <c r="B636" s="5" t="s">
        <v>22</v>
      </c>
      <c r="C636" s="6" t="s">
        <v>1185</v>
      </c>
      <c r="D636" s="7"/>
    </row>
    <row r="637" spans="1:4" x14ac:dyDescent="0.2">
      <c r="A637" s="4" t="s">
        <v>1186</v>
      </c>
      <c r="B637" s="5" t="s">
        <v>10</v>
      </c>
      <c r="C637" s="6" t="s">
        <v>1187</v>
      </c>
      <c r="D637" s="7"/>
    </row>
    <row r="638" spans="1:4" x14ac:dyDescent="0.2">
      <c r="A638" s="4" t="s">
        <v>1188</v>
      </c>
      <c r="B638" s="5" t="s">
        <v>10</v>
      </c>
      <c r="C638" s="6" t="s">
        <v>1189</v>
      </c>
      <c r="D638" s="7"/>
    </row>
    <row r="639" spans="1:4" x14ac:dyDescent="0.2">
      <c r="A639" s="4" t="s">
        <v>1190</v>
      </c>
      <c r="B639" s="5" t="s">
        <v>7</v>
      </c>
      <c r="C639" s="6" t="s">
        <v>1191</v>
      </c>
      <c r="D639" s="7"/>
    </row>
    <row r="640" spans="1:4" x14ac:dyDescent="0.2">
      <c r="A640" s="4" t="s">
        <v>1192</v>
      </c>
      <c r="B640" s="5" t="s">
        <v>7</v>
      </c>
      <c r="C640" s="6" t="s">
        <v>1193</v>
      </c>
      <c r="D640" s="7"/>
    </row>
    <row r="641" spans="1:4" x14ac:dyDescent="0.2">
      <c r="A641" s="4" t="s">
        <v>1194</v>
      </c>
      <c r="B641" s="5" t="s">
        <v>7</v>
      </c>
      <c r="C641" s="6" t="s">
        <v>1195</v>
      </c>
      <c r="D641" s="7"/>
    </row>
    <row r="642" spans="1:4" x14ac:dyDescent="0.2">
      <c r="A642" s="4" t="s">
        <v>1196</v>
      </c>
      <c r="B642" s="5" t="s">
        <v>7</v>
      </c>
      <c r="C642" s="6" t="s">
        <v>1197</v>
      </c>
      <c r="D642" s="7"/>
    </row>
    <row r="643" spans="1:4" x14ac:dyDescent="0.2">
      <c r="A643" s="4" t="s">
        <v>1198</v>
      </c>
      <c r="B643" s="5" t="s">
        <v>7</v>
      </c>
      <c r="C643" s="6" t="s">
        <v>1199</v>
      </c>
      <c r="D643" s="7"/>
    </row>
    <row r="644" spans="1:4" x14ac:dyDescent="0.2">
      <c r="A644" s="4" t="s">
        <v>1200</v>
      </c>
      <c r="B644" s="5" t="s">
        <v>594</v>
      </c>
      <c r="C644" s="6" t="s">
        <v>1201</v>
      </c>
      <c r="D644" s="7"/>
    </row>
    <row r="645" spans="1:4" x14ac:dyDescent="0.2">
      <c r="A645" s="4" t="s">
        <v>1202</v>
      </c>
      <c r="B645" s="5" t="s">
        <v>7</v>
      </c>
      <c r="C645" s="6" t="s">
        <v>1203</v>
      </c>
      <c r="D645" s="7"/>
    </row>
    <row r="646" spans="1:4" x14ac:dyDescent="0.2">
      <c r="A646" s="4" t="s">
        <v>1204</v>
      </c>
      <c r="B646" s="5" t="s">
        <v>723</v>
      </c>
      <c r="C646" s="6" t="s">
        <v>1205</v>
      </c>
      <c r="D646" s="7"/>
    </row>
    <row r="647" spans="1:4" x14ac:dyDescent="0.2">
      <c r="A647" s="4" t="s">
        <v>1206</v>
      </c>
      <c r="B647" s="5" t="s">
        <v>4</v>
      </c>
      <c r="C647" s="6" t="s">
        <v>1207</v>
      </c>
      <c r="D647" s="7"/>
    </row>
    <row r="648" spans="1:4" x14ac:dyDescent="0.2">
      <c r="A648" s="4" t="s">
        <v>1208</v>
      </c>
      <c r="B648" s="5" t="s">
        <v>4</v>
      </c>
      <c r="C648" s="6" t="s">
        <v>1209</v>
      </c>
      <c r="D648" s="7"/>
    </row>
    <row r="649" spans="1:4" x14ac:dyDescent="0.2">
      <c r="A649" s="4" t="s">
        <v>1210</v>
      </c>
      <c r="B649" s="5" t="s">
        <v>22</v>
      </c>
      <c r="C649" s="6" t="s">
        <v>1211</v>
      </c>
      <c r="D649" s="7"/>
    </row>
    <row r="650" spans="1:4" x14ac:dyDescent="0.2">
      <c r="A650" s="4" t="s">
        <v>1212</v>
      </c>
      <c r="B650" s="5" t="s">
        <v>22</v>
      </c>
      <c r="C650" s="6" t="s">
        <v>1213</v>
      </c>
      <c r="D650" s="7"/>
    </row>
    <row r="651" spans="1:4" x14ac:dyDescent="0.2">
      <c r="A651" s="4" t="s">
        <v>1214</v>
      </c>
      <c r="B651" s="5" t="s">
        <v>7</v>
      </c>
      <c r="C651" s="6" t="s">
        <v>1215</v>
      </c>
      <c r="D651" s="7"/>
    </row>
    <row r="652" spans="1:4" x14ac:dyDescent="0.2">
      <c r="A652" s="4" t="s">
        <v>1216</v>
      </c>
      <c r="B652" s="5" t="s">
        <v>7</v>
      </c>
      <c r="C652" s="6" t="s">
        <v>1217</v>
      </c>
      <c r="D652" s="7"/>
    </row>
    <row r="653" spans="1:4" x14ac:dyDescent="0.2">
      <c r="A653" s="4" t="s">
        <v>1218</v>
      </c>
      <c r="B653" s="5" t="s">
        <v>7</v>
      </c>
      <c r="C653" s="6" t="s">
        <v>1219</v>
      </c>
      <c r="D653" s="7"/>
    </row>
    <row r="654" spans="1:4" x14ac:dyDescent="0.2">
      <c r="A654" s="4" t="s">
        <v>1220</v>
      </c>
      <c r="B654" s="5" t="s">
        <v>7</v>
      </c>
      <c r="C654" s="6" t="s">
        <v>1221</v>
      </c>
      <c r="D654" s="7"/>
    </row>
    <row r="655" spans="1:4" x14ac:dyDescent="0.2">
      <c r="A655" s="4" t="s">
        <v>1222</v>
      </c>
      <c r="B655" s="5" t="s">
        <v>7</v>
      </c>
      <c r="C655" s="6" t="s">
        <v>1223</v>
      </c>
      <c r="D655" s="7"/>
    </row>
    <row r="656" spans="1:4" x14ac:dyDescent="0.2">
      <c r="A656" s="4" t="s">
        <v>1224</v>
      </c>
      <c r="B656" s="5" t="s">
        <v>7</v>
      </c>
      <c r="C656" s="6" t="s">
        <v>1225</v>
      </c>
      <c r="D656" s="7"/>
    </row>
    <row r="657" spans="1:4" x14ac:dyDescent="0.2">
      <c r="A657" s="4" t="s">
        <v>1226</v>
      </c>
      <c r="B657" s="5" t="s">
        <v>7</v>
      </c>
      <c r="C657" s="6" t="s">
        <v>1227</v>
      </c>
      <c r="D657" s="7"/>
    </row>
    <row r="658" spans="1:4" x14ac:dyDescent="0.2">
      <c r="A658" s="4" t="s">
        <v>1228</v>
      </c>
      <c r="B658" s="5" t="s">
        <v>22</v>
      </c>
      <c r="C658" s="6" t="s">
        <v>1229</v>
      </c>
      <c r="D658" s="7"/>
    </row>
    <row r="659" spans="1:4" x14ac:dyDescent="0.2">
      <c r="A659" s="4" t="s">
        <v>1230</v>
      </c>
      <c r="B659" s="5" t="s">
        <v>7</v>
      </c>
      <c r="C659" s="6" t="s">
        <v>1231</v>
      </c>
      <c r="D659" s="7"/>
    </row>
    <row r="660" spans="1:4" x14ac:dyDescent="0.2">
      <c r="A660" s="4" t="s">
        <v>1232</v>
      </c>
      <c r="B660" s="5" t="s">
        <v>733</v>
      </c>
      <c r="C660" s="6" t="s">
        <v>1233</v>
      </c>
      <c r="D660" s="7"/>
    </row>
    <row r="661" spans="1:4" x14ac:dyDescent="0.2">
      <c r="A661" s="4" t="s">
        <v>1234</v>
      </c>
      <c r="B661" s="5" t="s">
        <v>7</v>
      </c>
      <c r="C661" s="6" t="s">
        <v>1235</v>
      </c>
      <c r="D661" s="7"/>
    </row>
    <row r="662" spans="1:4" x14ac:dyDescent="0.2">
      <c r="A662" s="4" t="s">
        <v>1236</v>
      </c>
      <c r="B662" s="5" t="s">
        <v>22</v>
      </c>
      <c r="C662" s="6" t="s">
        <v>1237</v>
      </c>
      <c r="D662" s="7"/>
    </row>
    <row r="663" spans="1:4" x14ac:dyDescent="0.2">
      <c r="A663" s="4" t="s">
        <v>1238</v>
      </c>
      <c r="B663" s="5" t="s">
        <v>22</v>
      </c>
      <c r="C663" s="6" t="s">
        <v>1239</v>
      </c>
      <c r="D663" s="7"/>
    </row>
    <row r="664" spans="1:4" x14ac:dyDescent="0.2">
      <c r="A664" s="4" t="s">
        <v>1240</v>
      </c>
      <c r="B664" s="5" t="s">
        <v>1241</v>
      </c>
      <c r="C664" s="6" t="s">
        <v>1242</v>
      </c>
      <c r="D664" s="7"/>
    </row>
    <row r="665" spans="1:4" x14ac:dyDescent="0.2">
      <c r="A665" s="4" t="s">
        <v>1243</v>
      </c>
      <c r="B665" s="5" t="s">
        <v>10</v>
      </c>
      <c r="C665" s="6" t="s">
        <v>1244</v>
      </c>
      <c r="D665" s="7"/>
    </row>
    <row r="666" spans="1:4" x14ac:dyDescent="0.2">
      <c r="A666" s="4" t="s">
        <v>1245</v>
      </c>
      <c r="B666" s="5" t="s">
        <v>22</v>
      </c>
      <c r="C666" s="6" t="s">
        <v>1246</v>
      </c>
      <c r="D666" s="7"/>
    </row>
    <row r="667" spans="1:4" x14ac:dyDescent="0.2">
      <c r="A667" s="4" t="s">
        <v>1247</v>
      </c>
      <c r="B667" s="5" t="s">
        <v>7</v>
      </c>
      <c r="C667" s="6" t="s">
        <v>1248</v>
      </c>
      <c r="D667" s="7"/>
    </row>
    <row r="668" spans="1:4" x14ac:dyDescent="0.2">
      <c r="A668" s="4" t="s">
        <v>1249</v>
      </c>
      <c r="B668" s="5" t="s">
        <v>10</v>
      </c>
      <c r="C668" s="6" t="s">
        <v>1250</v>
      </c>
      <c r="D668" s="7"/>
    </row>
    <row r="669" spans="1:4" x14ac:dyDescent="0.2">
      <c r="A669" s="4" t="s">
        <v>1251</v>
      </c>
      <c r="B669" s="5" t="s">
        <v>10</v>
      </c>
      <c r="C669" s="6" t="s">
        <v>1252</v>
      </c>
      <c r="D669" s="7"/>
    </row>
    <row r="670" spans="1:4" x14ac:dyDescent="0.2">
      <c r="A670" s="4" t="s">
        <v>1253</v>
      </c>
      <c r="B670" s="5" t="s">
        <v>4</v>
      </c>
      <c r="C670" s="6" t="s">
        <v>1254</v>
      </c>
      <c r="D670" s="7"/>
    </row>
    <row r="671" spans="1:4" x14ac:dyDescent="0.2">
      <c r="A671" s="4" t="s">
        <v>1255</v>
      </c>
      <c r="B671" s="5" t="s">
        <v>7</v>
      </c>
      <c r="C671" s="6" t="s">
        <v>1256</v>
      </c>
      <c r="D671" s="7"/>
    </row>
    <row r="672" spans="1:4" x14ac:dyDescent="0.2">
      <c r="A672" s="4" t="s">
        <v>1257</v>
      </c>
      <c r="B672" s="5" t="s">
        <v>1258</v>
      </c>
      <c r="C672" s="6" t="s">
        <v>1259</v>
      </c>
      <c r="D672" s="7"/>
    </row>
    <row r="673" spans="1:4" x14ac:dyDescent="0.2">
      <c r="A673" s="4" t="s">
        <v>1260</v>
      </c>
      <c r="B673" s="5" t="s">
        <v>4</v>
      </c>
      <c r="C673" s="6" t="s">
        <v>1261</v>
      </c>
      <c r="D673" s="7"/>
    </row>
    <row r="674" spans="1:4" x14ac:dyDescent="0.2">
      <c r="A674" s="4" t="s">
        <v>1262</v>
      </c>
      <c r="B674" s="5" t="s">
        <v>10</v>
      </c>
      <c r="C674" s="6" t="s">
        <v>1263</v>
      </c>
      <c r="D674" s="7"/>
    </row>
    <row r="675" spans="1:4" x14ac:dyDescent="0.2">
      <c r="A675" s="4" t="s">
        <v>1264</v>
      </c>
      <c r="B675" s="5" t="s">
        <v>7</v>
      </c>
      <c r="C675" s="6" t="s">
        <v>1265</v>
      </c>
      <c r="D675" s="7"/>
    </row>
    <row r="676" spans="1:4" x14ac:dyDescent="0.2">
      <c r="A676" s="4" t="s">
        <v>1266</v>
      </c>
      <c r="B676" s="5" t="s">
        <v>7</v>
      </c>
      <c r="C676" s="6" t="s">
        <v>1267</v>
      </c>
      <c r="D676" s="7"/>
    </row>
    <row r="677" spans="1:4" x14ac:dyDescent="0.2">
      <c r="A677" s="4" t="s">
        <v>1268</v>
      </c>
      <c r="B677" s="5" t="s">
        <v>4</v>
      </c>
      <c r="C677" s="6" t="s">
        <v>1269</v>
      </c>
      <c r="D677" s="7"/>
    </row>
    <row r="678" spans="1:4" x14ac:dyDescent="0.2">
      <c r="A678" s="4" t="s">
        <v>1270</v>
      </c>
      <c r="B678" s="5" t="s">
        <v>10</v>
      </c>
      <c r="C678" s="6" t="s">
        <v>1271</v>
      </c>
      <c r="D678" s="7"/>
    </row>
    <row r="679" spans="1:4" x14ac:dyDescent="0.2">
      <c r="A679" s="4" t="s">
        <v>1272</v>
      </c>
      <c r="B679" s="5" t="s">
        <v>10</v>
      </c>
      <c r="C679" s="6" t="s">
        <v>1273</v>
      </c>
      <c r="D679" s="7"/>
    </row>
    <row r="680" spans="1:4" x14ac:dyDescent="0.2">
      <c r="A680" s="4" t="s">
        <v>1274</v>
      </c>
      <c r="B680" s="5" t="s">
        <v>10</v>
      </c>
      <c r="C680" s="6" t="s">
        <v>1275</v>
      </c>
      <c r="D680" s="7"/>
    </row>
    <row r="681" spans="1:4" x14ac:dyDescent="0.2">
      <c r="A681" s="4" t="s">
        <v>1276</v>
      </c>
      <c r="B681" s="5" t="s">
        <v>10</v>
      </c>
      <c r="C681" s="6" t="s">
        <v>1277</v>
      </c>
      <c r="D681" s="7"/>
    </row>
    <row r="682" spans="1:4" x14ac:dyDescent="0.2">
      <c r="A682" s="4" t="s">
        <v>1278</v>
      </c>
      <c r="B682" s="5" t="s">
        <v>10</v>
      </c>
      <c r="C682" s="6" t="s">
        <v>1279</v>
      </c>
      <c r="D682" s="7"/>
    </row>
    <row r="683" spans="1:4" x14ac:dyDescent="0.2">
      <c r="A683" s="4" t="s">
        <v>1280</v>
      </c>
      <c r="B683" s="5" t="s">
        <v>723</v>
      </c>
      <c r="C683" s="6" t="s">
        <v>1281</v>
      </c>
      <c r="D683" s="7"/>
    </row>
    <row r="684" spans="1:4" x14ac:dyDescent="0.2">
      <c r="A684" s="4" t="s">
        <v>1282</v>
      </c>
      <c r="B684" s="5" t="s">
        <v>10</v>
      </c>
      <c r="C684" s="6" t="s">
        <v>1283</v>
      </c>
      <c r="D684" s="7"/>
    </row>
    <row r="685" spans="1:4" x14ac:dyDescent="0.2">
      <c r="A685" s="4" t="s">
        <v>1284</v>
      </c>
      <c r="B685" s="5" t="s">
        <v>4</v>
      </c>
      <c r="C685" s="6" t="s">
        <v>1285</v>
      </c>
      <c r="D685" s="7"/>
    </row>
    <row r="686" spans="1:4" x14ac:dyDescent="0.2">
      <c r="A686" s="4" t="s">
        <v>1286</v>
      </c>
      <c r="B686" s="5" t="s">
        <v>1287</v>
      </c>
      <c r="C686" s="6" t="s">
        <v>1288</v>
      </c>
      <c r="D686" s="7"/>
    </row>
    <row r="687" spans="1:4" x14ac:dyDescent="0.2">
      <c r="A687" s="4" t="s">
        <v>1289</v>
      </c>
      <c r="B687" s="5" t="s">
        <v>4</v>
      </c>
      <c r="C687" s="6" t="s">
        <v>1290</v>
      </c>
      <c r="D687" s="7"/>
    </row>
    <row r="688" spans="1:4" x14ac:dyDescent="0.2">
      <c r="A688" s="4" t="s">
        <v>1291</v>
      </c>
      <c r="B688" s="5" t="s">
        <v>10</v>
      </c>
      <c r="C688" s="6" t="s">
        <v>1292</v>
      </c>
      <c r="D688" s="7"/>
    </row>
    <row r="689" spans="1:4" x14ac:dyDescent="0.2">
      <c r="A689" s="4" t="s">
        <v>1293</v>
      </c>
      <c r="B689" s="5" t="s">
        <v>4</v>
      </c>
      <c r="C689" s="6" t="s">
        <v>1294</v>
      </c>
      <c r="D689" s="7"/>
    </row>
    <row r="690" spans="1:4" x14ac:dyDescent="0.2">
      <c r="A690" s="4" t="s">
        <v>1295</v>
      </c>
      <c r="B690" s="5" t="s">
        <v>4</v>
      </c>
      <c r="C690" s="6" t="s">
        <v>1296</v>
      </c>
      <c r="D690" s="7"/>
    </row>
    <row r="691" spans="1:4" x14ac:dyDescent="0.2">
      <c r="A691" s="4" t="s">
        <v>1297</v>
      </c>
      <c r="B691" s="5" t="s">
        <v>10</v>
      </c>
      <c r="C691" s="6" t="s">
        <v>1298</v>
      </c>
      <c r="D691" s="7"/>
    </row>
    <row r="692" spans="1:4" x14ac:dyDescent="0.2">
      <c r="A692" s="4" t="s">
        <v>1299</v>
      </c>
      <c r="B692" s="5" t="s">
        <v>4</v>
      </c>
      <c r="C692" s="8">
        <v>46122</v>
      </c>
      <c r="D692" s="7"/>
    </row>
    <row r="693" spans="1:4" x14ac:dyDescent="0.2">
      <c r="A693" s="4" t="s">
        <v>1300</v>
      </c>
      <c r="B693" s="5" t="s">
        <v>22</v>
      </c>
      <c r="C693" s="6" t="s">
        <v>1301</v>
      </c>
      <c r="D693" s="7"/>
    </row>
    <row r="694" spans="1:4" x14ac:dyDescent="0.2">
      <c r="A694" s="4" t="s">
        <v>1302</v>
      </c>
      <c r="B694" s="5" t="s">
        <v>4</v>
      </c>
      <c r="C694" s="6" t="s">
        <v>1303</v>
      </c>
      <c r="D694" s="7"/>
    </row>
    <row r="695" spans="1:4" x14ac:dyDescent="0.2">
      <c r="A695" s="4" t="s">
        <v>1304</v>
      </c>
      <c r="B695" s="5" t="s">
        <v>4</v>
      </c>
      <c r="C695" s="6" t="s">
        <v>1305</v>
      </c>
      <c r="D695" s="7"/>
    </row>
    <row r="696" spans="1:4" x14ac:dyDescent="0.2">
      <c r="A696" s="4" t="s">
        <v>1306</v>
      </c>
      <c r="B696" s="5" t="s">
        <v>10</v>
      </c>
      <c r="C696" s="6" t="s">
        <v>1307</v>
      </c>
      <c r="D696" s="7"/>
    </row>
    <row r="697" spans="1:4" x14ac:dyDescent="0.2">
      <c r="A697" s="4" t="s">
        <v>1308</v>
      </c>
      <c r="B697" s="5" t="s">
        <v>10</v>
      </c>
      <c r="C697" s="6" t="s">
        <v>1309</v>
      </c>
      <c r="D697" s="7"/>
    </row>
    <row r="698" spans="1:4" x14ac:dyDescent="0.2">
      <c r="A698" s="4" t="s">
        <v>1310</v>
      </c>
      <c r="B698" s="5" t="s">
        <v>7</v>
      </c>
      <c r="C698" s="6" t="s">
        <v>1311</v>
      </c>
      <c r="D698" s="7"/>
    </row>
    <row r="699" spans="1:4" x14ac:dyDescent="0.2">
      <c r="A699" s="4" t="s">
        <v>1312</v>
      </c>
      <c r="B699" s="5" t="s">
        <v>7</v>
      </c>
      <c r="C699" s="6" t="s">
        <v>1313</v>
      </c>
      <c r="D699" s="7"/>
    </row>
    <row r="700" spans="1:4" x14ac:dyDescent="0.2">
      <c r="A700" s="4" t="s">
        <v>1314</v>
      </c>
      <c r="B700" s="5" t="s">
        <v>4</v>
      </c>
      <c r="C700" s="6" t="s">
        <v>1315</v>
      </c>
      <c r="D700" s="7"/>
    </row>
    <row r="701" spans="1:4" x14ac:dyDescent="0.2">
      <c r="A701" s="4" t="s">
        <v>1316</v>
      </c>
      <c r="B701" s="5" t="s">
        <v>4</v>
      </c>
      <c r="C701" s="6" t="s">
        <v>1317</v>
      </c>
      <c r="D701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2EDAB-9F25-421E-BAF2-005CC7FBBD7F}">
  <dimension ref="A1:G1407"/>
  <sheetViews>
    <sheetView workbookViewId="0">
      <selection activeCell="K17" sqref="K17"/>
    </sheetView>
  </sheetViews>
  <sheetFormatPr defaultRowHeight="15" x14ac:dyDescent="0.25"/>
  <cols>
    <col min="1" max="1" width="50" style="19" customWidth="1"/>
    <col min="2" max="2" width="10" style="18" customWidth="1"/>
    <col min="3" max="3" width="17" style="17" customWidth="1"/>
    <col min="4" max="4" width="17" style="16" customWidth="1"/>
    <col min="5" max="6" width="17" style="15" customWidth="1"/>
    <col min="7" max="16384" width="9.140625" style="14"/>
  </cols>
  <sheetData>
    <row r="1" spans="1:7" x14ac:dyDescent="0.25">
      <c r="A1" s="35" t="s">
        <v>1605</v>
      </c>
      <c r="B1" s="34"/>
      <c r="C1" s="34"/>
      <c r="D1" s="34"/>
      <c r="E1" s="34"/>
      <c r="F1" s="34"/>
    </row>
    <row r="2" spans="1:7" x14ac:dyDescent="0.25">
      <c r="A2" s="33"/>
      <c r="B2" s="33"/>
      <c r="C2" s="33"/>
      <c r="D2" s="33"/>
      <c r="E2" s="33"/>
      <c r="F2" s="33"/>
    </row>
    <row r="3" spans="1:7" x14ac:dyDescent="0.25">
      <c r="A3" s="31" t="str">
        <f>+PARTIDAS!A2</f>
        <v>CERCO DE MADERA, H=2.20 M.</v>
      </c>
      <c r="B3" s="27"/>
      <c r="C3" s="30"/>
      <c r="D3" s="29"/>
      <c r="E3" s="28"/>
      <c r="F3" s="28"/>
    </row>
    <row r="4" spans="1:7" x14ac:dyDescent="0.25">
      <c r="A4" s="31" t="s">
        <v>1327</v>
      </c>
      <c r="B4" s="27"/>
      <c r="C4" s="30" t="s">
        <v>1606</v>
      </c>
      <c r="D4" s="29" t="str">
        <f>+PARTIDAS!B2</f>
        <v>ML</v>
      </c>
      <c r="E4" s="28" t="s">
        <v>1329</v>
      </c>
      <c r="F4" s="28">
        <f>+F10++F14+F17</f>
        <v>446.94</v>
      </c>
    </row>
    <row r="5" spans="1:7" x14ac:dyDescent="0.25">
      <c r="A5" s="27" t="s">
        <v>1330</v>
      </c>
      <c r="B5" s="27" t="s">
        <v>1331</v>
      </c>
      <c r="C5" s="26" t="s">
        <v>1332</v>
      </c>
      <c r="D5" s="26" t="s">
        <v>1333</v>
      </c>
      <c r="E5" s="25" t="s">
        <v>1334</v>
      </c>
      <c r="F5" s="25" t="s">
        <v>1335</v>
      </c>
    </row>
    <row r="6" spans="1:7" customFormat="1" x14ac:dyDescent="0.2">
      <c r="A6" s="19" t="s">
        <v>1318</v>
      </c>
      <c r="B6" s="18" t="s">
        <v>1319</v>
      </c>
      <c r="C6" s="17">
        <v>0.1</v>
      </c>
      <c r="D6" s="16">
        <v>0.8</v>
      </c>
      <c r="E6" s="15">
        <v>20.83</v>
      </c>
      <c r="F6" s="15">
        <v>16.66</v>
      </c>
    </row>
    <row r="7" spans="1:7" customFormat="1" x14ac:dyDescent="0.2">
      <c r="A7" s="19" t="s">
        <v>1320</v>
      </c>
      <c r="B7" s="18" t="s">
        <v>1319</v>
      </c>
      <c r="C7" s="17">
        <v>1</v>
      </c>
      <c r="D7" s="16">
        <v>8</v>
      </c>
      <c r="E7" s="15">
        <v>19.23</v>
      </c>
      <c r="F7" s="15">
        <v>153.84</v>
      </c>
    </row>
    <row r="8" spans="1:7" customFormat="1" x14ac:dyDescent="0.2">
      <c r="A8" s="19" t="s">
        <v>1321</v>
      </c>
      <c r="B8" s="18" t="s">
        <v>1319</v>
      </c>
      <c r="C8" s="17">
        <v>1</v>
      </c>
      <c r="D8" s="16">
        <v>8</v>
      </c>
      <c r="E8" s="15">
        <v>15.94</v>
      </c>
      <c r="F8" s="15">
        <v>127.52</v>
      </c>
    </row>
    <row r="9" spans="1:7" customFormat="1" x14ac:dyDescent="0.2">
      <c r="A9" s="19" t="s">
        <v>1322</v>
      </c>
      <c r="B9" s="18" t="s">
        <v>1319</v>
      </c>
      <c r="C9" s="17">
        <v>1</v>
      </c>
      <c r="D9" s="16">
        <v>8</v>
      </c>
      <c r="E9" s="15">
        <v>14.33</v>
      </c>
      <c r="F9" s="15">
        <v>114.64</v>
      </c>
    </row>
    <row r="10" spans="1:7" x14ac:dyDescent="0.25">
      <c r="E10" s="20" t="s">
        <v>1337</v>
      </c>
      <c r="F10" s="20">
        <f>SUM(F6:F9)</f>
        <v>412.65999999999997</v>
      </c>
    </row>
    <row r="11" spans="1:7" x14ac:dyDescent="0.25">
      <c r="E11" s="20"/>
      <c r="F11" s="20"/>
    </row>
    <row r="12" spans="1:7" x14ac:dyDescent="0.25">
      <c r="A12" s="19" t="s">
        <v>1323</v>
      </c>
      <c r="B12" s="18" t="s">
        <v>156</v>
      </c>
      <c r="D12" s="16">
        <v>0.94</v>
      </c>
      <c r="E12" s="15">
        <v>4.5</v>
      </c>
      <c r="F12" s="15">
        <v>4.2300000000000004</v>
      </c>
      <c r="G12"/>
    </row>
    <row r="13" spans="1:7" ht="16.5" thickBot="1" x14ac:dyDescent="0.3">
      <c r="A13" s="19" t="s">
        <v>1324</v>
      </c>
      <c r="B13" s="18" t="s">
        <v>594</v>
      </c>
      <c r="D13" s="16">
        <v>5.6</v>
      </c>
      <c r="E13" s="15">
        <v>4.5</v>
      </c>
      <c r="F13" s="15">
        <v>25.2</v>
      </c>
      <c r="G13" s="12"/>
    </row>
    <row r="14" spans="1:7" x14ac:dyDescent="0.25">
      <c r="A14"/>
      <c r="B14"/>
      <c r="C14"/>
      <c r="D14"/>
      <c r="E14" s="20" t="s">
        <v>1343</v>
      </c>
      <c r="F14" s="20">
        <f>SUM(F12:F13)</f>
        <v>29.43</v>
      </c>
    </row>
    <row r="15" spans="1:7" x14ac:dyDescent="0.25">
      <c r="A15"/>
      <c r="B15"/>
      <c r="C15"/>
      <c r="D15"/>
      <c r="E15"/>
      <c r="F15"/>
    </row>
    <row r="16" spans="1:7" x14ac:dyDescent="0.25">
      <c r="A16" s="19" t="s">
        <v>1325</v>
      </c>
      <c r="B16" s="18" t="s">
        <v>22</v>
      </c>
      <c r="D16" s="16">
        <v>2.3099999999999999E-2</v>
      </c>
      <c r="E16" s="15">
        <v>210</v>
      </c>
      <c r="F16" s="15">
        <v>4.8499999999999996</v>
      </c>
    </row>
    <row r="17" spans="1:6" x14ac:dyDescent="0.25">
      <c r="A17" s="24"/>
      <c r="B17" s="23"/>
      <c r="C17" s="22"/>
      <c r="D17" s="21"/>
      <c r="E17" s="20" t="s">
        <v>1348</v>
      </c>
      <c r="F17" s="20">
        <f>SUM(F16)</f>
        <v>4.8499999999999996</v>
      </c>
    </row>
    <row r="18" spans="1:6" x14ac:dyDescent="0.25">
      <c r="A18" s="24"/>
      <c r="B18" s="23"/>
      <c r="C18" s="22"/>
      <c r="D18" s="21"/>
      <c r="E18" s="20"/>
      <c r="F18" s="20"/>
    </row>
    <row r="19" spans="1:6" x14ac:dyDescent="0.25">
      <c r="A19" s="32" t="s">
        <v>1604</v>
      </c>
      <c r="B19" s="32"/>
      <c r="C19" s="32"/>
      <c r="D19" s="32"/>
      <c r="E19" s="32"/>
      <c r="F19" s="32"/>
    </row>
    <row r="20" spans="1:6" x14ac:dyDescent="0.25">
      <c r="A20" s="31" t="s">
        <v>1327</v>
      </c>
      <c r="B20" s="27"/>
      <c r="C20" s="30" t="s">
        <v>1328</v>
      </c>
      <c r="D20" s="29"/>
      <c r="E20" s="28" t="s">
        <v>1329</v>
      </c>
      <c r="F20" s="28">
        <v>10000</v>
      </c>
    </row>
    <row r="21" spans="1:6" x14ac:dyDescent="0.25">
      <c r="A21" s="27" t="s">
        <v>1330</v>
      </c>
      <c r="B21" s="27" t="s">
        <v>1331</v>
      </c>
      <c r="C21" s="26" t="s">
        <v>1332</v>
      </c>
      <c r="D21" s="26" t="s">
        <v>1333</v>
      </c>
      <c r="E21" s="25" t="s">
        <v>1334</v>
      </c>
      <c r="F21" s="25" t="s">
        <v>1335</v>
      </c>
    </row>
    <row r="22" spans="1:6" x14ac:dyDescent="0.25">
      <c r="A22" s="19" t="s">
        <v>1603</v>
      </c>
      <c r="B22" s="18" t="s">
        <v>723</v>
      </c>
      <c r="D22" s="16">
        <v>1</v>
      </c>
      <c r="E22" s="15">
        <v>10000</v>
      </c>
      <c r="F22" s="15">
        <v>10000</v>
      </c>
    </row>
    <row r="23" spans="1:6" x14ac:dyDescent="0.25">
      <c r="A23" s="24"/>
      <c r="B23" s="23"/>
      <c r="C23" s="22"/>
      <c r="D23" s="21"/>
      <c r="E23" s="20" t="s">
        <v>1348</v>
      </c>
      <c r="F23" s="20">
        <v>10000</v>
      </c>
    </row>
    <row r="26" spans="1:6" x14ac:dyDescent="0.25">
      <c r="A26" s="31" t="s">
        <v>1326</v>
      </c>
      <c r="B26" s="27"/>
      <c r="C26" s="30"/>
      <c r="D26" s="29"/>
      <c r="E26" s="28"/>
      <c r="F26" s="28"/>
    </row>
    <row r="27" spans="1:6" x14ac:dyDescent="0.25">
      <c r="A27" s="31" t="s">
        <v>1327</v>
      </c>
      <c r="B27" s="27"/>
      <c r="C27" s="30" t="s">
        <v>1328</v>
      </c>
      <c r="D27" s="29"/>
      <c r="E27" s="28" t="s">
        <v>1329</v>
      </c>
      <c r="F27" s="28">
        <v>912.3599999999999</v>
      </c>
    </row>
    <row r="28" spans="1:6" x14ac:dyDescent="0.25">
      <c r="A28" s="27" t="s">
        <v>1330</v>
      </c>
      <c r="B28" s="27" t="s">
        <v>1331</v>
      </c>
      <c r="C28" s="26" t="s">
        <v>1332</v>
      </c>
      <c r="D28" s="26" t="s">
        <v>1333</v>
      </c>
      <c r="E28" s="25" t="s">
        <v>1334</v>
      </c>
      <c r="F28" s="25" t="s">
        <v>1335</v>
      </c>
    </row>
    <row r="29" spans="1:6" x14ac:dyDescent="0.25">
      <c r="A29" s="19" t="s">
        <v>1336</v>
      </c>
      <c r="B29" s="18" t="s">
        <v>1319</v>
      </c>
      <c r="C29" s="17">
        <v>2</v>
      </c>
      <c r="D29" s="16">
        <v>16</v>
      </c>
      <c r="E29" s="15">
        <v>16.5</v>
      </c>
      <c r="F29" s="15">
        <v>264</v>
      </c>
    </row>
    <row r="30" spans="1:6" x14ac:dyDescent="0.25">
      <c r="A30" s="24"/>
      <c r="B30" s="23"/>
      <c r="C30" s="22"/>
      <c r="D30" s="21"/>
      <c r="E30" s="20" t="s">
        <v>1337</v>
      </c>
      <c r="F30" s="20">
        <v>264</v>
      </c>
    </row>
    <row r="32" spans="1:6" x14ac:dyDescent="0.25">
      <c r="A32" s="19" t="s">
        <v>1338</v>
      </c>
      <c r="B32" s="18" t="s">
        <v>156</v>
      </c>
      <c r="D32" s="16">
        <v>2</v>
      </c>
      <c r="E32" s="15">
        <v>4</v>
      </c>
      <c r="F32" s="15">
        <v>8</v>
      </c>
    </row>
    <row r="33" spans="1:6" x14ac:dyDescent="0.25">
      <c r="A33" s="19" t="s">
        <v>1339</v>
      </c>
      <c r="B33" s="18" t="s">
        <v>1340</v>
      </c>
      <c r="D33" s="16">
        <v>1.2</v>
      </c>
      <c r="E33" s="15">
        <v>22.2</v>
      </c>
      <c r="F33" s="15">
        <v>26.64</v>
      </c>
    </row>
    <row r="34" spans="1:6" x14ac:dyDescent="0.25">
      <c r="A34" s="19" t="s">
        <v>1341</v>
      </c>
      <c r="B34" s="18" t="s">
        <v>594</v>
      </c>
      <c r="D34" s="16">
        <v>71</v>
      </c>
      <c r="E34" s="15">
        <v>4.2</v>
      </c>
      <c r="F34" s="15">
        <v>298.2</v>
      </c>
    </row>
    <row r="35" spans="1:6" x14ac:dyDescent="0.25">
      <c r="A35" s="19" t="s">
        <v>1342</v>
      </c>
      <c r="B35" s="18" t="s">
        <v>22</v>
      </c>
      <c r="D35" s="16">
        <v>0.96</v>
      </c>
      <c r="E35" s="15">
        <v>60</v>
      </c>
      <c r="F35" s="15">
        <v>57.6</v>
      </c>
    </row>
    <row r="36" spans="1:6" x14ac:dyDescent="0.25">
      <c r="A36" s="24"/>
      <c r="B36" s="23"/>
      <c r="C36" s="22"/>
      <c r="D36" s="21"/>
      <c r="E36" s="20" t="s">
        <v>1343</v>
      </c>
      <c r="F36" s="20">
        <v>390.44</v>
      </c>
    </row>
    <row r="38" spans="1:6" x14ac:dyDescent="0.25">
      <c r="A38" s="19" t="s">
        <v>1344</v>
      </c>
      <c r="B38" s="18" t="s">
        <v>1345</v>
      </c>
      <c r="D38" s="16">
        <v>3</v>
      </c>
      <c r="E38" s="15">
        <v>264</v>
      </c>
      <c r="F38" s="15">
        <v>7.92</v>
      </c>
    </row>
    <row r="39" spans="1:6" x14ac:dyDescent="0.25">
      <c r="A39" s="24"/>
      <c r="B39" s="23"/>
      <c r="C39" s="22"/>
      <c r="D39" s="21"/>
      <c r="E39" s="20" t="s">
        <v>1346</v>
      </c>
      <c r="F39" s="20">
        <v>7.92</v>
      </c>
    </row>
    <row r="41" spans="1:6" x14ac:dyDescent="0.25">
      <c r="A41" s="19" t="s">
        <v>1347</v>
      </c>
      <c r="B41" s="18" t="s">
        <v>723</v>
      </c>
      <c r="D41" s="16">
        <v>1</v>
      </c>
      <c r="E41" s="15">
        <v>250</v>
      </c>
      <c r="F41" s="15">
        <v>250</v>
      </c>
    </row>
    <row r="42" spans="1:6" x14ac:dyDescent="0.25">
      <c r="A42" s="24"/>
      <c r="B42" s="23"/>
      <c r="C42" s="22"/>
      <c r="D42" s="21"/>
      <c r="E42" s="20" t="s">
        <v>1348</v>
      </c>
      <c r="F42" s="20">
        <v>250</v>
      </c>
    </row>
    <row r="45" spans="1:6" x14ac:dyDescent="0.25">
      <c r="A45" s="31" t="s">
        <v>1602</v>
      </c>
      <c r="B45" s="27"/>
      <c r="C45" s="30"/>
      <c r="D45" s="29"/>
      <c r="E45" s="28"/>
      <c r="F45" s="28"/>
    </row>
    <row r="46" spans="1:6" x14ac:dyDescent="0.25">
      <c r="A46" s="31" t="s">
        <v>1459</v>
      </c>
      <c r="B46" s="27"/>
      <c r="C46" s="30" t="s">
        <v>1446</v>
      </c>
      <c r="D46" s="29"/>
      <c r="E46" s="28" t="s">
        <v>1329</v>
      </c>
      <c r="F46" s="28">
        <v>6.2</v>
      </c>
    </row>
    <row r="47" spans="1:6" x14ac:dyDescent="0.25">
      <c r="A47" s="27" t="s">
        <v>1330</v>
      </c>
      <c r="B47" s="27" t="s">
        <v>1331</v>
      </c>
      <c r="C47" s="26" t="s">
        <v>1332</v>
      </c>
      <c r="D47" s="26" t="s">
        <v>1333</v>
      </c>
      <c r="E47" s="25" t="s">
        <v>1334</v>
      </c>
      <c r="F47" s="25" t="s">
        <v>1335</v>
      </c>
    </row>
    <row r="48" spans="1:6" x14ac:dyDescent="0.25">
      <c r="A48" s="19" t="s">
        <v>1350</v>
      </c>
      <c r="B48" s="18" t="s">
        <v>1319</v>
      </c>
      <c r="C48" s="17">
        <v>0.1</v>
      </c>
      <c r="D48" s="16">
        <v>3.2000000000000001E-2</v>
      </c>
      <c r="E48" s="15">
        <v>19.23</v>
      </c>
      <c r="F48" s="15">
        <v>0.62</v>
      </c>
    </row>
    <row r="49" spans="1:6" x14ac:dyDescent="0.25">
      <c r="A49" s="19" t="s">
        <v>1336</v>
      </c>
      <c r="B49" s="18" t="s">
        <v>1319</v>
      </c>
      <c r="C49" s="17">
        <v>1</v>
      </c>
      <c r="D49" s="16">
        <v>0.32</v>
      </c>
      <c r="E49" s="15">
        <v>16.5</v>
      </c>
      <c r="F49" s="15">
        <v>5.28</v>
      </c>
    </row>
    <row r="50" spans="1:6" x14ac:dyDescent="0.25">
      <c r="A50" s="24"/>
      <c r="B50" s="23"/>
      <c r="C50" s="22"/>
      <c r="D50" s="21"/>
      <c r="E50" s="20" t="s">
        <v>1337</v>
      </c>
      <c r="F50" s="20">
        <v>5.9</v>
      </c>
    </row>
    <row r="52" spans="1:6" x14ac:dyDescent="0.25">
      <c r="A52" s="19" t="s">
        <v>1344</v>
      </c>
      <c r="B52" s="18" t="s">
        <v>1345</v>
      </c>
      <c r="D52" s="16">
        <v>5</v>
      </c>
      <c r="E52" s="15">
        <v>5.9</v>
      </c>
      <c r="F52" s="15">
        <v>0.3</v>
      </c>
    </row>
    <row r="53" spans="1:6" x14ac:dyDescent="0.25">
      <c r="A53" s="24"/>
      <c r="B53" s="23"/>
      <c r="C53" s="22"/>
      <c r="D53" s="21"/>
      <c r="E53" s="20" t="s">
        <v>1346</v>
      </c>
      <c r="F53" s="20">
        <v>0.3</v>
      </c>
    </row>
    <row r="56" spans="1:6" x14ac:dyDescent="0.25">
      <c r="A56" s="31" t="s">
        <v>1601</v>
      </c>
      <c r="B56" s="27"/>
      <c r="C56" s="30"/>
      <c r="D56" s="29"/>
      <c r="E56" s="28"/>
      <c r="F56" s="28"/>
    </row>
    <row r="57" spans="1:6" x14ac:dyDescent="0.25">
      <c r="A57" s="31" t="s">
        <v>1600</v>
      </c>
      <c r="B57" s="27"/>
      <c r="C57" s="30" t="s">
        <v>1446</v>
      </c>
      <c r="D57" s="29"/>
      <c r="E57" s="28" t="s">
        <v>1329</v>
      </c>
      <c r="F57" s="28">
        <v>21.29</v>
      </c>
    </row>
    <row r="58" spans="1:6" x14ac:dyDescent="0.25">
      <c r="A58" s="27" t="s">
        <v>1330</v>
      </c>
      <c r="B58" s="27" t="s">
        <v>1331</v>
      </c>
      <c r="C58" s="26" t="s">
        <v>1332</v>
      </c>
      <c r="D58" s="26" t="s">
        <v>1333</v>
      </c>
      <c r="E58" s="25" t="s">
        <v>1334</v>
      </c>
      <c r="F58" s="25" t="s">
        <v>1335</v>
      </c>
    </row>
    <row r="59" spans="1:6" x14ac:dyDescent="0.25">
      <c r="A59" s="19" t="s">
        <v>1599</v>
      </c>
      <c r="B59" s="18" t="s">
        <v>1319</v>
      </c>
      <c r="C59" s="17">
        <v>1</v>
      </c>
      <c r="D59" s="16">
        <v>0.16</v>
      </c>
      <c r="E59" s="15">
        <v>20.83</v>
      </c>
      <c r="F59" s="15">
        <v>3.33</v>
      </c>
    </row>
    <row r="60" spans="1:6" x14ac:dyDescent="0.25">
      <c r="A60" s="19" t="s">
        <v>1387</v>
      </c>
      <c r="B60" s="18" t="s">
        <v>1319</v>
      </c>
      <c r="C60" s="17">
        <v>0.1</v>
      </c>
      <c r="D60" s="16">
        <v>1.6E-2</v>
      </c>
      <c r="E60" s="15">
        <v>24.5</v>
      </c>
      <c r="F60" s="15">
        <v>0.39</v>
      </c>
    </row>
    <row r="61" spans="1:6" x14ac:dyDescent="0.25">
      <c r="A61" s="19" t="s">
        <v>1480</v>
      </c>
      <c r="B61" s="18" t="s">
        <v>1319</v>
      </c>
      <c r="C61" s="17">
        <v>1</v>
      </c>
      <c r="D61" s="16">
        <v>0.16</v>
      </c>
      <c r="E61" s="15">
        <v>15.94</v>
      </c>
      <c r="F61" s="15">
        <v>2.5499999999999998</v>
      </c>
    </row>
    <row r="62" spans="1:6" x14ac:dyDescent="0.25">
      <c r="A62" s="19" t="s">
        <v>1336</v>
      </c>
      <c r="B62" s="18" t="s">
        <v>1319</v>
      </c>
      <c r="C62" s="17">
        <v>4</v>
      </c>
      <c r="D62" s="16">
        <v>0.64</v>
      </c>
      <c r="E62" s="15">
        <v>16.5</v>
      </c>
      <c r="F62" s="15">
        <v>10.56</v>
      </c>
    </row>
    <row r="63" spans="1:6" x14ac:dyDescent="0.25">
      <c r="A63" s="24"/>
      <c r="B63" s="23"/>
      <c r="C63" s="22"/>
      <c r="D63" s="21"/>
      <c r="E63" s="20" t="s">
        <v>1337</v>
      </c>
      <c r="F63" s="20">
        <v>16.829999999999998</v>
      </c>
    </row>
    <row r="65" spans="1:6" x14ac:dyDescent="0.25">
      <c r="A65" s="19" t="s">
        <v>1518</v>
      </c>
      <c r="B65" s="18" t="s">
        <v>156</v>
      </c>
      <c r="D65" s="16">
        <v>5.0000000000000001E-3</v>
      </c>
      <c r="E65" s="15">
        <v>4.5</v>
      </c>
      <c r="F65" s="15">
        <v>0.02</v>
      </c>
    </row>
    <row r="66" spans="1:6" x14ac:dyDescent="0.25">
      <c r="A66" s="19" t="s">
        <v>1598</v>
      </c>
      <c r="B66" s="18" t="s">
        <v>1490</v>
      </c>
      <c r="D66" s="16">
        <v>2.5000000000000001E-2</v>
      </c>
      <c r="E66" s="15">
        <v>15</v>
      </c>
      <c r="F66" s="15">
        <v>0.38</v>
      </c>
    </row>
    <row r="67" spans="1:6" x14ac:dyDescent="0.25">
      <c r="A67" s="19" t="s">
        <v>1597</v>
      </c>
      <c r="B67" s="18" t="s">
        <v>10</v>
      </c>
      <c r="D67" s="16">
        <v>1E-3</v>
      </c>
      <c r="E67" s="15">
        <v>30</v>
      </c>
      <c r="F67" s="15">
        <v>0.03</v>
      </c>
    </row>
    <row r="68" spans="1:6" x14ac:dyDescent="0.25">
      <c r="A68" s="19" t="s">
        <v>1341</v>
      </c>
      <c r="B68" s="18" t="s">
        <v>594</v>
      </c>
      <c r="D68" s="16">
        <v>2.64E-2</v>
      </c>
      <c r="E68" s="15">
        <v>4.2</v>
      </c>
      <c r="F68" s="15">
        <v>0.11</v>
      </c>
    </row>
    <row r="69" spans="1:6" x14ac:dyDescent="0.25">
      <c r="A69" s="19" t="s">
        <v>1596</v>
      </c>
      <c r="B69" s="18" t="s">
        <v>1385</v>
      </c>
      <c r="D69" s="16">
        <v>2E-3</v>
      </c>
      <c r="E69" s="15">
        <v>47</v>
      </c>
      <c r="F69" s="15">
        <v>0.09</v>
      </c>
    </row>
    <row r="70" spans="1:6" x14ac:dyDescent="0.25">
      <c r="A70" s="19" t="s">
        <v>1595</v>
      </c>
      <c r="B70" s="18" t="s">
        <v>156</v>
      </c>
      <c r="D70" s="16">
        <v>0.01</v>
      </c>
      <c r="E70" s="15">
        <v>8</v>
      </c>
      <c r="F70" s="15">
        <v>0.08</v>
      </c>
    </row>
    <row r="71" spans="1:6" x14ac:dyDescent="0.25">
      <c r="A71" s="24"/>
      <c r="B71" s="23"/>
      <c r="C71" s="22"/>
      <c r="D71" s="21"/>
      <c r="E71" s="20" t="s">
        <v>1343</v>
      </c>
      <c r="F71" s="20">
        <v>0.71</v>
      </c>
    </row>
    <row r="73" spans="1:6" x14ac:dyDescent="0.25">
      <c r="A73" s="19" t="s">
        <v>1594</v>
      </c>
      <c r="B73" s="18" t="s">
        <v>1475</v>
      </c>
      <c r="C73" s="17">
        <v>1</v>
      </c>
      <c r="D73" s="16">
        <v>0.16</v>
      </c>
      <c r="E73" s="15">
        <v>1.2</v>
      </c>
      <c r="F73" s="15">
        <v>0.19</v>
      </c>
    </row>
    <row r="74" spans="1:6" x14ac:dyDescent="0.25">
      <c r="A74" s="19" t="s">
        <v>1593</v>
      </c>
      <c r="B74" s="18" t="s">
        <v>1475</v>
      </c>
      <c r="C74" s="17">
        <v>2</v>
      </c>
      <c r="D74" s="16">
        <v>0.32</v>
      </c>
      <c r="E74" s="15">
        <v>1</v>
      </c>
      <c r="F74" s="15">
        <v>0.32</v>
      </c>
    </row>
    <row r="75" spans="1:6" x14ac:dyDescent="0.25">
      <c r="A75" s="19" t="s">
        <v>1592</v>
      </c>
      <c r="B75" s="18" t="s">
        <v>1475</v>
      </c>
      <c r="C75" s="17">
        <v>1</v>
      </c>
      <c r="D75" s="16">
        <v>0.16</v>
      </c>
      <c r="E75" s="15">
        <v>15</v>
      </c>
      <c r="F75" s="15">
        <v>2.4</v>
      </c>
    </row>
    <row r="76" spans="1:6" x14ac:dyDescent="0.25">
      <c r="A76" s="19" t="s">
        <v>1344</v>
      </c>
      <c r="B76" s="18" t="s">
        <v>1345</v>
      </c>
      <c r="D76" s="16">
        <v>5</v>
      </c>
      <c r="E76" s="15">
        <v>16.829999999999998</v>
      </c>
      <c r="F76" s="15">
        <v>0.84</v>
      </c>
    </row>
    <row r="77" spans="1:6" x14ac:dyDescent="0.25">
      <c r="A77" s="24"/>
      <c r="B77" s="23"/>
      <c r="C77" s="22"/>
      <c r="D77" s="21"/>
      <c r="E77" s="20" t="s">
        <v>1346</v>
      </c>
      <c r="F77" s="20">
        <v>3.75</v>
      </c>
    </row>
    <row r="80" spans="1:6" x14ac:dyDescent="0.25">
      <c r="A80" s="31" t="s">
        <v>1591</v>
      </c>
      <c r="B80" s="27"/>
      <c r="C80" s="30"/>
      <c r="D80" s="29"/>
      <c r="E80" s="28"/>
      <c r="F80" s="28"/>
    </row>
    <row r="81" spans="1:6" x14ac:dyDescent="0.25">
      <c r="A81" s="31" t="s">
        <v>1590</v>
      </c>
      <c r="B81" s="27"/>
      <c r="C81" s="30" t="s">
        <v>1541</v>
      </c>
      <c r="D81" s="29"/>
      <c r="E81" s="28" t="s">
        <v>1329</v>
      </c>
      <c r="F81" s="28">
        <v>530.6</v>
      </c>
    </row>
    <row r="82" spans="1:6" x14ac:dyDescent="0.25">
      <c r="A82" s="27" t="s">
        <v>1330</v>
      </c>
      <c r="B82" s="27" t="s">
        <v>1331</v>
      </c>
      <c r="C82" s="26" t="s">
        <v>1332</v>
      </c>
      <c r="D82" s="26" t="s">
        <v>1333</v>
      </c>
      <c r="E82" s="25" t="s">
        <v>1334</v>
      </c>
      <c r="F82" s="25" t="s">
        <v>1335</v>
      </c>
    </row>
    <row r="83" spans="1:6" x14ac:dyDescent="0.25">
      <c r="A83" s="19" t="s">
        <v>1387</v>
      </c>
      <c r="B83" s="18" t="s">
        <v>1319</v>
      </c>
      <c r="C83" s="17">
        <v>0.1</v>
      </c>
      <c r="D83" s="16">
        <v>2.6667000000000001</v>
      </c>
      <c r="E83" s="15">
        <v>24.5</v>
      </c>
      <c r="F83" s="15">
        <v>65.33</v>
      </c>
    </row>
    <row r="84" spans="1:6" x14ac:dyDescent="0.25">
      <c r="A84" s="19" t="s">
        <v>1336</v>
      </c>
      <c r="B84" s="18" t="s">
        <v>1319</v>
      </c>
      <c r="C84" s="17">
        <v>1</v>
      </c>
      <c r="D84" s="16">
        <v>26.666699999999999</v>
      </c>
      <c r="E84" s="15">
        <v>16.5</v>
      </c>
      <c r="F84" s="15">
        <v>440</v>
      </c>
    </row>
    <row r="85" spans="1:6" x14ac:dyDescent="0.25">
      <c r="A85" s="24"/>
      <c r="B85" s="23"/>
      <c r="C85" s="22"/>
      <c r="D85" s="21"/>
      <c r="E85" s="20" t="s">
        <v>1337</v>
      </c>
      <c r="F85" s="20">
        <v>505.33</v>
      </c>
    </row>
    <row r="87" spans="1:6" x14ac:dyDescent="0.25">
      <c r="A87" s="19" t="s">
        <v>1344</v>
      </c>
      <c r="B87" s="18" t="s">
        <v>1345</v>
      </c>
      <c r="D87" s="16">
        <v>5</v>
      </c>
      <c r="E87" s="15">
        <v>505.33</v>
      </c>
      <c r="F87" s="15">
        <v>25.27</v>
      </c>
    </row>
    <row r="88" spans="1:6" x14ac:dyDescent="0.25">
      <c r="A88" s="24"/>
      <c r="B88" s="23"/>
      <c r="C88" s="22"/>
      <c r="D88" s="21"/>
      <c r="E88" s="20" t="s">
        <v>1346</v>
      </c>
      <c r="F88" s="20">
        <v>25.27</v>
      </c>
    </row>
    <row r="91" spans="1:6" x14ac:dyDescent="0.25">
      <c r="A91" s="31" t="s">
        <v>1589</v>
      </c>
      <c r="B91" s="27"/>
      <c r="C91" s="30"/>
      <c r="D91" s="29"/>
      <c r="E91" s="28"/>
      <c r="F91" s="28"/>
    </row>
    <row r="92" spans="1:6" x14ac:dyDescent="0.25">
      <c r="A92" s="31" t="s">
        <v>1588</v>
      </c>
      <c r="B92" s="27"/>
      <c r="C92" s="30" t="s">
        <v>1541</v>
      </c>
      <c r="D92" s="29"/>
      <c r="E92" s="28" t="s">
        <v>1329</v>
      </c>
      <c r="F92" s="28">
        <v>636.72</v>
      </c>
    </row>
    <row r="93" spans="1:6" x14ac:dyDescent="0.25">
      <c r="A93" s="27" t="s">
        <v>1330</v>
      </c>
      <c r="B93" s="27" t="s">
        <v>1331</v>
      </c>
      <c r="C93" s="26" t="s">
        <v>1332</v>
      </c>
      <c r="D93" s="26" t="s">
        <v>1333</v>
      </c>
      <c r="E93" s="25" t="s">
        <v>1334</v>
      </c>
      <c r="F93" s="25" t="s">
        <v>1335</v>
      </c>
    </row>
    <row r="94" spans="1:6" x14ac:dyDescent="0.25">
      <c r="A94" s="19" t="s">
        <v>1387</v>
      </c>
      <c r="B94" s="18" t="s">
        <v>1319</v>
      </c>
      <c r="C94" s="17">
        <v>0.1</v>
      </c>
      <c r="D94" s="16">
        <v>3.2</v>
      </c>
      <c r="E94" s="15">
        <v>24.5</v>
      </c>
      <c r="F94" s="15">
        <v>78.400000000000006</v>
      </c>
    </row>
    <row r="95" spans="1:6" x14ac:dyDescent="0.25">
      <c r="A95" s="19" t="s">
        <v>1336</v>
      </c>
      <c r="B95" s="18" t="s">
        <v>1319</v>
      </c>
      <c r="C95" s="17">
        <v>1</v>
      </c>
      <c r="D95" s="16">
        <v>32</v>
      </c>
      <c r="E95" s="15">
        <v>16.5</v>
      </c>
      <c r="F95" s="15">
        <v>528</v>
      </c>
    </row>
    <row r="96" spans="1:6" x14ac:dyDescent="0.25">
      <c r="A96" s="24"/>
      <c r="B96" s="23"/>
      <c r="C96" s="22"/>
      <c r="D96" s="21"/>
      <c r="E96" s="20" t="s">
        <v>1337</v>
      </c>
      <c r="F96" s="20">
        <v>606.4</v>
      </c>
    </row>
    <row r="98" spans="1:6" x14ac:dyDescent="0.25">
      <c r="A98" s="19" t="s">
        <v>1344</v>
      </c>
      <c r="B98" s="18" t="s">
        <v>1345</v>
      </c>
      <c r="D98" s="16">
        <v>5</v>
      </c>
      <c r="E98" s="15">
        <v>606.4</v>
      </c>
      <c r="F98" s="15">
        <v>30.32</v>
      </c>
    </row>
    <row r="99" spans="1:6" x14ac:dyDescent="0.25">
      <c r="A99" s="24"/>
      <c r="B99" s="23"/>
      <c r="C99" s="22"/>
      <c r="D99" s="21"/>
      <c r="E99" s="20" t="s">
        <v>1346</v>
      </c>
      <c r="F99" s="20">
        <v>30.32</v>
      </c>
    </row>
    <row r="102" spans="1:6" x14ac:dyDescent="0.25">
      <c r="A102" s="31" t="s">
        <v>1587</v>
      </c>
      <c r="B102" s="27"/>
      <c r="C102" s="30"/>
      <c r="D102" s="29"/>
      <c r="E102" s="28"/>
      <c r="F102" s="28"/>
    </row>
    <row r="103" spans="1:6" x14ac:dyDescent="0.25">
      <c r="A103" s="31" t="s">
        <v>1534</v>
      </c>
      <c r="B103" s="27"/>
      <c r="C103" s="30" t="s">
        <v>1446</v>
      </c>
      <c r="D103" s="29"/>
      <c r="E103" s="28" t="s">
        <v>1329</v>
      </c>
      <c r="F103" s="28">
        <v>11.37</v>
      </c>
    </row>
    <row r="104" spans="1:6" x14ac:dyDescent="0.25">
      <c r="A104" s="27" t="s">
        <v>1330</v>
      </c>
      <c r="B104" s="27" t="s">
        <v>1331</v>
      </c>
      <c r="C104" s="26" t="s">
        <v>1332</v>
      </c>
      <c r="D104" s="26" t="s">
        <v>1333</v>
      </c>
      <c r="E104" s="25" t="s">
        <v>1334</v>
      </c>
      <c r="F104" s="25" t="s">
        <v>1335</v>
      </c>
    </row>
    <row r="105" spans="1:6" x14ac:dyDescent="0.25">
      <c r="A105" s="19" t="s">
        <v>1387</v>
      </c>
      <c r="B105" s="18" t="s">
        <v>1319</v>
      </c>
      <c r="C105" s="17">
        <v>0.1</v>
      </c>
      <c r="D105" s="16">
        <v>5.7099999999999998E-2</v>
      </c>
      <c r="E105" s="15">
        <v>24.5</v>
      </c>
      <c r="F105" s="15">
        <v>1.4</v>
      </c>
    </row>
    <row r="106" spans="1:6" x14ac:dyDescent="0.25">
      <c r="A106" s="19" t="s">
        <v>1336</v>
      </c>
      <c r="B106" s="18" t="s">
        <v>1319</v>
      </c>
      <c r="C106" s="17">
        <v>1</v>
      </c>
      <c r="D106" s="16">
        <v>0.57140000000000002</v>
      </c>
      <c r="E106" s="15">
        <v>16.5</v>
      </c>
      <c r="F106" s="15">
        <v>9.43</v>
      </c>
    </row>
    <row r="107" spans="1:6" x14ac:dyDescent="0.25">
      <c r="A107" s="24"/>
      <c r="B107" s="23"/>
      <c r="C107" s="22"/>
      <c r="D107" s="21"/>
      <c r="E107" s="20" t="s">
        <v>1337</v>
      </c>
      <c r="F107" s="20">
        <v>10.83</v>
      </c>
    </row>
    <row r="109" spans="1:6" x14ac:dyDescent="0.25">
      <c r="A109" s="19" t="s">
        <v>1344</v>
      </c>
      <c r="B109" s="18" t="s">
        <v>1345</v>
      </c>
      <c r="D109" s="16">
        <v>5</v>
      </c>
      <c r="E109" s="15">
        <v>10.83</v>
      </c>
      <c r="F109" s="15">
        <v>0.54</v>
      </c>
    </row>
    <row r="110" spans="1:6" x14ac:dyDescent="0.25">
      <c r="A110" s="24"/>
      <c r="B110" s="23"/>
      <c r="C110" s="22"/>
      <c r="D110" s="21"/>
      <c r="E110" s="20" t="s">
        <v>1346</v>
      </c>
      <c r="F110" s="20">
        <v>0.54</v>
      </c>
    </row>
    <row r="113" spans="1:6" x14ac:dyDescent="0.25">
      <c r="A113" s="31" t="s">
        <v>1586</v>
      </c>
      <c r="B113" s="27"/>
      <c r="C113" s="30"/>
      <c r="D113" s="29"/>
      <c r="E113" s="28"/>
      <c r="F113" s="28"/>
    </row>
    <row r="114" spans="1:6" x14ac:dyDescent="0.25">
      <c r="A114" s="31" t="s">
        <v>1585</v>
      </c>
      <c r="B114" s="27"/>
      <c r="C114" s="30" t="s">
        <v>1541</v>
      </c>
      <c r="D114" s="29"/>
      <c r="E114" s="28" t="s">
        <v>1329</v>
      </c>
      <c r="F114" s="28">
        <v>39.799999999999997</v>
      </c>
    </row>
    <row r="115" spans="1:6" x14ac:dyDescent="0.25">
      <c r="A115" s="27" t="s">
        <v>1330</v>
      </c>
      <c r="B115" s="27" t="s">
        <v>1331</v>
      </c>
      <c r="C115" s="26" t="s">
        <v>1332</v>
      </c>
      <c r="D115" s="26" t="s">
        <v>1333</v>
      </c>
      <c r="E115" s="25" t="s">
        <v>1334</v>
      </c>
      <c r="F115" s="25" t="s">
        <v>1335</v>
      </c>
    </row>
    <row r="116" spans="1:6" x14ac:dyDescent="0.25">
      <c r="A116" s="19" t="s">
        <v>1336</v>
      </c>
      <c r="B116" s="18" t="s">
        <v>1319</v>
      </c>
      <c r="C116" s="17">
        <v>1</v>
      </c>
      <c r="D116" s="16">
        <v>2</v>
      </c>
      <c r="E116" s="15">
        <v>16.5</v>
      </c>
      <c r="F116" s="15">
        <v>33</v>
      </c>
    </row>
    <row r="117" spans="1:6" x14ac:dyDescent="0.25">
      <c r="A117" s="19" t="s">
        <v>1387</v>
      </c>
      <c r="B117" s="18" t="s">
        <v>1319</v>
      </c>
      <c r="C117" s="17">
        <v>0.1</v>
      </c>
      <c r="D117" s="16">
        <v>0.2</v>
      </c>
      <c r="E117" s="15">
        <v>24.5</v>
      </c>
      <c r="F117" s="15">
        <v>4.9000000000000004</v>
      </c>
    </row>
    <row r="118" spans="1:6" x14ac:dyDescent="0.25">
      <c r="A118" s="24"/>
      <c r="B118" s="23"/>
      <c r="C118" s="22"/>
      <c r="D118" s="21"/>
      <c r="E118" s="20" t="s">
        <v>1337</v>
      </c>
      <c r="F118" s="20">
        <v>37.9</v>
      </c>
    </row>
    <row r="120" spans="1:6" x14ac:dyDescent="0.25">
      <c r="A120" s="19" t="s">
        <v>1344</v>
      </c>
      <c r="B120" s="18" t="s">
        <v>1345</v>
      </c>
      <c r="D120" s="16">
        <v>5</v>
      </c>
      <c r="E120" s="15">
        <v>37.9</v>
      </c>
      <c r="F120" s="15">
        <v>1.9</v>
      </c>
    </row>
    <row r="121" spans="1:6" x14ac:dyDescent="0.25">
      <c r="A121" s="24"/>
      <c r="B121" s="23"/>
      <c r="C121" s="22"/>
      <c r="D121" s="21"/>
      <c r="E121" s="20" t="s">
        <v>1346</v>
      </c>
      <c r="F121" s="20">
        <v>1.9</v>
      </c>
    </row>
    <row r="124" spans="1:6" x14ac:dyDescent="0.25">
      <c r="A124" s="31" t="s">
        <v>1584</v>
      </c>
      <c r="B124" s="27"/>
      <c r="C124" s="30"/>
      <c r="D124" s="29"/>
      <c r="E124" s="28"/>
      <c r="F124" s="28"/>
    </row>
    <row r="125" spans="1:6" x14ac:dyDescent="0.25">
      <c r="A125" s="31" t="s">
        <v>1516</v>
      </c>
      <c r="B125" s="27"/>
      <c r="C125" s="30" t="s">
        <v>1446</v>
      </c>
      <c r="D125" s="29"/>
      <c r="E125" s="28" t="s">
        <v>1329</v>
      </c>
      <c r="F125" s="28">
        <v>5.53</v>
      </c>
    </row>
    <row r="126" spans="1:6" x14ac:dyDescent="0.25">
      <c r="A126" s="27" t="s">
        <v>1330</v>
      </c>
      <c r="B126" s="27" t="s">
        <v>1331</v>
      </c>
      <c r="C126" s="26" t="s">
        <v>1332</v>
      </c>
      <c r="D126" s="26" t="s">
        <v>1333</v>
      </c>
      <c r="E126" s="25" t="s">
        <v>1334</v>
      </c>
      <c r="F126" s="25" t="s">
        <v>1335</v>
      </c>
    </row>
    <row r="127" spans="1:6" x14ac:dyDescent="0.25">
      <c r="A127" s="19" t="s">
        <v>1387</v>
      </c>
      <c r="B127" s="18" t="s">
        <v>1319</v>
      </c>
      <c r="C127" s="17">
        <v>1</v>
      </c>
      <c r="D127" s="16">
        <v>0.08</v>
      </c>
      <c r="E127" s="15">
        <v>24.5</v>
      </c>
      <c r="F127" s="15">
        <v>1.96</v>
      </c>
    </row>
    <row r="128" spans="1:6" x14ac:dyDescent="0.25">
      <c r="A128" s="19" t="s">
        <v>1350</v>
      </c>
      <c r="B128" s="18" t="s">
        <v>1319</v>
      </c>
      <c r="C128" s="17">
        <v>1</v>
      </c>
      <c r="D128" s="16">
        <v>0.08</v>
      </c>
      <c r="E128" s="15">
        <v>19.23</v>
      </c>
      <c r="F128" s="15">
        <v>1.54</v>
      </c>
    </row>
    <row r="129" spans="1:6" x14ac:dyDescent="0.25">
      <c r="A129" s="19" t="s">
        <v>1336</v>
      </c>
      <c r="B129" s="18" t="s">
        <v>1319</v>
      </c>
      <c r="C129" s="17">
        <v>1</v>
      </c>
      <c r="D129" s="16">
        <v>0.08</v>
      </c>
      <c r="E129" s="15">
        <v>16.5</v>
      </c>
      <c r="F129" s="15">
        <v>1.32</v>
      </c>
    </row>
    <row r="130" spans="1:6" x14ac:dyDescent="0.25">
      <c r="A130" s="24"/>
      <c r="B130" s="23"/>
      <c r="C130" s="22"/>
      <c r="D130" s="21"/>
      <c r="E130" s="20" t="s">
        <v>1337</v>
      </c>
      <c r="F130" s="20">
        <v>4.82</v>
      </c>
    </row>
    <row r="132" spans="1:6" x14ac:dyDescent="0.25">
      <c r="A132" s="19" t="s">
        <v>1489</v>
      </c>
      <c r="B132" s="18" t="s">
        <v>22</v>
      </c>
      <c r="D132" s="16">
        <v>0.05</v>
      </c>
      <c r="E132" s="15">
        <v>5</v>
      </c>
      <c r="F132" s="15">
        <v>0.25</v>
      </c>
    </row>
    <row r="133" spans="1:6" x14ac:dyDescent="0.25">
      <c r="A133" s="24"/>
      <c r="B133" s="23"/>
      <c r="C133" s="22"/>
      <c r="D133" s="21"/>
      <c r="E133" s="20" t="s">
        <v>1343</v>
      </c>
      <c r="F133" s="20">
        <v>0.25</v>
      </c>
    </row>
    <row r="135" spans="1:6" x14ac:dyDescent="0.25">
      <c r="A135" s="19" t="s">
        <v>1583</v>
      </c>
      <c r="B135" s="18" t="s">
        <v>1475</v>
      </c>
      <c r="C135" s="17">
        <v>1</v>
      </c>
      <c r="D135" s="16">
        <v>0.08</v>
      </c>
      <c r="E135" s="15">
        <v>2.7</v>
      </c>
      <c r="F135" s="15">
        <v>0.22</v>
      </c>
    </row>
    <row r="136" spans="1:6" x14ac:dyDescent="0.25">
      <c r="A136" s="19" t="s">
        <v>1344</v>
      </c>
      <c r="B136" s="18" t="s">
        <v>1345</v>
      </c>
      <c r="D136" s="16">
        <v>5</v>
      </c>
      <c r="E136" s="15">
        <v>4.82</v>
      </c>
      <c r="F136" s="15">
        <v>0.24</v>
      </c>
    </row>
    <row r="137" spans="1:6" x14ac:dyDescent="0.25">
      <c r="A137" s="24"/>
      <c r="B137" s="23"/>
      <c r="C137" s="22"/>
      <c r="D137" s="21"/>
      <c r="E137" s="20" t="s">
        <v>1346</v>
      </c>
      <c r="F137" s="20">
        <v>0.46</v>
      </c>
    </row>
    <row r="140" spans="1:6" x14ac:dyDescent="0.25">
      <c r="A140" s="31" t="s">
        <v>1582</v>
      </c>
      <c r="B140" s="27"/>
      <c r="C140" s="30"/>
      <c r="D140" s="29"/>
      <c r="E140" s="28"/>
      <c r="F140" s="28"/>
    </row>
    <row r="141" spans="1:6" x14ac:dyDescent="0.25">
      <c r="A141" s="31" t="s">
        <v>1581</v>
      </c>
      <c r="B141" s="27"/>
      <c r="C141" s="30" t="s">
        <v>1541</v>
      </c>
      <c r="D141" s="29"/>
      <c r="E141" s="28" t="s">
        <v>1329</v>
      </c>
      <c r="F141" s="28">
        <v>23.1</v>
      </c>
    </row>
    <row r="142" spans="1:6" x14ac:dyDescent="0.25">
      <c r="A142" s="27" t="s">
        <v>1330</v>
      </c>
      <c r="B142" s="27" t="s">
        <v>1331</v>
      </c>
      <c r="C142" s="26" t="s">
        <v>1332</v>
      </c>
      <c r="D142" s="26" t="s">
        <v>1333</v>
      </c>
      <c r="E142" s="25" t="s">
        <v>1334</v>
      </c>
      <c r="F142" s="25" t="s">
        <v>1335</v>
      </c>
    </row>
    <row r="143" spans="1:6" x14ac:dyDescent="0.25">
      <c r="A143" s="19" t="s">
        <v>1336</v>
      </c>
      <c r="B143" s="18" t="s">
        <v>1319</v>
      </c>
      <c r="C143" s="17">
        <v>1</v>
      </c>
      <c r="D143" s="16">
        <v>1.3332999999999999</v>
      </c>
      <c r="E143" s="15">
        <v>16.5</v>
      </c>
      <c r="F143" s="15">
        <v>22</v>
      </c>
    </row>
    <row r="144" spans="1:6" x14ac:dyDescent="0.25">
      <c r="A144" s="24"/>
      <c r="B144" s="23"/>
      <c r="C144" s="22"/>
      <c r="D144" s="21"/>
      <c r="E144" s="20" t="s">
        <v>1337</v>
      </c>
      <c r="F144" s="20">
        <v>22</v>
      </c>
    </row>
    <row r="146" spans="1:6" x14ac:dyDescent="0.25">
      <c r="A146" s="19" t="s">
        <v>1344</v>
      </c>
      <c r="B146" s="18" t="s">
        <v>1345</v>
      </c>
      <c r="D146" s="16">
        <v>5</v>
      </c>
      <c r="E146" s="15">
        <v>22</v>
      </c>
      <c r="F146" s="15">
        <v>1.1000000000000001</v>
      </c>
    </row>
    <row r="147" spans="1:6" x14ac:dyDescent="0.25">
      <c r="A147" s="24"/>
      <c r="B147" s="23"/>
      <c r="C147" s="22"/>
      <c r="D147" s="21"/>
      <c r="E147" s="20" t="s">
        <v>1346</v>
      </c>
      <c r="F147" s="20">
        <v>1.1000000000000001</v>
      </c>
    </row>
    <row r="150" spans="1:6" x14ac:dyDescent="0.25">
      <c r="A150" s="31" t="s">
        <v>1580</v>
      </c>
      <c r="B150" s="27"/>
      <c r="C150" s="30"/>
      <c r="D150" s="29"/>
      <c r="E150" s="28"/>
      <c r="F150" s="28"/>
    </row>
    <row r="151" spans="1:6" x14ac:dyDescent="0.25">
      <c r="A151" s="31" t="s">
        <v>1579</v>
      </c>
      <c r="B151" s="27"/>
      <c r="C151" s="30" t="s">
        <v>1446</v>
      </c>
      <c r="D151" s="29"/>
      <c r="E151" s="28" t="s">
        <v>1329</v>
      </c>
      <c r="F151" s="28">
        <v>40.29</v>
      </c>
    </row>
    <row r="152" spans="1:6" x14ac:dyDescent="0.25">
      <c r="A152" s="27" t="s">
        <v>1330</v>
      </c>
      <c r="B152" s="27" t="s">
        <v>1331</v>
      </c>
      <c r="C152" s="26" t="s">
        <v>1332</v>
      </c>
      <c r="D152" s="26" t="s">
        <v>1333</v>
      </c>
      <c r="E152" s="25" t="s">
        <v>1334</v>
      </c>
      <c r="F152" s="25" t="s">
        <v>1335</v>
      </c>
    </row>
    <row r="153" spans="1:6" x14ac:dyDescent="0.25">
      <c r="A153" s="19" t="s">
        <v>1387</v>
      </c>
      <c r="B153" s="18" t="s">
        <v>1319</v>
      </c>
      <c r="C153" s="17">
        <v>0.1</v>
      </c>
      <c r="D153" s="16">
        <v>1.3299999999999999E-2</v>
      </c>
      <c r="E153" s="15">
        <v>24.5</v>
      </c>
      <c r="F153" s="15">
        <v>0.33</v>
      </c>
    </row>
    <row r="154" spans="1:6" x14ac:dyDescent="0.25">
      <c r="A154" s="19" t="s">
        <v>1350</v>
      </c>
      <c r="B154" s="18" t="s">
        <v>1319</v>
      </c>
      <c r="C154" s="17">
        <v>2</v>
      </c>
      <c r="D154" s="16">
        <v>0.26669999999999999</v>
      </c>
      <c r="E154" s="15">
        <v>19.23</v>
      </c>
      <c r="F154" s="15">
        <v>5.13</v>
      </c>
    </row>
    <row r="155" spans="1:6" x14ac:dyDescent="0.25">
      <c r="A155" s="19" t="s">
        <v>1336</v>
      </c>
      <c r="B155" s="18" t="s">
        <v>1319</v>
      </c>
      <c r="C155" s="17">
        <v>6</v>
      </c>
      <c r="D155" s="16">
        <v>0.8</v>
      </c>
      <c r="E155" s="15">
        <v>16.5</v>
      </c>
      <c r="F155" s="15">
        <v>13.2</v>
      </c>
    </row>
    <row r="156" spans="1:6" x14ac:dyDescent="0.25">
      <c r="A156" s="19" t="s">
        <v>1540</v>
      </c>
      <c r="B156" s="18" t="s">
        <v>1319</v>
      </c>
      <c r="C156" s="17">
        <v>1</v>
      </c>
      <c r="D156" s="16">
        <v>0.1333</v>
      </c>
      <c r="E156" s="15">
        <v>20.73</v>
      </c>
      <c r="F156" s="15">
        <v>2.76</v>
      </c>
    </row>
    <row r="157" spans="1:6" x14ac:dyDescent="0.25">
      <c r="A157" s="24"/>
      <c r="B157" s="23"/>
      <c r="C157" s="22"/>
      <c r="D157" s="21"/>
      <c r="E157" s="20" t="s">
        <v>1337</v>
      </c>
      <c r="F157" s="20">
        <v>21.42</v>
      </c>
    </row>
    <row r="159" spans="1:6" x14ac:dyDescent="0.25">
      <c r="A159" s="19" t="s">
        <v>1339</v>
      </c>
      <c r="B159" s="18" t="s">
        <v>1490</v>
      </c>
      <c r="D159" s="16">
        <v>0.36</v>
      </c>
      <c r="E159" s="15">
        <v>20</v>
      </c>
      <c r="F159" s="15">
        <v>7.2</v>
      </c>
    </row>
    <row r="160" spans="1:6" x14ac:dyDescent="0.25">
      <c r="A160" s="19" t="s">
        <v>1538</v>
      </c>
      <c r="B160" s="18" t="s">
        <v>1385</v>
      </c>
      <c r="D160" s="16">
        <v>0.24</v>
      </c>
      <c r="E160" s="15">
        <v>10</v>
      </c>
      <c r="F160" s="15">
        <v>2.4</v>
      </c>
    </row>
    <row r="161" spans="1:6" x14ac:dyDescent="0.25">
      <c r="A161" s="19" t="s">
        <v>1342</v>
      </c>
      <c r="B161" s="18" t="s">
        <v>22</v>
      </c>
      <c r="D161" s="16">
        <v>0.123</v>
      </c>
      <c r="E161" s="15">
        <v>60</v>
      </c>
      <c r="F161" s="15">
        <v>7.38</v>
      </c>
    </row>
    <row r="162" spans="1:6" x14ac:dyDescent="0.25">
      <c r="A162" s="19" t="s">
        <v>1489</v>
      </c>
      <c r="B162" s="18" t="s">
        <v>22</v>
      </c>
      <c r="D162" s="16">
        <v>1.2E-2</v>
      </c>
      <c r="E162" s="15">
        <v>5</v>
      </c>
      <c r="F162" s="15">
        <v>0.06</v>
      </c>
    </row>
    <row r="163" spans="1:6" x14ac:dyDescent="0.25">
      <c r="A163" s="24"/>
      <c r="B163" s="23"/>
      <c r="C163" s="22"/>
      <c r="D163" s="21"/>
      <c r="E163" s="20" t="s">
        <v>1343</v>
      </c>
      <c r="F163" s="20">
        <v>17.04</v>
      </c>
    </row>
    <row r="165" spans="1:6" x14ac:dyDescent="0.25">
      <c r="A165" s="19" t="s">
        <v>1578</v>
      </c>
      <c r="B165" s="18" t="s">
        <v>1475</v>
      </c>
      <c r="C165" s="17">
        <v>1</v>
      </c>
      <c r="D165" s="16">
        <v>0.1333</v>
      </c>
      <c r="E165" s="15">
        <v>5.69</v>
      </c>
      <c r="F165" s="15">
        <v>0.76</v>
      </c>
    </row>
    <row r="166" spans="1:6" x14ac:dyDescent="0.25">
      <c r="A166" s="19" t="s">
        <v>1344</v>
      </c>
      <c r="B166" s="18" t="s">
        <v>1345</v>
      </c>
      <c r="D166" s="16">
        <v>5</v>
      </c>
      <c r="E166" s="15">
        <v>21.42</v>
      </c>
      <c r="F166" s="15">
        <v>1.07</v>
      </c>
    </row>
    <row r="167" spans="1:6" x14ac:dyDescent="0.25">
      <c r="A167" s="24"/>
      <c r="B167" s="23"/>
      <c r="C167" s="22"/>
      <c r="D167" s="21"/>
      <c r="E167" s="20" t="s">
        <v>1346</v>
      </c>
      <c r="F167" s="20">
        <v>1.83</v>
      </c>
    </row>
    <row r="170" spans="1:6" x14ac:dyDescent="0.25">
      <c r="A170" s="31" t="s">
        <v>1577</v>
      </c>
      <c r="B170" s="27"/>
      <c r="C170" s="30"/>
      <c r="D170" s="29"/>
      <c r="E170" s="28"/>
      <c r="F170" s="28"/>
    </row>
    <row r="171" spans="1:6" x14ac:dyDescent="0.25">
      <c r="A171" s="31" t="s">
        <v>1576</v>
      </c>
      <c r="B171" s="27"/>
      <c r="C171" s="30" t="s">
        <v>1541</v>
      </c>
      <c r="D171" s="29"/>
      <c r="E171" s="28" t="s">
        <v>1329</v>
      </c>
      <c r="F171" s="28">
        <v>222.01</v>
      </c>
    </row>
    <row r="172" spans="1:6" x14ac:dyDescent="0.25">
      <c r="A172" s="27" t="s">
        <v>1330</v>
      </c>
      <c r="B172" s="27" t="s">
        <v>1331</v>
      </c>
      <c r="C172" s="26" t="s">
        <v>1332</v>
      </c>
      <c r="D172" s="26" t="s">
        <v>1333</v>
      </c>
      <c r="E172" s="25" t="s">
        <v>1334</v>
      </c>
      <c r="F172" s="25" t="s">
        <v>1335</v>
      </c>
    </row>
    <row r="173" spans="1:6" x14ac:dyDescent="0.25">
      <c r="A173" s="19" t="s">
        <v>1387</v>
      </c>
      <c r="B173" s="18" t="s">
        <v>1319</v>
      </c>
      <c r="C173" s="17">
        <v>0.1</v>
      </c>
      <c r="D173" s="16">
        <v>3.2000000000000001E-2</v>
      </c>
      <c r="E173" s="15">
        <v>24.5</v>
      </c>
      <c r="F173" s="15">
        <v>0.78</v>
      </c>
    </row>
    <row r="174" spans="1:6" x14ac:dyDescent="0.25">
      <c r="A174" s="19" t="s">
        <v>1350</v>
      </c>
      <c r="B174" s="18" t="s">
        <v>1319</v>
      </c>
      <c r="C174" s="17">
        <v>2</v>
      </c>
      <c r="D174" s="16">
        <v>0.64</v>
      </c>
      <c r="E174" s="15">
        <v>19.23</v>
      </c>
      <c r="F174" s="15">
        <v>12.31</v>
      </c>
    </row>
    <row r="175" spans="1:6" x14ac:dyDescent="0.25">
      <c r="A175" s="19" t="s">
        <v>1480</v>
      </c>
      <c r="B175" s="18" t="s">
        <v>1319</v>
      </c>
      <c r="C175" s="17">
        <v>1</v>
      </c>
      <c r="D175" s="16">
        <v>0.32</v>
      </c>
      <c r="E175" s="15">
        <v>15.94</v>
      </c>
      <c r="F175" s="15">
        <v>5.0999999999999996</v>
      </c>
    </row>
    <row r="176" spans="1:6" x14ac:dyDescent="0.25">
      <c r="A176" s="19" t="s">
        <v>1336</v>
      </c>
      <c r="B176" s="18" t="s">
        <v>1319</v>
      </c>
      <c r="C176" s="17">
        <v>8</v>
      </c>
      <c r="D176" s="16">
        <v>2.56</v>
      </c>
      <c r="E176" s="15">
        <v>16.5</v>
      </c>
      <c r="F176" s="15">
        <v>42.24</v>
      </c>
    </row>
    <row r="177" spans="1:6" x14ac:dyDescent="0.25">
      <c r="A177" s="19" t="s">
        <v>1540</v>
      </c>
      <c r="B177" s="18" t="s">
        <v>1319</v>
      </c>
      <c r="C177" s="17">
        <v>1</v>
      </c>
      <c r="D177" s="16">
        <v>0.32</v>
      </c>
      <c r="E177" s="15">
        <v>20.73</v>
      </c>
      <c r="F177" s="15">
        <v>6.63</v>
      </c>
    </row>
    <row r="178" spans="1:6" x14ac:dyDescent="0.25">
      <c r="A178" s="24"/>
      <c r="B178" s="23"/>
      <c r="C178" s="22"/>
      <c r="D178" s="21"/>
      <c r="E178" s="20" t="s">
        <v>1337</v>
      </c>
      <c r="F178" s="20">
        <v>67.06</v>
      </c>
    </row>
    <row r="180" spans="1:6" x14ac:dyDescent="0.25">
      <c r="A180" s="19" t="s">
        <v>1575</v>
      </c>
      <c r="B180" s="18" t="s">
        <v>22</v>
      </c>
      <c r="D180" s="16">
        <v>0.48</v>
      </c>
      <c r="E180" s="15">
        <v>80</v>
      </c>
      <c r="F180" s="15">
        <v>38.4</v>
      </c>
    </row>
    <row r="181" spans="1:6" x14ac:dyDescent="0.25">
      <c r="A181" s="19" t="s">
        <v>1339</v>
      </c>
      <c r="B181" s="18" t="s">
        <v>1490</v>
      </c>
      <c r="D181" s="16">
        <v>2.9</v>
      </c>
      <c r="E181" s="15">
        <v>20</v>
      </c>
      <c r="F181" s="15">
        <v>58</v>
      </c>
    </row>
    <row r="182" spans="1:6" x14ac:dyDescent="0.25">
      <c r="A182" s="19" t="s">
        <v>1538</v>
      </c>
      <c r="B182" s="18" t="s">
        <v>1385</v>
      </c>
      <c r="D182" s="16">
        <v>0.24</v>
      </c>
      <c r="E182" s="15">
        <v>10</v>
      </c>
      <c r="F182" s="15">
        <v>2.4</v>
      </c>
    </row>
    <row r="183" spans="1:6" x14ac:dyDescent="0.25">
      <c r="A183" s="19" t="s">
        <v>1342</v>
      </c>
      <c r="B183" s="18" t="s">
        <v>22</v>
      </c>
      <c r="D183" s="16">
        <v>0.83</v>
      </c>
      <c r="E183" s="15">
        <v>60</v>
      </c>
      <c r="F183" s="15">
        <v>49.8</v>
      </c>
    </row>
    <row r="184" spans="1:6" x14ac:dyDescent="0.25">
      <c r="A184" s="19" t="s">
        <v>1489</v>
      </c>
      <c r="B184" s="18" t="s">
        <v>22</v>
      </c>
      <c r="D184" s="16">
        <v>0.1</v>
      </c>
      <c r="E184" s="15">
        <v>5</v>
      </c>
      <c r="F184" s="15">
        <v>0.5</v>
      </c>
    </row>
    <row r="185" spans="1:6" x14ac:dyDescent="0.25">
      <c r="A185" s="24"/>
      <c r="B185" s="23"/>
      <c r="C185" s="22"/>
      <c r="D185" s="21"/>
      <c r="E185" s="20" t="s">
        <v>1343</v>
      </c>
      <c r="F185" s="20">
        <v>149.1</v>
      </c>
    </row>
    <row r="187" spans="1:6" x14ac:dyDescent="0.25">
      <c r="A187" s="19" t="s">
        <v>1515</v>
      </c>
      <c r="B187" s="18" t="s">
        <v>1475</v>
      </c>
      <c r="C187" s="17">
        <v>1</v>
      </c>
      <c r="D187" s="16">
        <v>0.32</v>
      </c>
      <c r="E187" s="15">
        <v>12.01</v>
      </c>
      <c r="F187" s="15">
        <v>3.84</v>
      </c>
    </row>
    <row r="188" spans="1:6" x14ac:dyDescent="0.25">
      <c r="A188" s="19" t="s">
        <v>1344</v>
      </c>
      <c r="B188" s="18" t="s">
        <v>1345</v>
      </c>
      <c r="D188" s="16">
        <v>3</v>
      </c>
      <c r="E188" s="15">
        <v>67.06</v>
      </c>
      <c r="F188" s="15">
        <v>2.0099999999999998</v>
      </c>
    </row>
    <row r="189" spans="1:6" x14ac:dyDescent="0.25">
      <c r="A189" s="24"/>
      <c r="B189" s="23"/>
      <c r="C189" s="22"/>
      <c r="D189" s="21"/>
      <c r="E189" s="20" t="s">
        <v>1346</v>
      </c>
      <c r="F189" s="20">
        <v>5.85</v>
      </c>
    </row>
    <row r="192" spans="1:6" x14ac:dyDescent="0.25">
      <c r="A192" s="31" t="s">
        <v>1574</v>
      </c>
      <c r="B192" s="27"/>
      <c r="C192" s="30"/>
      <c r="D192" s="29"/>
      <c r="E192" s="28"/>
      <c r="F192" s="28"/>
    </row>
    <row r="193" spans="1:6" x14ac:dyDescent="0.25">
      <c r="A193" s="31" t="s">
        <v>1573</v>
      </c>
      <c r="B193" s="27"/>
      <c r="C193" s="30" t="s">
        <v>1446</v>
      </c>
      <c r="D193" s="29"/>
      <c r="E193" s="28" t="s">
        <v>1329</v>
      </c>
      <c r="F193" s="28">
        <v>35.21</v>
      </c>
    </row>
    <row r="194" spans="1:6" x14ac:dyDescent="0.25">
      <c r="A194" s="27" t="s">
        <v>1330</v>
      </c>
      <c r="B194" s="27" t="s">
        <v>1331</v>
      </c>
      <c r="C194" s="26" t="s">
        <v>1332</v>
      </c>
      <c r="D194" s="26" t="s">
        <v>1333</v>
      </c>
      <c r="E194" s="25" t="s">
        <v>1334</v>
      </c>
      <c r="F194" s="25" t="s">
        <v>1335</v>
      </c>
    </row>
    <row r="195" spans="1:6" x14ac:dyDescent="0.25">
      <c r="A195" s="19" t="s">
        <v>1387</v>
      </c>
      <c r="B195" s="18" t="s">
        <v>1319</v>
      </c>
      <c r="C195" s="17">
        <v>0.1</v>
      </c>
      <c r="D195" s="16">
        <v>0.05</v>
      </c>
      <c r="E195" s="15">
        <v>24.5</v>
      </c>
      <c r="F195" s="15">
        <v>1.23</v>
      </c>
    </row>
    <row r="196" spans="1:6" x14ac:dyDescent="0.25">
      <c r="A196" s="19" t="s">
        <v>1350</v>
      </c>
      <c r="B196" s="18" t="s">
        <v>1319</v>
      </c>
      <c r="C196" s="17">
        <v>1</v>
      </c>
      <c r="D196" s="16">
        <v>0.5</v>
      </c>
      <c r="E196" s="15">
        <v>19.23</v>
      </c>
      <c r="F196" s="15">
        <v>9.6199999999999992</v>
      </c>
    </row>
    <row r="197" spans="1:6" x14ac:dyDescent="0.25">
      <c r="A197" s="19" t="s">
        <v>1480</v>
      </c>
      <c r="B197" s="18" t="s">
        <v>1319</v>
      </c>
      <c r="C197" s="17">
        <v>1</v>
      </c>
      <c r="D197" s="16">
        <v>0.5</v>
      </c>
      <c r="E197" s="15">
        <v>15.94</v>
      </c>
      <c r="F197" s="15">
        <v>7.97</v>
      </c>
    </row>
    <row r="198" spans="1:6" x14ac:dyDescent="0.25">
      <c r="A198" s="24"/>
      <c r="B198" s="23"/>
      <c r="C198" s="22"/>
      <c r="D198" s="21"/>
      <c r="E198" s="20" t="s">
        <v>1337</v>
      </c>
      <c r="F198" s="20">
        <v>18.82</v>
      </c>
    </row>
    <row r="200" spans="1:6" x14ac:dyDescent="0.25">
      <c r="A200" s="19" t="s">
        <v>1458</v>
      </c>
      <c r="B200" s="18" t="s">
        <v>156</v>
      </c>
      <c r="D200" s="16">
        <v>0.13</v>
      </c>
      <c r="E200" s="15">
        <v>4.5</v>
      </c>
      <c r="F200" s="15">
        <v>0.59</v>
      </c>
    </row>
    <row r="201" spans="1:6" x14ac:dyDescent="0.25">
      <c r="A201" s="19" t="s">
        <v>1518</v>
      </c>
      <c r="B201" s="18" t="s">
        <v>156</v>
      </c>
      <c r="D201" s="16">
        <v>0.26</v>
      </c>
      <c r="E201" s="15">
        <v>4.5</v>
      </c>
      <c r="F201" s="15">
        <v>1.17</v>
      </c>
    </row>
    <row r="202" spans="1:6" x14ac:dyDescent="0.25">
      <c r="A202" s="19" t="s">
        <v>1341</v>
      </c>
      <c r="B202" s="18" t="s">
        <v>594</v>
      </c>
      <c r="D202" s="16">
        <v>3.35</v>
      </c>
      <c r="E202" s="15">
        <v>4.2</v>
      </c>
      <c r="F202" s="15">
        <v>14.07</v>
      </c>
    </row>
    <row r="203" spans="1:6" x14ac:dyDescent="0.25">
      <c r="A203" s="24"/>
      <c r="B203" s="23"/>
      <c r="C203" s="22"/>
      <c r="D203" s="21"/>
      <c r="E203" s="20" t="s">
        <v>1343</v>
      </c>
      <c r="F203" s="20">
        <v>15.83</v>
      </c>
    </row>
    <row r="205" spans="1:6" x14ac:dyDescent="0.25">
      <c r="A205" s="19" t="s">
        <v>1344</v>
      </c>
      <c r="B205" s="18" t="s">
        <v>1345</v>
      </c>
      <c r="D205" s="16">
        <v>3</v>
      </c>
      <c r="E205" s="15">
        <v>18.82</v>
      </c>
      <c r="F205" s="15">
        <v>0.56000000000000005</v>
      </c>
    </row>
    <row r="206" spans="1:6" x14ac:dyDescent="0.25">
      <c r="A206" s="24"/>
      <c r="B206" s="23"/>
      <c r="C206" s="22"/>
      <c r="D206" s="21"/>
      <c r="E206" s="20" t="s">
        <v>1346</v>
      </c>
      <c r="F206" s="20">
        <v>0.56000000000000005</v>
      </c>
    </row>
    <row r="209" spans="1:6" x14ac:dyDescent="0.25">
      <c r="A209" s="31" t="s">
        <v>1572</v>
      </c>
      <c r="B209" s="27"/>
      <c r="C209" s="30"/>
      <c r="D209" s="29"/>
      <c r="E209" s="28"/>
      <c r="F209" s="28"/>
    </row>
    <row r="210" spans="1:6" x14ac:dyDescent="0.25">
      <c r="A210" s="31" t="s">
        <v>1550</v>
      </c>
      <c r="B210" s="27"/>
      <c r="C210" s="30" t="s">
        <v>1541</v>
      </c>
      <c r="D210" s="29"/>
      <c r="E210" s="28" t="s">
        <v>1329</v>
      </c>
      <c r="F210" s="28">
        <v>297.93</v>
      </c>
    </row>
    <row r="211" spans="1:6" x14ac:dyDescent="0.25">
      <c r="A211" s="27" t="s">
        <v>1330</v>
      </c>
      <c r="B211" s="27" t="s">
        <v>1331</v>
      </c>
      <c r="C211" s="26" t="s">
        <v>1332</v>
      </c>
      <c r="D211" s="26" t="s">
        <v>1333</v>
      </c>
      <c r="E211" s="25" t="s">
        <v>1334</v>
      </c>
      <c r="F211" s="25" t="s">
        <v>1335</v>
      </c>
    </row>
    <row r="212" spans="1:6" x14ac:dyDescent="0.25">
      <c r="A212" s="19" t="s">
        <v>1387</v>
      </c>
      <c r="B212" s="18" t="s">
        <v>1319</v>
      </c>
      <c r="C212" s="17">
        <v>0.1</v>
      </c>
      <c r="D212" s="16">
        <v>6.6699999999999995E-2</v>
      </c>
      <c r="E212" s="15">
        <v>24.5</v>
      </c>
      <c r="F212" s="15">
        <v>1.63</v>
      </c>
    </row>
    <row r="213" spans="1:6" x14ac:dyDescent="0.25">
      <c r="A213" s="19" t="s">
        <v>1350</v>
      </c>
      <c r="B213" s="18" t="s">
        <v>1319</v>
      </c>
      <c r="C213" s="17">
        <v>2</v>
      </c>
      <c r="D213" s="16">
        <v>1.3332999999999999</v>
      </c>
      <c r="E213" s="15">
        <v>19.23</v>
      </c>
      <c r="F213" s="15">
        <v>25.64</v>
      </c>
    </row>
    <row r="214" spans="1:6" x14ac:dyDescent="0.25">
      <c r="A214" s="19" t="s">
        <v>1480</v>
      </c>
      <c r="B214" s="18" t="s">
        <v>1319</v>
      </c>
      <c r="C214" s="17">
        <v>1</v>
      </c>
      <c r="D214" s="16">
        <v>0.66669999999999996</v>
      </c>
      <c r="E214" s="15">
        <v>15.94</v>
      </c>
      <c r="F214" s="15">
        <v>10.63</v>
      </c>
    </row>
    <row r="215" spans="1:6" x14ac:dyDescent="0.25">
      <c r="A215" s="19" t="s">
        <v>1336</v>
      </c>
      <c r="B215" s="18" t="s">
        <v>1319</v>
      </c>
      <c r="C215" s="17">
        <v>8</v>
      </c>
      <c r="D215" s="16">
        <v>5.3333000000000004</v>
      </c>
      <c r="E215" s="15">
        <v>16.5</v>
      </c>
      <c r="F215" s="15">
        <v>88</v>
      </c>
    </row>
    <row r="216" spans="1:6" x14ac:dyDescent="0.25">
      <c r="A216" s="19" t="s">
        <v>1540</v>
      </c>
      <c r="B216" s="18" t="s">
        <v>1319</v>
      </c>
      <c r="C216" s="17">
        <v>1</v>
      </c>
      <c r="D216" s="16">
        <v>0.66669999999999996</v>
      </c>
      <c r="E216" s="15">
        <v>20.73</v>
      </c>
      <c r="F216" s="15">
        <v>13.82</v>
      </c>
    </row>
    <row r="217" spans="1:6" x14ac:dyDescent="0.25">
      <c r="A217" s="24"/>
      <c r="B217" s="23"/>
      <c r="C217" s="22"/>
      <c r="D217" s="21"/>
      <c r="E217" s="20" t="s">
        <v>1337</v>
      </c>
      <c r="F217" s="20">
        <v>139.72</v>
      </c>
    </row>
    <row r="219" spans="1:6" x14ac:dyDescent="0.25">
      <c r="A219" s="19" t="s">
        <v>1342</v>
      </c>
      <c r="B219" s="18" t="s">
        <v>22</v>
      </c>
      <c r="D219" s="16">
        <v>0.38</v>
      </c>
      <c r="E219" s="15">
        <v>60</v>
      </c>
      <c r="F219" s="15">
        <v>22.8</v>
      </c>
    </row>
    <row r="220" spans="1:6" x14ac:dyDescent="0.25">
      <c r="A220" s="19" t="s">
        <v>1339</v>
      </c>
      <c r="B220" s="18" t="s">
        <v>1490</v>
      </c>
      <c r="D220" s="16">
        <v>3.3</v>
      </c>
      <c r="E220" s="15">
        <v>20</v>
      </c>
      <c r="F220" s="15">
        <v>66</v>
      </c>
    </row>
    <row r="221" spans="1:6" x14ac:dyDescent="0.25">
      <c r="A221" s="19" t="s">
        <v>1538</v>
      </c>
      <c r="B221" s="18" t="s">
        <v>1385</v>
      </c>
      <c r="D221" s="16">
        <v>0.24</v>
      </c>
      <c r="E221" s="15">
        <v>10</v>
      </c>
      <c r="F221" s="15">
        <v>2.4</v>
      </c>
    </row>
    <row r="222" spans="1:6" x14ac:dyDescent="0.25">
      <c r="A222" s="19" t="s">
        <v>1342</v>
      </c>
      <c r="B222" s="18" t="s">
        <v>22</v>
      </c>
      <c r="D222" s="16">
        <v>0.9</v>
      </c>
      <c r="E222" s="15">
        <v>60</v>
      </c>
      <c r="F222" s="15">
        <v>54</v>
      </c>
    </row>
    <row r="223" spans="1:6" x14ac:dyDescent="0.25">
      <c r="A223" s="19" t="s">
        <v>1489</v>
      </c>
      <c r="B223" s="18" t="s">
        <v>22</v>
      </c>
      <c r="D223" s="16">
        <v>0.16200000000000001</v>
      </c>
      <c r="E223" s="15">
        <v>5</v>
      </c>
      <c r="F223" s="15">
        <v>0.81</v>
      </c>
    </row>
    <row r="224" spans="1:6" x14ac:dyDescent="0.25">
      <c r="A224" s="24"/>
      <c r="B224" s="23"/>
      <c r="C224" s="22"/>
      <c r="D224" s="21"/>
      <c r="E224" s="20" t="s">
        <v>1343</v>
      </c>
      <c r="F224" s="20">
        <v>146.01</v>
      </c>
    </row>
    <row r="226" spans="1:6" x14ac:dyDescent="0.25">
      <c r="A226" s="19" t="s">
        <v>1515</v>
      </c>
      <c r="B226" s="18" t="s">
        <v>1475</v>
      </c>
      <c r="C226" s="17">
        <v>1</v>
      </c>
      <c r="D226" s="16">
        <v>0.66669999999999996</v>
      </c>
      <c r="E226" s="15">
        <v>12.01</v>
      </c>
      <c r="F226" s="15">
        <v>8.01</v>
      </c>
    </row>
    <row r="227" spans="1:6" x14ac:dyDescent="0.25">
      <c r="A227" s="19" t="s">
        <v>1344</v>
      </c>
      <c r="B227" s="18" t="s">
        <v>1345</v>
      </c>
      <c r="D227" s="16">
        <v>3</v>
      </c>
      <c r="E227" s="15">
        <v>139.72</v>
      </c>
      <c r="F227" s="15">
        <v>4.1900000000000004</v>
      </c>
    </row>
    <row r="228" spans="1:6" x14ac:dyDescent="0.25">
      <c r="A228" s="24"/>
      <c r="B228" s="23"/>
      <c r="C228" s="22"/>
      <c r="D228" s="21"/>
      <c r="E228" s="20" t="s">
        <v>1346</v>
      </c>
      <c r="F228" s="20">
        <v>12.2</v>
      </c>
    </row>
    <row r="231" spans="1:6" x14ac:dyDescent="0.25">
      <c r="A231" s="31" t="s">
        <v>1571</v>
      </c>
      <c r="B231" s="27"/>
      <c r="C231" s="30"/>
      <c r="D231" s="29"/>
      <c r="E231" s="28"/>
      <c r="F231" s="28"/>
    </row>
    <row r="232" spans="1:6" x14ac:dyDescent="0.25">
      <c r="A232" s="31" t="s">
        <v>1570</v>
      </c>
      <c r="B232" s="27"/>
      <c r="C232" s="30" t="s">
        <v>1446</v>
      </c>
      <c r="D232" s="29"/>
      <c r="E232" s="28" t="s">
        <v>1329</v>
      </c>
      <c r="F232" s="28">
        <v>33.539999999999992</v>
      </c>
    </row>
    <row r="233" spans="1:6" x14ac:dyDescent="0.25">
      <c r="A233" s="27" t="s">
        <v>1330</v>
      </c>
      <c r="B233" s="27" t="s">
        <v>1331</v>
      </c>
      <c r="C233" s="26" t="s">
        <v>1332</v>
      </c>
      <c r="D233" s="26" t="s">
        <v>1333</v>
      </c>
      <c r="E233" s="25" t="s">
        <v>1334</v>
      </c>
      <c r="F233" s="25" t="s">
        <v>1335</v>
      </c>
    </row>
    <row r="234" spans="1:6" x14ac:dyDescent="0.25">
      <c r="A234" s="19" t="s">
        <v>1387</v>
      </c>
      <c r="B234" s="18" t="s">
        <v>1319</v>
      </c>
      <c r="C234" s="17">
        <v>0.2</v>
      </c>
      <c r="D234" s="16">
        <v>1.4500000000000001E-2</v>
      </c>
      <c r="E234" s="15">
        <v>24.5</v>
      </c>
      <c r="F234" s="15">
        <v>0.36</v>
      </c>
    </row>
    <row r="235" spans="1:6" x14ac:dyDescent="0.25">
      <c r="A235" s="19" t="s">
        <v>1350</v>
      </c>
      <c r="B235" s="18" t="s">
        <v>1319</v>
      </c>
      <c r="C235" s="17">
        <v>2</v>
      </c>
      <c r="D235" s="16">
        <v>0.14549999999999999</v>
      </c>
      <c r="E235" s="15">
        <v>19.23</v>
      </c>
      <c r="F235" s="15">
        <v>2.8</v>
      </c>
    </row>
    <row r="236" spans="1:6" x14ac:dyDescent="0.25">
      <c r="A236" s="19" t="s">
        <v>1480</v>
      </c>
      <c r="B236" s="18" t="s">
        <v>1319</v>
      </c>
      <c r="C236" s="17">
        <v>1</v>
      </c>
      <c r="D236" s="16">
        <v>7.2700000000000001E-2</v>
      </c>
      <c r="E236" s="15">
        <v>15.94</v>
      </c>
      <c r="F236" s="15">
        <v>1.1599999999999999</v>
      </c>
    </row>
    <row r="237" spans="1:6" x14ac:dyDescent="0.25">
      <c r="A237" s="19" t="s">
        <v>1336</v>
      </c>
      <c r="B237" s="18" t="s">
        <v>1319</v>
      </c>
      <c r="C237" s="17">
        <v>6</v>
      </c>
      <c r="D237" s="16">
        <v>0.43640000000000001</v>
      </c>
      <c r="E237" s="15">
        <v>16.5</v>
      </c>
      <c r="F237" s="15">
        <v>7.2</v>
      </c>
    </row>
    <row r="238" spans="1:6" x14ac:dyDescent="0.25">
      <c r="A238" s="19" t="s">
        <v>1540</v>
      </c>
      <c r="B238" s="18" t="s">
        <v>1319</v>
      </c>
      <c r="C238" s="17">
        <v>1</v>
      </c>
      <c r="D238" s="16">
        <v>7.2700000000000001E-2</v>
      </c>
      <c r="E238" s="15">
        <v>20.73</v>
      </c>
      <c r="F238" s="15">
        <v>1.51</v>
      </c>
    </row>
    <row r="239" spans="1:6" x14ac:dyDescent="0.25">
      <c r="A239" s="24"/>
      <c r="B239" s="23"/>
      <c r="C239" s="22"/>
      <c r="D239" s="21"/>
      <c r="E239" s="20" t="s">
        <v>1337</v>
      </c>
      <c r="F239" s="20">
        <v>13.03</v>
      </c>
    </row>
    <row r="241" spans="1:6" x14ac:dyDescent="0.25">
      <c r="A241" s="19" t="s">
        <v>1339</v>
      </c>
      <c r="B241" s="18" t="s">
        <v>1490</v>
      </c>
      <c r="D241" s="16">
        <v>0.48299999999999998</v>
      </c>
      <c r="E241" s="15">
        <v>20</v>
      </c>
      <c r="F241" s="15">
        <v>9.66</v>
      </c>
    </row>
    <row r="242" spans="1:6" x14ac:dyDescent="0.25">
      <c r="A242" s="19" t="s">
        <v>1538</v>
      </c>
      <c r="B242" s="18" t="s">
        <v>1385</v>
      </c>
      <c r="D242" s="16">
        <v>2.7300000000000001E-2</v>
      </c>
      <c r="E242" s="15">
        <v>10</v>
      </c>
      <c r="F242" s="15">
        <v>0.27</v>
      </c>
    </row>
    <row r="243" spans="1:6" x14ac:dyDescent="0.25">
      <c r="A243" s="19" t="s">
        <v>1342</v>
      </c>
      <c r="B243" s="18" t="s">
        <v>22</v>
      </c>
      <c r="D243" s="16">
        <v>0.14499999999999999</v>
      </c>
      <c r="E243" s="15">
        <v>60</v>
      </c>
      <c r="F243" s="15">
        <v>8.6999999999999993</v>
      </c>
    </row>
    <row r="244" spans="1:6" x14ac:dyDescent="0.25">
      <c r="A244" s="19" t="s">
        <v>1489</v>
      </c>
      <c r="B244" s="18" t="s">
        <v>22</v>
      </c>
      <c r="D244" s="16">
        <v>1.6E-2</v>
      </c>
      <c r="E244" s="15">
        <v>5</v>
      </c>
      <c r="F244" s="15">
        <v>0.08</v>
      </c>
    </row>
    <row r="245" spans="1:6" x14ac:dyDescent="0.25">
      <c r="A245" s="19" t="s">
        <v>1495</v>
      </c>
      <c r="B245" s="18" t="s">
        <v>594</v>
      </c>
      <c r="D245" s="16">
        <v>0.06</v>
      </c>
      <c r="E245" s="15">
        <v>4.5</v>
      </c>
      <c r="F245" s="15">
        <v>0.27</v>
      </c>
    </row>
    <row r="246" spans="1:6" x14ac:dyDescent="0.25">
      <c r="A246" s="19" t="s">
        <v>1537</v>
      </c>
      <c r="B246" s="18" t="s">
        <v>156</v>
      </c>
      <c r="D246" s="16">
        <v>1.8E-3</v>
      </c>
      <c r="E246" s="15">
        <v>5.9</v>
      </c>
      <c r="F246" s="15">
        <v>0.01</v>
      </c>
    </row>
    <row r="247" spans="1:6" x14ac:dyDescent="0.25">
      <c r="A247" s="24"/>
      <c r="B247" s="23"/>
      <c r="C247" s="22"/>
      <c r="D247" s="21"/>
      <c r="E247" s="20" t="s">
        <v>1343</v>
      </c>
      <c r="F247" s="20">
        <v>18.989999999999998</v>
      </c>
    </row>
    <row r="249" spans="1:6" x14ac:dyDescent="0.25">
      <c r="A249" s="19" t="s">
        <v>1515</v>
      </c>
      <c r="B249" s="18" t="s">
        <v>1475</v>
      </c>
      <c r="C249" s="17">
        <v>1</v>
      </c>
      <c r="D249" s="16">
        <v>7.2700000000000001E-2</v>
      </c>
      <c r="E249" s="15">
        <v>12.01</v>
      </c>
      <c r="F249" s="15">
        <v>0.87</v>
      </c>
    </row>
    <row r="250" spans="1:6" x14ac:dyDescent="0.25">
      <c r="A250" s="19" t="s">
        <v>1344</v>
      </c>
      <c r="B250" s="18" t="s">
        <v>1345</v>
      </c>
      <c r="D250" s="16">
        <v>5</v>
      </c>
      <c r="E250" s="15">
        <v>13.03</v>
      </c>
      <c r="F250" s="15">
        <v>0.65</v>
      </c>
    </row>
    <row r="251" spans="1:6" x14ac:dyDescent="0.25">
      <c r="A251" s="24"/>
      <c r="B251" s="23"/>
      <c r="C251" s="22"/>
      <c r="D251" s="21"/>
      <c r="E251" s="20" t="s">
        <v>1346</v>
      </c>
      <c r="F251" s="20">
        <v>1.52</v>
      </c>
    </row>
    <row r="254" spans="1:6" x14ac:dyDescent="0.25">
      <c r="A254" s="31" t="s">
        <v>1569</v>
      </c>
      <c r="B254" s="27"/>
      <c r="C254" s="30"/>
      <c r="D254" s="29"/>
      <c r="E254" s="28"/>
      <c r="F254" s="28"/>
    </row>
    <row r="255" spans="1:6" x14ac:dyDescent="0.25">
      <c r="A255" s="31" t="s">
        <v>1565</v>
      </c>
      <c r="B255" s="27"/>
      <c r="C255" s="30" t="s">
        <v>1541</v>
      </c>
      <c r="D255" s="29"/>
      <c r="E255" s="28" t="s">
        <v>1329</v>
      </c>
      <c r="F255" s="28">
        <v>405.5</v>
      </c>
    </row>
    <row r="256" spans="1:6" x14ac:dyDescent="0.25">
      <c r="A256" s="27" t="s">
        <v>1330</v>
      </c>
      <c r="B256" s="27" t="s">
        <v>1331</v>
      </c>
      <c r="C256" s="26" t="s">
        <v>1332</v>
      </c>
      <c r="D256" s="26" t="s">
        <v>1333</v>
      </c>
      <c r="E256" s="25" t="s">
        <v>1334</v>
      </c>
      <c r="F256" s="25" t="s">
        <v>1335</v>
      </c>
    </row>
    <row r="257" spans="1:6" x14ac:dyDescent="0.25">
      <c r="A257" s="19" t="s">
        <v>1387</v>
      </c>
      <c r="B257" s="18" t="s">
        <v>1319</v>
      </c>
      <c r="C257" s="17">
        <v>0.2</v>
      </c>
      <c r="D257" s="16">
        <v>9.4100000000000003E-2</v>
      </c>
      <c r="E257" s="15">
        <v>24.5</v>
      </c>
      <c r="F257" s="15">
        <v>2.31</v>
      </c>
    </row>
    <row r="258" spans="1:6" x14ac:dyDescent="0.25">
      <c r="A258" s="19" t="s">
        <v>1350</v>
      </c>
      <c r="B258" s="18" t="s">
        <v>1319</v>
      </c>
      <c r="C258" s="17">
        <v>2</v>
      </c>
      <c r="D258" s="16">
        <v>0.94120000000000004</v>
      </c>
      <c r="E258" s="15">
        <v>19.23</v>
      </c>
      <c r="F258" s="15">
        <v>18.100000000000001</v>
      </c>
    </row>
    <row r="259" spans="1:6" x14ac:dyDescent="0.25">
      <c r="A259" s="19" t="s">
        <v>1480</v>
      </c>
      <c r="B259" s="18" t="s">
        <v>1319</v>
      </c>
      <c r="C259" s="17">
        <v>2</v>
      </c>
      <c r="D259" s="16">
        <v>0.94120000000000004</v>
      </c>
      <c r="E259" s="15">
        <v>15.94</v>
      </c>
      <c r="F259" s="15">
        <v>15</v>
      </c>
    </row>
    <row r="260" spans="1:6" x14ac:dyDescent="0.25">
      <c r="A260" s="19" t="s">
        <v>1336</v>
      </c>
      <c r="B260" s="18" t="s">
        <v>1319</v>
      </c>
      <c r="C260" s="17">
        <v>8</v>
      </c>
      <c r="D260" s="16">
        <v>3.7646999999999999</v>
      </c>
      <c r="E260" s="15">
        <v>16.5</v>
      </c>
      <c r="F260" s="15">
        <v>62.12</v>
      </c>
    </row>
    <row r="261" spans="1:6" x14ac:dyDescent="0.25">
      <c r="A261" s="19" t="s">
        <v>1540</v>
      </c>
      <c r="B261" s="18" t="s">
        <v>1319</v>
      </c>
      <c r="C261" s="17">
        <v>2</v>
      </c>
      <c r="D261" s="16">
        <v>0.94120000000000004</v>
      </c>
      <c r="E261" s="15">
        <v>20.73</v>
      </c>
      <c r="F261" s="15">
        <v>19.510000000000002</v>
      </c>
    </row>
    <row r="262" spans="1:6" x14ac:dyDescent="0.25">
      <c r="A262" s="24"/>
      <c r="B262" s="23"/>
      <c r="C262" s="22"/>
      <c r="D262" s="21"/>
      <c r="E262" s="20" t="s">
        <v>1337</v>
      </c>
      <c r="F262" s="20">
        <v>117.04</v>
      </c>
    </row>
    <row r="264" spans="1:6" x14ac:dyDescent="0.25">
      <c r="A264" s="19" t="s">
        <v>1501</v>
      </c>
      <c r="B264" s="18" t="s">
        <v>22</v>
      </c>
      <c r="D264" s="16">
        <v>0.5</v>
      </c>
      <c r="E264" s="15">
        <v>65</v>
      </c>
      <c r="F264" s="15">
        <v>32.5</v>
      </c>
    </row>
    <row r="265" spans="1:6" x14ac:dyDescent="0.25">
      <c r="A265" s="19" t="s">
        <v>1539</v>
      </c>
      <c r="B265" s="18" t="s">
        <v>22</v>
      </c>
      <c r="D265" s="16">
        <v>0.8</v>
      </c>
      <c r="E265" s="15">
        <v>70</v>
      </c>
      <c r="F265" s="15">
        <v>56</v>
      </c>
    </row>
    <row r="266" spans="1:6" x14ac:dyDescent="0.25">
      <c r="A266" s="19" t="s">
        <v>1339</v>
      </c>
      <c r="B266" s="18" t="s">
        <v>1490</v>
      </c>
      <c r="D266" s="16">
        <v>9.1999999999999993</v>
      </c>
      <c r="E266" s="15">
        <v>20</v>
      </c>
      <c r="F266" s="15">
        <v>184</v>
      </c>
    </row>
    <row r="267" spans="1:6" x14ac:dyDescent="0.25">
      <c r="A267" s="19" t="s">
        <v>1538</v>
      </c>
      <c r="B267" s="18" t="s">
        <v>1385</v>
      </c>
      <c r="D267" s="16">
        <v>0.3</v>
      </c>
      <c r="E267" s="15">
        <v>10</v>
      </c>
      <c r="F267" s="15">
        <v>3</v>
      </c>
    </row>
    <row r="268" spans="1:6" x14ac:dyDescent="0.25">
      <c r="A268" s="19" t="s">
        <v>1489</v>
      </c>
      <c r="B268" s="18" t="s">
        <v>22</v>
      </c>
      <c r="D268" s="16">
        <v>0.18</v>
      </c>
      <c r="E268" s="15">
        <v>5</v>
      </c>
      <c r="F268" s="15">
        <v>0.9</v>
      </c>
    </row>
    <row r="269" spans="1:6" x14ac:dyDescent="0.25">
      <c r="A269" s="19" t="s">
        <v>1537</v>
      </c>
      <c r="B269" s="18" t="s">
        <v>156</v>
      </c>
      <c r="D269" s="16">
        <v>8.0000000000000002E-3</v>
      </c>
      <c r="E269" s="15">
        <v>5.9</v>
      </c>
      <c r="F269" s="15">
        <v>0.05</v>
      </c>
    </row>
    <row r="270" spans="1:6" x14ac:dyDescent="0.25">
      <c r="A270" s="24"/>
      <c r="B270" s="23"/>
      <c r="C270" s="22"/>
      <c r="D270" s="21"/>
      <c r="E270" s="20" t="s">
        <v>1343</v>
      </c>
      <c r="F270" s="20">
        <v>276.45</v>
      </c>
    </row>
    <row r="272" spans="1:6" x14ac:dyDescent="0.25">
      <c r="A272" s="19" t="s">
        <v>1536</v>
      </c>
      <c r="B272" s="18" t="s">
        <v>1475</v>
      </c>
      <c r="C272" s="17">
        <v>1</v>
      </c>
      <c r="D272" s="16">
        <v>0.47060000000000002</v>
      </c>
      <c r="E272" s="15">
        <v>6.05</v>
      </c>
      <c r="F272" s="15">
        <v>2.85</v>
      </c>
    </row>
    <row r="273" spans="1:6" x14ac:dyDescent="0.25">
      <c r="A273" s="19" t="s">
        <v>1515</v>
      </c>
      <c r="B273" s="18" t="s">
        <v>1475</v>
      </c>
      <c r="C273" s="17">
        <v>1</v>
      </c>
      <c r="D273" s="16">
        <v>0.47060000000000002</v>
      </c>
      <c r="E273" s="15">
        <v>12.01</v>
      </c>
      <c r="F273" s="15">
        <v>5.65</v>
      </c>
    </row>
    <row r="274" spans="1:6" x14ac:dyDescent="0.25">
      <c r="A274" s="19" t="s">
        <v>1344</v>
      </c>
      <c r="B274" s="18" t="s">
        <v>1345</v>
      </c>
      <c r="D274" s="16">
        <v>3</v>
      </c>
      <c r="E274" s="15">
        <v>117.04</v>
      </c>
      <c r="F274" s="15">
        <v>3.51</v>
      </c>
    </row>
    <row r="275" spans="1:6" x14ac:dyDescent="0.25">
      <c r="A275" s="24"/>
      <c r="B275" s="23"/>
      <c r="C275" s="22"/>
      <c r="D275" s="21"/>
      <c r="E275" s="20" t="s">
        <v>1346</v>
      </c>
      <c r="F275" s="20">
        <v>12.01</v>
      </c>
    </row>
    <row r="278" spans="1:6" x14ac:dyDescent="0.25">
      <c r="A278" s="31" t="s">
        <v>1568</v>
      </c>
      <c r="B278" s="27"/>
      <c r="C278" s="30"/>
      <c r="D278" s="29"/>
      <c r="E278" s="28"/>
      <c r="F278" s="28"/>
    </row>
    <row r="279" spans="1:6" x14ac:dyDescent="0.25">
      <c r="A279" s="31" t="s">
        <v>1534</v>
      </c>
      <c r="B279" s="27"/>
      <c r="C279" s="30" t="s">
        <v>1446</v>
      </c>
      <c r="D279" s="29"/>
      <c r="E279" s="28" t="s">
        <v>1329</v>
      </c>
      <c r="F279" s="28">
        <v>39.76</v>
      </c>
    </row>
    <row r="280" spans="1:6" x14ac:dyDescent="0.25">
      <c r="A280" s="27" t="s">
        <v>1330</v>
      </c>
      <c r="B280" s="27" t="s">
        <v>1331</v>
      </c>
      <c r="C280" s="26" t="s">
        <v>1332</v>
      </c>
      <c r="D280" s="26" t="s">
        <v>1333</v>
      </c>
      <c r="E280" s="25" t="s">
        <v>1334</v>
      </c>
      <c r="F280" s="25" t="s">
        <v>1335</v>
      </c>
    </row>
    <row r="281" spans="1:6" x14ac:dyDescent="0.25">
      <c r="A281" s="19" t="s">
        <v>1387</v>
      </c>
      <c r="B281" s="18" t="s">
        <v>1319</v>
      </c>
      <c r="C281" s="17">
        <v>0.1</v>
      </c>
      <c r="D281" s="16">
        <v>5.7099999999999998E-2</v>
      </c>
      <c r="E281" s="15">
        <v>24.5</v>
      </c>
      <c r="F281" s="15">
        <v>1.4</v>
      </c>
    </row>
    <row r="282" spans="1:6" x14ac:dyDescent="0.25">
      <c r="A282" s="19" t="s">
        <v>1350</v>
      </c>
      <c r="B282" s="18" t="s">
        <v>1319</v>
      </c>
      <c r="C282" s="17">
        <v>1</v>
      </c>
      <c r="D282" s="16">
        <v>0.57140000000000002</v>
      </c>
      <c r="E282" s="15">
        <v>19.23</v>
      </c>
      <c r="F282" s="15">
        <v>10.99</v>
      </c>
    </row>
    <row r="283" spans="1:6" x14ac:dyDescent="0.25">
      <c r="A283" s="19" t="s">
        <v>1480</v>
      </c>
      <c r="B283" s="18" t="s">
        <v>1319</v>
      </c>
      <c r="C283" s="17">
        <v>1</v>
      </c>
      <c r="D283" s="16">
        <v>0.57140000000000002</v>
      </c>
      <c r="E283" s="15">
        <v>15.94</v>
      </c>
      <c r="F283" s="15">
        <v>9.11</v>
      </c>
    </row>
    <row r="284" spans="1:6" x14ac:dyDescent="0.25">
      <c r="A284" s="24"/>
      <c r="B284" s="23"/>
      <c r="C284" s="22"/>
      <c r="D284" s="21"/>
      <c r="E284" s="20" t="s">
        <v>1337</v>
      </c>
      <c r="F284" s="20">
        <v>21.5</v>
      </c>
    </row>
    <row r="286" spans="1:6" x14ac:dyDescent="0.25">
      <c r="A286" s="19" t="s">
        <v>1518</v>
      </c>
      <c r="B286" s="18" t="s">
        <v>156</v>
      </c>
      <c r="D286" s="16">
        <v>0.15</v>
      </c>
      <c r="E286" s="15">
        <v>4.5</v>
      </c>
      <c r="F286" s="15">
        <v>0.68</v>
      </c>
    </row>
    <row r="287" spans="1:6" x14ac:dyDescent="0.25">
      <c r="A287" s="19" t="s">
        <v>1341</v>
      </c>
      <c r="B287" s="18" t="s">
        <v>594</v>
      </c>
      <c r="D287" s="16">
        <v>4.03</v>
      </c>
      <c r="E287" s="15">
        <v>4.2</v>
      </c>
      <c r="F287" s="15">
        <v>16.93</v>
      </c>
    </row>
    <row r="288" spans="1:6" x14ac:dyDescent="0.25">
      <c r="A288" s="24"/>
      <c r="B288" s="23"/>
      <c r="C288" s="22"/>
      <c r="D288" s="21"/>
      <c r="E288" s="20" t="s">
        <v>1343</v>
      </c>
      <c r="F288" s="20">
        <v>17.61</v>
      </c>
    </row>
    <row r="290" spans="1:6" x14ac:dyDescent="0.25">
      <c r="A290" s="19" t="s">
        <v>1344</v>
      </c>
      <c r="B290" s="18" t="s">
        <v>1345</v>
      </c>
      <c r="D290" s="16">
        <v>3</v>
      </c>
      <c r="E290" s="15">
        <v>21.5</v>
      </c>
      <c r="F290" s="15">
        <v>0.65</v>
      </c>
    </row>
    <row r="291" spans="1:6" x14ac:dyDescent="0.25">
      <c r="A291" s="24"/>
      <c r="B291" s="23"/>
      <c r="C291" s="22"/>
      <c r="D291" s="21"/>
      <c r="E291" s="20" t="s">
        <v>1346</v>
      </c>
      <c r="F291" s="20">
        <v>0.65</v>
      </c>
    </row>
    <row r="294" spans="1:6" x14ac:dyDescent="0.25">
      <c r="A294" s="31" t="s">
        <v>1567</v>
      </c>
      <c r="B294" s="27"/>
      <c r="C294" s="30"/>
      <c r="D294" s="29"/>
      <c r="E294" s="28"/>
      <c r="F294" s="28"/>
    </row>
    <row r="295" spans="1:6" x14ac:dyDescent="0.25">
      <c r="A295" s="31" t="s">
        <v>1531</v>
      </c>
      <c r="B295" s="27"/>
      <c r="C295" s="30" t="s">
        <v>1530</v>
      </c>
      <c r="D295" s="29"/>
      <c r="E295" s="28" t="s">
        <v>1329</v>
      </c>
      <c r="F295" s="28">
        <v>6.07</v>
      </c>
    </row>
    <row r="296" spans="1:6" x14ac:dyDescent="0.25">
      <c r="A296" s="27" t="s">
        <v>1330</v>
      </c>
      <c r="B296" s="27" t="s">
        <v>1331</v>
      </c>
      <c r="C296" s="26" t="s">
        <v>1332</v>
      </c>
      <c r="D296" s="26" t="s">
        <v>1333</v>
      </c>
      <c r="E296" s="25" t="s">
        <v>1334</v>
      </c>
      <c r="F296" s="25" t="s">
        <v>1335</v>
      </c>
    </row>
    <row r="297" spans="1:6" x14ac:dyDescent="0.25">
      <c r="A297" s="19" t="s">
        <v>1387</v>
      </c>
      <c r="B297" s="18" t="s">
        <v>1319</v>
      </c>
      <c r="C297" s="17">
        <v>0.1</v>
      </c>
      <c r="D297" s="16">
        <v>3.2000000000000002E-3</v>
      </c>
      <c r="E297" s="15">
        <v>24.5</v>
      </c>
      <c r="F297" s="15">
        <v>0.08</v>
      </c>
    </row>
    <row r="298" spans="1:6" x14ac:dyDescent="0.25">
      <c r="A298" s="19" t="s">
        <v>1350</v>
      </c>
      <c r="B298" s="18" t="s">
        <v>1319</v>
      </c>
      <c r="C298" s="17">
        <v>1</v>
      </c>
      <c r="D298" s="16">
        <v>3.2000000000000001E-2</v>
      </c>
      <c r="E298" s="15">
        <v>19.23</v>
      </c>
      <c r="F298" s="15">
        <v>0.62</v>
      </c>
    </row>
    <row r="299" spans="1:6" x14ac:dyDescent="0.25">
      <c r="A299" s="19" t="s">
        <v>1480</v>
      </c>
      <c r="B299" s="18" t="s">
        <v>1319</v>
      </c>
      <c r="C299" s="17">
        <v>1</v>
      </c>
      <c r="D299" s="16">
        <v>3.2000000000000001E-2</v>
      </c>
      <c r="E299" s="15">
        <v>15.94</v>
      </c>
      <c r="F299" s="15">
        <v>0.51</v>
      </c>
    </row>
    <row r="300" spans="1:6" x14ac:dyDescent="0.25">
      <c r="A300" s="19" t="s">
        <v>1336</v>
      </c>
      <c r="B300" s="18" t="s">
        <v>1319</v>
      </c>
      <c r="C300" s="17">
        <v>1</v>
      </c>
      <c r="D300" s="16">
        <v>3.2000000000000001E-2</v>
      </c>
      <c r="E300" s="15">
        <v>16.5</v>
      </c>
      <c r="F300" s="15">
        <v>0.53</v>
      </c>
    </row>
    <row r="301" spans="1:6" x14ac:dyDescent="0.25">
      <c r="A301" s="24"/>
      <c r="B301" s="23"/>
      <c r="C301" s="22"/>
      <c r="D301" s="21"/>
      <c r="E301" s="20" t="s">
        <v>1337</v>
      </c>
      <c r="F301" s="20">
        <v>1.74</v>
      </c>
    </row>
    <row r="303" spans="1:6" x14ac:dyDescent="0.25">
      <c r="A303" s="19" t="s">
        <v>1529</v>
      </c>
      <c r="B303" s="18" t="s">
        <v>156</v>
      </c>
      <c r="D303" s="16">
        <v>0.05</v>
      </c>
      <c r="E303" s="15">
        <v>4</v>
      </c>
      <c r="F303" s="15">
        <v>0.2</v>
      </c>
    </row>
    <row r="304" spans="1:6" x14ac:dyDescent="0.25">
      <c r="A304" s="19" t="s">
        <v>1528</v>
      </c>
      <c r="B304" s="18" t="s">
        <v>156</v>
      </c>
      <c r="D304" s="16">
        <v>1.05</v>
      </c>
      <c r="E304" s="15">
        <v>3.85</v>
      </c>
      <c r="F304" s="15">
        <v>4.04</v>
      </c>
    </row>
    <row r="305" spans="1:6" x14ac:dyDescent="0.25">
      <c r="A305" s="24"/>
      <c r="B305" s="23"/>
      <c r="C305" s="22"/>
      <c r="D305" s="21"/>
      <c r="E305" s="20" t="s">
        <v>1343</v>
      </c>
      <c r="F305" s="20">
        <v>4.24</v>
      </c>
    </row>
    <row r="307" spans="1:6" x14ac:dyDescent="0.25">
      <c r="A307" s="19" t="s">
        <v>1344</v>
      </c>
      <c r="B307" s="18" t="s">
        <v>1345</v>
      </c>
      <c r="D307" s="16">
        <v>5</v>
      </c>
      <c r="E307" s="15">
        <v>1.74</v>
      </c>
      <c r="F307" s="15">
        <v>0.09</v>
      </c>
    </row>
    <row r="308" spans="1:6" x14ac:dyDescent="0.25">
      <c r="A308" s="24"/>
      <c r="B308" s="23"/>
      <c r="C308" s="22"/>
      <c r="D308" s="21"/>
      <c r="E308" s="20" t="s">
        <v>1346</v>
      </c>
      <c r="F308" s="20">
        <v>0.09</v>
      </c>
    </row>
    <row r="311" spans="1:6" x14ac:dyDescent="0.25">
      <c r="A311" s="31" t="s">
        <v>1566</v>
      </c>
      <c r="B311" s="27"/>
      <c r="C311" s="30"/>
      <c r="D311" s="29"/>
      <c r="E311" s="28"/>
      <c r="F311" s="28"/>
    </row>
    <row r="312" spans="1:6" x14ac:dyDescent="0.25">
      <c r="A312" s="31" t="s">
        <v>1565</v>
      </c>
      <c r="B312" s="27"/>
      <c r="C312" s="30" t="s">
        <v>1541</v>
      </c>
      <c r="D312" s="29"/>
      <c r="E312" s="28" t="s">
        <v>1329</v>
      </c>
      <c r="F312" s="28">
        <v>405.51</v>
      </c>
    </row>
    <row r="313" spans="1:6" x14ac:dyDescent="0.25">
      <c r="A313" s="27" t="s">
        <v>1330</v>
      </c>
      <c r="B313" s="27" t="s">
        <v>1331</v>
      </c>
      <c r="C313" s="26" t="s">
        <v>1332</v>
      </c>
      <c r="D313" s="26" t="s">
        <v>1333</v>
      </c>
      <c r="E313" s="25" t="s">
        <v>1334</v>
      </c>
      <c r="F313" s="25" t="s">
        <v>1335</v>
      </c>
    </row>
    <row r="314" spans="1:6" x14ac:dyDescent="0.25">
      <c r="A314" s="19" t="s">
        <v>1387</v>
      </c>
      <c r="B314" s="18" t="s">
        <v>1319</v>
      </c>
      <c r="C314" s="17">
        <v>0.2</v>
      </c>
      <c r="D314" s="16">
        <v>9.4100000000000003E-2</v>
      </c>
      <c r="E314" s="15">
        <v>24.5</v>
      </c>
      <c r="F314" s="15">
        <v>2.31</v>
      </c>
    </row>
    <row r="315" spans="1:6" x14ac:dyDescent="0.25">
      <c r="A315" s="19" t="s">
        <v>1350</v>
      </c>
      <c r="B315" s="18" t="s">
        <v>1319</v>
      </c>
      <c r="C315" s="17">
        <v>2</v>
      </c>
      <c r="D315" s="16">
        <v>0.94120000000000004</v>
      </c>
      <c r="E315" s="15">
        <v>19.23</v>
      </c>
      <c r="F315" s="15">
        <v>18.100000000000001</v>
      </c>
    </row>
    <row r="316" spans="1:6" x14ac:dyDescent="0.25">
      <c r="A316" s="19" t="s">
        <v>1480</v>
      </c>
      <c r="B316" s="18" t="s">
        <v>1319</v>
      </c>
      <c r="C316" s="17">
        <v>2</v>
      </c>
      <c r="D316" s="16">
        <v>0.94120000000000004</v>
      </c>
      <c r="E316" s="15">
        <v>15.94</v>
      </c>
      <c r="F316" s="15">
        <v>15</v>
      </c>
    </row>
    <row r="317" spans="1:6" x14ac:dyDescent="0.25">
      <c r="A317" s="19" t="s">
        <v>1336</v>
      </c>
      <c r="B317" s="18" t="s">
        <v>1319</v>
      </c>
      <c r="C317" s="17">
        <v>8</v>
      </c>
      <c r="D317" s="16">
        <v>3.7646999999999999</v>
      </c>
      <c r="E317" s="15">
        <v>16.5</v>
      </c>
      <c r="F317" s="15">
        <v>62.12</v>
      </c>
    </row>
    <row r="318" spans="1:6" x14ac:dyDescent="0.25">
      <c r="A318" s="19" t="s">
        <v>1540</v>
      </c>
      <c r="B318" s="18" t="s">
        <v>1319</v>
      </c>
      <c r="C318" s="17">
        <v>2</v>
      </c>
      <c r="D318" s="16">
        <v>0.94120000000000004</v>
      </c>
      <c r="E318" s="15">
        <v>20.73</v>
      </c>
      <c r="F318" s="15">
        <v>19.510000000000002</v>
      </c>
    </row>
    <row r="319" spans="1:6" x14ac:dyDescent="0.25">
      <c r="A319" s="24"/>
      <c r="B319" s="23"/>
      <c r="C319" s="22"/>
      <c r="D319" s="21"/>
      <c r="E319" s="20" t="s">
        <v>1337</v>
      </c>
      <c r="F319" s="20">
        <v>117.04</v>
      </c>
    </row>
    <row r="321" spans="1:6" x14ac:dyDescent="0.25">
      <c r="A321" s="19" t="s">
        <v>1501</v>
      </c>
      <c r="B321" s="18" t="s">
        <v>22</v>
      </c>
      <c r="D321" s="16">
        <v>0.5</v>
      </c>
      <c r="E321" s="15">
        <v>65</v>
      </c>
      <c r="F321" s="15">
        <v>32.5</v>
      </c>
    </row>
    <row r="322" spans="1:6" x14ac:dyDescent="0.25">
      <c r="A322" s="19" t="s">
        <v>1539</v>
      </c>
      <c r="B322" s="18" t="s">
        <v>22</v>
      </c>
      <c r="D322" s="16">
        <v>0.8</v>
      </c>
      <c r="E322" s="15">
        <v>70</v>
      </c>
      <c r="F322" s="15">
        <v>56</v>
      </c>
    </row>
    <row r="323" spans="1:6" x14ac:dyDescent="0.25">
      <c r="A323" s="19" t="s">
        <v>1339</v>
      </c>
      <c r="B323" s="18" t="s">
        <v>1490</v>
      </c>
      <c r="D323" s="16">
        <v>9.1999999999999993</v>
      </c>
      <c r="E323" s="15">
        <v>20</v>
      </c>
      <c r="F323" s="15">
        <v>184</v>
      </c>
    </row>
    <row r="324" spans="1:6" x14ac:dyDescent="0.25">
      <c r="A324" s="19" t="s">
        <v>1538</v>
      </c>
      <c r="B324" s="18" t="s">
        <v>1385</v>
      </c>
      <c r="D324" s="16">
        <v>0.3</v>
      </c>
      <c r="E324" s="15">
        <v>10</v>
      </c>
      <c r="F324" s="15">
        <v>3</v>
      </c>
    </row>
    <row r="325" spans="1:6" x14ac:dyDescent="0.25">
      <c r="A325" s="19" t="s">
        <v>1489</v>
      </c>
      <c r="B325" s="18" t="s">
        <v>22</v>
      </c>
      <c r="D325" s="16">
        <v>0.18</v>
      </c>
      <c r="E325" s="15">
        <v>5</v>
      </c>
      <c r="F325" s="15">
        <v>0.9</v>
      </c>
    </row>
    <row r="326" spans="1:6" x14ac:dyDescent="0.25">
      <c r="A326" s="19" t="s">
        <v>1537</v>
      </c>
      <c r="B326" s="18" t="s">
        <v>156</v>
      </c>
      <c r="D326" s="16">
        <v>0.01</v>
      </c>
      <c r="E326" s="15">
        <v>5.9</v>
      </c>
      <c r="F326" s="15">
        <v>0.06</v>
      </c>
    </row>
    <row r="327" spans="1:6" x14ac:dyDescent="0.25">
      <c r="A327" s="24"/>
      <c r="B327" s="23"/>
      <c r="C327" s="22"/>
      <c r="D327" s="21"/>
      <c r="E327" s="20" t="s">
        <v>1343</v>
      </c>
      <c r="F327" s="20">
        <v>276.45999999999998</v>
      </c>
    </row>
    <row r="329" spans="1:6" x14ac:dyDescent="0.25">
      <c r="A329" s="19" t="s">
        <v>1536</v>
      </c>
      <c r="B329" s="18" t="s">
        <v>1475</v>
      </c>
      <c r="C329" s="17">
        <v>1</v>
      </c>
      <c r="D329" s="16">
        <v>0.47060000000000002</v>
      </c>
      <c r="E329" s="15">
        <v>6.05</v>
      </c>
      <c r="F329" s="15">
        <v>2.85</v>
      </c>
    </row>
    <row r="330" spans="1:6" x14ac:dyDescent="0.25">
      <c r="A330" s="19" t="s">
        <v>1515</v>
      </c>
      <c r="B330" s="18" t="s">
        <v>1475</v>
      </c>
      <c r="C330" s="17">
        <v>1</v>
      </c>
      <c r="D330" s="16">
        <v>0.47060000000000002</v>
      </c>
      <c r="E330" s="15">
        <v>12.01</v>
      </c>
      <c r="F330" s="15">
        <v>5.65</v>
      </c>
    </row>
    <row r="331" spans="1:6" x14ac:dyDescent="0.25">
      <c r="A331" s="19" t="s">
        <v>1344</v>
      </c>
      <c r="B331" s="18" t="s">
        <v>1345</v>
      </c>
      <c r="D331" s="16">
        <v>3</v>
      </c>
      <c r="E331" s="15">
        <v>117.04</v>
      </c>
      <c r="F331" s="15">
        <v>3.51</v>
      </c>
    </row>
    <row r="332" spans="1:6" x14ac:dyDescent="0.25">
      <c r="A332" s="24"/>
      <c r="B332" s="23"/>
      <c r="C332" s="22"/>
      <c r="D332" s="21"/>
      <c r="E332" s="20" t="s">
        <v>1346</v>
      </c>
      <c r="F332" s="20">
        <v>12.01</v>
      </c>
    </row>
    <row r="335" spans="1:6" x14ac:dyDescent="0.25">
      <c r="A335" s="31" t="s">
        <v>1564</v>
      </c>
      <c r="B335" s="27"/>
      <c r="C335" s="30"/>
      <c r="D335" s="29"/>
      <c r="E335" s="28"/>
      <c r="F335" s="28"/>
    </row>
    <row r="336" spans="1:6" x14ac:dyDescent="0.25">
      <c r="A336" s="31" t="s">
        <v>1563</v>
      </c>
      <c r="B336" s="27"/>
      <c r="C336" s="30" t="s">
        <v>1446</v>
      </c>
      <c r="D336" s="29"/>
      <c r="E336" s="28" t="s">
        <v>1329</v>
      </c>
      <c r="F336" s="28">
        <v>42.18</v>
      </c>
    </row>
    <row r="337" spans="1:6" x14ac:dyDescent="0.25">
      <c r="A337" s="27" t="s">
        <v>1330</v>
      </c>
      <c r="B337" s="27" t="s">
        <v>1331</v>
      </c>
      <c r="C337" s="26" t="s">
        <v>1332</v>
      </c>
      <c r="D337" s="26" t="s">
        <v>1333</v>
      </c>
      <c r="E337" s="25" t="s">
        <v>1334</v>
      </c>
      <c r="F337" s="25" t="s">
        <v>1335</v>
      </c>
    </row>
    <row r="338" spans="1:6" x14ac:dyDescent="0.25">
      <c r="A338" s="19" t="s">
        <v>1387</v>
      </c>
      <c r="B338" s="18" t="s">
        <v>1319</v>
      </c>
      <c r="C338" s="17">
        <v>0.1</v>
      </c>
      <c r="D338" s="16">
        <v>0.08</v>
      </c>
      <c r="E338" s="15">
        <v>24.5</v>
      </c>
      <c r="F338" s="15">
        <v>1.96</v>
      </c>
    </row>
    <row r="339" spans="1:6" x14ac:dyDescent="0.25">
      <c r="A339" s="19" t="s">
        <v>1350</v>
      </c>
      <c r="B339" s="18" t="s">
        <v>1319</v>
      </c>
      <c r="C339" s="17">
        <v>1</v>
      </c>
      <c r="D339" s="16">
        <v>0.8</v>
      </c>
      <c r="E339" s="15">
        <v>19.23</v>
      </c>
      <c r="F339" s="15">
        <v>15.38</v>
      </c>
    </row>
    <row r="340" spans="1:6" x14ac:dyDescent="0.25">
      <c r="A340" s="19" t="s">
        <v>1480</v>
      </c>
      <c r="B340" s="18" t="s">
        <v>1319</v>
      </c>
      <c r="C340" s="17">
        <v>1</v>
      </c>
      <c r="D340" s="16">
        <v>0.8</v>
      </c>
      <c r="E340" s="15">
        <v>15.94</v>
      </c>
      <c r="F340" s="15">
        <v>12.75</v>
      </c>
    </row>
    <row r="341" spans="1:6" x14ac:dyDescent="0.25">
      <c r="A341" s="24"/>
      <c r="B341" s="23"/>
      <c r="C341" s="22"/>
      <c r="D341" s="21"/>
      <c r="E341" s="20" t="s">
        <v>1337</v>
      </c>
      <c r="F341" s="20">
        <v>30.09</v>
      </c>
    </row>
    <row r="343" spans="1:6" x14ac:dyDescent="0.25">
      <c r="A343" s="19" t="s">
        <v>1458</v>
      </c>
      <c r="B343" s="18" t="s">
        <v>156</v>
      </c>
      <c r="D343" s="16">
        <v>0.15</v>
      </c>
      <c r="E343" s="15">
        <v>4.5</v>
      </c>
      <c r="F343" s="15">
        <v>0.68</v>
      </c>
    </row>
    <row r="344" spans="1:6" x14ac:dyDescent="0.25">
      <c r="A344" s="19" t="s">
        <v>1518</v>
      </c>
      <c r="B344" s="18" t="s">
        <v>156</v>
      </c>
      <c r="D344" s="16">
        <v>0.3</v>
      </c>
      <c r="E344" s="15">
        <v>4.5</v>
      </c>
      <c r="F344" s="15">
        <v>1.35</v>
      </c>
    </row>
    <row r="345" spans="1:6" x14ac:dyDescent="0.25">
      <c r="A345" s="19" t="s">
        <v>1341</v>
      </c>
      <c r="B345" s="18" t="s">
        <v>594</v>
      </c>
      <c r="D345" s="16">
        <v>2.1800000000000002</v>
      </c>
      <c r="E345" s="15">
        <v>4.2</v>
      </c>
      <c r="F345" s="15">
        <v>9.16</v>
      </c>
    </row>
    <row r="346" spans="1:6" x14ac:dyDescent="0.25">
      <c r="A346" s="24"/>
      <c r="B346" s="23"/>
      <c r="C346" s="22"/>
      <c r="D346" s="21"/>
      <c r="E346" s="20" t="s">
        <v>1343</v>
      </c>
      <c r="F346" s="20">
        <v>11.19</v>
      </c>
    </row>
    <row r="348" spans="1:6" x14ac:dyDescent="0.25">
      <c r="A348" s="19" t="s">
        <v>1344</v>
      </c>
      <c r="B348" s="18" t="s">
        <v>1345</v>
      </c>
      <c r="D348" s="16">
        <v>3</v>
      </c>
      <c r="E348" s="15">
        <v>30.09</v>
      </c>
      <c r="F348" s="15">
        <v>0.9</v>
      </c>
    </row>
    <row r="349" spans="1:6" x14ac:dyDescent="0.25">
      <c r="A349" s="24"/>
      <c r="B349" s="23"/>
      <c r="C349" s="22"/>
      <c r="D349" s="21"/>
      <c r="E349" s="20" t="s">
        <v>1346</v>
      </c>
      <c r="F349" s="20">
        <v>0.9</v>
      </c>
    </row>
    <row r="352" spans="1:6" x14ac:dyDescent="0.25">
      <c r="A352" s="31" t="s">
        <v>1562</v>
      </c>
      <c r="B352" s="27"/>
      <c r="C352" s="30"/>
      <c r="D352" s="29"/>
      <c r="E352" s="28"/>
      <c r="F352" s="28"/>
    </row>
    <row r="353" spans="1:6" x14ac:dyDescent="0.25">
      <c r="A353" s="31" t="s">
        <v>1531</v>
      </c>
      <c r="B353" s="27"/>
      <c r="C353" s="30" t="s">
        <v>1530</v>
      </c>
      <c r="D353" s="29"/>
      <c r="E353" s="28" t="s">
        <v>1329</v>
      </c>
      <c r="F353" s="28">
        <v>6.07</v>
      </c>
    </row>
    <row r="354" spans="1:6" x14ac:dyDescent="0.25">
      <c r="A354" s="27" t="s">
        <v>1330</v>
      </c>
      <c r="B354" s="27" t="s">
        <v>1331</v>
      </c>
      <c r="C354" s="26" t="s">
        <v>1332</v>
      </c>
      <c r="D354" s="26" t="s">
        <v>1333</v>
      </c>
      <c r="E354" s="25" t="s">
        <v>1334</v>
      </c>
      <c r="F354" s="25" t="s">
        <v>1335</v>
      </c>
    </row>
    <row r="355" spans="1:6" x14ac:dyDescent="0.25">
      <c r="A355" s="19" t="s">
        <v>1387</v>
      </c>
      <c r="B355" s="18" t="s">
        <v>1319</v>
      </c>
      <c r="C355" s="17">
        <v>0.1</v>
      </c>
      <c r="D355" s="16">
        <v>3.2000000000000002E-3</v>
      </c>
      <c r="E355" s="15">
        <v>24.5</v>
      </c>
      <c r="F355" s="15">
        <v>0.08</v>
      </c>
    </row>
    <row r="356" spans="1:6" x14ac:dyDescent="0.25">
      <c r="A356" s="19" t="s">
        <v>1350</v>
      </c>
      <c r="B356" s="18" t="s">
        <v>1319</v>
      </c>
      <c r="C356" s="17">
        <v>1</v>
      </c>
      <c r="D356" s="16">
        <v>3.2000000000000001E-2</v>
      </c>
      <c r="E356" s="15">
        <v>19.23</v>
      </c>
      <c r="F356" s="15">
        <v>0.62</v>
      </c>
    </row>
    <row r="357" spans="1:6" x14ac:dyDescent="0.25">
      <c r="A357" s="19" t="s">
        <v>1480</v>
      </c>
      <c r="B357" s="18" t="s">
        <v>1319</v>
      </c>
      <c r="C357" s="17">
        <v>1</v>
      </c>
      <c r="D357" s="16">
        <v>3.2000000000000001E-2</v>
      </c>
      <c r="E357" s="15">
        <v>15.94</v>
      </c>
      <c r="F357" s="15">
        <v>0.51</v>
      </c>
    </row>
    <row r="358" spans="1:6" x14ac:dyDescent="0.25">
      <c r="A358" s="19" t="s">
        <v>1336</v>
      </c>
      <c r="B358" s="18" t="s">
        <v>1319</v>
      </c>
      <c r="C358" s="17">
        <v>1</v>
      </c>
      <c r="D358" s="16">
        <v>3.2000000000000001E-2</v>
      </c>
      <c r="E358" s="15">
        <v>16.5</v>
      </c>
      <c r="F358" s="15">
        <v>0.53</v>
      </c>
    </row>
    <row r="359" spans="1:6" x14ac:dyDescent="0.25">
      <c r="A359" s="24"/>
      <c r="B359" s="23"/>
      <c r="C359" s="22"/>
      <c r="D359" s="21"/>
      <c r="E359" s="20" t="s">
        <v>1337</v>
      </c>
      <c r="F359" s="20">
        <v>1.74</v>
      </c>
    </row>
    <row r="361" spans="1:6" x14ac:dyDescent="0.25">
      <c r="A361" s="19" t="s">
        <v>1529</v>
      </c>
      <c r="B361" s="18" t="s">
        <v>156</v>
      </c>
      <c r="D361" s="16">
        <v>0.05</v>
      </c>
      <c r="E361" s="15">
        <v>4</v>
      </c>
      <c r="F361" s="15">
        <v>0.2</v>
      </c>
    </row>
    <row r="362" spans="1:6" x14ac:dyDescent="0.25">
      <c r="A362" s="19" t="s">
        <v>1528</v>
      </c>
      <c r="B362" s="18" t="s">
        <v>156</v>
      </c>
      <c r="D362" s="16">
        <v>1.05</v>
      </c>
      <c r="E362" s="15">
        <v>3.85</v>
      </c>
      <c r="F362" s="15">
        <v>4.04</v>
      </c>
    </row>
    <row r="363" spans="1:6" x14ac:dyDescent="0.25">
      <c r="A363" s="24"/>
      <c r="B363" s="23"/>
      <c r="C363" s="22"/>
      <c r="D363" s="21"/>
      <c r="E363" s="20" t="s">
        <v>1343</v>
      </c>
      <c r="F363" s="20">
        <v>4.24</v>
      </c>
    </row>
    <row r="365" spans="1:6" x14ac:dyDescent="0.25">
      <c r="A365" s="19" t="s">
        <v>1344</v>
      </c>
      <c r="B365" s="18" t="s">
        <v>1345</v>
      </c>
      <c r="D365" s="16">
        <v>5</v>
      </c>
      <c r="E365" s="15">
        <v>1.74</v>
      </c>
      <c r="F365" s="15">
        <v>0.09</v>
      </c>
    </row>
    <row r="366" spans="1:6" x14ac:dyDescent="0.25">
      <c r="A366" s="24"/>
      <c r="B366" s="23"/>
      <c r="C366" s="22"/>
      <c r="D366" s="21"/>
      <c r="E366" s="20" t="s">
        <v>1346</v>
      </c>
      <c r="F366" s="20">
        <v>0.09</v>
      </c>
    </row>
    <row r="369" spans="1:6" x14ac:dyDescent="0.25">
      <c r="A369" s="31" t="s">
        <v>1561</v>
      </c>
      <c r="B369" s="27"/>
      <c r="C369" s="30"/>
      <c r="D369" s="29"/>
      <c r="E369" s="28"/>
      <c r="F369" s="28"/>
    </row>
    <row r="370" spans="1:6" x14ac:dyDescent="0.25">
      <c r="A370" s="31" t="s">
        <v>1542</v>
      </c>
      <c r="B370" s="27"/>
      <c r="C370" s="30" t="s">
        <v>1541</v>
      </c>
      <c r="D370" s="29"/>
      <c r="E370" s="28" t="s">
        <v>1329</v>
      </c>
      <c r="F370" s="28">
        <v>520.20999999999992</v>
      </c>
    </row>
    <row r="371" spans="1:6" x14ac:dyDescent="0.25">
      <c r="A371" s="27" t="s">
        <v>1330</v>
      </c>
      <c r="B371" s="27" t="s">
        <v>1331</v>
      </c>
      <c r="C371" s="26" t="s">
        <v>1332</v>
      </c>
      <c r="D371" s="26" t="s">
        <v>1333</v>
      </c>
      <c r="E371" s="25" t="s">
        <v>1334</v>
      </c>
      <c r="F371" s="25" t="s">
        <v>1335</v>
      </c>
    </row>
    <row r="372" spans="1:6" x14ac:dyDescent="0.25">
      <c r="A372" s="19" t="s">
        <v>1387</v>
      </c>
      <c r="B372" s="18" t="s">
        <v>1319</v>
      </c>
      <c r="C372" s="17">
        <v>0.2</v>
      </c>
      <c r="D372" s="16">
        <v>0.17780000000000001</v>
      </c>
      <c r="E372" s="15">
        <v>24.5</v>
      </c>
      <c r="F372" s="15">
        <v>4.3600000000000003</v>
      </c>
    </row>
    <row r="373" spans="1:6" x14ac:dyDescent="0.25">
      <c r="A373" s="19" t="s">
        <v>1350</v>
      </c>
      <c r="B373" s="18" t="s">
        <v>1319</v>
      </c>
      <c r="C373" s="17">
        <v>2</v>
      </c>
      <c r="D373" s="16">
        <v>1.7778</v>
      </c>
      <c r="E373" s="15">
        <v>19.23</v>
      </c>
      <c r="F373" s="15">
        <v>34.19</v>
      </c>
    </row>
    <row r="374" spans="1:6" x14ac:dyDescent="0.25">
      <c r="A374" s="19" t="s">
        <v>1480</v>
      </c>
      <c r="B374" s="18" t="s">
        <v>1319</v>
      </c>
      <c r="C374" s="17">
        <v>2</v>
      </c>
      <c r="D374" s="16">
        <v>1.7778</v>
      </c>
      <c r="E374" s="15">
        <v>15.94</v>
      </c>
      <c r="F374" s="15">
        <v>28.34</v>
      </c>
    </row>
    <row r="375" spans="1:6" x14ac:dyDescent="0.25">
      <c r="A375" s="19" t="s">
        <v>1336</v>
      </c>
      <c r="B375" s="18" t="s">
        <v>1319</v>
      </c>
      <c r="C375" s="17">
        <v>8</v>
      </c>
      <c r="D375" s="16">
        <v>7.1111000000000004</v>
      </c>
      <c r="E375" s="15">
        <v>16.5</v>
      </c>
      <c r="F375" s="15">
        <v>117.33</v>
      </c>
    </row>
    <row r="376" spans="1:6" x14ac:dyDescent="0.25">
      <c r="A376" s="19" t="s">
        <v>1540</v>
      </c>
      <c r="B376" s="18" t="s">
        <v>1319</v>
      </c>
      <c r="C376" s="17">
        <v>2</v>
      </c>
      <c r="D376" s="16">
        <v>1.7778</v>
      </c>
      <c r="E376" s="15">
        <v>20.73</v>
      </c>
      <c r="F376" s="15">
        <v>36.85</v>
      </c>
    </row>
    <row r="377" spans="1:6" x14ac:dyDescent="0.25">
      <c r="A377" s="24"/>
      <c r="B377" s="23"/>
      <c r="C377" s="22"/>
      <c r="D377" s="21"/>
      <c r="E377" s="20" t="s">
        <v>1337</v>
      </c>
      <c r="F377" s="20">
        <v>221.07</v>
      </c>
    </row>
    <row r="379" spans="1:6" x14ac:dyDescent="0.25">
      <c r="A379" s="19" t="s">
        <v>1501</v>
      </c>
      <c r="B379" s="18" t="s">
        <v>22</v>
      </c>
      <c r="D379" s="16">
        <v>0.5</v>
      </c>
      <c r="E379" s="15">
        <v>65</v>
      </c>
      <c r="F379" s="15">
        <v>32.5</v>
      </c>
    </row>
    <row r="380" spans="1:6" x14ac:dyDescent="0.25">
      <c r="A380" s="19" t="s">
        <v>1539</v>
      </c>
      <c r="B380" s="18" t="s">
        <v>22</v>
      </c>
      <c r="D380" s="16">
        <v>0.8</v>
      </c>
      <c r="E380" s="15">
        <v>70</v>
      </c>
      <c r="F380" s="15">
        <v>56</v>
      </c>
    </row>
    <row r="381" spans="1:6" x14ac:dyDescent="0.25">
      <c r="A381" s="19" t="s">
        <v>1339</v>
      </c>
      <c r="B381" s="18" t="s">
        <v>1490</v>
      </c>
      <c r="D381" s="16">
        <v>9.1999999999999993</v>
      </c>
      <c r="E381" s="15">
        <v>20</v>
      </c>
      <c r="F381" s="15">
        <v>184</v>
      </c>
    </row>
    <row r="382" spans="1:6" x14ac:dyDescent="0.25">
      <c r="A382" s="19" t="s">
        <v>1538</v>
      </c>
      <c r="B382" s="18" t="s">
        <v>1385</v>
      </c>
      <c r="D382" s="16">
        <v>0.3</v>
      </c>
      <c r="E382" s="15">
        <v>10</v>
      </c>
      <c r="F382" s="15">
        <v>3</v>
      </c>
    </row>
    <row r="383" spans="1:6" x14ac:dyDescent="0.25">
      <c r="A383" s="19" t="s">
        <v>1489</v>
      </c>
      <c r="B383" s="18" t="s">
        <v>22</v>
      </c>
      <c r="D383" s="16">
        <v>0.18</v>
      </c>
      <c r="E383" s="15">
        <v>5</v>
      </c>
      <c r="F383" s="15">
        <v>0.9</v>
      </c>
    </row>
    <row r="384" spans="1:6" x14ac:dyDescent="0.25">
      <c r="A384" s="19" t="s">
        <v>1537</v>
      </c>
      <c r="B384" s="18" t="s">
        <v>156</v>
      </c>
      <c r="D384" s="16">
        <v>8.0000000000000002E-3</v>
      </c>
      <c r="E384" s="15">
        <v>5.9</v>
      </c>
      <c r="F384" s="15">
        <v>0.05</v>
      </c>
    </row>
    <row r="385" spans="1:6" x14ac:dyDescent="0.25">
      <c r="A385" s="24"/>
      <c r="B385" s="23"/>
      <c r="C385" s="22"/>
      <c r="D385" s="21"/>
      <c r="E385" s="20" t="s">
        <v>1343</v>
      </c>
      <c r="F385" s="20">
        <v>276.45</v>
      </c>
    </row>
    <row r="387" spans="1:6" x14ac:dyDescent="0.25">
      <c r="A387" s="19" t="s">
        <v>1536</v>
      </c>
      <c r="B387" s="18" t="s">
        <v>1475</v>
      </c>
      <c r="C387" s="17">
        <v>1</v>
      </c>
      <c r="D387" s="16">
        <v>0.88890000000000002</v>
      </c>
      <c r="E387" s="15">
        <v>6.05</v>
      </c>
      <c r="F387" s="15">
        <v>5.38</v>
      </c>
    </row>
    <row r="388" spans="1:6" x14ac:dyDescent="0.25">
      <c r="A388" s="19" t="s">
        <v>1515</v>
      </c>
      <c r="B388" s="18" t="s">
        <v>1475</v>
      </c>
      <c r="C388" s="17">
        <v>1</v>
      </c>
      <c r="D388" s="16">
        <v>0.88890000000000002</v>
      </c>
      <c r="E388" s="15">
        <v>12.01</v>
      </c>
      <c r="F388" s="15">
        <v>10.68</v>
      </c>
    </row>
    <row r="389" spans="1:6" x14ac:dyDescent="0.25">
      <c r="A389" s="19" t="s">
        <v>1344</v>
      </c>
      <c r="B389" s="18" t="s">
        <v>1345</v>
      </c>
      <c r="D389" s="16">
        <v>3</v>
      </c>
      <c r="E389" s="15">
        <v>221.07</v>
      </c>
      <c r="F389" s="15">
        <v>6.63</v>
      </c>
    </row>
    <row r="390" spans="1:6" x14ac:dyDescent="0.25">
      <c r="A390" s="24"/>
      <c r="B390" s="23"/>
      <c r="C390" s="22"/>
      <c r="D390" s="21"/>
      <c r="E390" s="20" t="s">
        <v>1346</v>
      </c>
      <c r="F390" s="20">
        <v>22.69</v>
      </c>
    </row>
    <row r="393" spans="1:6" x14ac:dyDescent="0.25">
      <c r="A393" s="31" t="s">
        <v>1560</v>
      </c>
      <c r="B393" s="27"/>
      <c r="C393" s="30"/>
      <c r="D393" s="29"/>
      <c r="E393" s="28"/>
      <c r="F393" s="28"/>
    </row>
    <row r="394" spans="1:6" x14ac:dyDescent="0.25">
      <c r="A394" s="31" t="s">
        <v>1534</v>
      </c>
      <c r="B394" s="27"/>
      <c r="C394" s="30" t="s">
        <v>1446</v>
      </c>
      <c r="D394" s="29"/>
      <c r="E394" s="28" t="s">
        <v>1329</v>
      </c>
      <c r="F394" s="28">
        <v>70.509999999999991</v>
      </c>
    </row>
    <row r="395" spans="1:6" x14ac:dyDescent="0.25">
      <c r="A395" s="27" t="s">
        <v>1330</v>
      </c>
      <c r="B395" s="27" t="s">
        <v>1331</v>
      </c>
      <c r="C395" s="26" t="s">
        <v>1332</v>
      </c>
      <c r="D395" s="26" t="s">
        <v>1333</v>
      </c>
      <c r="E395" s="25" t="s">
        <v>1334</v>
      </c>
      <c r="F395" s="25" t="s">
        <v>1335</v>
      </c>
    </row>
    <row r="396" spans="1:6" x14ac:dyDescent="0.25">
      <c r="A396" s="19" t="s">
        <v>1387</v>
      </c>
      <c r="B396" s="18" t="s">
        <v>1319</v>
      </c>
      <c r="C396" s="17">
        <v>0.1</v>
      </c>
      <c r="D396" s="16">
        <v>5.7099999999999998E-2</v>
      </c>
      <c r="E396" s="15">
        <v>24.5</v>
      </c>
      <c r="F396" s="15">
        <v>1.4</v>
      </c>
    </row>
    <row r="397" spans="1:6" x14ac:dyDescent="0.25">
      <c r="A397" s="19" t="s">
        <v>1350</v>
      </c>
      <c r="B397" s="18" t="s">
        <v>1319</v>
      </c>
      <c r="C397" s="17">
        <v>1</v>
      </c>
      <c r="D397" s="16">
        <v>0.57140000000000002</v>
      </c>
      <c r="E397" s="15">
        <v>19.23</v>
      </c>
      <c r="F397" s="15">
        <v>10.99</v>
      </c>
    </row>
    <row r="398" spans="1:6" x14ac:dyDescent="0.25">
      <c r="A398" s="19" t="s">
        <v>1480</v>
      </c>
      <c r="B398" s="18" t="s">
        <v>1319</v>
      </c>
      <c r="C398" s="17">
        <v>1</v>
      </c>
      <c r="D398" s="16">
        <v>0.57140000000000002</v>
      </c>
      <c r="E398" s="15">
        <v>15.94</v>
      </c>
      <c r="F398" s="15">
        <v>9.11</v>
      </c>
    </row>
    <row r="399" spans="1:6" x14ac:dyDescent="0.25">
      <c r="A399" s="19" t="s">
        <v>1336</v>
      </c>
      <c r="B399" s="18" t="s">
        <v>1319</v>
      </c>
      <c r="C399" s="17">
        <v>2</v>
      </c>
      <c r="D399" s="16">
        <v>1.1429</v>
      </c>
      <c r="E399" s="15">
        <v>16.5</v>
      </c>
      <c r="F399" s="15">
        <v>18.86</v>
      </c>
    </row>
    <row r="400" spans="1:6" x14ac:dyDescent="0.25">
      <c r="A400" s="24"/>
      <c r="B400" s="23"/>
      <c r="C400" s="22"/>
      <c r="D400" s="21"/>
      <c r="E400" s="20" t="s">
        <v>1337</v>
      </c>
      <c r="F400" s="20">
        <v>40.36</v>
      </c>
    </row>
    <row r="402" spans="1:6" x14ac:dyDescent="0.25">
      <c r="A402" s="19" t="s">
        <v>1559</v>
      </c>
      <c r="B402" s="18" t="s">
        <v>156</v>
      </c>
      <c r="D402" s="16">
        <v>0.1</v>
      </c>
      <c r="E402" s="15">
        <v>3.85</v>
      </c>
      <c r="F402" s="15">
        <v>0.39</v>
      </c>
    </row>
    <row r="403" spans="1:6" x14ac:dyDescent="0.25">
      <c r="A403" s="19" t="s">
        <v>1558</v>
      </c>
      <c r="B403" s="18" t="s">
        <v>156</v>
      </c>
      <c r="D403" s="16">
        <v>0.2</v>
      </c>
      <c r="E403" s="15">
        <v>3.5</v>
      </c>
      <c r="F403" s="15">
        <v>0.7</v>
      </c>
    </row>
    <row r="404" spans="1:6" x14ac:dyDescent="0.25">
      <c r="A404" s="19" t="s">
        <v>1341</v>
      </c>
      <c r="B404" s="18" t="s">
        <v>594</v>
      </c>
      <c r="D404" s="16">
        <v>4.42</v>
      </c>
      <c r="E404" s="15">
        <v>4.2</v>
      </c>
      <c r="F404" s="15">
        <v>18.559999999999999</v>
      </c>
    </row>
    <row r="405" spans="1:6" x14ac:dyDescent="0.25">
      <c r="A405" s="19" t="s">
        <v>1557</v>
      </c>
      <c r="B405" s="18" t="s">
        <v>1485</v>
      </c>
      <c r="D405" s="16">
        <v>0.05</v>
      </c>
      <c r="E405" s="15">
        <v>87.09</v>
      </c>
      <c r="F405" s="15">
        <v>4.3499999999999996</v>
      </c>
    </row>
    <row r="406" spans="1:6" x14ac:dyDescent="0.25">
      <c r="A406" s="19" t="s">
        <v>1556</v>
      </c>
      <c r="B406" s="18" t="s">
        <v>1385</v>
      </c>
      <c r="D406" s="16">
        <v>0.06</v>
      </c>
      <c r="E406" s="15">
        <v>68.87</v>
      </c>
      <c r="F406" s="15">
        <v>4.13</v>
      </c>
    </row>
    <row r="407" spans="1:6" x14ac:dyDescent="0.25">
      <c r="A407" s="24"/>
      <c r="B407" s="23"/>
      <c r="C407" s="22"/>
      <c r="D407" s="21"/>
      <c r="E407" s="20" t="s">
        <v>1343</v>
      </c>
      <c r="F407" s="20">
        <v>28.13</v>
      </c>
    </row>
    <row r="409" spans="1:6" x14ac:dyDescent="0.25">
      <c r="A409" s="19" t="s">
        <v>1344</v>
      </c>
      <c r="B409" s="18" t="s">
        <v>1345</v>
      </c>
      <c r="D409" s="16">
        <v>5</v>
      </c>
      <c r="E409" s="15">
        <v>40.36</v>
      </c>
      <c r="F409" s="15">
        <v>2.02</v>
      </c>
    </row>
    <row r="410" spans="1:6" x14ac:dyDescent="0.25">
      <c r="A410" s="24"/>
      <c r="B410" s="23"/>
      <c r="C410" s="22"/>
      <c r="D410" s="21"/>
      <c r="E410" s="20" t="s">
        <v>1346</v>
      </c>
      <c r="F410" s="20">
        <v>2.02</v>
      </c>
    </row>
    <row r="413" spans="1:6" x14ac:dyDescent="0.25">
      <c r="A413" s="31" t="s">
        <v>1555</v>
      </c>
      <c r="B413" s="27"/>
      <c r="C413" s="30"/>
      <c r="D413" s="29"/>
      <c r="E413" s="28"/>
      <c r="F413" s="28"/>
    </row>
    <row r="414" spans="1:6" x14ac:dyDescent="0.25">
      <c r="A414" s="31" t="s">
        <v>1531</v>
      </c>
      <c r="B414" s="27"/>
      <c r="C414" s="30" t="s">
        <v>1530</v>
      </c>
      <c r="D414" s="29"/>
      <c r="E414" s="28" t="s">
        <v>1329</v>
      </c>
      <c r="F414" s="28">
        <v>6.07</v>
      </c>
    </row>
    <row r="415" spans="1:6" x14ac:dyDescent="0.25">
      <c r="A415" s="27" t="s">
        <v>1330</v>
      </c>
      <c r="B415" s="27" t="s">
        <v>1331</v>
      </c>
      <c r="C415" s="26" t="s">
        <v>1332</v>
      </c>
      <c r="D415" s="26" t="s">
        <v>1333</v>
      </c>
      <c r="E415" s="25" t="s">
        <v>1334</v>
      </c>
      <c r="F415" s="25" t="s">
        <v>1335</v>
      </c>
    </row>
    <row r="416" spans="1:6" x14ac:dyDescent="0.25">
      <c r="A416" s="19" t="s">
        <v>1387</v>
      </c>
      <c r="B416" s="18" t="s">
        <v>1319</v>
      </c>
      <c r="C416" s="17">
        <v>0.1</v>
      </c>
      <c r="D416" s="16">
        <v>3.2000000000000002E-3</v>
      </c>
      <c r="E416" s="15">
        <v>24.5</v>
      </c>
      <c r="F416" s="15">
        <v>0.08</v>
      </c>
    </row>
    <row r="417" spans="1:6" x14ac:dyDescent="0.25">
      <c r="A417" s="19" t="s">
        <v>1350</v>
      </c>
      <c r="B417" s="18" t="s">
        <v>1319</v>
      </c>
      <c r="C417" s="17">
        <v>1</v>
      </c>
      <c r="D417" s="16">
        <v>3.2000000000000001E-2</v>
      </c>
      <c r="E417" s="15">
        <v>19.23</v>
      </c>
      <c r="F417" s="15">
        <v>0.62</v>
      </c>
    </row>
    <row r="418" spans="1:6" x14ac:dyDescent="0.25">
      <c r="A418" s="19" t="s">
        <v>1480</v>
      </c>
      <c r="B418" s="18" t="s">
        <v>1319</v>
      </c>
      <c r="C418" s="17">
        <v>1</v>
      </c>
      <c r="D418" s="16">
        <v>3.2000000000000001E-2</v>
      </c>
      <c r="E418" s="15">
        <v>15.94</v>
      </c>
      <c r="F418" s="15">
        <v>0.51</v>
      </c>
    </row>
    <row r="419" spans="1:6" x14ac:dyDescent="0.25">
      <c r="A419" s="19" t="s">
        <v>1336</v>
      </c>
      <c r="B419" s="18" t="s">
        <v>1319</v>
      </c>
      <c r="C419" s="17">
        <v>1</v>
      </c>
      <c r="D419" s="16">
        <v>3.2000000000000001E-2</v>
      </c>
      <c r="E419" s="15">
        <v>16.5</v>
      </c>
      <c r="F419" s="15">
        <v>0.53</v>
      </c>
    </row>
    <row r="420" spans="1:6" x14ac:dyDescent="0.25">
      <c r="A420" s="24"/>
      <c r="B420" s="23"/>
      <c r="C420" s="22"/>
      <c r="D420" s="21"/>
      <c r="E420" s="20" t="s">
        <v>1337</v>
      </c>
      <c r="F420" s="20">
        <v>1.74</v>
      </c>
    </row>
    <row r="422" spans="1:6" x14ac:dyDescent="0.25">
      <c r="A422" s="19" t="s">
        <v>1529</v>
      </c>
      <c r="B422" s="18" t="s">
        <v>156</v>
      </c>
      <c r="D422" s="16">
        <v>0.05</v>
      </c>
      <c r="E422" s="15">
        <v>4</v>
      </c>
      <c r="F422" s="15">
        <v>0.2</v>
      </c>
    </row>
    <row r="423" spans="1:6" x14ac:dyDescent="0.25">
      <c r="A423" s="19" t="s">
        <v>1528</v>
      </c>
      <c r="B423" s="18" t="s">
        <v>156</v>
      </c>
      <c r="D423" s="16">
        <v>1.05</v>
      </c>
      <c r="E423" s="15">
        <v>3.85</v>
      </c>
      <c r="F423" s="15">
        <v>4.04</v>
      </c>
    </row>
    <row r="424" spans="1:6" x14ac:dyDescent="0.25">
      <c r="A424" s="24"/>
      <c r="B424" s="23"/>
      <c r="C424" s="22"/>
      <c r="D424" s="21"/>
      <c r="E424" s="20" t="s">
        <v>1343</v>
      </c>
      <c r="F424" s="20">
        <v>4.24</v>
      </c>
    </row>
    <row r="426" spans="1:6" x14ac:dyDescent="0.25">
      <c r="A426" s="19" t="s">
        <v>1344</v>
      </c>
      <c r="B426" s="18" t="s">
        <v>1345</v>
      </c>
      <c r="D426" s="16">
        <v>5</v>
      </c>
      <c r="E426" s="15">
        <v>1.74</v>
      </c>
      <c r="F426" s="15">
        <v>0.09</v>
      </c>
    </row>
    <row r="427" spans="1:6" x14ac:dyDescent="0.25">
      <c r="A427" s="24"/>
      <c r="B427" s="23"/>
      <c r="C427" s="22"/>
      <c r="D427" s="21"/>
      <c r="E427" s="20" t="s">
        <v>1346</v>
      </c>
      <c r="F427" s="20">
        <v>0.09</v>
      </c>
    </row>
    <row r="430" spans="1:6" x14ac:dyDescent="0.25">
      <c r="A430" s="31" t="s">
        <v>1554</v>
      </c>
      <c r="B430" s="27"/>
      <c r="C430" s="30"/>
      <c r="D430" s="29"/>
      <c r="E430" s="28"/>
      <c r="F430" s="28"/>
    </row>
    <row r="431" spans="1:6" x14ac:dyDescent="0.25">
      <c r="A431" s="31" t="s">
        <v>1550</v>
      </c>
      <c r="B431" s="27"/>
      <c r="C431" s="30" t="s">
        <v>1541</v>
      </c>
      <c r="D431" s="29"/>
      <c r="E431" s="28" t="s">
        <v>1329</v>
      </c>
      <c r="F431" s="28">
        <v>459.27</v>
      </c>
    </row>
    <row r="432" spans="1:6" x14ac:dyDescent="0.25">
      <c r="A432" s="27" t="s">
        <v>1330</v>
      </c>
      <c r="B432" s="27" t="s">
        <v>1331</v>
      </c>
      <c r="C432" s="26" t="s">
        <v>1332</v>
      </c>
      <c r="D432" s="26" t="s">
        <v>1333</v>
      </c>
      <c r="E432" s="25" t="s">
        <v>1334</v>
      </c>
      <c r="F432" s="25" t="s">
        <v>1335</v>
      </c>
    </row>
    <row r="433" spans="1:6" x14ac:dyDescent="0.25">
      <c r="A433" s="19" t="s">
        <v>1387</v>
      </c>
      <c r="B433" s="18" t="s">
        <v>1319</v>
      </c>
      <c r="C433" s="17">
        <v>0.2</v>
      </c>
      <c r="D433" s="16">
        <v>0.1333</v>
      </c>
      <c r="E433" s="15">
        <v>24.5</v>
      </c>
      <c r="F433" s="15">
        <v>3.27</v>
      </c>
    </row>
    <row r="434" spans="1:6" x14ac:dyDescent="0.25">
      <c r="A434" s="19" t="s">
        <v>1350</v>
      </c>
      <c r="B434" s="18" t="s">
        <v>1319</v>
      </c>
      <c r="C434" s="17">
        <v>2</v>
      </c>
      <c r="D434" s="16">
        <v>1.3332999999999999</v>
      </c>
      <c r="E434" s="15">
        <v>19.23</v>
      </c>
      <c r="F434" s="15">
        <v>25.64</v>
      </c>
    </row>
    <row r="435" spans="1:6" x14ac:dyDescent="0.25">
      <c r="A435" s="19" t="s">
        <v>1480</v>
      </c>
      <c r="B435" s="18" t="s">
        <v>1319</v>
      </c>
      <c r="C435" s="17">
        <v>2</v>
      </c>
      <c r="D435" s="16">
        <v>1.3332999999999999</v>
      </c>
      <c r="E435" s="15">
        <v>15.94</v>
      </c>
      <c r="F435" s="15">
        <v>21.25</v>
      </c>
    </row>
    <row r="436" spans="1:6" x14ac:dyDescent="0.25">
      <c r="A436" s="19" t="s">
        <v>1336</v>
      </c>
      <c r="B436" s="18" t="s">
        <v>1319</v>
      </c>
      <c r="C436" s="17">
        <v>8</v>
      </c>
      <c r="D436" s="16">
        <v>5.3333000000000004</v>
      </c>
      <c r="E436" s="15">
        <v>16.5</v>
      </c>
      <c r="F436" s="15">
        <v>88</v>
      </c>
    </row>
    <row r="437" spans="1:6" x14ac:dyDescent="0.25">
      <c r="A437" s="19" t="s">
        <v>1540</v>
      </c>
      <c r="B437" s="18" t="s">
        <v>1319</v>
      </c>
      <c r="C437" s="17">
        <v>2</v>
      </c>
      <c r="D437" s="16">
        <v>1.3332999999999999</v>
      </c>
      <c r="E437" s="15">
        <v>20.73</v>
      </c>
      <c r="F437" s="15">
        <v>27.64</v>
      </c>
    </row>
    <row r="438" spans="1:6" x14ac:dyDescent="0.25">
      <c r="A438" s="24"/>
      <c r="B438" s="23"/>
      <c r="C438" s="22"/>
      <c r="D438" s="21"/>
      <c r="E438" s="20" t="s">
        <v>1337</v>
      </c>
      <c r="F438" s="20">
        <v>165.8</v>
      </c>
    </row>
    <row r="440" spans="1:6" x14ac:dyDescent="0.25">
      <c r="A440" s="19" t="s">
        <v>1501</v>
      </c>
      <c r="B440" s="18" t="s">
        <v>22</v>
      </c>
      <c r="D440" s="16">
        <v>0.5</v>
      </c>
      <c r="E440" s="15">
        <v>65</v>
      </c>
      <c r="F440" s="15">
        <v>32.5</v>
      </c>
    </row>
    <row r="441" spans="1:6" x14ac:dyDescent="0.25">
      <c r="A441" s="19" t="s">
        <v>1539</v>
      </c>
      <c r="B441" s="18" t="s">
        <v>22</v>
      </c>
      <c r="D441" s="16">
        <v>0.8</v>
      </c>
      <c r="E441" s="15">
        <v>70</v>
      </c>
      <c r="F441" s="15">
        <v>56</v>
      </c>
    </row>
    <row r="442" spans="1:6" x14ac:dyDescent="0.25">
      <c r="A442" s="19" t="s">
        <v>1339</v>
      </c>
      <c r="B442" s="18" t="s">
        <v>1490</v>
      </c>
      <c r="D442" s="16">
        <v>9.1999999999999993</v>
      </c>
      <c r="E442" s="15">
        <v>20</v>
      </c>
      <c r="F442" s="15">
        <v>184</v>
      </c>
    </row>
    <row r="443" spans="1:6" x14ac:dyDescent="0.25">
      <c r="A443" s="19" t="s">
        <v>1538</v>
      </c>
      <c r="B443" s="18" t="s">
        <v>1385</v>
      </c>
      <c r="D443" s="16">
        <v>0.3</v>
      </c>
      <c r="E443" s="15">
        <v>10</v>
      </c>
      <c r="F443" s="15">
        <v>3</v>
      </c>
    </row>
    <row r="444" spans="1:6" x14ac:dyDescent="0.25">
      <c r="A444" s="19" t="s">
        <v>1489</v>
      </c>
      <c r="B444" s="18" t="s">
        <v>22</v>
      </c>
      <c r="D444" s="16">
        <v>0.18</v>
      </c>
      <c r="E444" s="15">
        <v>5</v>
      </c>
      <c r="F444" s="15">
        <v>0.9</v>
      </c>
    </row>
    <row r="445" spans="1:6" x14ac:dyDescent="0.25">
      <c r="A445" s="19" t="s">
        <v>1537</v>
      </c>
      <c r="B445" s="18" t="s">
        <v>156</v>
      </c>
      <c r="D445" s="16">
        <v>0.01</v>
      </c>
      <c r="E445" s="15">
        <v>5.9</v>
      </c>
      <c r="F445" s="15">
        <v>0.06</v>
      </c>
    </row>
    <row r="446" spans="1:6" x14ac:dyDescent="0.25">
      <c r="A446" s="24"/>
      <c r="B446" s="23"/>
      <c r="C446" s="22"/>
      <c r="D446" s="21"/>
      <c r="E446" s="20" t="s">
        <v>1343</v>
      </c>
      <c r="F446" s="20">
        <v>276.45999999999998</v>
      </c>
    </row>
    <row r="448" spans="1:6" x14ac:dyDescent="0.25">
      <c r="A448" s="19" t="s">
        <v>1536</v>
      </c>
      <c r="B448" s="18" t="s">
        <v>1475</v>
      </c>
      <c r="C448" s="17">
        <v>1</v>
      </c>
      <c r="D448" s="16">
        <v>0.66669999999999996</v>
      </c>
      <c r="E448" s="15">
        <v>6.05</v>
      </c>
      <c r="F448" s="15">
        <v>4.03</v>
      </c>
    </row>
    <row r="449" spans="1:6" x14ac:dyDescent="0.25">
      <c r="A449" s="19" t="s">
        <v>1515</v>
      </c>
      <c r="B449" s="18" t="s">
        <v>1475</v>
      </c>
      <c r="C449" s="17">
        <v>1</v>
      </c>
      <c r="D449" s="16">
        <v>0.66669999999999996</v>
      </c>
      <c r="E449" s="15">
        <v>12.01</v>
      </c>
      <c r="F449" s="15">
        <v>8.01</v>
      </c>
    </row>
    <row r="450" spans="1:6" x14ac:dyDescent="0.25">
      <c r="A450" s="19" t="s">
        <v>1344</v>
      </c>
      <c r="B450" s="18" t="s">
        <v>1345</v>
      </c>
      <c r="D450" s="16">
        <v>3</v>
      </c>
      <c r="E450" s="15">
        <v>165.8</v>
      </c>
      <c r="F450" s="15">
        <v>4.97</v>
      </c>
    </row>
    <row r="451" spans="1:6" x14ac:dyDescent="0.25">
      <c r="A451" s="24"/>
      <c r="B451" s="23"/>
      <c r="C451" s="22"/>
      <c r="D451" s="21"/>
      <c r="E451" s="20" t="s">
        <v>1346</v>
      </c>
      <c r="F451" s="20">
        <v>17.010000000000002</v>
      </c>
    </row>
    <row r="454" spans="1:6" x14ac:dyDescent="0.25">
      <c r="A454" s="31" t="s">
        <v>1553</v>
      </c>
      <c r="B454" s="27"/>
      <c r="C454" s="30"/>
      <c r="D454" s="29"/>
      <c r="E454" s="28"/>
      <c r="F454" s="28"/>
    </row>
    <row r="455" spans="1:6" x14ac:dyDescent="0.25">
      <c r="A455" s="31" t="s">
        <v>1534</v>
      </c>
      <c r="B455" s="27"/>
      <c r="C455" s="30" t="s">
        <v>1446</v>
      </c>
      <c r="D455" s="29"/>
      <c r="E455" s="28" t="s">
        <v>1329</v>
      </c>
      <c r="F455" s="28">
        <v>35.25</v>
      </c>
    </row>
    <row r="456" spans="1:6" x14ac:dyDescent="0.25">
      <c r="A456" s="27" t="s">
        <v>1330</v>
      </c>
      <c r="B456" s="27" t="s">
        <v>1331</v>
      </c>
      <c r="C456" s="26" t="s">
        <v>1332</v>
      </c>
      <c r="D456" s="26" t="s">
        <v>1333</v>
      </c>
      <c r="E456" s="25" t="s">
        <v>1334</v>
      </c>
      <c r="F456" s="25" t="s">
        <v>1335</v>
      </c>
    </row>
    <row r="457" spans="1:6" x14ac:dyDescent="0.25">
      <c r="A457" s="19" t="s">
        <v>1350</v>
      </c>
      <c r="B457" s="18" t="s">
        <v>1319</v>
      </c>
      <c r="C457" s="17">
        <v>1</v>
      </c>
      <c r="D457" s="16">
        <v>0.57140000000000002</v>
      </c>
      <c r="E457" s="15">
        <v>19.23</v>
      </c>
      <c r="F457" s="15">
        <v>10.99</v>
      </c>
    </row>
    <row r="458" spans="1:6" x14ac:dyDescent="0.25">
      <c r="A458" s="19" t="s">
        <v>1480</v>
      </c>
      <c r="B458" s="18" t="s">
        <v>1319</v>
      </c>
      <c r="C458" s="17">
        <v>1</v>
      </c>
      <c r="D458" s="16">
        <v>0.57140000000000002</v>
      </c>
      <c r="E458" s="15">
        <v>15.94</v>
      </c>
      <c r="F458" s="15">
        <v>9.11</v>
      </c>
    </row>
    <row r="459" spans="1:6" x14ac:dyDescent="0.25">
      <c r="A459" s="19" t="s">
        <v>1336</v>
      </c>
      <c r="B459" s="18" t="s">
        <v>1319</v>
      </c>
      <c r="C459" s="17">
        <v>0.5</v>
      </c>
      <c r="D459" s="16">
        <v>0.28570000000000001</v>
      </c>
      <c r="E459" s="15">
        <v>16.5</v>
      </c>
      <c r="F459" s="15">
        <v>4.71</v>
      </c>
    </row>
    <row r="460" spans="1:6" x14ac:dyDescent="0.25">
      <c r="A460" s="24"/>
      <c r="B460" s="23"/>
      <c r="C460" s="22"/>
      <c r="D460" s="21"/>
      <c r="E460" s="20" t="s">
        <v>1337</v>
      </c>
      <c r="F460" s="20">
        <v>24.81</v>
      </c>
    </row>
    <row r="462" spans="1:6" x14ac:dyDescent="0.25">
      <c r="A462" s="19" t="s">
        <v>1529</v>
      </c>
      <c r="B462" s="18" t="s">
        <v>156</v>
      </c>
      <c r="D462" s="16">
        <v>0.5</v>
      </c>
      <c r="E462" s="15">
        <v>4</v>
      </c>
      <c r="F462" s="15">
        <v>2</v>
      </c>
    </row>
    <row r="463" spans="1:6" x14ac:dyDescent="0.25">
      <c r="A463" s="19" t="s">
        <v>1518</v>
      </c>
      <c r="B463" s="18" t="s">
        <v>156</v>
      </c>
      <c r="D463" s="16">
        <v>0.2</v>
      </c>
      <c r="E463" s="15">
        <v>4.5</v>
      </c>
      <c r="F463" s="15">
        <v>0.9</v>
      </c>
    </row>
    <row r="464" spans="1:6" x14ac:dyDescent="0.25">
      <c r="A464" s="19" t="s">
        <v>1533</v>
      </c>
      <c r="B464" s="18" t="s">
        <v>594</v>
      </c>
      <c r="D464" s="16">
        <v>1.5</v>
      </c>
      <c r="E464" s="15">
        <v>4.2</v>
      </c>
      <c r="F464" s="15">
        <v>6.3</v>
      </c>
    </row>
    <row r="465" spans="1:6" x14ac:dyDescent="0.25">
      <c r="A465" s="24"/>
      <c r="B465" s="23"/>
      <c r="C465" s="22"/>
      <c r="D465" s="21"/>
      <c r="E465" s="20" t="s">
        <v>1343</v>
      </c>
      <c r="F465" s="20">
        <v>9.1999999999999993</v>
      </c>
    </row>
    <row r="467" spans="1:6" x14ac:dyDescent="0.25">
      <c r="A467" s="19" t="s">
        <v>1344</v>
      </c>
      <c r="B467" s="18" t="s">
        <v>1345</v>
      </c>
      <c r="D467" s="16">
        <v>5</v>
      </c>
      <c r="E467" s="15">
        <v>24.81</v>
      </c>
      <c r="F467" s="15">
        <v>1.24</v>
      </c>
    </row>
    <row r="468" spans="1:6" x14ac:dyDescent="0.25">
      <c r="A468" s="24"/>
      <c r="B468" s="23"/>
      <c r="C468" s="22"/>
      <c r="D468" s="21"/>
      <c r="E468" s="20" t="s">
        <v>1346</v>
      </c>
      <c r="F468" s="20">
        <v>1.24</v>
      </c>
    </row>
    <row r="471" spans="1:6" x14ac:dyDescent="0.25">
      <c r="A471" s="31" t="s">
        <v>1552</v>
      </c>
      <c r="B471" s="27"/>
      <c r="C471" s="30"/>
      <c r="D471" s="29"/>
      <c r="E471" s="28"/>
      <c r="F471" s="28"/>
    </row>
    <row r="472" spans="1:6" x14ac:dyDescent="0.25">
      <c r="A472" s="31" t="s">
        <v>1531</v>
      </c>
      <c r="B472" s="27"/>
      <c r="C472" s="30" t="s">
        <v>1530</v>
      </c>
      <c r="D472" s="29"/>
      <c r="E472" s="28" t="s">
        <v>1329</v>
      </c>
      <c r="F472" s="28">
        <v>6.07</v>
      </c>
    </row>
    <row r="473" spans="1:6" x14ac:dyDescent="0.25">
      <c r="A473" s="27" t="s">
        <v>1330</v>
      </c>
      <c r="B473" s="27" t="s">
        <v>1331</v>
      </c>
      <c r="C473" s="26" t="s">
        <v>1332</v>
      </c>
      <c r="D473" s="26" t="s">
        <v>1333</v>
      </c>
      <c r="E473" s="25" t="s">
        <v>1334</v>
      </c>
      <c r="F473" s="25" t="s">
        <v>1335</v>
      </c>
    </row>
    <row r="474" spans="1:6" x14ac:dyDescent="0.25">
      <c r="A474" s="19" t="s">
        <v>1387</v>
      </c>
      <c r="B474" s="18" t="s">
        <v>1319</v>
      </c>
      <c r="C474" s="17">
        <v>0.1</v>
      </c>
      <c r="D474" s="16">
        <v>3.2000000000000002E-3</v>
      </c>
      <c r="E474" s="15">
        <v>24.5</v>
      </c>
      <c r="F474" s="15">
        <v>0.08</v>
      </c>
    </row>
    <row r="475" spans="1:6" x14ac:dyDescent="0.25">
      <c r="A475" s="19" t="s">
        <v>1350</v>
      </c>
      <c r="B475" s="18" t="s">
        <v>1319</v>
      </c>
      <c r="C475" s="17">
        <v>1</v>
      </c>
      <c r="D475" s="16">
        <v>3.2000000000000001E-2</v>
      </c>
      <c r="E475" s="15">
        <v>19.23</v>
      </c>
      <c r="F475" s="15">
        <v>0.62</v>
      </c>
    </row>
    <row r="476" spans="1:6" x14ac:dyDescent="0.25">
      <c r="A476" s="19" t="s">
        <v>1480</v>
      </c>
      <c r="B476" s="18" t="s">
        <v>1319</v>
      </c>
      <c r="C476" s="17">
        <v>1</v>
      </c>
      <c r="D476" s="16">
        <v>3.2000000000000001E-2</v>
      </c>
      <c r="E476" s="15">
        <v>15.94</v>
      </c>
      <c r="F476" s="15">
        <v>0.51</v>
      </c>
    </row>
    <row r="477" spans="1:6" x14ac:dyDescent="0.25">
      <c r="A477" s="19" t="s">
        <v>1336</v>
      </c>
      <c r="B477" s="18" t="s">
        <v>1319</v>
      </c>
      <c r="C477" s="17">
        <v>1</v>
      </c>
      <c r="D477" s="16">
        <v>3.2000000000000001E-2</v>
      </c>
      <c r="E477" s="15">
        <v>16.5</v>
      </c>
      <c r="F477" s="15">
        <v>0.53</v>
      </c>
    </row>
    <row r="478" spans="1:6" x14ac:dyDescent="0.25">
      <c r="A478" s="24"/>
      <c r="B478" s="23"/>
      <c r="C478" s="22"/>
      <c r="D478" s="21"/>
      <c r="E478" s="20" t="s">
        <v>1337</v>
      </c>
      <c r="F478" s="20">
        <v>1.74</v>
      </c>
    </row>
    <row r="480" spans="1:6" x14ac:dyDescent="0.25">
      <c r="A480" s="19" t="s">
        <v>1529</v>
      </c>
      <c r="B480" s="18" t="s">
        <v>156</v>
      </c>
      <c r="D480" s="16">
        <v>0.05</v>
      </c>
      <c r="E480" s="15">
        <v>4</v>
      </c>
      <c r="F480" s="15">
        <v>0.2</v>
      </c>
    </row>
    <row r="481" spans="1:6" x14ac:dyDescent="0.25">
      <c r="A481" s="19" t="s">
        <v>1528</v>
      </c>
      <c r="B481" s="18" t="s">
        <v>156</v>
      </c>
      <c r="D481" s="16">
        <v>1.05</v>
      </c>
      <c r="E481" s="15">
        <v>3.85</v>
      </c>
      <c r="F481" s="15">
        <v>4.04</v>
      </c>
    </row>
    <row r="482" spans="1:6" x14ac:dyDescent="0.25">
      <c r="A482" s="24"/>
      <c r="B482" s="23"/>
      <c r="C482" s="22"/>
      <c r="D482" s="21"/>
      <c r="E482" s="20" t="s">
        <v>1343</v>
      </c>
      <c r="F482" s="20">
        <v>4.24</v>
      </c>
    </row>
    <row r="484" spans="1:6" x14ac:dyDescent="0.25">
      <c r="A484" s="19" t="s">
        <v>1344</v>
      </c>
      <c r="B484" s="18" t="s">
        <v>1345</v>
      </c>
      <c r="D484" s="16">
        <v>5</v>
      </c>
      <c r="E484" s="15">
        <v>1.74</v>
      </c>
      <c r="F484" s="15">
        <v>0.09</v>
      </c>
    </row>
    <row r="485" spans="1:6" x14ac:dyDescent="0.25">
      <c r="A485" s="24"/>
      <c r="B485" s="23"/>
      <c r="C485" s="22"/>
      <c r="D485" s="21"/>
      <c r="E485" s="20" t="s">
        <v>1346</v>
      </c>
      <c r="F485" s="20">
        <v>0.09</v>
      </c>
    </row>
    <row r="488" spans="1:6" x14ac:dyDescent="0.25">
      <c r="A488" s="31" t="s">
        <v>1551</v>
      </c>
      <c r="B488" s="27"/>
      <c r="C488" s="30"/>
      <c r="D488" s="29"/>
      <c r="E488" s="28"/>
      <c r="F488" s="28"/>
    </row>
    <row r="489" spans="1:6" x14ac:dyDescent="0.25">
      <c r="A489" s="31" t="s">
        <v>1550</v>
      </c>
      <c r="B489" s="27"/>
      <c r="C489" s="30" t="s">
        <v>1541</v>
      </c>
      <c r="D489" s="29"/>
      <c r="E489" s="28" t="s">
        <v>1329</v>
      </c>
      <c r="F489" s="28">
        <v>459.26</v>
      </c>
    </row>
    <row r="490" spans="1:6" x14ac:dyDescent="0.25">
      <c r="A490" s="27" t="s">
        <v>1330</v>
      </c>
      <c r="B490" s="27" t="s">
        <v>1331</v>
      </c>
      <c r="C490" s="26" t="s">
        <v>1332</v>
      </c>
      <c r="D490" s="26" t="s">
        <v>1333</v>
      </c>
      <c r="E490" s="25" t="s">
        <v>1334</v>
      </c>
      <c r="F490" s="25" t="s">
        <v>1335</v>
      </c>
    </row>
    <row r="491" spans="1:6" x14ac:dyDescent="0.25">
      <c r="A491" s="19" t="s">
        <v>1387</v>
      </c>
      <c r="B491" s="18" t="s">
        <v>1319</v>
      </c>
      <c r="C491" s="17">
        <v>0.2</v>
      </c>
      <c r="D491" s="16">
        <v>0.1333</v>
      </c>
      <c r="E491" s="15">
        <v>24.5</v>
      </c>
      <c r="F491" s="15">
        <v>3.27</v>
      </c>
    </row>
    <row r="492" spans="1:6" x14ac:dyDescent="0.25">
      <c r="A492" s="19" t="s">
        <v>1350</v>
      </c>
      <c r="B492" s="18" t="s">
        <v>1319</v>
      </c>
      <c r="C492" s="17">
        <v>2</v>
      </c>
      <c r="D492" s="16">
        <v>1.3332999999999999</v>
      </c>
      <c r="E492" s="15">
        <v>19.23</v>
      </c>
      <c r="F492" s="15">
        <v>25.64</v>
      </c>
    </row>
    <row r="493" spans="1:6" x14ac:dyDescent="0.25">
      <c r="A493" s="19" t="s">
        <v>1480</v>
      </c>
      <c r="B493" s="18" t="s">
        <v>1319</v>
      </c>
      <c r="C493" s="17">
        <v>2</v>
      </c>
      <c r="D493" s="16">
        <v>1.3332999999999999</v>
      </c>
      <c r="E493" s="15">
        <v>15.94</v>
      </c>
      <c r="F493" s="15">
        <v>21.25</v>
      </c>
    </row>
    <row r="494" spans="1:6" x14ac:dyDescent="0.25">
      <c r="A494" s="19" t="s">
        <v>1336</v>
      </c>
      <c r="B494" s="18" t="s">
        <v>1319</v>
      </c>
      <c r="C494" s="17">
        <v>8</v>
      </c>
      <c r="D494" s="16">
        <v>5.3333000000000004</v>
      </c>
      <c r="E494" s="15">
        <v>16.5</v>
      </c>
      <c r="F494" s="15">
        <v>88</v>
      </c>
    </row>
    <row r="495" spans="1:6" x14ac:dyDescent="0.25">
      <c r="A495" s="19" t="s">
        <v>1540</v>
      </c>
      <c r="B495" s="18" t="s">
        <v>1319</v>
      </c>
      <c r="C495" s="17">
        <v>2</v>
      </c>
      <c r="D495" s="16">
        <v>1.3332999999999999</v>
      </c>
      <c r="E495" s="15">
        <v>20.73</v>
      </c>
      <c r="F495" s="15">
        <v>27.64</v>
      </c>
    </row>
    <row r="496" spans="1:6" x14ac:dyDescent="0.25">
      <c r="A496" s="24"/>
      <c r="B496" s="23"/>
      <c r="C496" s="22"/>
      <c r="D496" s="21"/>
      <c r="E496" s="20" t="s">
        <v>1337</v>
      </c>
      <c r="F496" s="20">
        <v>165.8</v>
      </c>
    </row>
    <row r="498" spans="1:6" x14ac:dyDescent="0.25">
      <c r="A498" s="19" t="s">
        <v>1501</v>
      </c>
      <c r="B498" s="18" t="s">
        <v>22</v>
      </c>
      <c r="D498" s="16">
        <v>0.5</v>
      </c>
      <c r="E498" s="15">
        <v>65</v>
      </c>
      <c r="F498" s="15">
        <v>32.5</v>
      </c>
    </row>
    <row r="499" spans="1:6" x14ac:dyDescent="0.25">
      <c r="A499" s="19" t="s">
        <v>1539</v>
      </c>
      <c r="B499" s="18" t="s">
        <v>22</v>
      </c>
      <c r="D499" s="16">
        <v>0.8</v>
      </c>
      <c r="E499" s="15">
        <v>70</v>
      </c>
      <c r="F499" s="15">
        <v>56</v>
      </c>
    </row>
    <row r="500" spans="1:6" x14ac:dyDescent="0.25">
      <c r="A500" s="19" t="s">
        <v>1339</v>
      </c>
      <c r="B500" s="18" t="s">
        <v>1490</v>
      </c>
      <c r="D500" s="16">
        <v>9.1999999999999993</v>
      </c>
      <c r="E500" s="15">
        <v>20</v>
      </c>
      <c r="F500" s="15">
        <v>184</v>
      </c>
    </row>
    <row r="501" spans="1:6" x14ac:dyDescent="0.25">
      <c r="A501" s="19" t="s">
        <v>1538</v>
      </c>
      <c r="B501" s="18" t="s">
        <v>1385</v>
      </c>
      <c r="D501" s="16">
        <v>0.3</v>
      </c>
      <c r="E501" s="15">
        <v>10</v>
      </c>
      <c r="F501" s="15">
        <v>3</v>
      </c>
    </row>
    <row r="502" spans="1:6" x14ac:dyDescent="0.25">
      <c r="A502" s="19" t="s">
        <v>1489</v>
      </c>
      <c r="B502" s="18" t="s">
        <v>22</v>
      </c>
      <c r="D502" s="16">
        <v>0.18</v>
      </c>
      <c r="E502" s="15">
        <v>5</v>
      </c>
      <c r="F502" s="15">
        <v>0.9</v>
      </c>
    </row>
    <row r="503" spans="1:6" x14ac:dyDescent="0.25">
      <c r="A503" s="19" t="s">
        <v>1537</v>
      </c>
      <c r="B503" s="18" t="s">
        <v>156</v>
      </c>
      <c r="D503" s="16">
        <v>8.0000000000000002E-3</v>
      </c>
      <c r="E503" s="15">
        <v>5.9</v>
      </c>
      <c r="F503" s="15">
        <v>0.05</v>
      </c>
    </row>
    <row r="504" spans="1:6" x14ac:dyDescent="0.25">
      <c r="A504" s="24"/>
      <c r="B504" s="23"/>
      <c r="C504" s="22"/>
      <c r="D504" s="21"/>
      <c r="E504" s="20" t="s">
        <v>1343</v>
      </c>
      <c r="F504" s="20">
        <v>276.45</v>
      </c>
    </row>
    <row r="506" spans="1:6" x14ac:dyDescent="0.25">
      <c r="A506" s="19" t="s">
        <v>1536</v>
      </c>
      <c r="B506" s="18" t="s">
        <v>1475</v>
      </c>
      <c r="C506" s="17">
        <v>1</v>
      </c>
      <c r="D506" s="16">
        <v>0.66669999999999996</v>
      </c>
      <c r="E506" s="15">
        <v>6.05</v>
      </c>
      <c r="F506" s="15">
        <v>4.03</v>
      </c>
    </row>
    <row r="507" spans="1:6" x14ac:dyDescent="0.25">
      <c r="A507" s="19" t="s">
        <v>1515</v>
      </c>
      <c r="B507" s="18" t="s">
        <v>1475</v>
      </c>
      <c r="C507" s="17">
        <v>1</v>
      </c>
      <c r="D507" s="16">
        <v>0.66669999999999996</v>
      </c>
      <c r="E507" s="15">
        <v>12.01</v>
      </c>
      <c r="F507" s="15">
        <v>8.01</v>
      </c>
    </row>
    <row r="508" spans="1:6" x14ac:dyDescent="0.25">
      <c r="A508" s="19" t="s">
        <v>1344</v>
      </c>
      <c r="B508" s="18" t="s">
        <v>1345</v>
      </c>
      <c r="D508" s="16">
        <v>3</v>
      </c>
      <c r="E508" s="15">
        <v>165.8</v>
      </c>
      <c r="F508" s="15">
        <v>4.97</v>
      </c>
    </row>
    <row r="509" spans="1:6" x14ac:dyDescent="0.25">
      <c r="A509" s="24"/>
      <c r="B509" s="23"/>
      <c r="C509" s="22"/>
      <c r="D509" s="21"/>
      <c r="E509" s="20" t="s">
        <v>1346</v>
      </c>
      <c r="F509" s="20">
        <v>17.010000000000002</v>
      </c>
    </row>
    <row r="512" spans="1:6" x14ac:dyDescent="0.25">
      <c r="A512" s="31" t="s">
        <v>1549</v>
      </c>
      <c r="B512" s="27"/>
      <c r="C512" s="30"/>
      <c r="D512" s="29"/>
      <c r="E512" s="28"/>
      <c r="F512" s="28"/>
    </row>
    <row r="513" spans="1:6" x14ac:dyDescent="0.25">
      <c r="A513" s="31" t="s">
        <v>1534</v>
      </c>
      <c r="B513" s="27"/>
      <c r="C513" s="30" t="s">
        <v>1446</v>
      </c>
      <c r="D513" s="29"/>
      <c r="E513" s="28" t="s">
        <v>1329</v>
      </c>
      <c r="F513" s="28">
        <v>36.15</v>
      </c>
    </row>
    <row r="514" spans="1:6" x14ac:dyDescent="0.25">
      <c r="A514" s="27" t="s">
        <v>1330</v>
      </c>
      <c r="B514" s="27" t="s">
        <v>1331</v>
      </c>
      <c r="C514" s="26" t="s">
        <v>1332</v>
      </c>
      <c r="D514" s="26" t="s">
        <v>1333</v>
      </c>
      <c r="E514" s="25" t="s">
        <v>1334</v>
      </c>
      <c r="F514" s="25" t="s">
        <v>1335</v>
      </c>
    </row>
    <row r="515" spans="1:6" x14ac:dyDescent="0.25">
      <c r="A515" s="19" t="s">
        <v>1350</v>
      </c>
      <c r="B515" s="18" t="s">
        <v>1319</v>
      </c>
      <c r="C515" s="17">
        <v>1</v>
      </c>
      <c r="D515" s="16">
        <v>0.57140000000000002</v>
      </c>
      <c r="E515" s="15">
        <v>19.23</v>
      </c>
      <c r="F515" s="15">
        <v>10.99</v>
      </c>
    </row>
    <row r="516" spans="1:6" x14ac:dyDescent="0.25">
      <c r="A516" s="19" t="s">
        <v>1480</v>
      </c>
      <c r="B516" s="18" t="s">
        <v>1319</v>
      </c>
      <c r="C516" s="17">
        <v>1</v>
      </c>
      <c r="D516" s="16">
        <v>0.57140000000000002</v>
      </c>
      <c r="E516" s="15">
        <v>15.94</v>
      </c>
      <c r="F516" s="15">
        <v>9.11</v>
      </c>
    </row>
    <row r="517" spans="1:6" x14ac:dyDescent="0.25">
      <c r="A517" s="19" t="s">
        <v>1336</v>
      </c>
      <c r="B517" s="18" t="s">
        <v>1319</v>
      </c>
      <c r="C517" s="17">
        <v>0.5</v>
      </c>
      <c r="D517" s="16">
        <v>0.28570000000000001</v>
      </c>
      <c r="E517" s="15">
        <v>16.5</v>
      </c>
      <c r="F517" s="15">
        <v>4.71</v>
      </c>
    </row>
    <row r="518" spans="1:6" x14ac:dyDescent="0.25">
      <c r="A518" s="24"/>
      <c r="B518" s="23"/>
      <c r="C518" s="22"/>
      <c r="D518" s="21"/>
      <c r="E518" s="20" t="s">
        <v>1337</v>
      </c>
      <c r="F518" s="20">
        <v>24.81</v>
      </c>
    </row>
    <row r="520" spans="1:6" x14ac:dyDescent="0.25">
      <c r="A520" s="19" t="s">
        <v>1529</v>
      </c>
      <c r="B520" s="18" t="s">
        <v>156</v>
      </c>
      <c r="D520" s="16">
        <v>0.5</v>
      </c>
      <c r="E520" s="15">
        <v>4</v>
      </c>
      <c r="F520" s="15">
        <v>2</v>
      </c>
    </row>
    <row r="521" spans="1:6" x14ac:dyDescent="0.25">
      <c r="A521" s="19" t="s">
        <v>1518</v>
      </c>
      <c r="B521" s="18" t="s">
        <v>156</v>
      </c>
      <c r="D521" s="16">
        <v>0.2</v>
      </c>
      <c r="E521" s="15">
        <v>4.5</v>
      </c>
      <c r="F521" s="15">
        <v>0.9</v>
      </c>
    </row>
    <row r="522" spans="1:6" x14ac:dyDescent="0.25">
      <c r="A522" s="19" t="s">
        <v>1533</v>
      </c>
      <c r="B522" s="18" t="s">
        <v>594</v>
      </c>
      <c r="D522" s="16">
        <v>1.5</v>
      </c>
      <c r="E522" s="15">
        <v>4.2</v>
      </c>
      <c r="F522" s="15">
        <v>6.3</v>
      </c>
    </row>
    <row r="523" spans="1:6" x14ac:dyDescent="0.25">
      <c r="A523" s="19" t="s">
        <v>1548</v>
      </c>
      <c r="B523" s="18" t="s">
        <v>156</v>
      </c>
      <c r="D523" s="16">
        <v>0.2</v>
      </c>
      <c r="E523" s="15">
        <v>4.5</v>
      </c>
      <c r="F523" s="15">
        <v>0.9</v>
      </c>
    </row>
    <row r="524" spans="1:6" x14ac:dyDescent="0.25">
      <c r="A524" s="24"/>
      <c r="B524" s="23"/>
      <c r="C524" s="22"/>
      <c r="D524" s="21"/>
      <c r="E524" s="20" t="s">
        <v>1343</v>
      </c>
      <c r="F524" s="20">
        <v>10.1</v>
      </c>
    </row>
    <row r="526" spans="1:6" x14ac:dyDescent="0.25">
      <c r="A526" s="19" t="s">
        <v>1344</v>
      </c>
      <c r="B526" s="18" t="s">
        <v>1345</v>
      </c>
      <c r="D526" s="16">
        <v>5</v>
      </c>
      <c r="E526" s="15">
        <v>24.81</v>
      </c>
      <c r="F526" s="15">
        <v>1.24</v>
      </c>
    </row>
    <row r="527" spans="1:6" x14ac:dyDescent="0.25">
      <c r="A527" s="24"/>
      <c r="B527" s="23"/>
      <c r="C527" s="22"/>
      <c r="D527" s="21"/>
      <c r="E527" s="20" t="s">
        <v>1346</v>
      </c>
      <c r="F527" s="20">
        <v>1.24</v>
      </c>
    </row>
    <row r="530" spans="1:6" x14ac:dyDescent="0.25">
      <c r="A530" s="31" t="s">
        <v>1547</v>
      </c>
      <c r="B530" s="27"/>
      <c r="C530" s="30"/>
      <c r="D530" s="29"/>
      <c r="E530" s="28"/>
      <c r="F530" s="28"/>
    </row>
    <row r="531" spans="1:6" x14ac:dyDescent="0.25">
      <c r="A531" s="31" t="s">
        <v>1531</v>
      </c>
      <c r="B531" s="27"/>
      <c r="C531" s="30" t="s">
        <v>1530</v>
      </c>
      <c r="D531" s="29"/>
      <c r="E531" s="28" t="s">
        <v>1329</v>
      </c>
      <c r="F531" s="28">
        <v>6.07</v>
      </c>
    </row>
    <row r="532" spans="1:6" x14ac:dyDescent="0.25">
      <c r="A532" s="27" t="s">
        <v>1330</v>
      </c>
      <c r="B532" s="27" t="s">
        <v>1331</v>
      </c>
      <c r="C532" s="26" t="s">
        <v>1332</v>
      </c>
      <c r="D532" s="26" t="s">
        <v>1333</v>
      </c>
      <c r="E532" s="25" t="s">
        <v>1334</v>
      </c>
      <c r="F532" s="25" t="s">
        <v>1335</v>
      </c>
    </row>
    <row r="533" spans="1:6" x14ac:dyDescent="0.25">
      <c r="A533" s="19" t="s">
        <v>1387</v>
      </c>
      <c r="B533" s="18" t="s">
        <v>1319</v>
      </c>
      <c r="C533" s="17">
        <v>0.1</v>
      </c>
      <c r="D533" s="16">
        <v>3.2000000000000002E-3</v>
      </c>
      <c r="E533" s="15">
        <v>24.5</v>
      </c>
      <c r="F533" s="15">
        <v>0.08</v>
      </c>
    </row>
    <row r="534" spans="1:6" x14ac:dyDescent="0.25">
      <c r="A534" s="19" t="s">
        <v>1350</v>
      </c>
      <c r="B534" s="18" t="s">
        <v>1319</v>
      </c>
      <c r="C534" s="17">
        <v>1</v>
      </c>
      <c r="D534" s="16">
        <v>3.2000000000000001E-2</v>
      </c>
      <c r="E534" s="15">
        <v>19.23</v>
      </c>
      <c r="F534" s="15">
        <v>0.62</v>
      </c>
    </row>
    <row r="535" spans="1:6" x14ac:dyDescent="0.25">
      <c r="A535" s="19" t="s">
        <v>1480</v>
      </c>
      <c r="B535" s="18" t="s">
        <v>1319</v>
      </c>
      <c r="C535" s="17">
        <v>1</v>
      </c>
      <c r="D535" s="16">
        <v>3.2000000000000001E-2</v>
      </c>
      <c r="E535" s="15">
        <v>15.94</v>
      </c>
      <c r="F535" s="15">
        <v>0.51</v>
      </c>
    </row>
    <row r="536" spans="1:6" x14ac:dyDescent="0.25">
      <c r="A536" s="19" t="s">
        <v>1336</v>
      </c>
      <c r="B536" s="18" t="s">
        <v>1319</v>
      </c>
      <c r="C536" s="17">
        <v>1</v>
      </c>
      <c r="D536" s="16">
        <v>3.2000000000000001E-2</v>
      </c>
      <c r="E536" s="15">
        <v>16.5</v>
      </c>
      <c r="F536" s="15">
        <v>0.53</v>
      </c>
    </row>
    <row r="537" spans="1:6" x14ac:dyDescent="0.25">
      <c r="A537" s="24"/>
      <c r="B537" s="23"/>
      <c r="C537" s="22"/>
      <c r="D537" s="21"/>
      <c r="E537" s="20" t="s">
        <v>1337</v>
      </c>
      <c r="F537" s="20">
        <v>1.74</v>
      </c>
    </row>
    <row r="539" spans="1:6" x14ac:dyDescent="0.25">
      <c r="A539" s="19" t="s">
        <v>1529</v>
      </c>
      <c r="B539" s="18" t="s">
        <v>156</v>
      </c>
      <c r="D539" s="16">
        <v>0.05</v>
      </c>
      <c r="E539" s="15">
        <v>4</v>
      </c>
      <c r="F539" s="15">
        <v>0.2</v>
      </c>
    </row>
    <row r="540" spans="1:6" x14ac:dyDescent="0.25">
      <c r="A540" s="19" t="s">
        <v>1528</v>
      </c>
      <c r="B540" s="18" t="s">
        <v>156</v>
      </c>
      <c r="D540" s="16">
        <v>1.05</v>
      </c>
      <c r="E540" s="15">
        <v>3.85</v>
      </c>
      <c r="F540" s="15">
        <v>4.04</v>
      </c>
    </row>
    <row r="541" spans="1:6" x14ac:dyDescent="0.25">
      <c r="A541" s="24"/>
      <c r="B541" s="23"/>
      <c r="C541" s="22"/>
      <c r="D541" s="21"/>
      <c r="E541" s="20" t="s">
        <v>1343</v>
      </c>
      <c r="F541" s="20">
        <v>4.24</v>
      </c>
    </row>
    <row r="543" spans="1:6" x14ac:dyDescent="0.25">
      <c r="A543" s="19" t="s">
        <v>1344</v>
      </c>
      <c r="B543" s="18" t="s">
        <v>1345</v>
      </c>
      <c r="D543" s="16">
        <v>5</v>
      </c>
      <c r="E543" s="15">
        <v>1.74</v>
      </c>
      <c r="F543" s="15">
        <v>0.09</v>
      </c>
    </row>
    <row r="544" spans="1:6" x14ac:dyDescent="0.25">
      <c r="A544" s="24"/>
      <c r="B544" s="23"/>
      <c r="C544" s="22"/>
      <c r="D544" s="21"/>
      <c r="E544" s="20" t="s">
        <v>1346</v>
      </c>
      <c r="F544" s="20">
        <v>0.09</v>
      </c>
    </row>
    <row r="547" spans="1:6" x14ac:dyDescent="0.25">
      <c r="A547" s="31" t="s">
        <v>1546</v>
      </c>
      <c r="B547" s="27"/>
      <c r="C547" s="30"/>
      <c r="D547" s="29"/>
      <c r="E547" s="28"/>
      <c r="F547" s="28"/>
    </row>
    <row r="548" spans="1:6" x14ac:dyDescent="0.25">
      <c r="A548" s="31" t="s">
        <v>1545</v>
      </c>
      <c r="B548" s="27"/>
      <c r="C548" s="30" t="s">
        <v>1422</v>
      </c>
      <c r="D548" s="29"/>
      <c r="E548" s="28" t="s">
        <v>1329</v>
      </c>
      <c r="F548" s="28">
        <v>1.95</v>
      </c>
    </row>
    <row r="549" spans="1:6" x14ac:dyDescent="0.25">
      <c r="A549" s="27" t="s">
        <v>1330</v>
      </c>
      <c r="B549" s="27" t="s">
        <v>1331</v>
      </c>
      <c r="C549" s="26" t="s">
        <v>1332</v>
      </c>
      <c r="D549" s="26" t="s">
        <v>1333</v>
      </c>
      <c r="E549" s="25" t="s">
        <v>1334</v>
      </c>
      <c r="F549" s="25" t="s">
        <v>1335</v>
      </c>
    </row>
    <row r="550" spans="1:6" x14ac:dyDescent="0.25">
      <c r="A550" s="19" t="s">
        <v>1387</v>
      </c>
      <c r="B550" s="18" t="s">
        <v>1319</v>
      </c>
      <c r="C550" s="17">
        <v>0.1</v>
      </c>
      <c r="D550" s="16">
        <v>5.0000000000000001E-4</v>
      </c>
      <c r="E550" s="15">
        <v>24.5</v>
      </c>
      <c r="F550" s="15">
        <v>0.01</v>
      </c>
    </row>
    <row r="551" spans="1:6" x14ac:dyDescent="0.25">
      <c r="A551" s="19" t="s">
        <v>1350</v>
      </c>
      <c r="B551" s="18" t="s">
        <v>1319</v>
      </c>
      <c r="C551" s="17">
        <v>1</v>
      </c>
      <c r="D551" s="16">
        <v>5.0000000000000001E-3</v>
      </c>
      <c r="E551" s="15">
        <v>19.23</v>
      </c>
      <c r="F551" s="15">
        <v>0.1</v>
      </c>
    </row>
    <row r="552" spans="1:6" x14ac:dyDescent="0.25">
      <c r="A552" s="19" t="s">
        <v>1336</v>
      </c>
      <c r="B552" s="18" t="s">
        <v>1319</v>
      </c>
      <c r="C552" s="17">
        <v>5</v>
      </c>
      <c r="D552" s="16">
        <v>2.5000000000000001E-2</v>
      </c>
      <c r="E552" s="15">
        <v>16.5</v>
      </c>
      <c r="F552" s="15">
        <v>0.41</v>
      </c>
    </row>
    <row r="553" spans="1:6" x14ac:dyDescent="0.25">
      <c r="A553" s="24"/>
      <c r="B553" s="23"/>
      <c r="C553" s="22"/>
      <c r="D553" s="21"/>
      <c r="E553" s="20" t="s">
        <v>1337</v>
      </c>
      <c r="F553" s="20">
        <v>0.52</v>
      </c>
    </row>
    <row r="555" spans="1:6" x14ac:dyDescent="0.25">
      <c r="A555" s="19" t="s">
        <v>1544</v>
      </c>
      <c r="B555" s="18" t="s">
        <v>1491</v>
      </c>
      <c r="D555" s="16">
        <v>1E-3</v>
      </c>
      <c r="E555" s="15">
        <v>1400</v>
      </c>
      <c r="F555" s="15">
        <v>1.4</v>
      </c>
    </row>
    <row r="556" spans="1:6" x14ac:dyDescent="0.25">
      <c r="A556" s="24"/>
      <c r="B556" s="23"/>
      <c r="C556" s="22"/>
      <c r="D556" s="21"/>
      <c r="E556" s="20" t="s">
        <v>1343</v>
      </c>
      <c r="F556" s="20">
        <v>1.4</v>
      </c>
    </row>
    <row r="558" spans="1:6" x14ac:dyDescent="0.25">
      <c r="A558" s="19" t="s">
        <v>1344</v>
      </c>
      <c r="B558" s="18" t="s">
        <v>1345</v>
      </c>
      <c r="D558" s="16">
        <v>5</v>
      </c>
      <c r="E558" s="15">
        <v>0.52</v>
      </c>
      <c r="F558" s="15">
        <v>0.03</v>
      </c>
    </row>
    <row r="559" spans="1:6" x14ac:dyDescent="0.25">
      <c r="A559" s="24"/>
      <c r="B559" s="23"/>
      <c r="C559" s="22"/>
      <c r="D559" s="21"/>
      <c r="E559" s="20" t="s">
        <v>1346</v>
      </c>
      <c r="F559" s="20">
        <v>0.03</v>
      </c>
    </row>
    <row r="562" spans="1:6" x14ac:dyDescent="0.25">
      <c r="A562" s="31" t="s">
        <v>1543</v>
      </c>
      <c r="B562" s="27"/>
      <c r="C562" s="30"/>
      <c r="D562" s="29"/>
      <c r="E562" s="28"/>
      <c r="F562" s="28"/>
    </row>
    <row r="563" spans="1:6" x14ac:dyDescent="0.25">
      <c r="A563" s="31" t="s">
        <v>1542</v>
      </c>
      <c r="B563" s="27"/>
      <c r="C563" s="30" t="s">
        <v>1541</v>
      </c>
      <c r="D563" s="29"/>
      <c r="E563" s="28" t="s">
        <v>1329</v>
      </c>
      <c r="F563" s="28">
        <v>520.20999999999992</v>
      </c>
    </row>
    <row r="564" spans="1:6" x14ac:dyDescent="0.25">
      <c r="A564" s="27" t="s">
        <v>1330</v>
      </c>
      <c r="B564" s="27" t="s">
        <v>1331</v>
      </c>
      <c r="C564" s="26" t="s">
        <v>1332</v>
      </c>
      <c r="D564" s="26" t="s">
        <v>1333</v>
      </c>
      <c r="E564" s="25" t="s">
        <v>1334</v>
      </c>
      <c r="F564" s="25" t="s">
        <v>1335</v>
      </c>
    </row>
    <row r="565" spans="1:6" x14ac:dyDescent="0.25">
      <c r="A565" s="19" t="s">
        <v>1387</v>
      </c>
      <c r="B565" s="18" t="s">
        <v>1319</v>
      </c>
      <c r="C565" s="17">
        <v>0.2</v>
      </c>
      <c r="D565" s="16">
        <v>0.17780000000000001</v>
      </c>
      <c r="E565" s="15">
        <v>24.5</v>
      </c>
      <c r="F565" s="15">
        <v>4.3600000000000003</v>
      </c>
    </row>
    <row r="566" spans="1:6" x14ac:dyDescent="0.25">
      <c r="A566" s="19" t="s">
        <v>1350</v>
      </c>
      <c r="B566" s="18" t="s">
        <v>1319</v>
      </c>
      <c r="C566" s="17">
        <v>2</v>
      </c>
      <c r="D566" s="16">
        <v>1.7778</v>
      </c>
      <c r="E566" s="15">
        <v>19.23</v>
      </c>
      <c r="F566" s="15">
        <v>34.19</v>
      </c>
    </row>
    <row r="567" spans="1:6" x14ac:dyDescent="0.25">
      <c r="A567" s="19" t="s">
        <v>1480</v>
      </c>
      <c r="B567" s="18" t="s">
        <v>1319</v>
      </c>
      <c r="C567" s="17">
        <v>2</v>
      </c>
      <c r="D567" s="16">
        <v>1.7778</v>
      </c>
      <c r="E567" s="15">
        <v>15.94</v>
      </c>
      <c r="F567" s="15">
        <v>28.34</v>
      </c>
    </row>
    <row r="568" spans="1:6" x14ac:dyDescent="0.25">
      <c r="A568" s="19" t="s">
        <v>1336</v>
      </c>
      <c r="B568" s="18" t="s">
        <v>1319</v>
      </c>
      <c r="C568" s="17">
        <v>8</v>
      </c>
      <c r="D568" s="16">
        <v>7.1111000000000004</v>
      </c>
      <c r="E568" s="15">
        <v>16.5</v>
      </c>
      <c r="F568" s="15">
        <v>117.33</v>
      </c>
    </row>
    <row r="569" spans="1:6" x14ac:dyDescent="0.25">
      <c r="A569" s="19" t="s">
        <v>1540</v>
      </c>
      <c r="B569" s="18" t="s">
        <v>1319</v>
      </c>
      <c r="C569" s="17">
        <v>2</v>
      </c>
      <c r="D569" s="16">
        <v>1.7778</v>
      </c>
      <c r="E569" s="15">
        <v>20.73</v>
      </c>
      <c r="F569" s="15">
        <v>36.85</v>
      </c>
    </row>
    <row r="570" spans="1:6" x14ac:dyDescent="0.25">
      <c r="A570" s="24"/>
      <c r="B570" s="23"/>
      <c r="C570" s="22"/>
      <c r="D570" s="21"/>
      <c r="E570" s="20" t="s">
        <v>1337</v>
      </c>
      <c r="F570" s="20">
        <v>221.07</v>
      </c>
    </row>
    <row r="572" spans="1:6" x14ac:dyDescent="0.25">
      <c r="A572" s="19" t="s">
        <v>1501</v>
      </c>
      <c r="B572" s="18" t="s">
        <v>22</v>
      </c>
      <c r="D572" s="16">
        <v>0.5</v>
      </c>
      <c r="E572" s="15">
        <v>65</v>
      </c>
      <c r="F572" s="15">
        <v>32.5</v>
      </c>
    </row>
    <row r="573" spans="1:6" x14ac:dyDescent="0.25">
      <c r="A573" s="19" t="s">
        <v>1539</v>
      </c>
      <c r="B573" s="18" t="s">
        <v>22</v>
      </c>
      <c r="D573" s="16">
        <v>0.8</v>
      </c>
      <c r="E573" s="15">
        <v>70</v>
      </c>
      <c r="F573" s="15">
        <v>56</v>
      </c>
    </row>
    <row r="574" spans="1:6" x14ac:dyDescent="0.25">
      <c r="A574" s="19" t="s">
        <v>1339</v>
      </c>
      <c r="B574" s="18" t="s">
        <v>1490</v>
      </c>
      <c r="D574" s="16">
        <v>9.1999999999999993</v>
      </c>
      <c r="E574" s="15">
        <v>20</v>
      </c>
      <c r="F574" s="15">
        <v>184</v>
      </c>
    </row>
    <row r="575" spans="1:6" x14ac:dyDescent="0.25">
      <c r="A575" s="19" t="s">
        <v>1538</v>
      </c>
      <c r="B575" s="18" t="s">
        <v>1385</v>
      </c>
      <c r="D575" s="16">
        <v>0.3</v>
      </c>
      <c r="E575" s="15">
        <v>10</v>
      </c>
      <c r="F575" s="15">
        <v>3</v>
      </c>
    </row>
    <row r="576" spans="1:6" x14ac:dyDescent="0.25">
      <c r="A576" s="19" t="s">
        <v>1489</v>
      </c>
      <c r="B576" s="18" t="s">
        <v>22</v>
      </c>
      <c r="D576" s="16">
        <v>0.18</v>
      </c>
      <c r="E576" s="15">
        <v>5</v>
      </c>
      <c r="F576" s="15">
        <v>0.9</v>
      </c>
    </row>
    <row r="577" spans="1:6" x14ac:dyDescent="0.25">
      <c r="A577" s="19" t="s">
        <v>1537</v>
      </c>
      <c r="B577" s="18" t="s">
        <v>156</v>
      </c>
      <c r="D577" s="16">
        <v>8.0000000000000002E-3</v>
      </c>
      <c r="E577" s="15">
        <v>5.9</v>
      </c>
      <c r="F577" s="15">
        <v>0.05</v>
      </c>
    </row>
    <row r="578" spans="1:6" x14ac:dyDescent="0.25">
      <c r="A578" s="24"/>
      <c r="B578" s="23"/>
      <c r="C578" s="22"/>
      <c r="D578" s="21"/>
      <c r="E578" s="20" t="s">
        <v>1343</v>
      </c>
      <c r="F578" s="20">
        <v>276.45</v>
      </c>
    </row>
    <row r="580" spans="1:6" x14ac:dyDescent="0.25">
      <c r="A580" s="19" t="s">
        <v>1536</v>
      </c>
      <c r="B580" s="18" t="s">
        <v>1475</v>
      </c>
      <c r="C580" s="17">
        <v>1</v>
      </c>
      <c r="D580" s="16">
        <v>0.88890000000000002</v>
      </c>
      <c r="E580" s="15">
        <v>6.05</v>
      </c>
      <c r="F580" s="15">
        <v>5.38</v>
      </c>
    </row>
    <row r="581" spans="1:6" x14ac:dyDescent="0.25">
      <c r="A581" s="19" t="s">
        <v>1515</v>
      </c>
      <c r="B581" s="18" t="s">
        <v>1475</v>
      </c>
      <c r="C581" s="17">
        <v>1</v>
      </c>
      <c r="D581" s="16">
        <v>0.88890000000000002</v>
      </c>
      <c r="E581" s="15">
        <v>12.01</v>
      </c>
      <c r="F581" s="15">
        <v>10.68</v>
      </c>
    </row>
    <row r="582" spans="1:6" x14ac:dyDescent="0.25">
      <c r="A582" s="19" t="s">
        <v>1344</v>
      </c>
      <c r="B582" s="18" t="s">
        <v>1345</v>
      </c>
      <c r="D582" s="16">
        <v>3</v>
      </c>
      <c r="E582" s="15">
        <v>221.07</v>
      </c>
      <c r="F582" s="15">
        <v>6.63</v>
      </c>
    </row>
    <row r="583" spans="1:6" x14ac:dyDescent="0.25">
      <c r="A583" s="24"/>
      <c r="B583" s="23"/>
      <c r="C583" s="22"/>
      <c r="D583" s="21"/>
      <c r="E583" s="20" t="s">
        <v>1346</v>
      </c>
      <c r="F583" s="20">
        <v>22.69</v>
      </c>
    </row>
    <row r="586" spans="1:6" x14ac:dyDescent="0.25">
      <c r="A586" s="31" t="s">
        <v>1535</v>
      </c>
      <c r="B586" s="27"/>
      <c r="C586" s="30"/>
      <c r="D586" s="29"/>
      <c r="E586" s="28"/>
      <c r="F586" s="28"/>
    </row>
    <row r="587" spans="1:6" x14ac:dyDescent="0.25">
      <c r="A587" s="31" t="s">
        <v>1534</v>
      </c>
      <c r="B587" s="27"/>
      <c r="C587" s="30" t="s">
        <v>1446</v>
      </c>
      <c r="D587" s="29"/>
      <c r="E587" s="28" t="s">
        <v>1329</v>
      </c>
      <c r="F587" s="28">
        <v>35.25</v>
      </c>
    </row>
    <row r="588" spans="1:6" x14ac:dyDescent="0.25">
      <c r="A588" s="27" t="s">
        <v>1330</v>
      </c>
      <c r="B588" s="27" t="s">
        <v>1331</v>
      </c>
      <c r="C588" s="26" t="s">
        <v>1332</v>
      </c>
      <c r="D588" s="26" t="s">
        <v>1333</v>
      </c>
      <c r="E588" s="25" t="s">
        <v>1334</v>
      </c>
      <c r="F588" s="25" t="s">
        <v>1335</v>
      </c>
    </row>
    <row r="589" spans="1:6" x14ac:dyDescent="0.25">
      <c r="A589" s="19" t="s">
        <v>1350</v>
      </c>
      <c r="B589" s="18" t="s">
        <v>1319</v>
      </c>
      <c r="C589" s="17">
        <v>1</v>
      </c>
      <c r="D589" s="16">
        <v>0.57140000000000002</v>
      </c>
      <c r="E589" s="15">
        <v>19.23</v>
      </c>
      <c r="F589" s="15">
        <v>10.99</v>
      </c>
    </row>
    <row r="590" spans="1:6" x14ac:dyDescent="0.25">
      <c r="A590" s="19" t="s">
        <v>1480</v>
      </c>
      <c r="B590" s="18" t="s">
        <v>1319</v>
      </c>
      <c r="C590" s="17">
        <v>1</v>
      </c>
      <c r="D590" s="16">
        <v>0.57140000000000002</v>
      </c>
      <c r="E590" s="15">
        <v>15.94</v>
      </c>
      <c r="F590" s="15">
        <v>9.11</v>
      </c>
    </row>
    <row r="591" spans="1:6" x14ac:dyDescent="0.25">
      <c r="A591" s="19" t="s">
        <v>1336</v>
      </c>
      <c r="B591" s="18" t="s">
        <v>1319</v>
      </c>
      <c r="C591" s="17">
        <v>0.5</v>
      </c>
      <c r="D591" s="16">
        <v>0.28570000000000001</v>
      </c>
      <c r="E591" s="15">
        <v>16.5</v>
      </c>
      <c r="F591" s="15">
        <v>4.71</v>
      </c>
    </row>
    <row r="592" spans="1:6" x14ac:dyDescent="0.25">
      <c r="A592" s="24"/>
      <c r="B592" s="23"/>
      <c r="C592" s="22"/>
      <c r="D592" s="21"/>
      <c r="E592" s="20" t="s">
        <v>1337</v>
      </c>
      <c r="F592" s="20">
        <v>24.81</v>
      </c>
    </row>
    <row r="594" spans="1:6" x14ac:dyDescent="0.25">
      <c r="A594" s="19" t="s">
        <v>1529</v>
      </c>
      <c r="B594" s="18" t="s">
        <v>156</v>
      </c>
      <c r="D594" s="16">
        <v>0.5</v>
      </c>
      <c r="E594" s="15">
        <v>4</v>
      </c>
      <c r="F594" s="15">
        <v>2</v>
      </c>
    </row>
    <row r="595" spans="1:6" x14ac:dyDescent="0.25">
      <c r="A595" s="19" t="s">
        <v>1518</v>
      </c>
      <c r="B595" s="18" t="s">
        <v>156</v>
      </c>
      <c r="D595" s="16">
        <v>0.2</v>
      </c>
      <c r="E595" s="15">
        <v>4.5</v>
      </c>
      <c r="F595" s="15">
        <v>0.9</v>
      </c>
    </row>
    <row r="596" spans="1:6" x14ac:dyDescent="0.25">
      <c r="A596" s="19" t="s">
        <v>1533</v>
      </c>
      <c r="B596" s="18" t="s">
        <v>594</v>
      </c>
      <c r="D596" s="16">
        <v>1.5</v>
      </c>
      <c r="E596" s="15">
        <v>4.2</v>
      </c>
      <c r="F596" s="15">
        <v>6.3</v>
      </c>
    </row>
    <row r="597" spans="1:6" x14ac:dyDescent="0.25">
      <c r="A597" s="24"/>
      <c r="B597" s="23"/>
      <c r="C597" s="22"/>
      <c r="D597" s="21"/>
      <c r="E597" s="20" t="s">
        <v>1343</v>
      </c>
      <c r="F597" s="20">
        <v>9.1999999999999993</v>
      </c>
    </row>
    <row r="599" spans="1:6" x14ac:dyDescent="0.25">
      <c r="A599" s="19" t="s">
        <v>1344</v>
      </c>
      <c r="B599" s="18" t="s">
        <v>1345</v>
      </c>
      <c r="D599" s="16">
        <v>5</v>
      </c>
      <c r="E599" s="15">
        <v>24.81</v>
      </c>
      <c r="F599" s="15">
        <v>1.24</v>
      </c>
    </row>
    <row r="600" spans="1:6" x14ac:dyDescent="0.25">
      <c r="A600" s="24"/>
      <c r="B600" s="23"/>
      <c r="C600" s="22"/>
      <c r="D600" s="21"/>
      <c r="E600" s="20" t="s">
        <v>1346</v>
      </c>
      <c r="F600" s="20">
        <v>1.24</v>
      </c>
    </row>
    <row r="603" spans="1:6" x14ac:dyDescent="0.25">
      <c r="A603" s="31" t="s">
        <v>1532</v>
      </c>
      <c r="B603" s="27"/>
      <c r="C603" s="30"/>
      <c r="D603" s="29"/>
      <c r="E603" s="28"/>
      <c r="F603" s="28"/>
    </row>
    <row r="604" spans="1:6" x14ac:dyDescent="0.25">
      <c r="A604" s="31" t="s">
        <v>1531</v>
      </c>
      <c r="B604" s="27"/>
      <c r="C604" s="30" t="s">
        <v>1530</v>
      </c>
      <c r="D604" s="29"/>
      <c r="E604" s="28" t="s">
        <v>1329</v>
      </c>
      <c r="F604" s="28">
        <v>6.07</v>
      </c>
    </row>
    <row r="605" spans="1:6" x14ac:dyDescent="0.25">
      <c r="A605" s="27" t="s">
        <v>1330</v>
      </c>
      <c r="B605" s="27" t="s">
        <v>1331</v>
      </c>
      <c r="C605" s="26" t="s">
        <v>1332</v>
      </c>
      <c r="D605" s="26" t="s">
        <v>1333</v>
      </c>
      <c r="E605" s="25" t="s">
        <v>1334</v>
      </c>
      <c r="F605" s="25" t="s">
        <v>1335</v>
      </c>
    </row>
    <row r="606" spans="1:6" x14ac:dyDescent="0.25">
      <c r="A606" s="19" t="s">
        <v>1387</v>
      </c>
      <c r="B606" s="18" t="s">
        <v>1319</v>
      </c>
      <c r="C606" s="17">
        <v>0.1</v>
      </c>
      <c r="D606" s="16">
        <v>3.2000000000000002E-3</v>
      </c>
      <c r="E606" s="15">
        <v>24.5</v>
      </c>
      <c r="F606" s="15">
        <v>0.08</v>
      </c>
    </row>
    <row r="607" spans="1:6" x14ac:dyDescent="0.25">
      <c r="A607" s="19" t="s">
        <v>1350</v>
      </c>
      <c r="B607" s="18" t="s">
        <v>1319</v>
      </c>
      <c r="C607" s="17">
        <v>1</v>
      </c>
      <c r="D607" s="16">
        <v>3.2000000000000001E-2</v>
      </c>
      <c r="E607" s="15">
        <v>19.23</v>
      </c>
      <c r="F607" s="15">
        <v>0.62</v>
      </c>
    </row>
    <row r="608" spans="1:6" x14ac:dyDescent="0.25">
      <c r="A608" s="19" t="s">
        <v>1480</v>
      </c>
      <c r="B608" s="18" t="s">
        <v>1319</v>
      </c>
      <c r="C608" s="17">
        <v>1</v>
      </c>
      <c r="D608" s="16">
        <v>3.2000000000000001E-2</v>
      </c>
      <c r="E608" s="15">
        <v>15.94</v>
      </c>
      <c r="F608" s="15">
        <v>0.51</v>
      </c>
    </row>
    <row r="609" spans="1:6" x14ac:dyDescent="0.25">
      <c r="A609" s="19" t="s">
        <v>1336</v>
      </c>
      <c r="B609" s="18" t="s">
        <v>1319</v>
      </c>
      <c r="C609" s="17">
        <v>1</v>
      </c>
      <c r="D609" s="16">
        <v>3.2000000000000001E-2</v>
      </c>
      <c r="E609" s="15">
        <v>16.5</v>
      </c>
      <c r="F609" s="15">
        <v>0.53</v>
      </c>
    </row>
    <row r="610" spans="1:6" x14ac:dyDescent="0.25">
      <c r="A610" s="24"/>
      <c r="B610" s="23"/>
      <c r="C610" s="22"/>
      <c r="D610" s="21"/>
      <c r="E610" s="20" t="s">
        <v>1337</v>
      </c>
      <c r="F610" s="20">
        <v>1.74</v>
      </c>
    </row>
    <row r="612" spans="1:6" x14ac:dyDescent="0.25">
      <c r="A612" s="19" t="s">
        <v>1529</v>
      </c>
      <c r="B612" s="18" t="s">
        <v>156</v>
      </c>
      <c r="D612" s="16">
        <v>0.05</v>
      </c>
      <c r="E612" s="15">
        <v>4</v>
      </c>
      <c r="F612" s="15">
        <v>0.2</v>
      </c>
    </row>
    <row r="613" spans="1:6" x14ac:dyDescent="0.25">
      <c r="A613" s="19" t="s">
        <v>1528</v>
      </c>
      <c r="B613" s="18" t="s">
        <v>156</v>
      </c>
      <c r="D613" s="16">
        <v>1.05</v>
      </c>
      <c r="E613" s="15">
        <v>3.85</v>
      </c>
      <c r="F613" s="15">
        <v>4.04</v>
      </c>
    </row>
    <row r="614" spans="1:6" x14ac:dyDescent="0.25">
      <c r="A614" s="24"/>
      <c r="B614" s="23"/>
      <c r="C614" s="22"/>
      <c r="D614" s="21"/>
      <c r="E614" s="20" t="s">
        <v>1343</v>
      </c>
      <c r="F614" s="20">
        <v>4.24</v>
      </c>
    </row>
    <row r="616" spans="1:6" x14ac:dyDescent="0.25">
      <c r="A616" s="19" t="s">
        <v>1344</v>
      </c>
      <c r="B616" s="18" t="s">
        <v>1345</v>
      </c>
      <c r="D616" s="16">
        <v>5</v>
      </c>
      <c r="E616" s="15">
        <v>1.74</v>
      </c>
      <c r="F616" s="15">
        <v>0.09</v>
      </c>
    </row>
    <row r="617" spans="1:6" x14ac:dyDescent="0.25">
      <c r="A617" s="24"/>
      <c r="B617" s="23"/>
      <c r="C617" s="22"/>
      <c r="D617" s="21"/>
      <c r="E617" s="20" t="s">
        <v>1346</v>
      </c>
      <c r="F617" s="20">
        <v>0.09</v>
      </c>
    </row>
    <row r="620" spans="1:6" x14ac:dyDescent="0.25">
      <c r="A620" s="31" t="s">
        <v>1527</v>
      </c>
      <c r="B620" s="27"/>
      <c r="C620" s="30"/>
      <c r="D620" s="29"/>
      <c r="E620" s="28"/>
      <c r="F620" s="28"/>
    </row>
    <row r="621" spans="1:6" x14ac:dyDescent="0.25">
      <c r="A621" s="31" t="s">
        <v>1526</v>
      </c>
      <c r="B621" s="27"/>
      <c r="C621" s="30" t="s">
        <v>1446</v>
      </c>
      <c r="D621" s="29"/>
      <c r="E621" s="28" t="s">
        <v>1329</v>
      </c>
      <c r="F621" s="28">
        <v>92.02</v>
      </c>
    </row>
    <row r="622" spans="1:6" x14ac:dyDescent="0.25">
      <c r="A622" s="27" t="s">
        <v>1330</v>
      </c>
      <c r="B622" s="27" t="s">
        <v>1331</v>
      </c>
      <c r="C622" s="26" t="s">
        <v>1332</v>
      </c>
      <c r="D622" s="26" t="s">
        <v>1333</v>
      </c>
      <c r="E622" s="25" t="s">
        <v>1334</v>
      </c>
      <c r="F622" s="25" t="s">
        <v>1335</v>
      </c>
    </row>
    <row r="623" spans="1:6" x14ac:dyDescent="0.25">
      <c r="A623" s="19" t="s">
        <v>1387</v>
      </c>
      <c r="B623" s="18" t="s">
        <v>1319</v>
      </c>
      <c r="C623" s="17">
        <v>0.1</v>
      </c>
      <c r="D623" s="16">
        <v>0.1231</v>
      </c>
      <c r="E623" s="15">
        <v>24.5</v>
      </c>
      <c r="F623" s="15">
        <v>3.02</v>
      </c>
    </row>
    <row r="624" spans="1:6" x14ac:dyDescent="0.25">
      <c r="A624" s="19" t="s">
        <v>1350</v>
      </c>
      <c r="B624" s="18" t="s">
        <v>1319</v>
      </c>
      <c r="C624" s="17">
        <v>1.01</v>
      </c>
      <c r="D624" s="16">
        <v>1.2431000000000001</v>
      </c>
      <c r="E624" s="15">
        <v>19.23</v>
      </c>
      <c r="F624" s="15">
        <v>23.9</v>
      </c>
    </row>
    <row r="625" spans="1:6" x14ac:dyDescent="0.25">
      <c r="A625" s="19" t="s">
        <v>1336</v>
      </c>
      <c r="B625" s="18" t="s">
        <v>1319</v>
      </c>
      <c r="C625" s="17">
        <v>0.5</v>
      </c>
      <c r="D625" s="16">
        <v>0.61539999999999995</v>
      </c>
      <c r="E625" s="15">
        <v>16.5</v>
      </c>
      <c r="F625" s="15">
        <v>10.15</v>
      </c>
    </row>
    <row r="626" spans="1:6" x14ac:dyDescent="0.25">
      <c r="A626" s="24"/>
      <c r="B626" s="23"/>
      <c r="C626" s="22"/>
      <c r="D626" s="21"/>
      <c r="E626" s="20" t="s">
        <v>1337</v>
      </c>
      <c r="F626" s="20">
        <v>37.07</v>
      </c>
    </row>
    <row r="628" spans="1:6" x14ac:dyDescent="0.25">
      <c r="A628" s="19" t="s">
        <v>1518</v>
      </c>
      <c r="B628" s="18" t="s">
        <v>156</v>
      </c>
      <c r="D628" s="16">
        <v>2.1999999999999999E-2</v>
      </c>
      <c r="E628" s="15">
        <v>4.5</v>
      </c>
      <c r="F628" s="15">
        <v>0.1</v>
      </c>
    </row>
    <row r="629" spans="1:6" x14ac:dyDescent="0.25">
      <c r="A629" s="19" t="s">
        <v>1501</v>
      </c>
      <c r="B629" s="18" t="s">
        <v>22</v>
      </c>
      <c r="D629" s="16">
        <v>6.13E-2</v>
      </c>
      <c r="E629" s="15">
        <v>65</v>
      </c>
      <c r="F629" s="15">
        <v>3.98</v>
      </c>
    </row>
    <row r="630" spans="1:6" x14ac:dyDescent="0.25">
      <c r="A630" s="19" t="s">
        <v>1523</v>
      </c>
      <c r="B630" s="18" t="s">
        <v>1491</v>
      </c>
      <c r="D630" s="16">
        <v>6.9000000000000006E-2</v>
      </c>
      <c r="E630" s="15">
        <v>537.6</v>
      </c>
      <c r="F630" s="15">
        <v>37.090000000000003</v>
      </c>
    </row>
    <row r="631" spans="1:6" x14ac:dyDescent="0.25">
      <c r="A631" s="19" t="s">
        <v>1339</v>
      </c>
      <c r="B631" s="18" t="s">
        <v>1490</v>
      </c>
      <c r="D631" s="16">
        <v>0.54549999999999998</v>
      </c>
      <c r="E631" s="15">
        <v>20</v>
      </c>
      <c r="F631" s="15">
        <v>10.91</v>
      </c>
    </row>
    <row r="632" spans="1:6" x14ac:dyDescent="0.25">
      <c r="A632" s="19" t="s">
        <v>1489</v>
      </c>
      <c r="B632" s="18" t="s">
        <v>22</v>
      </c>
      <c r="D632" s="16">
        <v>1.43E-2</v>
      </c>
      <c r="E632" s="15">
        <v>5</v>
      </c>
      <c r="F632" s="15">
        <v>7.0000000000000007E-2</v>
      </c>
    </row>
    <row r="633" spans="1:6" x14ac:dyDescent="0.25">
      <c r="A633" s="19" t="s">
        <v>1341</v>
      </c>
      <c r="B633" s="18" t="s">
        <v>594</v>
      </c>
      <c r="D633" s="16">
        <v>0.40300000000000002</v>
      </c>
      <c r="E633" s="15">
        <v>4.2</v>
      </c>
      <c r="F633" s="15">
        <v>1.69</v>
      </c>
    </row>
    <row r="634" spans="1:6" x14ac:dyDescent="0.25">
      <c r="A634" s="24"/>
      <c r="B634" s="23"/>
      <c r="C634" s="22"/>
      <c r="D634" s="21"/>
      <c r="E634" s="20" t="s">
        <v>1343</v>
      </c>
      <c r="F634" s="20">
        <v>53.84</v>
      </c>
    </row>
    <row r="636" spans="1:6" x14ac:dyDescent="0.25">
      <c r="A636" s="19" t="s">
        <v>1344</v>
      </c>
      <c r="B636" s="18" t="s">
        <v>1345</v>
      </c>
      <c r="D636" s="16">
        <v>3</v>
      </c>
      <c r="E636" s="15">
        <v>37.07</v>
      </c>
      <c r="F636" s="15">
        <v>1.1100000000000001</v>
      </c>
    </row>
    <row r="637" spans="1:6" x14ac:dyDescent="0.25">
      <c r="A637" s="24"/>
      <c r="B637" s="23"/>
      <c r="C637" s="22"/>
      <c r="D637" s="21"/>
      <c r="E637" s="20" t="s">
        <v>1346</v>
      </c>
      <c r="F637" s="20">
        <v>1.1100000000000001</v>
      </c>
    </row>
    <row r="640" spans="1:6" x14ac:dyDescent="0.25">
      <c r="A640" s="31" t="s">
        <v>1525</v>
      </c>
      <c r="B640" s="27"/>
      <c r="C640" s="30"/>
      <c r="D640" s="29"/>
      <c r="E640" s="28"/>
      <c r="F640" s="28"/>
    </row>
    <row r="641" spans="1:6" x14ac:dyDescent="0.25">
      <c r="A641" s="31" t="s">
        <v>1524</v>
      </c>
      <c r="B641" s="27"/>
      <c r="C641" s="30" t="s">
        <v>1446</v>
      </c>
      <c r="D641" s="29"/>
      <c r="E641" s="28" t="s">
        <v>1329</v>
      </c>
      <c r="F641" s="28">
        <v>55.45</v>
      </c>
    </row>
    <row r="642" spans="1:6" x14ac:dyDescent="0.25">
      <c r="A642" s="27" t="s">
        <v>1330</v>
      </c>
      <c r="B642" s="27" t="s">
        <v>1331</v>
      </c>
      <c r="C642" s="26" t="s">
        <v>1332</v>
      </c>
      <c r="D642" s="26" t="s">
        <v>1333</v>
      </c>
      <c r="E642" s="25" t="s">
        <v>1334</v>
      </c>
      <c r="F642" s="25" t="s">
        <v>1335</v>
      </c>
    </row>
    <row r="643" spans="1:6" x14ac:dyDescent="0.25">
      <c r="A643" s="19" t="s">
        <v>1387</v>
      </c>
      <c r="B643" s="18" t="s">
        <v>1319</v>
      </c>
      <c r="C643" s="17">
        <v>0.1</v>
      </c>
      <c r="D643" s="16">
        <v>8.4199999999999997E-2</v>
      </c>
      <c r="E643" s="15">
        <v>24.5</v>
      </c>
      <c r="F643" s="15">
        <v>2.06</v>
      </c>
    </row>
    <row r="644" spans="1:6" x14ac:dyDescent="0.25">
      <c r="A644" s="19" t="s">
        <v>1350</v>
      </c>
      <c r="B644" s="18" t="s">
        <v>1319</v>
      </c>
      <c r="C644" s="17">
        <v>1</v>
      </c>
      <c r="D644" s="16">
        <v>0.84209999999999996</v>
      </c>
      <c r="E644" s="15">
        <v>19.23</v>
      </c>
      <c r="F644" s="15">
        <v>16.190000000000001</v>
      </c>
    </row>
    <row r="645" spans="1:6" x14ac:dyDescent="0.25">
      <c r="A645" s="19" t="s">
        <v>1336</v>
      </c>
      <c r="B645" s="18" t="s">
        <v>1319</v>
      </c>
      <c r="C645" s="17">
        <v>0.5</v>
      </c>
      <c r="D645" s="16">
        <v>0.42109999999999997</v>
      </c>
      <c r="E645" s="15">
        <v>16.5</v>
      </c>
      <c r="F645" s="15">
        <v>6.95</v>
      </c>
    </row>
    <row r="646" spans="1:6" x14ac:dyDescent="0.25">
      <c r="A646" s="24"/>
      <c r="B646" s="23"/>
      <c r="C646" s="22"/>
      <c r="D646" s="21"/>
      <c r="E646" s="20" t="s">
        <v>1337</v>
      </c>
      <c r="F646" s="20">
        <v>25.2</v>
      </c>
    </row>
    <row r="648" spans="1:6" x14ac:dyDescent="0.25">
      <c r="A648" s="19" t="s">
        <v>1518</v>
      </c>
      <c r="B648" s="18" t="s">
        <v>156</v>
      </c>
      <c r="D648" s="16">
        <v>2.1999999999999999E-2</v>
      </c>
      <c r="E648" s="15">
        <v>4.5</v>
      </c>
      <c r="F648" s="15">
        <v>0.1</v>
      </c>
    </row>
    <row r="649" spans="1:6" x14ac:dyDescent="0.25">
      <c r="A649" s="19" t="s">
        <v>1501</v>
      </c>
      <c r="B649" s="18" t="s">
        <v>22</v>
      </c>
      <c r="D649" s="16">
        <v>2.75E-2</v>
      </c>
      <c r="E649" s="15">
        <v>65</v>
      </c>
      <c r="F649" s="15">
        <v>1.79</v>
      </c>
    </row>
    <row r="650" spans="1:6" x14ac:dyDescent="0.25">
      <c r="A650" s="19" t="s">
        <v>1523</v>
      </c>
      <c r="B650" s="18" t="s">
        <v>1491</v>
      </c>
      <c r="D650" s="16">
        <v>3.9E-2</v>
      </c>
      <c r="E650" s="15">
        <v>537.6</v>
      </c>
      <c r="F650" s="15">
        <v>20.97</v>
      </c>
    </row>
    <row r="651" spans="1:6" x14ac:dyDescent="0.25">
      <c r="A651" s="19" t="s">
        <v>1339</v>
      </c>
      <c r="B651" s="18" t="s">
        <v>1490</v>
      </c>
      <c r="D651" s="16">
        <v>0.2452</v>
      </c>
      <c r="E651" s="15">
        <v>20</v>
      </c>
      <c r="F651" s="15">
        <v>4.9000000000000004</v>
      </c>
    </row>
    <row r="652" spans="1:6" x14ac:dyDescent="0.25">
      <c r="A652" s="19" t="s">
        <v>1489</v>
      </c>
      <c r="B652" s="18" t="s">
        <v>22</v>
      </c>
      <c r="D652" s="16">
        <v>7.6E-3</v>
      </c>
      <c r="E652" s="15">
        <v>5</v>
      </c>
      <c r="F652" s="15">
        <v>0.04</v>
      </c>
    </row>
    <row r="653" spans="1:6" x14ac:dyDescent="0.25">
      <c r="A653" s="19" t="s">
        <v>1341</v>
      </c>
      <c r="B653" s="18" t="s">
        <v>594</v>
      </c>
      <c r="D653" s="16">
        <v>0.40300000000000002</v>
      </c>
      <c r="E653" s="15">
        <v>4.2</v>
      </c>
      <c r="F653" s="15">
        <v>1.69</v>
      </c>
    </row>
    <row r="654" spans="1:6" x14ac:dyDescent="0.25">
      <c r="A654" s="24"/>
      <c r="B654" s="23"/>
      <c r="C654" s="22"/>
      <c r="D654" s="21"/>
      <c r="E654" s="20" t="s">
        <v>1343</v>
      </c>
      <c r="F654" s="20">
        <v>29.49</v>
      </c>
    </row>
    <row r="656" spans="1:6" x14ac:dyDescent="0.25">
      <c r="A656" s="19" t="s">
        <v>1344</v>
      </c>
      <c r="B656" s="18" t="s">
        <v>1345</v>
      </c>
      <c r="D656" s="16">
        <v>3</v>
      </c>
      <c r="E656" s="15">
        <v>25.2</v>
      </c>
      <c r="F656" s="15">
        <v>0.76</v>
      </c>
    </row>
    <row r="657" spans="1:6" x14ac:dyDescent="0.25">
      <c r="A657" s="24"/>
      <c r="B657" s="23"/>
      <c r="C657" s="22"/>
      <c r="D657" s="21"/>
      <c r="E657" s="20" t="s">
        <v>1346</v>
      </c>
      <c r="F657" s="20">
        <v>0.76</v>
      </c>
    </row>
    <row r="660" spans="1:6" x14ac:dyDescent="0.25">
      <c r="A660" s="31" t="s">
        <v>1522</v>
      </c>
      <c r="B660" s="27"/>
      <c r="C660" s="30"/>
      <c r="D660" s="29"/>
      <c r="E660" s="28"/>
      <c r="F660" s="28"/>
    </row>
    <row r="661" spans="1:6" x14ac:dyDescent="0.25">
      <c r="A661" s="31" t="s">
        <v>1521</v>
      </c>
      <c r="B661" s="27"/>
      <c r="C661" s="30" t="s">
        <v>1446</v>
      </c>
      <c r="D661" s="29"/>
      <c r="E661" s="28" t="s">
        <v>1329</v>
      </c>
      <c r="F661" s="28">
        <v>20.3</v>
      </c>
    </row>
    <row r="662" spans="1:6" x14ac:dyDescent="0.25">
      <c r="A662" s="27" t="s">
        <v>1330</v>
      </c>
      <c r="B662" s="27" t="s">
        <v>1331</v>
      </c>
      <c r="C662" s="26" t="s">
        <v>1332</v>
      </c>
      <c r="D662" s="26" t="s">
        <v>1333</v>
      </c>
      <c r="E662" s="25" t="s">
        <v>1334</v>
      </c>
      <c r="F662" s="25" t="s">
        <v>1335</v>
      </c>
    </row>
    <row r="663" spans="1:6" x14ac:dyDescent="0.25">
      <c r="A663" s="19" t="s">
        <v>1387</v>
      </c>
      <c r="B663" s="18" t="s">
        <v>1319</v>
      </c>
      <c r="C663" s="17">
        <v>0.1</v>
      </c>
      <c r="D663" s="16">
        <v>5.33E-2</v>
      </c>
      <c r="E663" s="15">
        <v>24.5</v>
      </c>
      <c r="F663" s="15">
        <v>1.31</v>
      </c>
    </row>
    <row r="664" spans="1:6" x14ac:dyDescent="0.25">
      <c r="A664" s="19" t="s">
        <v>1350</v>
      </c>
      <c r="B664" s="18" t="s">
        <v>1319</v>
      </c>
      <c r="C664" s="17">
        <v>1</v>
      </c>
      <c r="D664" s="16">
        <v>0.5333</v>
      </c>
      <c r="E664" s="15">
        <v>19.23</v>
      </c>
      <c r="F664" s="15">
        <v>10.26</v>
      </c>
    </row>
    <row r="665" spans="1:6" x14ac:dyDescent="0.25">
      <c r="A665" s="19" t="s">
        <v>1336</v>
      </c>
      <c r="B665" s="18" t="s">
        <v>1319</v>
      </c>
      <c r="C665" s="17">
        <v>0.33</v>
      </c>
      <c r="D665" s="16">
        <v>0.17599999999999999</v>
      </c>
      <c r="E665" s="15">
        <v>16.5</v>
      </c>
      <c r="F665" s="15">
        <v>2.9</v>
      </c>
    </row>
    <row r="666" spans="1:6" x14ac:dyDescent="0.25">
      <c r="A666" s="24"/>
      <c r="B666" s="23"/>
      <c r="C666" s="22"/>
      <c r="D666" s="21"/>
      <c r="E666" s="20" t="s">
        <v>1337</v>
      </c>
      <c r="F666" s="20">
        <v>14.47</v>
      </c>
    </row>
    <row r="668" spans="1:6" x14ac:dyDescent="0.25">
      <c r="A668" s="19" t="s">
        <v>1518</v>
      </c>
      <c r="B668" s="18" t="s">
        <v>156</v>
      </c>
      <c r="D668" s="16">
        <v>2.1999999999999999E-2</v>
      </c>
      <c r="E668" s="15">
        <v>4.5</v>
      </c>
      <c r="F668" s="15">
        <v>0.1</v>
      </c>
    </row>
    <row r="669" spans="1:6" x14ac:dyDescent="0.25">
      <c r="A669" s="19" t="s">
        <v>1493</v>
      </c>
      <c r="B669" s="18" t="s">
        <v>22</v>
      </c>
      <c r="D669" s="16">
        <v>1.77E-2</v>
      </c>
      <c r="E669" s="15">
        <v>65</v>
      </c>
      <c r="F669" s="15">
        <v>1.1499999999999999</v>
      </c>
    </row>
    <row r="670" spans="1:6" x14ac:dyDescent="0.25">
      <c r="A670" s="19" t="s">
        <v>1339</v>
      </c>
      <c r="B670" s="18" t="s">
        <v>1490</v>
      </c>
      <c r="D670" s="16">
        <v>0.14460000000000001</v>
      </c>
      <c r="E670" s="15">
        <v>20</v>
      </c>
      <c r="F670" s="15">
        <v>2.89</v>
      </c>
    </row>
    <row r="671" spans="1:6" x14ac:dyDescent="0.25">
      <c r="A671" s="19" t="s">
        <v>1489</v>
      </c>
      <c r="B671" s="18" t="s">
        <v>22</v>
      </c>
      <c r="D671" s="16">
        <v>4.4000000000000003E-3</v>
      </c>
      <c r="E671" s="15">
        <v>5</v>
      </c>
      <c r="F671" s="15">
        <v>0.02</v>
      </c>
    </row>
    <row r="672" spans="1:6" x14ac:dyDescent="0.25">
      <c r="A672" s="19" t="s">
        <v>1495</v>
      </c>
      <c r="B672" s="18" t="s">
        <v>594</v>
      </c>
      <c r="D672" s="16">
        <v>2.5000000000000001E-2</v>
      </c>
      <c r="E672" s="15">
        <v>4.5</v>
      </c>
      <c r="F672" s="15">
        <v>0.11</v>
      </c>
    </row>
    <row r="673" spans="1:6" x14ac:dyDescent="0.25">
      <c r="A673" s="19" t="s">
        <v>1341</v>
      </c>
      <c r="B673" s="18" t="s">
        <v>594</v>
      </c>
      <c r="D673" s="16">
        <v>0.20100000000000001</v>
      </c>
      <c r="E673" s="15">
        <v>4.2</v>
      </c>
      <c r="F673" s="15">
        <v>0.84</v>
      </c>
    </row>
    <row r="674" spans="1:6" x14ac:dyDescent="0.25">
      <c r="A674" s="24"/>
      <c r="B674" s="23"/>
      <c r="C674" s="22"/>
      <c r="D674" s="21"/>
      <c r="E674" s="20" t="s">
        <v>1343</v>
      </c>
      <c r="F674" s="20">
        <v>5.1100000000000003</v>
      </c>
    </row>
    <row r="676" spans="1:6" x14ac:dyDescent="0.25">
      <c r="A676" s="19" t="s">
        <v>1344</v>
      </c>
      <c r="B676" s="18" t="s">
        <v>1345</v>
      </c>
      <c r="D676" s="16">
        <v>5</v>
      </c>
      <c r="E676" s="15">
        <v>14.47</v>
      </c>
      <c r="F676" s="15">
        <v>0.72</v>
      </c>
    </row>
    <row r="677" spans="1:6" x14ac:dyDescent="0.25">
      <c r="A677" s="24"/>
      <c r="B677" s="23"/>
      <c r="C677" s="22"/>
      <c r="D677" s="21"/>
      <c r="E677" s="20" t="s">
        <v>1346</v>
      </c>
      <c r="F677" s="20">
        <v>0.72</v>
      </c>
    </row>
    <row r="680" spans="1:6" x14ac:dyDescent="0.25">
      <c r="A680" s="31" t="s">
        <v>1520</v>
      </c>
      <c r="B680" s="27"/>
      <c r="C680" s="30"/>
      <c r="D680" s="29"/>
      <c r="E680" s="28"/>
      <c r="F680" s="28"/>
    </row>
    <row r="681" spans="1:6" x14ac:dyDescent="0.25">
      <c r="A681" s="31" t="s">
        <v>1513</v>
      </c>
      <c r="B681" s="27"/>
      <c r="C681" s="30" t="s">
        <v>1446</v>
      </c>
      <c r="D681" s="29"/>
      <c r="E681" s="28" t="s">
        <v>1329</v>
      </c>
      <c r="F681" s="28">
        <v>23.61</v>
      </c>
    </row>
    <row r="682" spans="1:6" x14ac:dyDescent="0.25">
      <c r="A682" s="27" t="s">
        <v>1330</v>
      </c>
      <c r="B682" s="27" t="s">
        <v>1331</v>
      </c>
      <c r="C682" s="26" t="s">
        <v>1332</v>
      </c>
      <c r="D682" s="26" t="s">
        <v>1333</v>
      </c>
      <c r="E682" s="25" t="s">
        <v>1334</v>
      </c>
      <c r="F682" s="25" t="s">
        <v>1335</v>
      </c>
    </row>
    <row r="683" spans="1:6" x14ac:dyDescent="0.25">
      <c r="A683" s="19" t="s">
        <v>1387</v>
      </c>
      <c r="B683" s="18" t="s">
        <v>1319</v>
      </c>
      <c r="C683" s="17">
        <v>0.1</v>
      </c>
      <c r="D683" s="16">
        <v>6.6699999999999995E-2</v>
      </c>
      <c r="E683" s="15">
        <v>24.5</v>
      </c>
      <c r="F683" s="15">
        <v>1.63</v>
      </c>
    </row>
    <row r="684" spans="1:6" x14ac:dyDescent="0.25">
      <c r="A684" s="19" t="s">
        <v>1350</v>
      </c>
      <c r="B684" s="18" t="s">
        <v>1319</v>
      </c>
      <c r="C684" s="17">
        <v>1</v>
      </c>
      <c r="D684" s="16">
        <v>0.66669999999999996</v>
      </c>
      <c r="E684" s="15">
        <v>19.23</v>
      </c>
      <c r="F684" s="15">
        <v>12.82</v>
      </c>
    </row>
    <row r="685" spans="1:6" x14ac:dyDescent="0.25">
      <c r="A685" s="19" t="s">
        <v>1336</v>
      </c>
      <c r="B685" s="18" t="s">
        <v>1319</v>
      </c>
      <c r="C685" s="17">
        <v>0.33</v>
      </c>
      <c r="D685" s="16">
        <v>0.22</v>
      </c>
      <c r="E685" s="15">
        <v>16.5</v>
      </c>
      <c r="F685" s="15">
        <v>3.63</v>
      </c>
    </row>
    <row r="686" spans="1:6" x14ac:dyDescent="0.25">
      <c r="A686" s="24"/>
      <c r="B686" s="23"/>
      <c r="C686" s="22"/>
      <c r="D686" s="21"/>
      <c r="E686" s="20" t="s">
        <v>1337</v>
      </c>
      <c r="F686" s="20">
        <v>18.079999999999998</v>
      </c>
    </row>
    <row r="688" spans="1:6" x14ac:dyDescent="0.25">
      <c r="A688" s="19" t="s">
        <v>1518</v>
      </c>
      <c r="B688" s="18" t="s">
        <v>156</v>
      </c>
      <c r="D688" s="16">
        <v>2.1999999999999999E-2</v>
      </c>
      <c r="E688" s="15">
        <v>4.5</v>
      </c>
      <c r="F688" s="15">
        <v>0.1</v>
      </c>
    </row>
    <row r="689" spans="1:6" x14ac:dyDescent="0.25">
      <c r="A689" s="19" t="s">
        <v>1493</v>
      </c>
      <c r="B689" s="18" t="s">
        <v>22</v>
      </c>
      <c r="D689" s="16">
        <v>1.8200000000000001E-2</v>
      </c>
      <c r="E689" s="15">
        <v>65</v>
      </c>
      <c r="F689" s="15">
        <v>1.18</v>
      </c>
    </row>
    <row r="690" spans="1:6" x14ac:dyDescent="0.25">
      <c r="A690" s="19" t="s">
        <v>1339</v>
      </c>
      <c r="B690" s="18" t="s">
        <v>1490</v>
      </c>
      <c r="D690" s="16">
        <v>0.11899999999999999</v>
      </c>
      <c r="E690" s="15">
        <v>20</v>
      </c>
      <c r="F690" s="15">
        <v>2.38</v>
      </c>
    </row>
    <row r="691" spans="1:6" x14ac:dyDescent="0.25">
      <c r="A691" s="19" t="s">
        <v>1489</v>
      </c>
      <c r="B691" s="18" t="s">
        <v>22</v>
      </c>
      <c r="D691" s="16">
        <v>4.3E-3</v>
      </c>
      <c r="E691" s="15">
        <v>5</v>
      </c>
      <c r="F691" s="15">
        <v>0.02</v>
      </c>
    </row>
    <row r="692" spans="1:6" x14ac:dyDescent="0.25">
      <c r="A692" s="19" t="s">
        <v>1495</v>
      </c>
      <c r="B692" s="18" t="s">
        <v>594</v>
      </c>
      <c r="D692" s="16">
        <v>2.4E-2</v>
      </c>
      <c r="E692" s="15">
        <v>4.5</v>
      </c>
      <c r="F692" s="15">
        <v>0.11</v>
      </c>
    </row>
    <row r="693" spans="1:6" x14ac:dyDescent="0.25">
      <c r="A693" s="19" t="s">
        <v>1341</v>
      </c>
      <c r="B693" s="18" t="s">
        <v>594</v>
      </c>
      <c r="D693" s="16">
        <v>0.20100000000000001</v>
      </c>
      <c r="E693" s="15">
        <v>4.2</v>
      </c>
      <c r="F693" s="15">
        <v>0.84</v>
      </c>
    </row>
    <row r="694" spans="1:6" x14ac:dyDescent="0.25">
      <c r="A694" s="24"/>
      <c r="B694" s="23"/>
      <c r="C694" s="22"/>
      <c r="D694" s="21"/>
      <c r="E694" s="20" t="s">
        <v>1343</v>
      </c>
      <c r="F694" s="20">
        <v>4.63</v>
      </c>
    </row>
    <row r="696" spans="1:6" x14ac:dyDescent="0.25">
      <c r="A696" s="19" t="s">
        <v>1344</v>
      </c>
      <c r="B696" s="18" t="s">
        <v>1345</v>
      </c>
      <c r="D696" s="16">
        <v>5</v>
      </c>
      <c r="E696" s="15">
        <v>18.079999999999998</v>
      </c>
      <c r="F696" s="15">
        <v>0.9</v>
      </c>
    </row>
    <row r="697" spans="1:6" x14ac:dyDescent="0.25">
      <c r="A697" s="24"/>
      <c r="B697" s="23"/>
      <c r="C697" s="22"/>
      <c r="D697" s="21"/>
      <c r="E697" s="20" t="s">
        <v>1346</v>
      </c>
      <c r="F697" s="20">
        <v>0.9</v>
      </c>
    </row>
    <row r="700" spans="1:6" x14ac:dyDescent="0.25">
      <c r="A700" s="31" t="s">
        <v>1519</v>
      </c>
      <c r="B700" s="27"/>
      <c r="C700" s="30"/>
      <c r="D700" s="29"/>
      <c r="E700" s="28"/>
      <c r="F700" s="28"/>
    </row>
    <row r="701" spans="1:6" x14ac:dyDescent="0.25">
      <c r="A701" s="31" t="s">
        <v>1510</v>
      </c>
      <c r="B701" s="27"/>
      <c r="C701" s="30" t="s">
        <v>1446</v>
      </c>
      <c r="D701" s="29"/>
      <c r="E701" s="28" t="s">
        <v>1329</v>
      </c>
      <c r="F701" s="28">
        <v>34.950000000000003</v>
      </c>
    </row>
    <row r="702" spans="1:6" x14ac:dyDescent="0.25">
      <c r="A702" s="27" t="s">
        <v>1330</v>
      </c>
      <c r="B702" s="27" t="s">
        <v>1331</v>
      </c>
      <c r="C702" s="26" t="s">
        <v>1332</v>
      </c>
      <c r="D702" s="26" t="s">
        <v>1333</v>
      </c>
      <c r="E702" s="25" t="s">
        <v>1334</v>
      </c>
      <c r="F702" s="25" t="s">
        <v>1335</v>
      </c>
    </row>
    <row r="703" spans="1:6" x14ac:dyDescent="0.25">
      <c r="A703" s="19" t="s">
        <v>1387</v>
      </c>
      <c r="B703" s="18" t="s">
        <v>1319</v>
      </c>
      <c r="C703" s="17">
        <v>0.1</v>
      </c>
      <c r="D703" s="16">
        <v>0.1</v>
      </c>
      <c r="E703" s="15">
        <v>24.5</v>
      </c>
      <c r="F703" s="15">
        <v>2.4500000000000002</v>
      </c>
    </row>
    <row r="704" spans="1:6" x14ac:dyDescent="0.25">
      <c r="A704" s="19" t="s">
        <v>1350</v>
      </c>
      <c r="B704" s="18" t="s">
        <v>1319</v>
      </c>
      <c r="C704" s="17">
        <v>1</v>
      </c>
      <c r="D704" s="16">
        <v>1</v>
      </c>
      <c r="E704" s="15">
        <v>19.23</v>
      </c>
      <c r="F704" s="15">
        <v>19.23</v>
      </c>
    </row>
    <row r="705" spans="1:6" x14ac:dyDescent="0.25">
      <c r="A705" s="19" t="s">
        <v>1336</v>
      </c>
      <c r="B705" s="18" t="s">
        <v>1319</v>
      </c>
      <c r="C705" s="17">
        <v>0.33</v>
      </c>
      <c r="D705" s="16">
        <v>0.33</v>
      </c>
      <c r="E705" s="15">
        <v>16.5</v>
      </c>
      <c r="F705" s="15">
        <v>5.45</v>
      </c>
    </row>
    <row r="706" spans="1:6" x14ac:dyDescent="0.25">
      <c r="A706" s="24"/>
      <c r="B706" s="23"/>
      <c r="C706" s="22"/>
      <c r="D706" s="21"/>
      <c r="E706" s="20" t="s">
        <v>1337</v>
      </c>
      <c r="F706" s="20">
        <v>27.13</v>
      </c>
    </row>
    <row r="708" spans="1:6" x14ac:dyDescent="0.25">
      <c r="A708" s="19" t="s">
        <v>1518</v>
      </c>
      <c r="B708" s="18" t="s">
        <v>156</v>
      </c>
      <c r="D708" s="16">
        <v>4.0000000000000001E-3</v>
      </c>
      <c r="E708" s="15">
        <v>4.5</v>
      </c>
      <c r="F708" s="15">
        <v>0.02</v>
      </c>
    </row>
    <row r="709" spans="1:6" x14ac:dyDescent="0.25">
      <c r="A709" s="19" t="s">
        <v>1493</v>
      </c>
      <c r="B709" s="18" t="s">
        <v>22</v>
      </c>
      <c r="D709" s="16">
        <v>1.5800000000000002E-2</v>
      </c>
      <c r="E709" s="15">
        <v>65</v>
      </c>
      <c r="F709" s="15">
        <v>1.03</v>
      </c>
    </row>
    <row r="710" spans="1:6" x14ac:dyDescent="0.25">
      <c r="A710" s="19" t="s">
        <v>1339</v>
      </c>
      <c r="B710" s="18" t="s">
        <v>1490</v>
      </c>
      <c r="D710" s="16">
        <v>0.14019999999999999</v>
      </c>
      <c r="E710" s="15">
        <v>20</v>
      </c>
      <c r="F710" s="15">
        <v>2.8</v>
      </c>
    </row>
    <row r="711" spans="1:6" x14ac:dyDescent="0.25">
      <c r="A711" s="19" t="s">
        <v>1489</v>
      </c>
      <c r="B711" s="18" t="s">
        <v>22</v>
      </c>
      <c r="D711" s="16">
        <v>4.1999999999999997E-3</v>
      </c>
      <c r="E711" s="15">
        <v>5</v>
      </c>
      <c r="F711" s="15">
        <v>0.02</v>
      </c>
    </row>
    <row r="712" spans="1:6" x14ac:dyDescent="0.25">
      <c r="A712" s="19" t="s">
        <v>1495</v>
      </c>
      <c r="B712" s="18" t="s">
        <v>594</v>
      </c>
      <c r="D712" s="16">
        <v>2.7E-2</v>
      </c>
      <c r="E712" s="15">
        <v>4.5</v>
      </c>
      <c r="F712" s="15">
        <v>0.12</v>
      </c>
    </row>
    <row r="713" spans="1:6" x14ac:dyDescent="0.25">
      <c r="A713" s="19" t="s">
        <v>1341</v>
      </c>
      <c r="B713" s="18" t="s">
        <v>594</v>
      </c>
      <c r="D713" s="16">
        <v>0.58899999999999997</v>
      </c>
      <c r="E713" s="15">
        <v>4.2</v>
      </c>
      <c r="F713" s="15">
        <v>2.4700000000000002</v>
      </c>
    </row>
    <row r="714" spans="1:6" x14ac:dyDescent="0.25">
      <c r="A714" s="24"/>
      <c r="B714" s="23"/>
      <c r="C714" s="22"/>
      <c r="D714" s="21"/>
      <c r="E714" s="20" t="s">
        <v>1343</v>
      </c>
      <c r="F714" s="20">
        <v>6.46</v>
      </c>
    </row>
    <row r="716" spans="1:6" x14ac:dyDescent="0.25">
      <c r="A716" s="19" t="s">
        <v>1344</v>
      </c>
      <c r="B716" s="18" t="s">
        <v>1345</v>
      </c>
      <c r="D716" s="16">
        <v>5</v>
      </c>
      <c r="E716" s="15">
        <v>27.13</v>
      </c>
      <c r="F716" s="15">
        <v>1.36</v>
      </c>
    </row>
    <row r="717" spans="1:6" x14ac:dyDescent="0.25">
      <c r="A717" s="24"/>
      <c r="B717" s="23"/>
      <c r="C717" s="22"/>
      <c r="D717" s="21"/>
      <c r="E717" s="20" t="s">
        <v>1346</v>
      </c>
      <c r="F717" s="20">
        <v>1.36</v>
      </c>
    </row>
    <row r="720" spans="1:6" x14ac:dyDescent="0.25">
      <c r="A720" s="31" t="s">
        <v>1517</v>
      </c>
      <c r="B720" s="27"/>
      <c r="C720" s="30"/>
      <c r="D720" s="29"/>
      <c r="E720" s="28"/>
      <c r="F720" s="28"/>
    </row>
    <row r="721" spans="1:6" x14ac:dyDescent="0.25">
      <c r="A721" s="31" t="s">
        <v>1516</v>
      </c>
      <c r="B721" s="27"/>
      <c r="C721" s="30" t="s">
        <v>1446</v>
      </c>
      <c r="D721" s="29"/>
      <c r="E721" s="28" t="s">
        <v>1329</v>
      </c>
      <c r="F721" s="28">
        <v>26.73</v>
      </c>
    </row>
    <row r="722" spans="1:6" x14ac:dyDescent="0.25">
      <c r="A722" s="27" t="s">
        <v>1330</v>
      </c>
      <c r="B722" s="27" t="s">
        <v>1331</v>
      </c>
      <c r="C722" s="26" t="s">
        <v>1332</v>
      </c>
      <c r="D722" s="26" t="s">
        <v>1333</v>
      </c>
      <c r="E722" s="25" t="s">
        <v>1334</v>
      </c>
      <c r="F722" s="25" t="s">
        <v>1335</v>
      </c>
    </row>
    <row r="723" spans="1:6" x14ac:dyDescent="0.25">
      <c r="A723" s="19" t="s">
        <v>1387</v>
      </c>
      <c r="B723" s="18" t="s">
        <v>1319</v>
      </c>
      <c r="C723" s="17">
        <v>0.3</v>
      </c>
      <c r="D723" s="16">
        <v>2.4E-2</v>
      </c>
      <c r="E723" s="15">
        <v>24.5</v>
      </c>
      <c r="F723" s="15">
        <v>0.59</v>
      </c>
    </row>
    <row r="724" spans="1:6" x14ac:dyDescent="0.25">
      <c r="A724" s="19" t="s">
        <v>1350</v>
      </c>
      <c r="B724" s="18" t="s">
        <v>1319</v>
      </c>
      <c r="C724" s="17">
        <v>3</v>
      </c>
      <c r="D724" s="16">
        <v>0.24</v>
      </c>
      <c r="E724" s="15">
        <v>19.23</v>
      </c>
      <c r="F724" s="15">
        <v>4.62</v>
      </c>
    </row>
    <row r="725" spans="1:6" x14ac:dyDescent="0.25">
      <c r="A725" s="19" t="s">
        <v>1480</v>
      </c>
      <c r="B725" s="18" t="s">
        <v>1319</v>
      </c>
      <c r="C725" s="17">
        <v>1</v>
      </c>
      <c r="D725" s="16">
        <v>0.08</v>
      </c>
      <c r="E725" s="15">
        <v>15.94</v>
      </c>
      <c r="F725" s="15">
        <v>1.28</v>
      </c>
    </row>
    <row r="726" spans="1:6" x14ac:dyDescent="0.25">
      <c r="A726" s="19" t="s">
        <v>1336</v>
      </c>
      <c r="B726" s="18" t="s">
        <v>1319</v>
      </c>
      <c r="C726" s="17">
        <v>6</v>
      </c>
      <c r="D726" s="16">
        <v>0.48</v>
      </c>
      <c r="E726" s="15">
        <v>16.5</v>
      </c>
      <c r="F726" s="15">
        <v>7.92</v>
      </c>
    </row>
    <row r="727" spans="1:6" x14ac:dyDescent="0.25">
      <c r="A727" s="24"/>
      <c r="B727" s="23"/>
      <c r="C727" s="22"/>
      <c r="D727" s="21"/>
      <c r="E727" s="20" t="s">
        <v>1337</v>
      </c>
      <c r="F727" s="20">
        <v>14.41</v>
      </c>
    </row>
    <row r="729" spans="1:6" x14ac:dyDescent="0.25">
      <c r="A729" s="19" t="s">
        <v>1493</v>
      </c>
      <c r="B729" s="18" t="s">
        <v>22</v>
      </c>
      <c r="D729" s="16">
        <v>4.2099999999999999E-2</v>
      </c>
      <c r="E729" s="15">
        <v>65</v>
      </c>
      <c r="F729" s="15">
        <v>2.74</v>
      </c>
    </row>
    <row r="730" spans="1:6" x14ac:dyDescent="0.25">
      <c r="A730" s="19" t="s">
        <v>1339</v>
      </c>
      <c r="B730" s="18" t="s">
        <v>1490</v>
      </c>
      <c r="D730" s="16">
        <v>0.39269999999999999</v>
      </c>
      <c r="E730" s="15">
        <v>20</v>
      </c>
      <c r="F730" s="15">
        <v>7.85</v>
      </c>
    </row>
    <row r="731" spans="1:6" x14ac:dyDescent="0.25">
      <c r="A731" s="19" t="s">
        <v>1489</v>
      </c>
      <c r="B731" s="18" t="s">
        <v>22</v>
      </c>
      <c r="D731" s="16">
        <v>1.0800000000000001E-2</v>
      </c>
      <c r="E731" s="15">
        <v>5</v>
      </c>
      <c r="F731" s="15">
        <v>0.05</v>
      </c>
    </row>
    <row r="732" spans="1:6" x14ac:dyDescent="0.25">
      <c r="A732" s="24"/>
      <c r="B732" s="23"/>
      <c r="C732" s="22"/>
      <c r="D732" s="21"/>
      <c r="E732" s="20" t="s">
        <v>1343</v>
      </c>
      <c r="F732" s="20">
        <v>10.64</v>
      </c>
    </row>
    <row r="734" spans="1:6" x14ac:dyDescent="0.25">
      <c r="A734" s="19" t="s">
        <v>1515</v>
      </c>
      <c r="B734" s="18" t="s">
        <v>1475</v>
      </c>
      <c r="C734" s="17">
        <v>1</v>
      </c>
      <c r="D734" s="16">
        <v>0.08</v>
      </c>
      <c r="E734" s="15">
        <v>12.01</v>
      </c>
      <c r="F734" s="15">
        <v>0.96</v>
      </c>
    </row>
    <row r="735" spans="1:6" x14ac:dyDescent="0.25">
      <c r="A735" s="19" t="s">
        <v>1344</v>
      </c>
      <c r="B735" s="18" t="s">
        <v>1345</v>
      </c>
      <c r="D735" s="16">
        <v>5</v>
      </c>
      <c r="E735" s="15">
        <v>14.41</v>
      </c>
      <c r="F735" s="15">
        <v>0.72</v>
      </c>
    </row>
    <row r="736" spans="1:6" x14ac:dyDescent="0.25">
      <c r="A736" s="24"/>
      <c r="B736" s="23"/>
      <c r="C736" s="22"/>
      <c r="D736" s="21"/>
      <c r="E736" s="20" t="s">
        <v>1346</v>
      </c>
      <c r="F736" s="20">
        <v>1.68</v>
      </c>
    </row>
    <row r="739" spans="1:6" x14ac:dyDescent="0.25">
      <c r="A739" s="31" t="s">
        <v>1514</v>
      </c>
      <c r="B739" s="27"/>
      <c r="C739" s="30"/>
      <c r="D739" s="29"/>
      <c r="E739" s="28"/>
      <c r="F739" s="28"/>
    </row>
    <row r="740" spans="1:6" x14ac:dyDescent="0.25">
      <c r="A740" s="31" t="s">
        <v>1513</v>
      </c>
      <c r="B740" s="27"/>
      <c r="C740" s="30" t="s">
        <v>1446</v>
      </c>
      <c r="D740" s="29"/>
      <c r="E740" s="28" t="s">
        <v>1329</v>
      </c>
      <c r="F740" s="28">
        <v>60.069999999999993</v>
      </c>
    </row>
    <row r="741" spans="1:6" x14ac:dyDescent="0.25">
      <c r="A741" s="27" t="s">
        <v>1330</v>
      </c>
      <c r="B741" s="27" t="s">
        <v>1331</v>
      </c>
      <c r="C741" s="26" t="s">
        <v>1332</v>
      </c>
      <c r="D741" s="26" t="s">
        <v>1333</v>
      </c>
      <c r="E741" s="25" t="s">
        <v>1334</v>
      </c>
      <c r="F741" s="25" t="s">
        <v>1335</v>
      </c>
    </row>
    <row r="742" spans="1:6" x14ac:dyDescent="0.25">
      <c r="A742" s="19" t="s">
        <v>1387</v>
      </c>
      <c r="B742" s="18" t="s">
        <v>1319</v>
      </c>
      <c r="C742" s="17">
        <v>0.1</v>
      </c>
      <c r="D742" s="16">
        <v>6.6699999999999995E-2</v>
      </c>
      <c r="E742" s="15">
        <v>24.5</v>
      </c>
      <c r="F742" s="15">
        <v>1.63</v>
      </c>
    </row>
    <row r="743" spans="1:6" x14ac:dyDescent="0.25">
      <c r="A743" s="19" t="s">
        <v>1350</v>
      </c>
      <c r="B743" s="18" t="s">
        <v>1319</v>
      </c>
      <c r="C743" s="17">
        <v>1</v>
      </c>
      <c r="D743" s="16">
        <v>0.66669999999999996</v>
      </c>
      <c r="E743" s="15">
        <v>19.23</v>
      </c>
      <c r="F743" s="15">
        <v>12.82</v>
      </c>
    </row>
    <row r="744" spans="1:6" x14ac:dyDescent="0.25">
      <c r="A744" s="19" t="s">
        <v>1336</v>
      </c>
      <c r="B744" s="18" t="s">
        <v>1319</v>
      </c>
      <c r="C744" s="17">
        <v>0.5</v>
      </c>
      <c r="D744" s="16">
        <v>0.33329999999999999</v>
      </c>
      <c r="E744" s="15">
        <v>16.5</v>
      </c>
      <c r="F744" s="15">
        <v>5.5</v>
      </c>
    </row>
    <row r="745" spans="1:6" x14ac:dyDescent="0.25">
      <c r="A745" s="24"/>
      <c r="B745" s="23"/>
      <c r="C745" s="22"/>
      <c r="D745" s="21"/>
      <c r="E745" s="20" t="s">
        <v>1337</v>
      </c>
      <c r="F745" s="20">
        <v>19.95</v>
      </c>
    </row>
    <row r="747" spans="1:6" x14ac:dyDescent="0.25">
      <c r="A747" s="19" t="s">
        <v>1493</v>
      </c>
      <c r="B747" s="18" t="s">
        <v>22</v>
      </c>
      <c r="D747" s="16">
        <v>2.69E-2</v>
      </c>
      <c r="E747" s="15">
        <v>65</v>
      </c>
      <c r="F747" s="15">
        <v>1.75</v>
      </c>
    </row>
    <row r="748" spans="1:6" x14ac:dyDescent="0.25">
      <c r="A748" s="19" t="s">
        <v>1339</v>
      </c>
      <c r="B748" s="18" t="s">
        <v>1490</v>
      </c>
      <c r="D748" s="16">
        <v>0.2392</v>
      </c>
      <c r="E748" s="15">
        <v>20</v>
      </c>
      <c r="F748" s="15">
        <v>4.78</v>
      </c>
    </row>
    <row r="749" spans="1:6" x14ac:dyDescent="0.25">
      <c r="A749" s="19" t="s">
        <v>1489</v>
      </c>
      <c r="B749" s="18" t="s">
        <v>22</v>
      </c>
      <c r="D749" s="16">
        <v>7.1999999999999998E-3</v>
      </c>
      <c r="E749" s="15">
        <v>5</v>
      </c>
      <c r="F749" s="15">
        <v>0.04</v>
      </c>
    </row>
    <row r="750" spans="1:6" x14ac:dyDescent="0.25">
      <c r="A750" s="19" t="s">
        <v>1512</v>
      </c>
      <c r="B750" s="18" t="s">
        <v>7</v>
      </c>
      <c r="D750" s="16">
        <v>1.05</v>
      </c>
      <c r="E750" s="15">
        <v>31</v>
      </c>
      <c r="F750" s="15">
        <v>32.549999999999997</v>
      </c>
    </row>
    <row r="751" spans="1:6" x14ac:dyDescent="0.25">
      <c r="A751" s="24"/>
      <c r="B751" s="23"/>
      <c r="C751" s="22"/>
      <c r="D751" s="21"/>
      <c r="E751" s="20" t="s">
        <v>1343</v>
      </c>
      <c r="F751" s="20">
        <v>39.119999999999997</v>
      </c>
    </row>
    <row r="753" spans="1:6" x14ac:dyDescent="0.25">
      <c r="A753" s="19" t="s">
        <v>1344</v>
      </c>
      <c r="B753" s="18" t="s">
        <v>1345</v>
      </c>
      <c r="D753" s="16">
        <v>5</v>
      </c>
      <c r="E753" s="15">
        <v>19.95</v>
      </c>
      <c r="F753" s="15">
        <v>1</v>
      </c>
    </row>
    <row r="754" spans="1:6" x14ac:dyDescent="0.25">
      <c r="A754" s="24"/>
      <c r="B754" s="23"/>
      <c r="C754" s="22"/>
      <c r="D754" s="21"/>
      <c r="E754" s="20" t="s">
        <v>1346</v>
      </c>
      <c r="F754" s="20">
        <v>1</v>
      </c>
    </row>
    <row r="757" spans="1:6" x14ac:dyDescent="0.25">
      <c r="A757" s="31" t="s">
        <v>1511</v>
      </c>
      <c r="B757" s="27"/>
      <c r="C757" s="30"/>
      <c r="D757" s="29"/>
      <c r="E757" s="28"/>
      <c r="F757" s="28"/>
    </row>
    <row r="758" spans="1:6" x14ac:dyDescent="0.25">
      <c r="A758" s="31" t="s">
        <v>1510</v>
      </c>
      <c r="B758" s="27"/>
      <c r="C758" s="30" t="s">
        <v>1446</v>
      </c>
      <c r="D758" s="29"/>
      <c r="E758" s="28" t="s">
        <v>1329</v>
      </c>
      <c r="F758" s="28">
        <v>58.98</v>
      </c>
    </row>
    <row r="759" spans="1:6" x14ac:dyDescent="0.25">
      <c r="A759" s="27" t="s">
        <v>1330</v>
      </c>
      <c r="B759" s="27" t="s">
        <v>1331</v>
      </c>
      <c r="C759" s="26" t="s">
        <v>1332</v>
      </c>
      <c r="D759" s="26" t="s">
        <v>1333</v>
      </c>
      <c r="E759" s="25" t="s">
        <v>1334</v>
      </c>
      <c r="F759" s="25" t="s">
        <v>1335</v>
      </c>
    </row>
    <row r="760" spans="1:6" x14ac:dyDescent="0.25">
      <c r="A760" s="19" t="s">
        <v>1387</v>
      </c>
      <c r="B760" s="18" t="s">
        <v>1319</v>
      </c>
      <c r="C760" s="17">
        <v>0.1</v>
      </c>
      <c r="D760" s="16">
        <v>0.1</v>
      </c>
      <c r="E760" s="15">
        <v>24.5</v>
      </c>
      <c r="F760" s="15">
        <v>2.4500000000000002</v>
      </c>
    </row>
    <row r="761" spans="1:6" x14ac:dyDescent="0.25">
      <c r="A761" s="19" t="s">
        <v>1350</v>
      </c>
      <c r="B761" s="18" t="s">
        <v>1319</v>
      </c>
      <c r="C761" s="17">
        <v>1</v>
      </c>
      <c r="D761" s="16">
        <v>1</v>
      </c>
      <c r="E761" s="15">
        <v>19.23</v>
      </c>
      <c r="F761" s="15">
        <v>19.23</v>
      </c>
    </row>
    <row r="762" spans="1:6" x14ac:dyDescent="0.25">
      <c r="A762" s="19" t="s">
        <v>1336</v>
      </c>
      <c r="B762" s="18" t="s">
        <v>1319</v>
      </c>
      <c r="C762" s="17">
        <v>0.5</v>
      </c>
      <c r="D762" s="16">
        <v>0.5</v>
      </c>
      <c r="E762" s="15">
        <v>16.5</v>
      </c>
      <c r="F762" s="15">
        <v>8.25</v>
      </c>
    </row>
    <row r="763" spans="1:6" x14ac:dyDescent="0.25">
      <c r="A763" s="24"/>
      <c r="B763" s="23"/>
      <c r="C763" s="22"/>
      <c r="D763" s="21"/>
      <c r="E763" s="20" t="s">
        <v>1337</v>
      </c>
      <c r="F763" s="20">
        <v>29.93</v>
      </c>
    </row>
    <row r="765" spans="1:6" x14ac:dyDescent="0.25">
      <c r="A765" s="19" t="s">
        <v>1509</v>
      </c>
      <c r="B765" s="18" t="s">
        <v>7</v>
      </c>
      <c r="D765" s="16">
        <v>0.03</v>
      </c>
      <c r="E765" s="15">
        <v>3.7</v>
      </c>
      <c r="F765" s="15">
        <v>0.11</v>
      </c>
    </row>
    <row r="766" spans="1:6" x14ac:dyDescent="0.25">
      <c r="A766" s="19" t="s">
        <v>1508</v>
      </c>
      <c r="B766" s="18" t="s">
        <v>7</v>
      </c>
      <c r="D766" s="16">
        <v>1.05</v>
      </c>
      <c r="E766" s="15">
        <v>25</v>
      </c>
      <c r="F766" s="15">
        <v>26.25</v>
      </c>
    </row>
    <row r="767" spans="1:6" x14ac:dyDescent="0.25">
      <c r="A767" s="19" t="s">
        <v>1507</v>
      </c>
      <c r="B767" s="18" t="s">
        <v>1385</v>
      </c>
      <c r="D767" s="16">
        <v>0.02</v>
      </c>
      <c r="E767" s="15">
        <v>27</v>
      </c>
      <c r="F767" s="15">
        <v>0.54</v>
      </c>
    </row>
    <row r="768" spans="1:6" x14ac:dyDescent="0.25">
      <c r="A768" s="24"/>
      <c r="B768" s="23"/>
      <c r="C768" s="22"/>
      <c r="D768" s="21"/>
      <c r="E768" s="20" t="s">
        <v>1343</v>
      </c>
      <c r="F768" s="20">
        <v>26.9</v>
      </c>
    </row>
    <row r="770" spans="1:6" x14ac:dyDescent="0.25">
      <c r="A770" s="19" t="s">
        <v>1476</v>
      </c>
      <c r="B770" s="18" t="s">
        <v>1475</v>
      </c>
      <c r="C770" s="17">
        <v>0.1</v>
      </c>
      <c r="D770" s="16">
        <v>0.1</v>
      </c>
      <c r="E770" s="15">
        <v>6.5</v>
      </c>
      <c r="F770" s="15">
        <v>0.65</v>
      </c>
    </row>
    <row r="771" spans="1:6" x14ac:dyDescent="0.25">
      <c r="A771" s="19" t="s">
        <v>1344</v>
      </c>
      <c r="B771" s="18" t="s">
        <v>1345</v>
      </c>
      <c r="D771" s="16">
        <v>5</v>
      </c>
      <c r="E771" s="15">
        <v>29.93</v>
      </c>
      <c r="F771" s="15">
        <v>1.5</v>
      </c>
    </row>
    <row r="772" spans="1:6" x14ac:dyDescent="0.25">
      <c r="A772" s="24"/>
      <c r="B772" s="23"/>
      <c r="C772" s="22"/>
      <c r="D772" s="21"/>
      <c r="E772" s="20" t="s">
        <v>1346</v>
      </c>
      <c r="F772" s="20">
        <v>2.15</v>
      </c>
    </row>
    <row r="775" spans="1:6" x14ac:dyDescent="0.25">
      <c r="A775" s="31" t="s">
        <v>1506</v>
      </c>
      <c r="B775" s="27"/>
      <c r="C775" s="30"/>
      <c r="D775" s="29"/>
      <c r="E775" s="28"/>
      <c r="F775" s="28"/>
    </row>
    <row r="776" spans="1:6" x14ac:dyDescent="0.25">
      <c r="A776" s="31" t="s">
        <v>1505</v>
      </c>
      <c r="B776" s="27"/>
      <c r="C776" s="30" t="s">
        <v>1496</v>
      </c>
      <c r="D776" s="29"/>
      <c r="E776" s="28" t="s">
        <v>1329</v>
      </c>
      <c r="F776" s="28">
        <v>25.37</v>
      </c>
    </row>
    <row r="777" spans="1:6" x14ac:dyDescent="0.25">
      <c r="A777" s="27" t="s">
        <v>1330</v>
      </c>
      <c r="B777" s="27" t="s">
        <v>1331</v>
      </c>
      <c r="C777" s="26" t="s">
        <v>1332</v>
      </c>
      <c r="D777" s="26" t="s">
        <v>1333</v>
      </c>
      <c r="E777" s="25" t="s">
        <v>1334</v>
      </c>
      <c r="F777" s="25" t="s">
        <v>1335</v>
      </c>
    </row>
    <row r="778" spans="1:6" x14ac:dyDescent="0.25">
      <c r="A778" s="19" t="s">
        <v>1387</v>
      </c>
      <c r="B778" s="18" t="s">
        <v>1319</v>
      </c>
      <c r="C778" s="17">
        <v>0.1</v>
      </c>
      <c r="D778" s="16">
        <v>4.4400000000000002E-2</v>
      </c>
      <c r="E778" s="15">
        <v>24.5</v>
      </c>
      <c r="F778" s="15">
        <v>1.0900000000000001</v>
      </c>
    </row>
    <row r="779" spans="1:6" x14ac:dyDescent="0.25">
      <c r="A779" s="19" t="s">
        <v>1350</v>
      </c>
      <c r="B779" s="18" t="s">
        <v>1319</v>
      </c>
      <c r="C779" s="17">
        <v>1</v>
      </c>
      <c r="D779" s="16">
        <v>0.44440000000000002</v>
      </c>
      <c r="E779" s="15">
        <v>19.23</v>
      </c>
      <c r="F779" s="15">
        <v>8.5500000000000007</v>
      </c>
    </row>
    <row r="780" spans="1:6" x14ac:dyDescent="0.25">
      <c r="A780" s="19" t="s">
        <v>1336</v>
      </c>
      <c r="B780" s="18" t="s">
        <v>1319</v>
      </c>
      <c r="C780" s="17">
        <v>0.33</v>
      </c>
      <c r="D780" s="16">
        <v>0.1467</v>
      </c>
      <c r="E780" s="15">
        <v>16.5</v>
      </c>
      <c r="F780" s="15">
        <v>2.42</v>
      </c>
    </row>
    <row r="781" spans="1:6" x14ac:dyDescent="0.25">
      <c r="A781" s="24"/>
      <c r="B781" s="23"/>
      <c r="C781" s="22"/>
      <c r="D781" s="21"/>
      <c r="E781" s="20" t="s">
        <v>1337</v>
      </c>
      <c r="F781" s="20">
        <v>12.06</v>
      </c>
    </row>
    <row r="783" spans="1:6" x14ac:dyDescent="0.25">
      <c r="A783" s="19" t="s">
        <v>1493</v>
      </c>
      <c r="B783" s="18" t="s">
        <v>22</v>
      </c>
      <c r="D783" s="16">
        <v>1.1999999999999999E-3</v>
      </c>
      <c r="E783" s="15">
        <v>65</v>
      </c>
      <c r="F783" s="15">
        <v>0.08</v>
      </c>
    </row>
    <row r="784" spans="1:6" x14ac:dyDescent="0.25">
      <c r="A784" s="19" t="s">
        <v>1339</v>
      </c>
      <c r="B784" s="18" t="s">
        <v>1490</v>
      </c>
      <c r="D784" s="16">
        <v>1.34E-2</v>
      </c>
      <c r="E784" s="15">
        <v>20</v>
      </c>
      <c r="F784" s="15">
        <v>0.27</v>
      </c>
    </row>
    <row r="785" spans="1:6" x14ac:dyDescent="0.25">
      <c r="A785" s="19" t="s">
        <v>1489</v>
      </c>
      <c r="B785" s="18" t="s">
        <v>22</v>
      </c>
      <c r="D785" s="16">
        <v>4.0000000000000002E-4</v>
      </c>
      <c r="E785" s="15">
        <v>5</v>
      </c>
      <c r="F785" s="15">
        <v>0</v>
      </c>
    </row>
    <row r="786" spans="1:6" x14ac:dyDescent="0.25">
      <c r="A786" s="19" t="s">
        <v>1504</v>
      </c>
      <c r="B786" s="18" t="s">
        <v>4</v>
      </c>
      <c r="D786" s="16">
        <v>1.05</v>
      </c>
      <c r="E786" s="15">
        <v>12</v>
      </c>
      <c r="F786" s="15">
        <v>12.6</v>
      </c>
    </row>
    <row r="787" spans="1:6" x14ac:dyDescent="0.25">
      <c r="A787" s="24"/>
      <c r="B787" s="23"/>
      <c r="C787" s="22"/>
      <c r="D787" s="21"/>
      <c r="E787" s="20" t="s">
        <v>1343</v>
      </c>
      <c r="F787" s="20">
        <v>12.95</v>
      </c>
    </row>
    <row r="789" spans="1:6" x14ac:dyDescent="0.25">
      <c r="A789" s="19" t="s">
        <v>1344</v>
      </c>
      <c r="B789" s="18" t="s">
        <v>1345</v>
      </c>
      <c r="D789" s="16">
        <v>3</v>
      </c>
      <c r="E789" s="15">
        <v>12.06</v>
      </c>
      <c r="F789" s="15">
        <v>0.36</v>
      </c>
    </row>
    <row r="790" spans="1:6" x14ac:dyDescent="0.25">
      <c r="A790" s="24"/>
      <c r="B790" s="23"/>
      <c r="C790" s="22"/>
      <c r="D790" s="21"/>
      <c r="E790" s="20" t="s">
        <v>1346</v>
      </c>
      <c r="F790" s="20">
        <v>0.36</v>
      </c>
    </row>
    <row r="793" spans="1:6" x14ac:dyDescent="0.25">
      <c r="A793" s="31" t="s">
        <v>1503</v>
      </c>
      <c r="B793" s="27"/>
      <c r="C793" s="30"/>
      <c r="D793" s="29"/>
      <c r="E793" s="28"/>
      <c r="F793" s="28"/>
    </row>
    <row r="794" spans="1:6" x14ac:dyDescent="0.25">
      <c r="A794" s="31" t="s">
        <v>1502</v>
      </c>
      <c r="B794" s="27"/>
      <c r="C794" s="30" t="s">
        <v>1446</v>
      </c>
      <c r="D794" s="29"/>
      <c r="E794" s="28" t="s">
        <v>1329</v>
      </c>
      <c r="F794" s="28">
        <v>140.38</v>
      </c>
    </row>
    <row r="795" spans="1:6" x14ac:dyDescent="0.25">
      <c r="A795" s="27" t="s">
        <v>1330</v>
      </c>
      <c r="B795" s="27" t="s">
        <v>1331</v>
      </c>
      <c r="C795" s="26" t="s">
        <v>1332</v>
      </c>
      <c r="D795" s="26" t="s">
        <v>1333</v>
      </c>
      <c r="E795" s="25" t="s">
        <v>1334</v>
      </c>
      <c r="F795" s="25" t="s">
        <v>1335</v>
      </c>
    </row>
    <row r="796" spans="1:6" x14ac:dyDescent="0.25">
      <c r="A796" s="19" t="s">
        <v>1387</v>
      </c>
      <c r="B796" s="18" t="s">
        <v>1319</v>
      </c>
      <c r="C796" s="17">
        <v>0.1</v>
      </c>
      <c r="D796" s="16">
        <v>0.2</v>
      </c>
      <c r="E796" s="15">
        <v>24.5</v>
      </c>
      <c r="F796" s="15">
        <v>4.9000000000000004</v>
      </c>
    </row>
    <row r="797" spans="1:6" x14ac:dyDescent="0.25">
      <c r="A797" s="19" t="s">
        <v>1350</v>
      </c>
      <c r="B797" s="18" t="s">
        <v>1319</v>
      </c>
      <c r="C797" s="17">
        <v>1</v>
      </c>
      <c r="D797" s="16">
        <v>2</v>
      </c>
      <c r="E797" s="15">
        <v>19.23</v>
      </c>
      <c r="F797" s="15">
        <v>38.46</v>
      </c>
    </row>
    <row r="798" spans="1:6" x14ac:dyDescent="0.25">
      <c r="A798" s="19" t="s">
        <v>1336</v>
      </c>
      <c r="B798" s="18" t="s">
        <v>1319</v>
      </c>
      <c r="C798" s="17">
        <v>0.33</v>
      </c>
      <c r="D798" s="16">
        <v>0.66</v>
      </c>
      <c r="E798" s="15">
        <v>16.5</v>
      </c>
      <c r="F798" s="15">
        <v>10.89</v>
      </c>
    </row>
    <row r="799" spans="1:6" x14ac:dyDescent="0.25">
      <c r="A799" s="24"/>
      <c r="B799" s="23"/>
      <c r="C799" s="22"/>
      <c r="D799" s="21"/>
      <c r="E799" s="20" t="s">
        <v>1337</v>
      </c>
      <c r="F799" s="20">
        <v>54.25</v>
      </c>
    </row>
    <row r="801" spans="1:6" x14ac:dyDescent="0.25">
      <c r="A801" s="19" t="s">
        <v>1501</v>
      </c>
      <c r="B801" s="18" t="s">
        <v>22</v>
      </c>
      <c r="D801" s="16">
        <v>2.1000000000000001E-2</v>
      </c>
      <c r="E801" s="15">
        <v>65</v>
      </c>
      <c r="F801" s="15">
        <v>1.37</v>
      </c>
    </row>
    <row r="802" spans="1:6" x14ac:dyDescent="0.25">
      <c r="A802" s="19" t="s">
        <v>1500</v>
      </c>
      <c r="B802" s="18" t="s">
        <v>7</v>
      </c>
      <c r="D802" s="16">
        <v>1.05</v>
      </c>
      <c r="E802" s="15">
        <v>75</v>
      </c>
      <c r="F802" s="15">
        <v>78.75</v>
      </c>
    </row>
    <row r="803" spans="1:6" x14ac:dyDescent="0.25">
      <c r="A803" s="19" t="s">
        <v>1339</v>
      </c>
      <c r="B803" s="18" t="s">
        <v>1490</v>
      </c>
      <c r="D803" s="16">
        <v>0.15</v>
      </c>
      <c r="E803" s="15">
        <v>20</v>
      </c>
      <c r="F803" s="15">
        <v>3</v>
      </c>
    </row>
    <row r="804" spans="1:6" x14ac:dyDescent="0.25">
      <c r="A804" s="19" t="s">
        <v>1499</v>
      </c>
      <c r="B804" s="18" t="s">
        <v>1490</v>
      </c>
      <c r="D804" s="16">
        <v>0.25</v>
      </c>
      <c r="E804" s="15">
        <v>5.4</v>
      </c>
      <c r="F804" s="15">
        <v>1.35</v>
      </c>
    </row>
    <row r="805" spans="1:6" x14ac:dyDescent="0.25">
      <c r="A805" s="19" t="s">
        <v>1489</v>
      </c>
      <c r="B805" s="18" t="s">
        <v>22</v>
      </c>
      <c r="D805" s="16">
        <v>5.5999999999999999E-3</v>
      </c>
      <c r="E805" s="15">
        <v>5</v>
      </c>
      <c r="F805" s="15">
        <v>0.03</v>
      </c>
    </row>
    <row r="806" spans="1:6" x14ac:dyDescent="0.25">
      <c r="A806" s="24"/>
      <c r="B806" s="23"/>
      <c r="C806" s="22"/>
      <c r="D806" s="21"/>
      <c r="E806" s="20" t="s">
        <v>1343</v>
      </c>
      <c r="F806" s="20">
        <v>84.5</v>
      </c>
    </row>
    <row r="808" spans="1:6" x14ac:dyDescent="0.25">
      <c r="A808" s="19" t="s">
        <v>1344</v>
      </c>
      <c r="B808" s="18" t="s">
        <v>1345</v>
      </c>
      <c r="D808" s="16">
        <v>3</v>
      </c>
      <c r="E808" s="15">
        <v>54.25</v>
      </c>
      <c r="F808" s="15">
        <v>1.63</v>
      </c>
    </row>
    <row r="809" spans="1:6" x14ac:dyDescent="0.25">
      <c r="A809" s="24"/>
      <c r="B809" s="23"/>
      <c r="C809" s="22"/>
      <c r="D809" s="21"/>
      <c r="E809" s="20" t="s">
        <v>1346</v>
      </c>
      <c r="F809" s="20">
        <v>1.63</v>
      </c>
    </row>
    <row r="812" spans="1:6" x14ac:dyDescent="0.25">
      <c r="A812" s="31" t="s">
        <v>1498</v>
      </c>
      <c r="B812" s="27"/>
      <c r="C812" s="30"/>
      <c r="D812" s="29"/>
      <c r="E812" s="28"/>
      <c r="F812" s="28"/>
    </row>
    <row r="813" spans="1:6" x14ac:dyDescent="0.25">
      <c r="A813" s="31" t="s">
        <v>1497</v>
      </c>
      <c r="B813" s="27"/>
      <c r="C813" s="30" t="s">
        <v>1496</v>
      </c>
      <c r="D813" s="29"/>
      <c r="E813" s="28" t="s">
        <v>1329</v>
      </c>
      <c r="F813" s="28">
        <v>24.59</v>
      </c>
    </row>
    <row r="814" spans="1:6" x14ac:dyDescent="0.25">
      <c r="A814" s="27" t="s">
        <v>1330</v>
      </c>
      <c r="B814" s="27" t="s">
        <v>1331</v>
      </c>
      <c r="C814" s="26" t="s">
        <v>1332</v>
      </c>
      <c r="D814" s="26" t="s">
        <v>1333</v>
      </c>
      <c r="E814" s="25" t="s">
        <v>1334</v>
      </c>
      <c r="F814" s="25" t="s">
        <v>1335</v>
      </c>
    </row>
    <row r="815" spans="1:6" x14ac:dyDescent="0.25">
      <c r="A815" s="19" t="s">
        <v>1387</v>
      </c>
      <c r="B815" s="18" t="s">
        <v>1319</v>
      </c>
      <c r="C815" s="17">
        <v>0.1</v>
      </c>
      <c r="D815" s="16">
        <v>0.08</v>
      </c>
      <c r="E815" s="15">
        <v>24.5</v>
      </c>
      <c r="F815" s="15">
        <v>1.96</v>
      </c>
    </row>
    <row r="816" spans="1:6" x14ac:dyDescent="0.25">
      <c r="A816" s="19" t="s">
        <v>1350</v>
      </c>
      <c r="B816" s="18" t="s">
        <v>1319</v>
      </c>
      <c r="C816" s="17">
        <v>1</v>
      </c>
      <c r="D816" s="16">
        <v>0.8</v>
      </c>
      <c r="E816" s="15">
        <v>19.23</v>
      </c>
      <c r="F816" s="15">
        <v>15.38</v>
      </c>
    </row>
    <row r="817" spans="1:6" x14ac:dyDescent="0.25">
      <c r="A817" s="19" t="s">
        <v>1336</v>
      </c>
      <c r="B817" s="18" t="s">
        <v>1319</v>
      </c>
      <c r="C817" s="17">
        <v>0.17</v>
      </c>
      <c r="D817" s="16">
        <v>0.13600000000000001</v>
      </c>
      <c r="E817" s="15">
        <v>16.5</v>
      </c>
      <c r="F817" s="15">
        <v>2.2400000000000002</v>
      </c>
    </row>
    <row r="818" spans="1:6" x14ac:dyDescent="0.25">
      <c r="A818" s="24"/>
      <c r="B818" s="23"/>
      <c r="C818" s="22"/>
      <c r="D818" s="21"/>
      <c r="E818" s="20" t="s">
        <v>1337</v>
      </c>
      <c r="F818" s="20">
        <v>19.579999999999998</v>
      </c>
    </row>
    <row r="820" spans="1:6" x14ac:dyDescent="0.25">
      <c r="A820" s="19" t="s">
        <v>1493</v>
      </c>
      <c r="B820" s="18" t="s">
        <v>22</v>
      </c>
      <c r="D820" s="16">
        <v>1.4E-2</v>
      </c>
      <c r="E820" s="15">
        <v>65</v>
      </c>
      <c r="F820" s="15">
        <v>0.91</v>
      </c>
    </row>
    <row r="821" spans="1:6" x14ac:dyDescent="0.25">
      <c r="A821" s="19" t="s">
        <v>1339</v>
      </c>
      <c r="B821" s="18" t="s">
        <v>1490</v>
      </c>
      <c r="D821" s="16">
        <v>0.122</v>
      </c>
      <c r="E821" s="15">
        <v>20</v>
      </c>
      <c r="F821" s="15">
        <v>2.44</v>
      </c>
    </row>
    <row r="822" spans="1:6" x14ac:dyDescent="0.25">
      <c r="A822" s="19" t="s">
        <v>1495</v>
      </c>
      <c r="B822" s="18" t="s">
        <v>594</v>
      </c>
      <c r="D822" s="16">
        <v>0.15</v>
      </c>
      <c r="E822" s="15">
        <v>4.5</v>
      </c>
      <c r="F822" s="15">
        <v>0.68</v>
      </c>
    </row>
    <row r="823" spans="1:6" x14ac:dyDescent="0.25">
      <c r="A823" s="24"/>
      <c r="B823" s="23"/>
      <c r="C823" s="22"/>
      <c r="D823" s="21"/>
      <c r="E823" s="20" t="s">
        <v>1343</v>
      </c>
      <c r="F823" s="20">
        <v>4.03</v>
      </c>
    </row>
    <row r="825" spans="1:6" x14ac:dyDescent="0.25">
      <c r="A825" s="19" t="s">
        <v>1344</v>
      </c>
      <c r="B825" s="18" t="s">
        <v>1345</v>
      </c>
      <c r="D825" s="16">
        <v>5</v>
      </c>
      <c r="E825" s="15">
        <v>19.579999999999998</v>
      </c>
      <c r="F825" s="15">
        <v>0.98</v>
      </c>
    </row>
    <row r="826" spans="1:6" x14ac:dyDescent="0.25">
      <c r="A826" s="24"/>
      <c r="B826" s="23"/>
      <c r="C826" s="22"/>
      <c r="D826" s="21"/>
      <c r="E826" s="20" t="s">
        <v>1346</v>
      </c>
      <c r="F826" s="20">
        <v>0.98</v>
      </c>
    </row>
    <row r="829" spans="1:6" x14ac:dyDescent="0.25">
      <c r="A829" s="31" t="s">
        <v>1494</v>
      </c>
      <c r="B829" s="27"/>
      <c r="C829" s="30"/>
      <c r="D829" s="29"/>
      <c r="E829" s="28"/>
      <c r="F829" s="28"/>
    </row>
    <row r="830" spans="1:6" x14ac:dyDescent="0.25">
      <c r="A830" s="31" t="s">
        <v>1449</v>
      </c>
      <c r="B830" s="27"/>
      <c r="C830" s="30" t="s">
        <v>1446</v>
      </c>
      <c r="D830" s="29"/>
      <c r="E830" s="28" t="s">
        <v>1329</v>
      </c>
      <c r="F830" s="28">
        <v>41.06</v>
      </c>
    </row>
    <row r="831" spans="1:6" x14ac:dyDescent="0.25">
      <c r="A831" s="27" t="s">
        <v>1330</v>
      </c>
      <c r="B831" s="27" t="s">
        <v>1331</v>
      </c>
      <c r="C831" s="26" t="s">
        <v>1332</v>
      </c>
      <c r="D831" s="26" t="s">
        <v>1333</v>
      </c>
      <c r="E831" s="25" t="s">
        <v>1334</v>
      </c>
      <c r="F831" s="25" t="s">
        <v>1335</v>
      </c>
    </row>
    <row r="832" spans="1:6" x14ac:dyDescent="0.25">
      <c r="A832" s="19" t="s">
        <v>1387</v>
      </c>
      <c r="B832" s="18" t="s">
        <v>1319</v>
      </c>
      <c r="C832" s="17">
        <v>0.1</v>
      </c>
      <c r="D832" s="16">
        <v>0.04</v>
      </c>
      <c r="E832" s="15">
        <v>24.5</v>
      </c>
      <c r="F832" s="15">
        <v>0.98</v>
      </c>
    </row>
    <row r="833" spans="1:6" x14ac:dyDescent="0.25">
      <c r="A833" s="19" t="s">
        <v>1350</v>
      </c>
      <c r="B833" s="18" t="s">
        <v>1319</v>
      </c>
      <c r="C833" s="17">
        <v>1</v>
      </c>
      <c r="D833" s="16">
        <v>0.4</v>
      </c>
      <c r="E833" s="15">
        <v>19.23</v>
      </c>
      <c r="F833" s="15">
        <v>7.69</v>
      </c>
    </row>
    <row r="834" spans="1:6" x14ac:dyDescent="0.25">
      <c r="A834" s="19" t="s">
        <v>1336</v>
      </c>
      <c r="B834" s="18" t="s">
        <v>1319</v>
      </c>
      <c r="C834" s="17">
        <v>2</v>
      </c>
      <c r="D834" s="16">
        <v>0.8</v>
      </c>
      <c r="E834" s="15">
        <v>16.5</v>
      </c>
      <c r="F834" s="15">
        <v>13.2</v>
      </c>
    </row>
    <row r="835" spans="1:6" x14ac:dyDescent="0.25">
      <c r="A835" s="24"/>
      <c r="B835" s="23"/>
      <c r="C835" s="22"/>
      <c r="D835" s="21"/>
      <c r="E835" s="20" t="s">
        <v>1337</v>
      </c>
      <c r="F835" s="20">
        <v>21.87</v>
      </c>
    </row>
    <row r="837" spans="1:6" x14ac:dyDescent="0.25">
      <c r="A837" s="19" t="s">
        <v>1493</v>
      </c>
      <c r="B837" s="18" t="s">
        <v>22</v>
      </c>
      <c r="D837" s="16">
        <v>0.04</v>
      </c>
      <c r="E837" s="15">
        <v>65</v>
      </c>
      <c r="F837" s="15">
        <v>2.6</v>
      </c>
    </row>
    <row r="838" spans="1:6" x14ac:dyDescent="0.25">
      <c r="A838" s="19" t="s">
        <v>1492</v>
      </c>
      <c r="B838" s="18" t="s">
        <v>1491</v>
      </c>
      <c r="D838" s="16">
        <v>1.6E-2</v>
      </c>
      <c r="E838" s="15">
        <v>870</v>
      </c>
      <c r="F838" s="15">
        <v>13.92</v>
      </c>
    </row>
    <row r="839" spans="1:6" x14ac:dyDescent="0.25">
      <c r="A839" s="19" t="s">
        <v>1339</v>
      </c>
      <c r="B839" s="18" t="s">
        <v>1490</v>
      </c>
      <c r="D839" s="16">
        <v>0.1</v>
      </c>
      <c r="E839" s="15">
        <v>20</v>
      </c>
      <c r="F839" s="15">
        <v>2</v>
      </c>
    </row>
    <row r="840" spans="1:6" x14ac:dyDescent="0.25">
      <c r="A840" s="19" t="s">
        <v>1489</v>
      </c>
      <c r="B840" s="18" t="s">
        <v>22</v>
      </c>
      <c r="D840" s="16">
        <v>2E-3</v>
      </c>
      <c r="E840" s="15">
        <v>5</v>
      </c>
      <c r="F840" s="15">
        <v>0.01</v>
      </c>
    </row>
    <row r="841" spans="1:6" x14ac:dyDescent="0.25">
      <c r="A841" s="24"/>
      <c r="B841" s="23"/>
      <c r="C841" s="22"/>
      <c r="D841" s="21"/>
      <c r="E841" s="20" t="s">
        <v>1343</v>
      </c>
      <c r="F841" s="20">
        <v>18.53</v>
      </c>
    </row>
    <row r="843" spans="1:6" x14ac:dyDescent="0.25">
      <c r="A843" s="19" t="s">
        <v>1344</v>
      </c>
      <c r="B843" s="18" t="s">
        <v>1345</v>
      </c>
      <c r="D843" s="16">
        <v>3</v>
      </c>
      <c r="E843" s="15">
        <v>21.87</v>
      </c>
      <c r="F843" s="15">
        <v>0.66</v>
      </c>
    </row>
    <row r="844" spans="1:6" x14ac:dyDescent="0.25">
      <c r="A844" s="24"/>
      <c r="B844" s="23"/>
      <c r="C844" s="22"/>
      <c r="D844" s="21"/>
      <c r="E844" s="20" t="s">
        <v>1346</v>
      </c>
      <c r="F844" s="20">
        <v>0.66</v>
      </c>
    </row>
    <row r="847" spans="1:6" x14ac:dyDescent="0.25">
      <c r="A847" s="31" t="s">
        <v>1488</v>
      </c>
      <c r="B847" s="27"/>
      <c r="C847" s="30"/>
      <c r="D847" s="29"/>
      <c r="E847" s="28"/>
      <c r="F847" s="28"/>
    </row>
    <row r="848" spans="1:6" x14ac:dyDescent="0.25">
      <c r="A848" s="31" t="s">
        <v>1487</v>
      </c>
      <c r="B848" s="27"/>
      <c r="C848" s="30" t="s">
        <v>1446</v>
      </c>
      <c r="D848" s="29"/>
      <c r="E848" s="28" t="s">
        <v>1329</v>
      </c>
      <c r="F848" s="28">
        <v>247.38</v>
      </c>
    </row>
    <row r="849" spans="1:6" x14ac:dyDescent="0.25">
      <c r="A849" s="27" t="s">
        <v>1330</v>
      </c>
      <c r="B849" s="27" t="s">
        <v>1331</v>
      </c>
      <c r="C849" s="26" t="s">
        <v>1332</v>
      </c>
      <c r="D849" s="26" t="s">
        <v>1333</v>
      </c>
      <c r="E849" s="25" t="s">
        <v>1334</v>
      </c>
      <c r="F849" s="25" t="s">
        <v>1335</v>
      </c>
    </row>
    <row r="850" spans="1:6" x14ac:dyDescent="0.25">
      <c r="A850" s="19" t="s">
        <v>1387</v>
      </c>
      <c r="B850" s="18" t="s">
        <v>1319</v>
      </c>
      <c r="C850" s="17">
        <v>0.25</v>
      </c>
      <c r="D850" s="16">
        <v>0.66669999999999996</v>
      </c>
      <c r="E850" s="15">
        <v>24.5</v>
      </c>
      <c r="F850" s="15">
        <v>16.329999999999998</v>
      </c>
    </row>
    <row r="851" spans="1:6" x14ac:dyDescent="0.25">
      <c r="A851" s="19" t="s">
        <v>1350</v>
      </c>
      <c r="B851" s="18" t="s">
        <v>1319</v>
      </c>
      <c r="C851" s="17">
        <v>1</v>
      </c>
      <c r="D851" s="16">
        <v>2.6667000000000001</v>
      </c>
      <c r="E851" s="15">
        <v>19.23</v>
      </c>
      <c r="F851" s="15">
        <v>51.28</v>
      </c>
    </row>
    <row r="852" spans="1:6" x14ac:dyDescent="0.25">
      <c r="A852" s="19" t="s">
        <v>1480</v>
      </c>
      <c r="B852" s="18" t="s">
        <v>1319</v>
      </c>
      <c r="C852" s="17">
        <v>1</v>
      </c>
      <c r="D852" s="16">
        <v>2.6667000000000001</v>
      </c>
      <c r="E852" s="15">
        <v>15.94</v>
      </c>
      <c r="F852" s="15">
        <v>42.51</v>
      </c>
    </row>
    <row r="853" spans="1:6" x14ac:dyDescent="0.25">
      <c r="A853" s="24"/>
      <c r="B853" s="23"/>
      <c r="C853" s="22"/>
      <c r="D853" s="21"/>
      <c r="E853" s="20" t="s">
        <v>1337</v>
      </c>
      <c r="F853" s="20">
        <v>110.12</v>
      </c>
    </row>
    <row r="855" spans="1:6" x14ac:dyDescent="0.25">
      <c r="A855" s="19" t="s">
        <v>1458</v>
      </c>
      <c r="B855" s="18" t="s">
        <v>156</v>
      </c>
      <c r="D855" s="16">
        <v>5.1999999999999998E-2</v>
      </c>
      <c r="E855" s="15">
        <v>4.5</v>
      </c>
      <c r="F855" s="15">
        <v>0.23</v>
      </c>
    </row>
    <row r="856" spans="1:6" x14ac:dyDescent="0.25">
      <c r="A856" s="19" t="s">
        <v>1445</v>
      </c>
      <c r="B856" s="18" t="s">
        <v>10</v>
      </c>
      <c r="D856" s="16">
        <v>1</v>
      </c>
      <c r="E856" s="15">
        <v>1.1000000000000001</v>
      </c>
      <c r="F856" s="15">
        <v>1.1000000000000001</v>
      </c>
    </row>
    <row r="857" spans="1:6" x14ac:dyDescent="0.25">
      <c r="A857" s="19" t="s">
        <v>1479</v>
      </c>
      <c r="B857" s="18" t="s">
        <v>1385</v>
      </c>
      <c r="D857" s="16">
        <v>0.08</v>
      </c>
      <c r="E857" s="15">
        <v>14.5</v>
      </c>
      <c r="F857" s="15">
        <v>1.1599999999999999</v>
      </c>
    </row>
    <row r="858" spans="1:6" x14ac:dyDescent="0.25">
      <c r="A858" s="19" t="s">
        <v>1478</v>
      </c>
      <c r="B858" s="18" t="s">
        <v>594</v>
      </c>
      <c r="D858" s="16">
        <v>8</v>
      </c>
      <c r="E858" s="15">
        <v>10</v>
      </c>
      <c r="F858" s="15">
        <v>80</v>
      </c>
    </row>
    <row r="859" spans="1:6" x14ac:dyDescent="0.25">
      <c r="A859" s="19" t="s">
        <v>1486</v>
      </c>
      <c r="B859" s="18" t="s">
        <v>1485</v>
      </c>
      <c r="D859" s="16">
        <v>1</v>
      </c>
      <c r="E859" s="15">
        <v>34.799999999999997</v>
      </c>
      <c r="F859" s="15">
        <v>34.799999999999997</v>
      </c>
    </row>
    <row r="860" spans="1:6" x14ac:dyDescent="0.25">
      <c r="A860" s="24"/>
      <c r="B860" s="23"/>
      <c r="C860" s="22"/>
      <c r="D860" s="21"/>
      <c r="E860" s="20" t="s">
        <v>1343</v>
      </c>
      <c r="F860" s="20">
        <v>117.29</v>
      </c>
    </row>
    <row r="862" spans="1:6" x14ac:dyDescent="0.25">
      <c r="A862" s="19" t="s">
        <v>1477</v>
      </c>
      <c r="B862" s="18" t="s">
        <v>1475</v>
      </c>
      <c r="C862" s="17">
        <v>0.5</v>
      </c>
      <c r="D862" s="16">
        <v>1.3332999999999999</v>
      </c>
      <c r="E862" s="15">
        <v>6</v>
      </c>
      <c r="F862" s="15">
        <v>8</v>
      </c>
    </row>
    <row r="863" spans="1:6" x14ac:dyDescent="0.25">
      <c r="A863" s="19" t="s">
        <v>1476</v>
      </c>
      <c r="B863" s="18" t="s">
        <v>1475</v>
      </c>
      <c r="C863" s="17">
        <v>0.5</v>
      </c>
      <c r="D863" s="16">
        <v>1.3332999999999999</v>
      </c>
      <c r="E863" s="15">
        <v>6.5</v>
      </c>
      <c r="F863" s="15">
        <v>8.67</v>
      </c>
    </row>
    <row r="864" spans="1:6" x14ac:dyDescent="0.25">
      <c r="A864" s="19" t="s">
        <v>1344</v>
      </c>
      <c r="B864" s="18" t="s">
        <v>1345</v>
      </c>
      <c r="D864" s="16">
        <v>3</v>
      </c>
      <c r="E864" s="15">
        <v>110.12</v>
      </c>
      <c r="F864" s="15">
        <v>3.3</v>
      </c>
    </row>
    <row r="865" spans="1:6" x14ac:dyDescent="0.25">
      <c r="A865" s="24"/>
      <c r="B865" s="23"/>
      <c r="C865" s="22"/>
      <c r="D865" s="21"/>
      <c r="E865" s="20" t="s">
        <v>1346</v>
      </c>
      <c r="F865" s="20">
        <v>19.97</v>
      </c>
    </row>
    <row r="868" spans="1:6" x14ac:dyDescent="0.25">
      <c r="A868" s="31" t="s">
        <v>1484</v>
      </c>
      <c r="B868" s="27"/>
      <c r="C868" s="30"/>
      <c r="D868" s="29"/>
      <c r="E868" s="28"/>
      <c r="F868" s="28"/>
    </row>
    <row r="869" spans="1:6" x14ac:dyDescent="0.25">
      <c r="A869" s="31" t="s">
        <v>1483</v>
      </c>
      <c r="B869" s="27"/>
      <c r="C869" s="30" t="s">
        <v>1446</v>
      </c>
      <c r="D869" s="29"/>
      <c r="E869" s="28" t="s">
        <v>1329</v>
      </c>
      <c r="F869" s="28">
        <v>150.59</v>
      </c>
    </row>
    <row r="870" spans="1:6" x14ac:dyDescent="0.25">
      <c r="A870" s="27" t="s">
        <v>1330</v>
      </c>
      <c r="B870" s="27" t="s">
        <v>1331</v>
      </c>
      <c r="C870" s="26" t="s">
        <v>1332</v>
      </c>
      <c r="D870" s="26" t="s">
        <v>1333</v>
      </c>
      <c r="E870" s="25" t="s">
        <v>1334</v>
      </c>
      <c r="F870" s="25" t="s">
        <v>1335</v>
      </c>
    </row>
    <row r="871" spans="1:6" x14ac:dyDescent="0.25">
      <c r="A871" s="19" t="s">
        <v>1387</v>
      </c>
      <c r="B871" s="18" t="s">
        <v>1319</v>
      </c>
      <c r="C871" s="17">
        <v>1</v>
      </c>
      <c r="D871" s="16">
        <v>0.2</v>
      </c>
      <c r="E871" s="15">
        <v>24.5</v>
      </c>
      <c r="F871" s="15">
        <v>4.9000000000000004</v>
      </c>
    </row>
    <row r="872" spans="1:6" x14ac:dyDescent="0.25">
      <c r="A872" s="19" t="s">
        <v>1350</v>
      </c>
      <c r="B872" s="18" t="s">
        <v>1319</v>
      </c>
      <c r="C872" s="17">
        <v>10</v>
      </c>
      <c r="D872" s="16">
        <v>2</v>
      </c>
      <c r="E872" s="15">
        <v>19.23</v>
      </c>
      <c r="F872" s="15">
        <v>38.46</v>
      </c>
    </row>
    <row r="873" spans="1:6" x14ac:dyDescent="0.25">
      <c r="A873" s="19" t="s">
        <v>1336</v>
      </c>
      <c r="B873" s="18" t="s">
        <v>1319</v>
      </c>
      <c r="C873" s="17">
        <v>5</v>
      </c>
      <c r="D873" s="16">
        <v>1</v>
      </c>
      <c r="E873" s="15">
        <v>16.5</v>
      </c>
      <c r="F873" s="15">
        <v>16.5</v>
      </c>
    </row>
    <row r="874" spans="1:6" x14ac:dyDescent="0.25">
      <c r="A874" s="24"/>
      <c r="B874" s="23"/>
      <c r="C874" s="22"/>
      <c r="D874" s="21"/>
      <c r="E874" s="20" t="s">
        <v>1337</v>
      </c>
      <c r="F874" s="20">
        <v>59.86</v>
      </c>
    </row>
    <row r="876" spans="1:6" x14ac:dyDescent="0.25">
      <c r="A876" s="19" t="s">
        <v>1458</v>
      </c>
      <c r="B876" s="18" t="s">
        <v>156</v>
      </c>
      <c r="D876" s="16">
        <v>0.05</v>
      </c>
      <c r="E876" s="15">
        <v>4.5</v>
      </c>
      <c r="F876" s="15">
        <v>0.23</v>
      </c>
    </row>
    <row r="877" spans="1:6" x14ac:dyDescent="0.25">
      <c r="A877" s="19" t="s">
        <v>1445</v>
      </c>
      <c r="B877" s="18" t="s">
        <v>10</v>
      </c>
      <c r="D877" s="16">
        <v>0.6</v>
      </c>
      <c r="E877" s="15">
        <v>1.1000000000000001</v>
      </c>
      <c r="F877" s="15">
        <v>0.66</v>
      </c>
    </row>
    <row r="878" spans="1:6" x14ac:dyDescent="0.25">
      <c r="A878" s="19" t="s">
        <v>1479</v>
      </c>
      <c r="B878" s="18" t="s">
        <v>1385</v>
      </c>
      <c r="D878" s="16">
        <v>0.12</v>
      </c>
      <c r="E878" s="15">
        <v>14.5</v>
      </c>
      <c r="F878" s="15">
        <v>1.74</v>
      </c>
    </row>
    <row r="879" spans="1:6" x14ac:dyDescent="0.25">
      <c r="A879" s="19" t="s">
        <v>1478</v>
      </c>
      <c r="B879" s="18" t="s">
        <v>594</v>
      </c>
      <c r="D879" s="16">
        <v>8.5</v>
      </c>
      <c r="E879" s="15">
        <v>10</v>
      </c>
      <c r="F879" s="15">
        <v>85</v>
      </c>
    </row>
    <row r="880" spans="1:6" x14ac:dyDescent="0.25">
      <c r="A880" s="24"/>
      <c r="B880" s="23"/>
      <c r="C880" s="22"/>
      <c r="D880" s="21"/>
      <c r="E880" s="20" t="s">
        <v>1343</v>
      </c>
      <c r="F880" s="20">
        <v>87.63</v>
      </c>
    </row>
    <row r="882" spans="1:6" x14ac:dyDescent="0.25">
      <c r="A882" s="19" t="s">
        <v>1476</v>
      </c>
      <c r="B882" s="18" t="s">
        <v>1475</v>
      </c>
      <c r="C882" s="17">
        <v>1</v>
      </c>
      <c r="D882" s="16">
        <v>0.2</v>
      </c>
      <c r="E882" s="15">
        <v>6.5</v>
      </c>
      <c r="F882" s="15">
        <v>1.3</v>
      </c>
    </row>
    <row r="883" spans="1:6" x14ac:dyDescent="0.25">
      <c r="A883" s="19" t="s">
        <v>1344</v>
      </c>
      <c r="B883" s="18" t="s">
        <v>1345</v>
      </c>
      <c r="D883" s="16">
        <v>3</v>
      </c>
      <c r="E883" s="15">
        <v>59.86</v>
      </c>
      <c r="F883" s="15">
        <v>1.8</v>
      </c>
    </row>
    <row r="884" spans="1:6" x14ac:dyDescent="0.25">
      <c r="A884" s="24"/>
      <c r="B884" s="23"/>
      <c r="C884" s="22"/>
      <c r="D884" s="21"/>
      <c r="E884" s="20" t="s">
        <v>1346</v>
      </c>
      <c r="F884" s="20">
        <v>3.1</v>
      </c>
    </row>
    <row r="887" spans="1:6" x14ac:dyDescent="0.25">
      <c r="A887" s="31" t="s">
        <v>1482</v>
      </c>
      <c r="B887" s="27"/>
      <c r="C887" s="30"/>
      <c r="D887" s="29"/>
      <c r="E887" s="28"/>
      <c r="F887" s="28"/>
    </row>
    <row r="888" spans="1:6" x14ac:dyDescent="0.25">
      <c r="A888" s="31" t="s">
        <v>1481</v>
      </c>
      <c r="B888" s="27"/>
      <c r="C888" s="30" t="s">
        <v>1446</v>
      </c>
      <c r="D888" s="29"/>
      <c r="E888" s="28" t="s">
        <v>1329</v>
      </c>
      <c r="F888" s="28">
        <v>341.29</v>
      </c>
    </row>
    <row r="889" spans="1:6" x14ac:dyDescent="0.25">
      <c r="A889" s="27" t="s">
        <v>1330</v>
      </c>
      <c r="B889" s="27" t="s">
        <v>1331</v>
      </c>
      <c r="C889" s="26" t="s">
        <v>1332</v>
      </c>
      <c r="D889" s="26" t="s">
        <v>1333</v>
      </c>
      <c r="E889" s="25" t="s">
        <v>1334</v>
      </c>
      <c r="F889" s="25" t="s">
        <v>1335</v>
      </c>
    </row>
    <row r="890" spans="1:6" x14ac:dyDescent="0.25">
      <c r="A890" s="19" t="s">
        <v>1387</v>
      </c>
      <c r="B890" s="18" t="s">
        <v>1319</v>
      </c>
      <c r="C890" s="17">
        <v>0.1</v>
      </c>
      <c r="D890" s="16">
        <v>0.4</v>
      </c>
      <c r="E890" s="15">
        <v>24.5</v>
      </c>
      <c r="F890" s="15">
        <v>9.8000000000000007</v>
      </c>
    </row>
    <row r="891" spans="1:6" x14ac:dyDescent="0.25">
      <c r="A891" s="19" t="s">
        <v>1350</v>
      </c>
      <c r="B891" s="18" t="s">
        <v>1319</v>
      </c>
      <c r="C891" s="17">
        <v>1</v>
      </c>
      <c r="D891" s="16">
        <v>4</v>
      </c>
      <c r="E891" s="15">
        <v>19.23</v>
      </c>
      <c r="F891" s="15">
        <v>76.92</v>
      </c>
    </row>
    <row r="892" spans="1:6" x14ac:dyDescent="0.25">
      <c r="A892" s="19" t="s">
        <v>1480</v>
      </c>
      <c r="B892" s="18" t="s">
        <v>1319</v>
      </c>
      <c r="C892" s="17">
        <v>1</v>
      </c>
      <c r="D892" s="16">
        <v>4</v>
      </c>
      <c r="E892" s="15">
        <v>15.94</v>
      </c>
      <c r="F892" s="15">
        <v>63.76</v>
      </c>
    </row>
    <row r="893" spans="1:6" x14ac:dyDescent="0.25">
      <c r="A893" s="24"/>
      <c r="B893" s="23"/>
      <c r="C893" s="22"/>
      <c r="D893" s="21"/>
      <c r="E893" s="20" t="s">
        <v>1337</v>
      </c>
      <c r="F893" s="20">
        <v>150.47999999999999</v>
      </c>
    </row>
    <row r="895" spans="1:6" x14ac:dyDescent="0.25">
      <c r="A895" s="19" t="s">
        <v>1458</v>
      </c>
      <c r="B895" s="18" t="s">
        <v>156</v>
      </c>
      <c r="D895" s="16">
        <v>7.4999999999999997E-2</v>
      </c>
      <c r="E895" s="15">
        <v>4.5</v>
      </c>
      <c r="F895" s="15">
        <v>0.34</v>
      </c>
    </row>
    <row r="896" spans="1:6" x14ac:dyDescent="0.25">
      <c r="A896" s="19" t="s">
        <v>1445</v>
      </c>
      <c r="B896" s="18" t="s">
        <v>10</v>
      </c>
      <c r="D896" s="16">
        <v>1.1000000000000001</v>
      </c>
      <c r="E896" s="15">
        <v>1.1000000000000001</v>
      </c>
      <c r="F896" s="15">
        <v>1.21</v>
      </c>
    </row>
    <row r="897" spans="1:6" x14ac:dyDescent="0.25">
      <c r="A897" s="19" t="s">
        <v>1479</v>
      </c>
      <c r="B897" s="18" t="s">
        <v>1385</v>
      </c>
      <c r="D897" s="16">
        <v>0.12</v>
      </c>
      <c r="E897" s="15">
        <v>14.5</v>
      </c>
      <c r="F897" s="15">
        <v>1.74</v>
      </c>
    </row>
    <row r="898" spans="1:6" x14ac:dyDescent="0.25">
      <c r="A898" s="19" t="s">
        <v>1478</v>
      </c>
      <c r="B898" s="18" t="s">
        <v>594</v>
      </c>
      <c r="D898" s="16">
        <v>17</v>
      </c>
      <c r="E898" s="15">
        <v>10</v>
      </c>
      <c r="F898" s="15">
        <v>170</v>
      </c>
    </row>
    <row r="899" spans="1:6" x14ac:dyDescent="0.25">
      <c r="A899" s="24"/>
      <c r="B899" s="23"/>
      <c r="C899" s="22"/>
      <c r="D899" s="21"/>
      <c r="E899" s="20" t="s">
        <v>1343</v>
      </c>
      <c r="F899" s="20">
        <v>173.29</v>
      </c>
    </row>
    <row r="901" spans="1:6" x14ac:dyDescent="0.25">
      <c r="A901" s="19" t="s">
        <v>1477</v>
      </c>
      <c r="B901" s="18" t="s">
        <v>1475</v>
      </c>
      <c r="C901" s="17">
        <v>0.2</v>
      </c>
      <c r="D901" s="16">
        <v>0.8</v>
      </c>
      <c r="E901" s="15">
        <v>6</v>
      </c>
      <c r="F901" s="15">
        <v>4.8</v>
      </c>
    </row>
    <row r="902" spans="1:6" x14ac:dyDescent="0.25">
      <c r="A902" s="19" t="s">
        <v>1476</v>
      </c>
      <c r="B902" s="18" t="s">
        <v>1475</v>
      </c>
      <c r="C902" s="17">
        <v>0.2</v>
      </c>
      <c r="D902" s="16">
        <v>0.8</v>
      </c>
      <c r="E902" s="15">
        <v>6.5</v>
      </c>
      <c r="F902" s="15">
        <v>5.2</v>
      </c>
    </row>
    <row r="903" spans="1:6" x14ac:dyDescent="0.25">
      <c r="A903" s="19" t="s">
        <v>1344</v>
      </c>
      <c r="B903" s="18" t="s">
        <v>1345</v>
      </c>
      <c r="D903" s="16">
        <v>5</v>
      </c>
      <c r="E903" s="15">
        <v>150.47999999999999</v>
      </c>
      <c r="F903" s="15">
        <v>7.52</v>
      </c>
    </row>
    <row r="904" spans="1:6" x14ac:dyDescent="0.25">
      <c r="A904" s="24"/>
      <c r="B904" s="23"/>
      <c r="C904" s="22"/>
      <c r="D904" s="21"/>
      <c r="E904" s="20" t="s">
        <v>1346</v>
      </c>
      <c r="F904" s="20">
        <v>17.52</v>
      </c>
    </row>
    <row r="907" spans="1:6" x14ac:dyDescent="0.25">
      <c r="A907" s="31" t="s">
        <v>1474</v>
      </c>
      <c r="B907" s="27"/>
      <c r="C907" s="30"/>
      <c r="D907" s="29"/>
      <c r="E907" s="28"/>
      <c r="F907" s="28"/>
    </row>
    <row r="908" spans="1:6" x14ac:dyDescent="0.25">
      <c r="A908" s="31" t="s">
        <v>1473</v>
      </c>
      <c r="B908" s="27"/>
      <c r="C908" s="30" t="s">
        <v>1422</v>
      </c>
      <c r="D908" s="29"/>
      <c r="E908" s="28" t="s">
        <v>1329</v>
      </c>
      <c r="F908" s="28">
        <v>30.28</v>
      </c>
    </row>
    <row r="909" spans="1:6" x14ac:dyDescent="0.25">
      <c r="A909" s="27" t="s">
        <v>1330</v>
      </c>
      <c r="B909" s="27" t="s">
        <v>1331</v>
      </c>
      <c r="C909" s="26" t="s">
        <v>1332</v>
      </c>
      <c r="D909" s="26" t="s">
        <v>1333</v>
      </c>
      <c r="E909" s="25" t="s">
        <v>1334</v>
      </c>
      <c r="F909" s="25" t="s">
        <v>1335</v>
      </c>
    </row>
    <row r="910" spans="1:6" x14ac:dyDescent="0.25">
      <c r="A910" s="19" t="s">
        <v>1387</v>
      </c>
      <c r="B910" s="18" t="s">
        <v>1319</v>
      </c>
      <c r="C910" s="17">
        <v>0.1</v>
      </c>
      <c r="D910" s="16">
        <v>6.6699999999999995E-2</v>
      </c>
      <c r="E910" s="15">
        <v>24.5</v>
      </c>
      <c r="F910" s="15">
        <v>1.63</v>
      </c>
    </row>
    <row r="911" spans="1:6" x14ac:dyDescent="0.25">
      <c r="A911" s="19" t="s">
        <v>1350</v>
      </c>
      <c r="B911" s="18" t="s">
        <v>1319</v>
      </c>
      <c r="C911" s="17">
        <v>0.5</v>
      </c>
      <c r="D911" s="16">
        <v>0.33329999999999999</v>
      </c>
      <c r="E911" s="15">
        <v>19.23</v>
      </c>
      <c r="F911" s="15">
        <v>6.41</v>
      </c>
    </row>
    <row r="912" spans="1:6" x14ac:dyDescent="0.25">
      <c r="A912" s="24"/>
      <c r="B912" s="23"/>
      <c r="C912" s="22"/>
      <c r="D912" s="21"/>
      <c r="E912" s="20" t="s">
        <v>1337</v>
      </c>
      <c r="F912" s="20">
        <v>8.0399999999999991</v>
      </c>
    </row>
    <row r="914" spans="1:6" x14ac:dyDescent="0.25">
      <c r="A914" s="19" t="s">
        <v>1472</v>
      </c>
      <c r="B914" s="18" t="s">
        <v>10</v>
      </c>
      <c r="D914" s="16">
        <v>1</v>
      </c>
      <c r="E914" s="15">
        <v>22</v>
      </c>
      <c r="F914" s="15">
        <v>22</v>
      </c>
    </row>
    <row r="915" spans="1:6" x14ac:dyDescent="0.25">
      <c r="A915" s="24"/>
      <c r="B915" s="23"/>
      <c r="C915" s="22"/>
      <c r="D915" s="21"/>
      <c r="E915" s="20" t="s">
        <v>1343</v>
      </c>
      <c r="F915" s="20">
        <v>22</v>
      </c>
    </row>
    <row r="917" spans="1:6" x14ac:dyDescent="0.25">
      <c r="A917" s="19" t="s">
        <v>1344</v>
      </c>
      <c r="B917" s="18" t="s">
        <v>1345</v>
      </c>
      <c r="D917" s="16">
        <v>3</v>
      </c>
      <c r="E917" s="15">
        <v>8.0399999999999991</v>
      </c>
      <c r="F917" s="15">
        <v>0.24</v>
      </c>
    </row>
    <row r="918" spans="1:6" x14ac:dyDescent="0.25">
      <c r="A918" s="24"/>
      <c r="B918" s="23"/>
      <c r="C918" s="22"/>
      <c r="D918" s="21"/>
      <c r="E918" s="20" t="s">
        <v>1346</v>
      </c>
      <c r="F918" s="20">
        <v>0.24</v>
      </c>
    </row>
    <row r="921" spans="1:6" x14ac:dyDescent="0.25">
      <c r="A921" s="31" t="s">
        <v>1471</v>
      </c>
      <c r="B921" s="27"/>
      <c r="C921" s="30"/>
      <c r="D921" s="29"/>
      <c r="E921" s="28"/>
      <c r="F921" s="28"/>
    </row>
    <row r="922" spans="1:6" x14ac:dyDescent="0.25">
      <c r="A922" s="31" t="s">
        <v>1466</v>
      </c>
      <c r="B922" s="27"/>
      <c r="C922" s="30" t="s">
        <v>1422</v>
      </c>
      <c r="D922" s="29"/>
      <c r="E922" s="28" t="s">
        <v>1329</v>
      </c>
      <c r="F922" s="28">
        <v>144.66</v>
      </c>
    </row>
    <row r="923" spans="1:6" x14ac:dyDescent="0.25">
      <c r="A923" s="27" t="s">
        <v>1330</v>
      </c>
      <c r="B923" s="27" t="s">
        <v>1331</v>
      </c>
      <c r="C923" s="26" t="s">
        <v>1332</v>
      </c>
      <c r="D923" s="26" t="s">
        <v>1333</v>
      </c>
      <c r="E923" s="25" t="s">
        <v>1334</v>
      </c>
      <c r="F923" s="25" t="s">
        <v>1335</v>
      </c>
    </row>
    <row r="924" spans="1:6" x14ac:dyDescent="0.25">
      <c r="A924" s="19" t="s">
        <v>1387</v>
      </c>
      <c r="B924" s="18" t="s">
        <v>1319</v>
      </c>
      <c r="C924" s="17">
        <v>0.1</v>
      </c>
      <c r="D924" s="16">
        <v>0.2</v>
      </c>
      <c r="E924" s="15">
        <v>24.5</v>
      </c>
      <c r="F924" s="15">
        <v>4.9000000000000004</v>
      </c>
    </row>
    <row r="925" spans="1:6" x14ac:dyDescent="0.25">
      <c r="A925" s="19" t="s">
        <v>1350</v>
      </c>
      <c r="B925" s="18" t="s">
        <v>1319</v>
      </c>
      <c r="C925" s="17">
        <v>1</v>
      </c>
      <c r="D925" s="16">
        <v>2</v>
      </c>
      <c r="E925" s="15">
        <v>19.23</v>
      </c>
      <c r="F925" s="15">
        <v>38.46</v>
      </c>
    </row>
    <row r="926" spans="1:6" x14ac:dyDescent="0.25">
      <c r="A926" s="24"/>
      <c r="B926" s="23"/>
      <c r="C926" s="22"/>
      <c r="D926" s="21"/>
      <c r="E926" s="20" t="s">
        <v>1337</v>
      </c>
      <c r="F926" s="20">
        <v>43.36</v>
      </c>
    </row>
    <row r="928" spans="1:6" x14ac:dyDescent="0.25">
      <c r="A928" s="19" t="s">
        <v>1470</v>
      </c>
      <c r="B928" s="18" t="s">
        <v>10</v>
      </c>
      <c r="D928" s="16">
        <v>1</v>
      </c>
      <c r="E928" s="15">
        <v>100</v>
      </c>
      <c r="F928" s="15">
        <v>100</v>
      </c>
    </row>
    <row r="929" spans="1:6" x14ac:dyDescent="0.25">
      <c r="A929" s="24"/>
      <c r="B929" s="23"/>
      <c r="C929" s="22"/>
      <c r="D929" s="21"/>
      <c r="E929" s="20" t="s">
        <v>1343</v>
      </c>
      <c r="F929" s="20">
        <v>100</v>
      </c>
    </row>
    <row r="931" spans="1:6" x14ac:dyDescent="0.25">
      <c r="A931" s="19" t="s">
        <v>1344</v>
      </c>
      <c r="B931" s="18" t="s">
        <v>1345</v>
      </c>
      <c r="D931" s="16">
        <v>3</v>
      </c>
      <c r="E931" s="15">
        <v>43.36</v>
      </c>
      <c r="F931" s="15">
        <v>1.3</v>
      </c>
    </row>
    <row r="932" spans="1:6" x14ac:dyDescent="0.25">
      <c r="A932" s="24"/>
      <c r="B932" s="23"/>
      <c r="C932" s="22"/>
      <c r="D932" s="21"/>
      <c r="E932" s="20" t="s">
        <v>1346</v>
      </c>
      <c r="F932" s="20">
        <v>1.3</v>
      </c>
    </row>
    <row r="935" spans="1:6" x14ac:dyDescent="0.25">
      <c r="A935" s="31" t="s">
        <v>1469</v>
      </c>
      <c r="B935" s="27"/>
      <c r="C935" s="30"/>
      <c r="D935" s="29"/>
      <c r="E935" s="28"/>
      <c r="F935" s="28"/>
    </row>
    <row r="936" spans="1:6" x14ac:dyDescent="0.25">
      <c r="A936" s="31" t="s">
        <v>1466</v>
      </c>
      <c r="B936" s="27"/>
      <c r="C936" s="30" t="s">
        <v>1422</v>
      </c>
      <c r="D936" s="29"/>
      <c r="E936" s="28" t="s">
        <v>1329</v>
      </c>
      <c r="F936" s="28">
        <v>99.66</v>
      </c>
    </row>
    <row r="937" spans="1:6" x14ac:dyDescent="0.25">
      <c r="A937" s="27" t="s">
        <v>1330</v>
      </c>
      <c r="B937" s="27" t="s">
        <v>1331</v>
      </c>
      <c r="C937" s="26" t="s">
        <v>1332</v>
      </c>
      <c r="D937" s="26" t="s">
        <v>1333</v>
      </c>
      <c r="E937" s="25" t="s">
        <v>1334</v>
      </c>
      <c r="F937" s="25" t="s">
        <v>1335</v>
      </c>
    </row>
    <row r="938" spans="1:6" x14ac:dyDescent="0.25">
      <c r="A938" s="19" t="s">
        <v>1387</v>
      </c>
      <c r="B938" s="18" t="s">
        <v>1319</v>
      </c>
      <c r="C938" s="17">
        <v>0.1</v>
      </c>
      <c r="D938" s="16">
        <v>0.2</v>
      </c>
      <c r="E938" s="15">
        <v>24.5</v>
      </c>
      <c r="F938" s="15">
        <v>4.9000000000000004</v>
      </c>
    </row>
    <row r="939" spans="1:6" x14ac:dyDescent="0.25">
      <c r="A939" s="19" t="s">
        <v>1350</v>
      </c>
      <c r="B939" s="18" t="s">
        <v>1319</v>
      </c>
      <c r="C939" s="17">
        <v>1</v>
      </c>
      <c r="D939" s="16">
        <v>2</v>
      </c>
      <c r="E939" s="15">
        <v>19.23</v>
      </c>
      <c r="F939" s="15">
        <v>38.46</v>
      </c>
    </row>
    <row r="940" spans="1:6" x14ac:dyDescent="0.25">
      <c r="A940" s="24"/>
      <c r="B940" s="23"/>
      <c r="C940" s="22"/>
      <c r="D940" s="21"/>
      <c r="E940" s="20" t="s">
        <v>1337</v>
      </c>
      <c r="F940" s="20">
        <v>43.36</v>
      </c>
    </row>
    <row r="942" spans="1:6" x14ac:dyDescent="0.25">
      <c r="A942" s="19" t="s">
        <v>1468</v>
      </c>
      <c r="B942" s="18" t="s">
        <v>10</v>
      </c>
      <c r="D942" s="16">
        <v>1</v>
      </c>
      <c r="E942" s="15">
        <v>55</v>
      </c>
      <c r="F942" s="15">
        <v>55</v>
      </c>
    </row>
    <row r="943" spans="1:6" x14ac:dyDescent="0.25">
      <c r="A943" s="24"/>
      <c r="B943" s="23"/>
      <c r="C943" s="22"/>
      <c r="D943" s="21"/>
      <c r="E943" s="20" t="s">
        <v>1343</v>
      </c>
      <c r="F943" s="20">
        <v>55</v>
      </c>
    </row>
    <row r="945" spans="1:6" x14ac:dyDescent="0.25">
      <c r="A945" s="19" t="s">
        <v>1344</v>
      </c>
      <c r="B945" s="18" t="s">
        <v>1345</v>
      </c>
      <c r="D945" s="16">
        <v>3</v>
      </c>
      <c r="E945" s="15">
        <v>43.36</v>
      </c>
      <c r="F945" s="15">
        <v>1.3</v>
      </c>
    </row>
    <row r="946" spans="1:6" x14ac:dyDescent="0.25">
      <c r="A946" s="24"/>
      <c r="B946" s="23"/>
      <c r="C946" s="22"/>
      <c r="D946" s="21"/>
      <c r="E946" s="20" t="s">
        <v>1346</v>
      </c>
      <c r="F946" s="20">
        <v>1.3</v>
      </c>
    </row>
    <row r="949" spans="1:6" x14ac:dyDescent="0.25">
      <c r="A949" s="31" t="s">
        <v>1467</v>
      </c>
      <c r="B949" s="27"/>
      <c r="C949" s="30"/>
      <c r="D949" s="29"/>
      <c r="E949" s="28"/>
      <c r="F949" s="28"/>
    </row>
    <row r="950" spans="1:6" x14ac:dyDescent="0.25">
      <c r="A950" s="31" t="s">
        <v>1466</v>
      </c>
      <c r="B950" s="27"/>
      <c r="C950" s="30" t="s">
        <v>1422</v>
      </c>
      <c r="D950" s="29"/>
      <c r="E950" s="28" t="s">
        <v>1329</v>
      </c>
      <c r="F950" s="28">
        <v>99.66</v>
      </c>
    </row>
    <row r="951" spans="1:6" x14ac:dyDescent="0.25">
      <c r="A951" s="27" t="s">
        <v>1330</v>
      </c>
      <c r="B951" s="27" t="s">
        <v>1331</v>
      </c>
      <c r="C951" s="26" t="s">
        <v>1332</v>
      </c>
      <c r="D951" s="26" t="s">
        <v>1333</v>
      </c>
      <c r="E951" s="25" t="s">
        <v>1334</v>
      </c>
      <c r="F951" s="25" t="s">
        <v>1335</v>
      </c>
    </row>
    <row r="952" spans="1:6" x14ac:dyDescent="0.25">
      <c r="A952" s="19" t="s">
        <v>1387</v>
      </c>
      <c r="B952" s="18" t="s">
        <v>1319</v>
      </c>
      <c r="C952" s="17">
        <v>0.1</v>
      </c>
      <c r="D952" s="16">
        <v>0.2</v>
      </c>
      <c r="E952" s="15">
        <v>24.5</v>
      </c>
      <c r="F952" s="15">
        <v>4.9000000000000004</v>
      </c>
    </row>
    <row r="953" spans="1:6" x14ac:dyDescent="0.25">
      <c r="A953" s="19" t="s">
        <v>1350</v>
      </c>
      <c r="B953" s="18" t="s">
        <v>1319</v>
      </c>
      <c r="C953" s="17">
        <v>1</v>
      </c>
      <c r="D953" s="16">
        <v>2</v>
      </c>
      <c r="E953" s="15">
        <v>19.23</v>
      </c>
      <c r="F953" s="15">
        <v>38.46</v>
      </c>
    </row>
    <row r="954" spans="1:6" x14ac:dyDescent="0.25">
      <c r="A954" s="24"/>
      <c r="B954" s="23"/>
      <c r="C954" s="22"/>
      <c r="D954" s="21"/>
      <c r="E954" s="20" t="s">
        <v>1337</v>
      </c>
      <c r="F954" s="20">
        <v>43.36</v>
      </c>
    </row>
    <row r="956" spans="1:6" x14ac:dyDescent="0.25">
      <c r="A956" s="19" t="s">
        <v>1465</v>
      </c>
      <c r="B956" s="18" t="s">
        <v>10</v>
      </c>
      <c r="D956" s="16">
        <v>1</v>
      </c>
      <c r="E956" s="15">
        <v>55</v>
      </c>
      <c r="F956" s="15">
        <v>55</v>
      </c>
    </row>
    <row r="957" spans="1:6" x14ac:dyDescent="0.25">
      <c r="A957" s="24"/>
      <c r="B957" s="23"/>
      <c r="C957" s="22"/>
      <c r="D957" s="21"/>
      <c r="E957" s="20" t="s">
        <v>1343</v>
      </c>
      <c r="F957" s="20">
        <v>55</v>
      </c>
    </row>
    <row r="959" spans="1:6" x14ac:dyDescent="0.25">
      <c r="A959" s="19" t="s">
        <v>1344</v>
      </c>
      <c r="B959" s="18" t="s">
        <v>1345</v>
      </c>
      <c r="D959" s="16">
        <v>3</v>
      </c>
      <c r="E959" s="15">
        <v>43.36</v>
      </c>
      <c r="F959" s="15">
        <v>1.3</v>
      </c>
    </row>
    <row r="960" spans="1:6" x14ac:dyDescent="0.25">
      <c r="A960" s="24"/>
      <c r="B960" s="23"/>
      <c r="C960" s="22"/>
      <c r="D960" s="21"/>
      <c r="E960" s="20" t="s">
        <v>1346</v>
      </c>
      <c r="F960" s="20">
        <v>1.3</v>
      </c>
    </row>
    <row r="963" spans="1:6" x14ac:dyDescent="0.25">
      <c r="A963" s="31" t="s">
        <v>1464</v>
      </c>
      <c r="B963" s="27"/>
      <c r="C963" s="30"/>
      <c r="D963" s="29"/>
      <c r="E963" s="28"/>
      <c r="F963" s="28"/>
    </row>
    <row r="964" spans="1:6" x14ac:dyDescent="0.25">
      <c r="A964" s="31" t="s">
        <v>1463</v>
      </c>
      <c r="B964" s="27"/>
      <c r="C964" s="30" t="s">
        <v>1462</v>
      </c>
      <c r="D964" s="29"/>
      <c r="E964" s="28" t="s">
        <v>1329</v>
      </c>
      <c r="F964" s="28">
        <v>8.16</v>
      </c>
    </row>
    <row r="965" spans="1:6" x14ac:dyDescent="0.25">
      <c r="A965" s="27" t="s">
        <v>1330</v>
      </c>
      <c r="B965" s="27" t="s">
        <v>1331</v>
      </c>
      <c r="C965" s="26" t="s">
        <v>1332</v>
      </c>
      <c r="D965" s="26" t="s">
        <v>1333</v>
      </c>
      <c r="E965" s="25" t="s">
        <v>1334</v>
      </c>
      <c r="F965" s="25" t="s">
        <v>1335</v>
      </c>
    </row>
    <row r="966" spans="1:6" x14ac:dyDescent="0.25">
      <c r="A966" s="19" t="s">
        <v>1387</v>
      </c>
      <c r="B966" s="18" t="s">
        <v>1319</v>
      </c>
      <c r="C966" s="17">
        <v>0.1</v>
      </c>
      <c r="D966" s="16">
        <v>1.3299999999999999E-2</v>
      </c>
      <c r="E966" s="15">
        <v>24.5</v>
      </c>
      <c r="F966" s="15">
        <v>0.33</v>
      </c>
    </row>
    <row r="967" spans="1:6" x14ac:dyDescent="0.25">
      <c r="A967" s="19" t="s">
        <v>1350</v>
      </c>
      <c r="B967" s="18" t="s">
        <v>1319</v>
      </c>
      <c r="C967" s="17">
        <v>1</v>
      </c>
      <c r="D967" s="16">
        <v>0.1333</v>
      </c>
      <c r="E967" s="15">
        <v>19.23</v>
      </c>
      <c r="F967" s="15">
        <v>2.56</v>
      </c>
    </row>
    <row r="968" spans="1:6" x14ac:dyDescent="0.25">
      <c r="A968" s="19" t="s">
        <v>1336</v>
      </c>
      <c r="B968" s="18" t="s">
        <v>1319</v>
      </c>
      <c r="C968" s="17">
        <v>0.2</v>
      </c>
      <c r="D968" s="16">
        <v>2.6700000000000002E-2</v>
      </c>
      <c r="E968" s="15">
        <v>16.5</v>
      </c>
      <c r="F968" s="15">
        <v>0.44</v>
      </c>
    </row>
    <row r="969" spans="1:6" x14ac:dyDescent="0.25">
      <c r="A969" s="24"/>
      <c r="B969" s="23"/>
      <c r="C969" s="22"/>
      <c r="D969" s="21"/>
      <c r="E969" s="20" t="s">
        <v>1337</v>
      </c>
      <c r="F969" s="20">
        <v>3.33</v>
      </c>
    </row>
    <row r="971" spans="1:6" x14ac:dyDescent="0.25">
      <c r="A971" s="19" t="s">
        <v>1461</v>
      </c>
      <c r="B971" s="18" t="s">
        <v>594</v>
      </c>
      <c r="D971" s="16">
        <v>1.05</v>
      </c>
      <c r="E971" s="15">
        <v>4.5</v>
      </c>
      <c r="F971" s="15">
        <v>4.7300000000000004</v>
      </c>
    </row>
    <row r="972" spans="1:6" x14ac:dyDescent="0.25">
      <c r="A972" s="24"/>
      <c r="B972" s="23"/>
      <c r="C972" s="22"/>
      <c r="D972" s="21"/>
      <c r="E972" s="20" t="s">
        <v>1343</v>
      </c>
      <c r="F972" s="20">
        <v>4.7300000000000004</v>
      </c>
    </row>
    <row r="974" spans="1:6" x14ac:dyDescent="0.25">
      <c r="A974" s="19" t="s">
        <v>1344</v>
      </c>
      <c r="B974" s="18" t="s">
        <v>1345</v>
      </c>
      <c r="D974" s="16">
        <v>3</v>
      </c>
      <c r="E974" s="15">
        <v>3.33</v>
      </c>
      <c r="F974" s="15">
        <v>0.1</v>
      </c>
    </row>
    <row r="975" spans="1:6" x14ac:dyDescent="0.25">
      <c r="A975" s="24"/>
      <c r="B975" s="23"/>
      <c r="C975" s="22"/>
      <c r="D975" s="21"/>
      <c r="E975" s="20" t="s">
        <v>1346</v>
      </c>
      <c r="F975" s="20">
        <v>0.1</v>
      </c>
    </row>
    <row r="978" spans="1:6" x14ac:dyDescent="0.25">
      <c r="A978" s="31" t="s">
        <v>1460</v>
      </c>
      <c r="B978" s="27"/>
      <c r="C978" s="30"/>
      <c r="D978" s="29"/>
      <c r="E978" s="28"/>
      <c r="F978" s="28"/>
    </row>
    <row r="979" spans="1:6" x14ac:dyDescent="0.25">
      <c r="A979" s="31" t="s">
        <v>1459</v>
      </c>
      <c r="B979" s="27"/>
      <c r="C979" s="30" t="s">
        <v>1446</v>
      </c>
      <c r="D979" s="29"/>
      <c r="E979" s="28" t="s">
        <v>1329</v>
      </c>
      <c r="F979" s="28">
        <v>13.25</v>
      </c>
    </row>
    <row r="980" spans="1:6" x14ac:dyDescent="0.25">
      <c r="A980" s="27" t="s">
        <v>1330</v>
      </c>
      <c r="B980" s="27" t="s">
        <v>1331</v>
      </c>
      <c r="C980" s="26" t="s">
        <v>1332</v>
      </c>
      <c r="D980" s="26" t="s">
        <v>1333</v>
      </c>
      <c r="E980" s="25" t="s">
        <v>1334</v>
      </c>
      <c r="F980" s="25" t="s">
        <v>1335</v>
      </c>
    </row>
    <row r="981" spans="1:6" x14ac:dyDescent="0.25">
      <c r="A981" s="19" t="s">
        <v>1387</v>
      </c>
      <c r="B981" s="18" t="s">
        <v>1319</v>
      </c>
      <c r="C981" s="17">
        <v>0.1</v>
      </c>
      <c r="D981" s="16">
        <v>3.2000000000000001E-2</v>
      </c>
      <c r="E981" s="15">
        <v>24.5</v>
      </c>
      <c r="F981" s="15">
        <v>0.78</v>
      </c>
    </row>
    <row r="982" spans="1:6" x14ac:dyDescent="0.25">
      <c r="A982" s="19" t="s">
        <v>1350</v>
      </c>
      <c r="B982" s="18" t="s">
        <v>1319</v>
      </c>
      <c r="C982" s="17">
        <v>1</v>
      </c>
      <c r="D982" s="16">
        <v>0.32</v>
      </c>
      <c r="E982" s="15">
        <v>19.23</v>
      </c>
      <c r="F982" s="15">
        <v>6.15</v>
      </c>
    </row>
    <row r="983" spans="1:6" x14ac:dyDescent="0.25">
      <c r="A983" s="24"/>
      <c r="B983" s="23"/>
      <c r="C983" s="22"/>
      <c r="D983" s="21"/>
      <c r="E983" s="20" t="s">
        <v>1337</v>
      </c>
      <c r="F983" s="20">
        <v>6.9300000000000006</v>
      </c>
    </row>
    <row r="985" spans="1:6" x14ac:dyDescent="0.25">
      <c r="A985" s="19" t="s">
        <v>1458</v>
      </c>
      <c r="B985" s="18" t="s">
        <v>156</v>
      </c>
      <c r="D985" s="16">
        <v>1E-3</v>
      </c>
      <c r="E985" s="15">
        <v>4.5</v>
      </c>
      <c r="F985" s="15">
        <v>0</v>
      </c>
    </row>
    <row r="986" spans="1:6" x14ac:dyDescent="0.25">
      <c r="A986" s="19" t="s">
        <v>1445</v>
      </c>
      <c r="B986" s="18" t="s">
        <v>10</v>
      </c>
      <c r="D986" s="16">
        <v>0.1</v>
      </c>
      <c r="E986" s="15">
        <v>1.1000000000000001</v>
      </c>
      <c r="F986" s="15">
        <v>0.11</v>
      </c>
    </row>
    <row r="987" spans="1:6" x14ac:dyDescent="0.25">
      <c r="A987" s="19" t="s">
        <v>1457</v>
      </c>
      <c r="B987" s="18" t="s">
        <v>594</v>
      </c>
      <c r="D987" s="16">
        <v>0.2</v>
      </c>
      <c r="E987" s="15">
        <v>4</v>
      </c>
      <c r="F987" s="15">
        <v>0.8</v>
      </c>
    </row>
    <row r="988" spans="1:6" x14ac:dyDescent="0.25">
      <c r="A988" s="19" t="s">
        <v>1456</v>
      </c>
      <c r="B988" s="18" t="s">
        <v>1385</v>
      </c>
      <c r="D988" s="16">
        <v>0.1333</v>
      </c>
      <c r="E988" s="15">
        <v>27</v>
      </c>
      <c r="F988" s="15">
        <v>3.6</v>
      </c>
    </row>
    <row r="989" spans="1:6" x14ac:dyDescent="0.25">
      <c r="A989" s="19" t="s">
        <v>1452</v>
      </c>
      <c r="B989" s="18" t="s">
        <v>1385</v>
      </c>
      <c r="D989" s="16">
        <v>0.04</v>
      </c>
      <c r="E989" s="15">
        <v>40</v>
      </c>
      <c r="F989" s="15">
        <v>1.6</v>
      </c>
    </row>
    <row r="990" spans="1:6" x14ac:dyDescent="0.25">
      <c r="A990" s="24"/>
      <c r="B990" s="23"/>
      <c r="C990" s="22"/>
      <c r="D990" s="21"/>
      <c r="E990" s="20" t="s">
        <v>1343</v>
      </c>
      <c r="F990" s="20">
        <v>6.1099999999999994</v>
      </c>
    </row>
    <row r="992" spans="1:6" x14ac:dyDescent="0.25">
      <c r="A992" s="19" t="s">
        <v>1344</v>
      </c>
      <c r="B992" s="18" t="s">
        <v>1345</v>
      </c>
      <c r="D992" s="16">
        <v>3</v>
      </c>
      <c r="E992" s="15">
        <v>6.93</v>
      </c>
      <c r="F992" s="15">
        <v>0.21</v>
      </c>
    </row>
    <row r="993" spans="1:6" x14ac:dyDescent="0.25">
      <c r="A993" s="24"/>
      <c r="B993" s="23"/>
      <c r="C993" s="22"/>
      <c r="D993" s="21"/>
      <c r="E993" s="20" t="s">
        <v>1346</v>
      </c>
      <c r="F993" s="20">
        <v>0.21</v>
      </c>
    </row>
    <row r="996" spans="1:6" x14ac:dyDescent="0.25">
      <c r="A996" s="31" t="s">
        <v>1455</v>
      </c>
      <c r="B996" s="27"/>
      <c r="C996" s="30"/>
      <c r="D996" s="29"/>
      <c r="E996" s="28"/>
      <c r="F996" s="28"/>
    </row>
    <row r="997" spans="1:6" x14ac:dyDescent="0.25">
      <c r="A997" s="31" t="s">
        <v>1453</v>
      </c>
      <c r="B997" s="27"/>
      <c r="C997" s="30" t="s">
        <v>1446</v>
      </c>
      <c r="D997" s="29"/>
      <c r="E997" s="28" t="s">
        <v>1329</v>
      </c>
      <c r="F997" s="28">
        <v>11.66</v>
      </c>
    </row>
    <row r="998" spans="1:6" x14ac:dyDescent="0.25">
      <c r="A998" s="27" t="s">
        <v>1330</v>
      </c>
      <c r="B998" s="27" t="s">
        <v>1331</v>
      </c>
      <c r="C998" s="26" t="s">
        <v>1332</v>
      </c>
      <c r="D998" s="26" t="s">
        <v>1333</v>
      </c>
      <c r="E998" s="25" t="s">
        <v>1334</v>
      </c>
      <c r="F998" s="25" t="s">
        <v>1335</v>
      </c>
    </row>
    <row r="999" spans="1:6" x14ac:dyDescent="0.25">
      <c r="A999" s="19" t="s">
        <v>1387</v>
      </c>
      <c r="B999" s="18" t="s">
        <v>1319</v>
      </c>
      <c r="C999" s="17">
        <v>0.1</v>
      </c>
      <c r="D999" s="16">
        <v>2.6700000000000002E-2</v>
      </c>
      <c r="E999" s="15">
        <v>24.5</v>
      </c>
      <c r="F999" s="15">
        <v>0.65</v>
      </c>
    </row>
    <row r="1000" spans="1:6" x14ac:dyDescent="0.25">
      <c r="A1000" s="19" t="s">
        <v>1350</v>
      </c>
      <c r="B1000" s="18" t="s">
        <v>1319</v>
      </c>
      <c r="C1000" s="17">
        <v>1</v>
      </c>
      <c r="D1000" s="16">
        <v>0.26669999999999999</v>
      </c>
      <c r="E1000" s="15">
        <v>19.23</v>
      </c>
      <c r="F1000" s="15">
        <v>5.13</v>
      </c>
    </row>
    <row r="1001" spans="1:6" x14ac:dyDescent="0.25">
      <c r="A1001" s="24"/>
      <c r="B1001" s="23"/>
      <c r="C1001" s="22"/>
      <c r="D1001" s="21"/>
      <c r="E1001" s="20" t="s">
        <v>1337</v>
      </c>
      <c r="F1001" s="20">
        <v>5.78</v>
      </c>
    </row>
    <row r="1003" spans="1:6" x14ac:dyDescent="0.25">
      <c r="A1003" s="19" t="s">
        <v>1445</v>
      </c>
      <c r="B1003" s="18" t="s">
        <v>10</v>
      </c>
      <c r="D1003" s="16">
        <v>0.1</v>
      </c>
      <c r="E1003" s="15">
        <v>1.1000000000000001</v>
      </c>
      <c r="F1003" s="15">
        <v>0.11</v>
      </c>
    </row>
    <row r="1004" spans="1:6" x14ac:dyDescent="0.25">
      <c r="A1004" s="19" t="s">
        <v>1452</v>
      </c>
      <c r="B1004" s="18" t="s">
        <v>1385</v>
      </c>
      <c r="D1004" s="16">
        <v>0.04</v>
      </c>
      <c r="E1004" s="15">
        <v>40</v>
      </c>
      <c r="F1004" s="15">
        <v>1.6</v>
      </c>
    </row>
    <row r="1005" spans="1:6" x14ac:dyDescent="0.25">
      <c r="A1005" s="19" t="s">
        <v>1451</v>
      </c>
      <c r="B1005" s="18" t="s">
        <v>1385</v>
      </c>
      <c r="D1005" s="16">
        <v>0.2</v>
      </c>
      <c r="E1005" s="15">
        <v>20</v>
      </c>
      <c r="F1005" s="15">
        <v>4</v>
      </c>
    </row>
    <row r="1006" spans="1:6" x14ac:dyDescent="0.25">
      <c r="A1006" s="24"/>
      <c r="B1006" s="23"/>
      <c r="C1006" s="22"/>
      <c r="D1006" s="21"/>
      <c r="E1006" s="20" t="s">
        <v>1343</v>
      </c>
      <c r="F1006" s="20">
        <v>5.71</v>
      </c>
    </row>
    <row r="1008" spans="1:6" x14ac:dyDescent="0.25">
      <c r="A1008" s="19" t="s">
        <v>1344</v>
      </c>
      <c r="B1008" s="18" t="s">
        <v>1345</v>
      </c>
      <c r="D1008" s="16">
        <v>3</v>
      </c>
      <c r="E1008" s="15">
        <v>5.78</v>
      </c>
      <c r="F1008" s="15">
        <v>0.17</v>
      </c>
    </row>
    <row r="1009" spans="1:6" x14ac:dyDescent="0.25">
      <c r="A1009" s="24"/>
      <c r="B1009" s="23"/>
      <c r="C1009" s="22"/>
      <c r="D1009" s="21"/>
      <c r="E1009" s="20" t="s">
        <v>1346</v>
      </c>
      <c r="F1009" s="20">
        <v>0.17</v>
      </c>
    </row>
    <row r="1012" spans="1:6" x14ac:dyDescent="0.25">
      <c r="A1012" s="31" t="s">
        <v>1454</v>
      </c>
      <c r="B1012" s="27"/>
      <c r="C1012" s="30"/>
      <c r="D1012" s="29"/>
      <c r="E1012" s="28"/>
      <c r="F1012" s="28"/>
    </row>
    <row r="1013" spans="1:6" x14ac:dyDescent="0.25">
      <c r="A1013" s="31" t="s">
        <v>1453</v>
      </c>
      <c r="B1013" s="27"/>
      <c r="C1013" s="30" t="s">
        <v>1446</v>
      </c>
      <c r="D1013" s="29"/>
      <c r="E1013" s="28" t="s">
        <v>1329</v>
      </c>
      <c r="F1013" s="28">
        <v>11.66</v>
      </c>
    </row>
    <row r="1014" spans="1:6" x14ac:dyDescent="0.25">
      <c r="A1014" s="27" t="s">
        <v>1330</v>
      </c>
      <c r="B1014" s="27" t="s">
        <v>1331</v>
      </c>
      <c r="C1014" s="26" t="s">
        <v>1332</v>
      </c>
      <c r="D1014" s="26" t="s">
        <v>1333</v>
      </c>
      <c r="E1014" s="25" t="s">
        <v>1334</v>
      </c>
      <c r="F1014" s="25" t="s">
        <v>1335</v>
      </c>
    </row>
    <row r="1015" spans="1:6" x14ac:dyDescent="0.25">
      <c r="A1015" s="19" t="s">
        <v>1387</v>
      </c>
      <c r="B1015" s="18" t="s">
        <v>1319</v>
      </c>
      <c r="C1015" s="17">
        <v>0.1</v>
      </c>
      <c r="D1015" s="16">
        <v>2.6700000000000002E-2</v>
      </c>
      <c r="E1015" s="15">
        <v>24.5</v>
      </c>
      <c r="F1015" s="15">
        <v>0.65</v>
      </c>
    </row>
    <row r="1016" spans="1:6" x14ac:dyDescent="0.25">
      <c r="A1016" s="19" t="s">
        <v>1350</v>
      </c>
      <c r="B1016" s="18" t="s">
        <v>1319</v>
      </c>
      <c r="C1016" s="17">
        <v>1</v>
      </c>
      <c r="D1016" s="16">
        <v>0.26669999999999999</v>
      </c>
      <c r="E1016" s="15">
        <v>19.23</v>
      </c>
      <c r="F1016" s="15">
        <v>5.13</v>
      </c>
    </row>
    <row r="1017" spans="1:6" x14ac:dyDescent="0.25">
      <c r="A1017" s="24"/>
      <c r="B1017" s="23"/>
      <c r="C1017" s="22"/>
      <c r="D1017" s="21"/>
      <c r="E1017" s="20" t="s">
        <v>1337</v>
      </c>
      <c r="F1017" s="20">
        <v>5.78</v>
      </c>
    </row>
    <row r="1019" spans="1:6" x14ac:dyDescent="0.25">
      <c r="A1019" s="19" t="s">
        <v>1445</v>
      </c>
      <c r="B1019" s="18" t="s">
        <v>10</v>
      </c>
      <c r="D1019" s="16">
        <v>0.1</v>
      </c>
      <c r="E1019" s="15">
        <v>1.1000000000000001</v>
      </c>
      <c r="F1019" s="15">
        <v>0.11</v>
      </c>
    </row>
    <row r="1020" spans="1:6" x14ac:dyDescent="0.25">
      <c r="A1020" s="19" t="s">
        <v>1452</v>
      </c>
      <c r="B1020" s="18" t="s">
        <v>1385</v>
      </c>
      <c r="D1020" s="16">
        <v>0.04</v>
      </c>
      <c r="E1020" s="15">
        <v>40</v>
      </c>
      <c r="F1020" s="15">
        <v>1.6</v>
      </c>
    </row>
    <row r="1021" spans="1:6" x14ac:dyDescent="0.25">
      <c r="A1021" s="19" t="s">
        <v>1451</v>
      </c>
      <c r="B1021" s="18" t="s">
        <v>1385</v>
      </c>
      <c r="D1021" s="16">
        <v>0.2</v>
      </c>
      <c r="E1021" s="15">
        <v>20</v>
      </c>
      <c r="F1021" s="15">
        <v>4</v>
      </c>
    </row>
    <row r="1022" spans="1:6" x14ac:dyDescent="0.25">
      <c r="A1022" s="24"/>
      <c r="B1022" s="23"/>
      <c r="C1022" s="22"/>
      <c r="D1022" s="21"/>
      <c r="E1022" s="20" t="s">
        <v>1343</v>
      </c>
      <c r="F1022" s="20">
        <v>5.71</v>
      </c>
    </row>
    <row r="1024" spans="1:6" x14ac:dyDescent="0.25">
      <c r="A1024" s="19" t="s">
        <v>1344</v>
      </c>
      <c r="B1024" s="18" t="s">
        <v>1345</v>
      </c>
      <c r="D1024" s="16">
        <v>3</v>
      </c>
      <c r="E1024" s="15">
        <v>5.78</v>
      </c>
      <c r="F1024" s="15">
        <v>0.17</v>
      </c>
    </row>
    <row r="1025" spans="1:6" x14ac:dyDescent="0.25">
      <c r="A1025" s="24"/>
      <c r="B1025" s="23"/>
      <c r="C1025" s="22"/>
      <c r="D1025" s="21"/>
      <c r="E1025" s="20" t="s">
        <v>1346</v>
      </c>
      <c r="F1025" s="20">
        <v>0.17</v>
      </c>
    </row>
    <row r="1028" spans="1:6" x14ac:dyDescent="0.25">
      <c r="A1028" s="31" t="s">
        <v>1450</v>
      </c>
      <c r="B1028" s="27"/>
      <c r="C1028" s="30"/>
      <c r="D1028" s="29"/>
      <c r="E1028" s="28"/>
      <c r="F1028" s="28"/>
    </row>
    <row r="1029" spans="1:6" x14ac:dyDescent="0.25">
      <c r="A1029" s="31" t="s">
        <v>1449</v>
      </c>
      <c r="B1029" s="27"/>
      <c r="C1029" s="30" t="s">
        <v>1446</v>
      </c>
      <c r="D1029" s="29"/>
      <c r="E1029" s="28" t="s">
        <v>1329</v>
      </c>
      <c r="F1029" s="28">
        <v>13.7</v>
      </c>
    </row>
    <row r="1030" spans="1:6" x14ac:dyDescent="0.25">
      <c r="A1030" s="27" t="s">
        <v>1330</v>
      </c>
      <c r="B1030" s="27" t="s">
        <v>1331</v>
      </c>
      <c r="C1030" s="26" t="s">
        <v>1332</v>
      </c>
      <c r="D1030" s="26" t="s">
        <v>1333</v>
      </c>
      <c r="E1030" s="25" t="s">
        <v>1334</v>
      </c>
      <c r="F1030" s="25" t="s">
        <v>1335</v>
      </c>
    </row>
    <row r="1031" spans="1:6" x14ac:dyDescent="0.25">
      <c r="A1031" s="19" t="s">
        <v>1387</v>
      </c>
      <c r="B1031" s="18" t="s">
        <v>1319</v>
      </c>
      <c r="C1031" s="17">
        <v>0.1</v>
      </c>
      <c r="D1031" s="16">
        <v>0.04</v>
      </c>
      <c r="E1031" s="15">
        <v>24.5</v>
      </c>
      <c r="F1031" s="15">
        <v>0.98</v>
      </c>
    </row>
    <row r="1032" spans="1:6" x14ac:dyDescent="0.25">
      <c r="A1032" s="19" t="s">
        <v>1350</v>
      </c>
      <c r="B1032" s="18" t="s">
        <v>1319</v>
      </c>
      <c r="C1032" s="17">
        <v>1</v>
      </c>
      <c r="D1032" s="16">
        <v>0.4</v>
      </c>
      <c r="E1032" s="15">
        <v>19.23</v>
      </c>
      <c r="F1032" s="15">
        <v>7.69</v>
      </c>
    </row>
    <row r="1033" spans="1:6" x14ac:dyDescent="0.25">
      <c r="A1033" s="19" t="s">
        <v>1336</v>
      </c>
      <c r="B1033" s="18" t="s">
        <v>1319</v>
      </c>
      <c r="C1033" s="17">
        <v>0.5</v>
      </c>
      <c r="D1033" s="16">
        <v>0.2</v>
      </c>
      <c r="E1033" s="15">
        <v>16.5</v>
      </c>
      <c r="F1033" s="15">
        <v>3.3</v>
      </c>
    </row>
    <row r="1034" spans="1:6" x14ac:dyDescent="0.25">
      <c r="A1034" s="24"/>
      <c r="B1034" s="23"/>
      <c r="C1034" s="22"/>
      <c r="D1034" s="21"/>
      <c r="E1034" s="20" t="s">
        <v>1337</v>
      </c>
      <c r="F1034" s="20">
        <v>11.97</v>
      </c>
    </row>
    <row r="1036" spans="1:6" x14ac:dyDescent="0.25">
      <c r="A1036" s="19" t="s">
        <v>1445</v>
      </c>
      <c r="B1036" s="18" t="s">
        <v>10</v>
      </c>
      <c r="D1036" s="16">
        <v>0.15</v>
      </c>
      <c r="E1036" s="15">
        <v>1.1000000000000001</v>
      </c>
      <c r="F1036" s="15">
        <v>0.17</v>
      </c>
    </row>
    <row r="1037" spans="1:6" x14ac:dyDescent="0.25">
      <c r="A1037" s="19" t="s">
        <v>1444</v>
      </c>
      <c r="B1037" s="18" t="s">
        <v>1385</v>
      </c>
      <c r="D1037" s="16">
        <v>0.03</v>
      </c>
      <c r="E1037" s="15">
        <v>40</v>
      </c>
      <c r="F1037" s="15">
        <v>1.2</v>
      </c>
    </row>
    <row r="1038" spans="1:6" x14ac:dyDescent="0.25">
      <c r="A1038" s="24"/>
      <c r="B1038" s="23"/>
      <c r="C1038" s="22"/>
      <c r="D1038" s="21"/>
      <c r="E1038" s="20" t="s">
        <v>1343</v>
      </c>
      <c r="F1038" s="20">
        <v>1.37</v>
      </c>
    </row>
    <row r="1040" spans="1:6" x14ac:dyDescent="0.25">
      <c r="A1040" s="19" t="s">
        <v>1344</v>
      </c>
      <c r="B1040" s="18" t="s">
        <v>1345</v>
      </c>
      <c r="D1040" s="16">
        <v>3</v>
      </c>
      <c r="E1040" s="15">
        <v>11.97</v>
      </c>
      <c r="F1040" s="15">
        <v>0.36</v>
      </c>
    </row>
    <row r="1041" spans="1:6" x14ac:dyDescent="0.25">
      <c r="A1041" s="24"/>
      <c r="B1041" s="23"/>
      <c r="C1041" s="22"/>
      <c r="D1041" s="21"/>
      <c r="E1041" s="20" t="s">
        <v>1346</v>
      </c>
      <c r="F1041" s="20">
        <v>0.36</v>
      </c>
    </row>
    <row r="1044" spans="1:6" x14ac:dyDescent="0.25">
      <c r="A1044" s="31" t="s">
        <v>1448</v>
      </c>
      <c r="B1044" s="27"/>
      <c r="C1044" s="30"/>
      <c r="D1044" s="29"/>
      <c r="E1044" s="28"/>
      <c r="F1044" s="28"/>
    </row>
    <row r="1045" spans="1:6" x14ac:dyDescent="0.25">
      <c r="A1045" s="31" t="s">
        <v>1447</v>
      </c>
      <c r="B1045" s="27"/>
      <c r="C1045" s="30" t="s">
        <v>1446</v>
      </c>
      <c r="D1045" s="29"/>
      <c r="E1045" s="28" t="s">
        <v>1329</v>
      </c>
      <c r="F1045" s="28">
        <v>17.03</v>
      </c>
    </row>
    <row r="1046" spans="1:6" x14ac:dyDescent="0.25">
      <c r="A1046" s="27" t="s">
        <v>1330</v>
      </c>
      <c r="B1046" s="27" t="s">
        <v>1331</v>
      </c>
      <c r="C1046" s="26" t="s">
        <v>1332</v>
      </c>
      <c r="D1046" s="26" t="s">
        <v>1333</v>
      </c>
      <c r="E1046" s="25" t="s">
        <v>1334</v>
      </c>
      <c r="F1046" s="25" t="s">
        <v>1335</v>
      </c>
    </row>
    <row r="1047" spans="1:6" x14ac:dyDescent="0.25">
      <c r="A1047" s="19" t="s">
        <v>1387</v>
      </c>
      <c r="B1047" s="18" t="s">
        <v>1319</v>
      </c>
      <c r="C1047" s="17">
        <v>0.1</v>
      </c>
      <c r="D1047" s="16">
        <v>4.4400000000000002E-2</v>
      </c>
      <c r="E1047" s="15">
        <v>24.5</v>
      </c>
      <c r="F1047" s="15">
        <v>1.0900000000000001</v>
      </c>
    </row>
    <row r="1048" spans="1:6" x14ac:dyDescent="0.25">
      <c r="A1048" s="19" t="s">
        <v>1350</v>
      </c>
      <c r="B1048" s="18" t="s">
        <v>1319</v>
      </c>
      <c r="C1048" s="17">
        <v>1</v>
      </c>
      <c r="D1048" s="16">
        <v>0.44440000000000002</v>
      </c>
      <c r="E1048" s="15">
        <v>19.23</v>
      </c>
      <c r="F1048" s="15">
        <v>8.5500000000000007</v>
      </c>
    </row>
    <row r="1049" spans="1:6" x14ac:dyDescent="0.25">
      <c r="A1049" s="19" t="s">
        <v>1336</v>
      </c>
      <c r="B1049" s="18" t="s">
        <v>1319</v>
      </c>
      <c r="C1049" s="17">
        <v>0.5</v>
      </c>
      <c r="D1049" s="16">
        <v>0.22220000000000001</v>
      </c>
      <c r="E1049" s="15">
        <v>16.5</v>
      </c>
      <c r="F1049" s="15">
        <v>3.67</v>
      </c>
    </row>
    <row r="1050" spans="1:6" x14ac:dyDescent="0.25">
      <c r="A1050" s="24"/>
      <c r="B1050" s="23"/>
      <c r="C1050" s="22"/>
      <c r="D1050" s="21"/>
      <c r="E1050" s="20" t="s">
        <v>1337</v>
      </c>
      <c r="F1050" s="20">
        <v>13.31</v>
      </c>
    </row>
    <row r="1052" spans="1:6" x14ac:dyDescent="0.25">
      <c r="A1052" s="19" t="s">
        <v>1445</v>
      </c>
      <c r="B1052" s="18" t="s">
        <v>10</v>
      </c>
      <c r="D1052" s="16">
        <v>0.2</v>
      </c>
      <c r="E1052" s="15">
        <v>1.1000000000000001</v>
      </c>
      <c r="F1052" s="15">
        <v>0.22</v>
      </c>
    </row>
    <row r="1053" spans="1:6" x14ac:dyDescent="0.25">
      <c r="A1053" s="19" t="s">
        <v>1444</v>
      </c>
      <c r="B1053" s="18" t="s">
        <v>1385</v>
      </c>
      <c r="D1053" s="16">
        <v>0.05</v>
      </c>
      <c r="E1053" s="15">
        <v>40</v>
      </c>
      <c r="F1053" s="15">
        <v>2</v>
      </c>
    </row>
    <row r="1054" spans="1:6" x14ac:dyDescent="0.25">
      <c r="A1054" s="19" t="s">
        <v>1443</v>
      </c>
      <c r="B1054" s="18" t="s">
        <v>1385</v>
      </c>
      <c r="D1054" s="16">
        <v>0.02</v>
      </c>
      <c r="E1054" s="15">
        <v>55</v>
      </c>
      <c r="F1054" s="15">
        <v>1.1000000000000001</v>
      </c>
    </row>
    <row r="1055" spans="1:6" x14ac:dyDescent="0.25">
      <c r="A1055" s="24"/>
      <c r="B1055" s="23"/>
      <c r="C1055" s="22"/>
      <c r="D1055" s="21"/>
      <c r="E1055" s="20" t="s">
        <v>1343</v>
      </c>
      <c r="F1055" s="20">
        <v>3.32</v>
      </c>
    </row>
    <row r="1057" spans="1:6" x14ac:dyDescent="0.25">
      <c r="A1057" s="19" t="s">
        <v>1344</v>
      </c>
      <c r="B1057" s="18" t="s">
        <v>1345</v>
      </c>
      <c r="D1057" s="16">
        <v>3</v>
      </c>
      <c r="E1057" s="15">
        <v>13.31</v>
      </c>
      <c r="F1057" s="15">
        <v>0.4</v>
      </c>
    </row>
    <row r="1058" spans="1:6" x14ac:dyDescent="0.25">
      <c r="A1058" s="24"/>
      <c r="B1058" s="23"/>
      <c r="C1058" s="22"/>
      <c r="D1058" s="21"/>
      <c r="E1058" s="20" t="s">
        <v>1346</v>
      </c>
      <c r="F1058" s="20">
        <v>0.4</v>
      </c>
    </row>
    <row r="1061" spans="1:6" x14ac:dyDescent="0.25">
      <c r="A1061" s="31" t="s">
        <v>1442</v>
      </c>
      <c r="B1061" s="27"/>
      <c r="C1061" s="30"/>
      <c r="D1061" s="29"/>
      <c r="E1061" s="28"/>
      <c r="F1061" s="28"/>
    </row>
    <row r="1062" spans="1:6" x14ac:dyDescent="0.25">
      <c r="A1062" s="31" t="s">
        <v>1423</v>
      </c>
      <c r="B1062" s="27"/>
      <c r="C1062" s="30" t="s">
        <v>1422</v>
      </c>
      <c r="D1062" s="29"/>
      <c r="E1062" s="28" t="s">
        <v>1329</v>
      </c>
      <c r="F1062" s="28">
        <v>585.00000000000011</v>
      </c>
    </row>
    <row r="1063" spans="1:6" x14ac:dyDescent="0.25">
      <c r="A1063" s="27" t="s">
        <v>1330</v>
      </c>
      <c r="B1063" s="27" t="s">
        <v>1331</v>
      </c>
      <c r="C1063" s="26" t="s">
        <v>1332</v>
      </c>
      <c r="D1063" s="26" t="s">
        <v>1333</v>
      </c>
      <c r="E1063" s="25" t="s">
        <v>1334</v>
      </c>
      <c r="F1063" s="25" t="s">
        <v>1335</v>
      </c>
    </row>
    <row r="1064" spans="1:6" x14ac:dyDescent="0.25">
      <c r="A1064" s="19" t="s">
        <v>1441</v>
      </c>
      <c r="B1064" s="18" t="s">
        <v>10</v>
      </c>
      <c r="D1064" s="16">
        <v>1</v>
      </c>
      <c r="E1064" s="15">
        <v>332.74</v>
      </c>
      <c r="F1064" s="15">
        <v>332.74</v>
      </c>
    </row>
    <row r="1065" spans="1:6" x14ac:dyDescent="0.25">
      <c r="A1065" s="19" t="s">
        <v>1440</v>
      </c>
      <c r="B1065" s="18" t="s">
        <v>10</v>
      </c>
      <c r="D1065" s="16">
        <v>1</v>
      </c>
      <c r="E1065" s="15">
        <v>153.88</v>
      </c>
      <c r="F1065" s="15">
        <v>153.88</v>
      </c>
    </row>
    <row r="1066" spans="1:6" x14ac:dyDescent="0.25">
      <c r="A1066" s="19" t="s">
        <v>1439</v>
      </c>
      <c r="B1066" s="18" t="s">
        <v>10</v>
      </c>
      <c r="D1066" s="16">
        <v>1</v>
      </c>
      <c r="E1066" s="15">
        <v>18.010000000000002</v>
      </c>
      <c r="F1066" s="15">
        <v>18.010000000000002</v>
      </c>
    </row>
    <row r="1067" spans="1:6" x14ac:dyDescent="0.25">
      <c r="A1067" s="19" t="s">
        <v>1438</v>
      </c>
      <c r="B1067" s="18" t="s">
        <v>10</v>
      </c>
      <c r="D1067" s="16">
        <v>1</v>
      </c>
      <c r="E1067" s="15">
        <v>41.74</v>
      </c>
      <c r="F1067" s="15">
        <v>41.74</v>
      </c>
    </row>
    <row r="1068" spans="1:6" x14ac:dyDescent="0.25">
      <c r="A1068" s="19" t="s">
        <v>1431</v>
      </c>
      <c r="B1068" s="18" t="s">
        <v>10</v>
      </c>
      <c r="D1068" s="16">
        <v>1</v>
      </c>
      <c r="E1068" s="15">
        <v>8.82</v>
      </c>
      <c r="F1068" s="15">
        <v>8.82</v>
      </c>
    </row>
    <row r="1069" spans="1:6" x14ac:dyDescent="0.25">
      <c r="A1069" s="19" t="s">
        <v>1437</v>
      </c>
      <c r="B1069" s="18" t="s">
        <v>10</v>
      </c>
      <c r="D1069" s="16">
        <v>2</v>
      </c>
      <c r="E1069" s="15">
        <v>3.29</v>
      </c>
      <c r="F1069" s="15">
        <v>6.58</v>
      </c>
    </row>
    <row r="1070" spans="1:6" x14ac:dyDescent="0.25">
      <c r="A1070" s="19" t="s">
        <v>1436</v>
      </c>
      <c r="B1070" s="18" t="s">
        <v>10</v>
      </c>
      <c r="D1070" s="16">
        <v>2</v>
      </c>
      <c r="E1070" s="15">
        <v>4.5999999999999996</v>
      </c>
      <c r="F1070" s="15">
        <v>9.1999999999999993</v>
      </c>
    </row>
    <row r="1071" spans="1:6" x14ac:dyDescent="0.25">
      <c r="A1071" s="19" t="s">
        <v>1435</v>
      </c>
      <c r="B1071" s="18" t="s">
        <v>10</v>
      </c>
      <c r="D1071" s="16">
        <v>1</v>
      </c>
      <c r="E1071" s="15">
        <v>14.03</v>
      </c>
      <c r="F1071" s="15">
        <v>14.03</v>
      </c>
    </row>
    <row r="1072" spans="1:6" x14ac:dyDescent="0.25">
      <c r="A1072" s="24"/>
      <c r="B1072" s="23"/>
      <c r="C1072" s="22"/>
      <c r="D1072" s="21"/>
      <c r="E1072" s="20" t="s">
        <v>1343</v>
      </c>
      <c r="F1072" s="20">
        <v>585.00000000000011</v>
      </c>
    </row>
    <row r="1075" spans="1:6" x14ac:dyDescent="0.25">
      <c r="A1075" s="31" t="s">
        <v>1434</v>
      </c>
      <c r="B1075" s="27"/>
      <c r="C1075" s="30"/>
      <c r="D1075" s="29"/>
      <c r="E1075" s="28"/>
      <c r="F1075" s="28"/>
    </row>
    <row r="1076" spans="1:6" x14ac:dyDescent="0.25">
      <c r="A1076" s="31" t="s">
        <v>1423</v>
      </c>
      <c r="B1076" s="27"/>
      <c r="C1076" s="30" t="s">
        <v>1422</v>
      </c>
      <c r="D1076" s="29"/>
      <c r="E1076" s="28" t="s">
        <v>1329</v>
      </c>
      <c r="F1076" s="28">
        <v>303.33999999999997</v>
      </c>
    </row>
    <row r="1077" spans="1:6" x14ac:dyDescent="0.25">
      <c r="A1077" s="27" t="s">
        <v>1330</v>
      </c>
      <c r="B1077" s="27" t="s">
        <v>1331</v>
      </c>
      <c r="C1077" s="26" t="s">
        <v>1332</v>
      </c>
      <c r="D1077" s="26" t="s">
        <v>1333</v>
      </c>
      <c r="E1077" s="25" t="s">
        <v>1334</v>
      </c>
      <c r="F1077" s="25" t="s">
        <v>1335</v>
      </c>
    </row>
    <row r="1078" spans="1:6" x14ac:dyDescent="0.25">
      <c r="A1078" s="19" t="s">
        <v>1433</v>
      </c>
      <c r="B1078" s="18" t="s">
        <v>10</v>
      </c>
      <c r="D1078" s="16">
        <v>1</v>
      </c>
      <c r="E1078" s="15">
        <v>114</v>
      </c>
      <c r="F1078" s="15">
        <v>114</v>
      </c>
    </row>
    <row r="1079" spans="1:6" x14ac:dyDescent="0.25">
      <c r="A1079" s="19" t="s">
        <v>1432</v>
      </c>
      <c r="B1079" s="18" t="s">
        <v>10</v>
      </c>
      <c r="D1079" s="16">
        <v>1</v>
      </c>
      <c r="E1079" s="15">
        <v>130.84</v>
      </c>
      <c r="F1079" s="15">
        <v>130.84</v>
      </c>
    </row>
    <row r="1080" spans="1:6" x14ac:dyDescent="0.25">
      <c r="A1080" s="19" t="s">
        <v>1431</v>
      </c>
      <c r="B1080" s="18" t="s">
        <v>10</v>
      </c>
      <c r="D1080" s="16">
        <v>2</v>
      </c>
      <c r="E1080" s="15">
        <v>8.82</v>
      </c>
      <c r="F1080" s="15">
        <v>17.64</v>
      </c>
    </row>
    <row r="1081" spans="1:6" x14ac:dyDescent="0.25">
      <c r="A1081" s="19" t="s">
        <v>1430</v>
      </c>
      <c r="B1081" s="18" t="s">
        <v>10</v>
      </c>
      <c r="D1081" s="16">
        <v>1</v>
      </c>
      <c r="E1081" s="15">
        <v>31.37</v>
      </c>
      <c r="F1081" s="15">
        <v>31.37</v>
      </c>
    </row>
    <row r="1082" spans="1:6" x14ac:dyDescent="0.25">
      <c r="A1082" s="19" t="s">
        <v>1429</v>
      </c>
      <c r="B1082" s="18" t="s">
        <v>10</v>
      </c>
      <c r="D1082" s="16">
        <v>1</v>
      </c>
      <c r="E1082" s="15">
        <v>9.49</v>
      </c>
      <c r="F1082" s="15">
        <v>9.49</v>
      </c>
    </row>
    <row r="1083" spans="1:6" x14ac:dyDescent="0.25">
      <c r="A1083" s="24"/>
      <c r="B1083" s="23"/>
      <c r="C1083" s="22"/>
      <c r="D1083" s="21"/>
      <c r="E1083" s="20" t="s">
        <v>1343</v>
      </c>
      <c r="F1083" s="20">
        <v>303.33999999999997</v>
      </c>
    </row>
    <row r="1086" spans="1:6" x14ac:dyDescent="0.25">
      <c r="A1086" s="31" t="s">
        <v>1428</v>
      </c>
      <c r="B1086" s="27"/>
      <c r="C1086" s="30"/>
      <c r="D1086" s="29"/>
      <c r="E1086" s="28"/>
      <c r="F1086" s="28"/>
    </row>
    <row r="1087" spans="1:6" x14ac:dyDescent="0.25">
      <c r="A1087" s="31" t="s">
        <v>1423</v>
      </c>
      <c r="B1087" s="27"/>
      <c r="C1087" s="30" t="s">
        <v>1422</v>
      </c>
      <c r="D1087" s="29"/>
      <c r="E1087" s="28" t="s">
        <v>1329</v>
      </c>
      <c r="F1087" s="28">
        <v>9.44</v>
      </c>
    </row>
    <row r="1088" spans="1:6" x14ac:dyDescent="0.25">
      <c r="A1088" s="27" t="s">
        <v>1330</v>
      </c>
      <c r="B1088" s="27" t="s">
        <v>1331</v>
      </c>
      <c r="C1088" s="26" t="s">
        <v>1332</v>
      </c>
      <c r="D1088" s="26" t="s">
        <v>1333</v>
      </c>
      <c r="E1088" s="25" t="s">
        <v>1334</v>
      </c>
      <c r="F1088" s="25" t="s">
        <v>1335</v>
      </c>
    </row>
    <row r="1089" spans="1:6" x14ac:dyDescent="0.25">
      <c r="A1089" s="19" t="s">
        <v>1427</v>
      </c>
      <c r="B1089" s="18" t="s">
        <v>10</v>
      </c>
      <c r="D1089" s="16">
        <v>1</v>
      </c>
      <c r="E1089" s="15">
        <v>9.44</v>
      </c>
      <c r="F1089" s="15">
        <v>9.44</v>
      </c>
    </row>
    <row r="1090" spans="1:6" x14ac:dyDescent="0.25">
      <c r="A1090" s="24"/>
      <c r="B1090" s="23"/>
      <c r="C1090" s="22"/>
      <c r="D1090" s="21"/>
      <c r="E1090" s="20" t="s">
        <v>1343</v>
      </c>
      <c r="F1090" s="20">
        <v>9.44</v>
      </c>
    </row>
    <row r="1093" spans="1:6" x14ac:dyDescent="0.25">
      <c r="A1093" s="31" t="s">
        <v>1426</v>
      </c>
      <c r="B1093" s="27"/>
      <c r="C1093" s="30"/>
      <c r="D1093" s="29"/>
      <c r="E1093" s="28"/>
      <c r="F1093" s="28"/>
    </row>
    <row r="1094" spans="1:6" x14ac:dyDescent="0.25">
      <c r="A1094" s="31" t="s">
        <v>1423</v>
      </c>
      <c r="B1094" s="27"/>
      <c r="C1094" s="30" t="s">
        <v>1422</v>
      </c>
      <c r="D1094" s="29"/>
      <c r="E1094" s="28" t="s">
        <v>1329</v>
      </c>
      <c r="F1094" s="28">
        <v>15</v>
      </c>
    </row>
    <row r="1095" spans="1:6" x14ac:dyDescent="0.25">
      <c r="A1095" s="27" t="s">
        <v>1330</v>
      </c>
      <c r="B1095" s="27" t="s">
        <v>1331</v>
      </c>
      <c r="C1095" s="26" t="s">
        <v>1332</v>
      </c>
      <c r="D1095" s="26" t="s">
        <v>1333</v>
      </c>
      <c r="E1095" s="25" t="s">
        <v>1334</v>
      </c>
      <c r="F1095" s="25" t="s">
        <v>1335</v>
      </c>
    </row>
    <row r="1096" spans="1:6" x14ac:dyDescent="0.25">
      <c r="A1096" s="19" t="s">
        <v>1425</v>
      </c>
      <c r="B1096" s="18" t="s">
        <v>10</v>
      </c>
      <c r="D1096" s="16">
        <v>1</v>
      </c>
      <c r="E1096" s="15">
        <v>15</v>
      </c>
      <c r="F1096" s="15">
        <v>15</v>
      </c>
    </row>
    <row r="1097" spans="1:6" x14ac:dyDescent="0.25">
      <c r="A1097" s="24"/>
      <c r="B1097" s="23"/>
      <c r="C1097" s="22"/>
      <c r="D1097" s="21"/>
      <c r="E1097" s="20" t="s">
        <v>1343</v>
      </c>
      <c r="F1097" s="20">
        <v>15</v>
      </c>
    </row>
    <row r="1100" spans="1:6" x14ac:dyDescent="0.25">
      <c r="A1100" s="31" t="s">
        <v>1424</v>
      </c>
      <c r="B1100" s="27"/>
      <c r="C1100" s="30"/>
      <c r="D1100" s="29"/>
      <c r="E1100" s="28"/>
      <c r="F1100" s="28"/>
    </row>
    <row r="1101" spans="1:6" x14ac:dyDescent="0.25">
      <c r="A1101" s="31" t="s">
        <v>1423</v>
      </c>
      <c r="B1101" s="27"/>
      <c r="C1101" s="30" t="s">
        <v>1422</v>
      </c>
      <c r="D1101" s="29"/>
      <c r="E1101" s="28" t="s">
        <v>1329</v>
      </c>
      <c r="F1101" s="28">
        <v>7.77</v>
      </c>
    </row>
    <row r="1102" spans="1:6" x14ac:dyDescent="0.25">
      <c r="A1102" s="27" t="s">
        <v>1330</v>
      </c>
      <c r="B1102" s="27" t="s">
        <v>1331</v>
      </c>
      <c r="C1102" s="26" t="s">
        <v>1332</v>
      </c>
      <c r="D1102" s="26" t="s">
        <v>1333</v>
      </c>
      <c r="E1102" s="25" t="s">
        <v>1334</v>
      </c>
      <c r="F1102" s="25" t="s">
        <v>1335</v>
      </c>
    </row>
    <row r="1103" spans="1:6" x14ac:dyDescent="0.25">
      <c r="A1103" s="19" t="s">
        <v>1421</v>
      </c>
      <c r="B1103" s="18" t="s">
        <v>10</v>
      </c>
      <c r="D1103" s="16">
        <v>1</v>
      </c>
      <c r="E1103" s="15">
        <v>7.77</v>
      </c>
      <c r="F1103" s="15">
        <v>7.77</v>
      </c>
    </row>
    <row r="1104" spans="1:6" x14ac:dyDescent="0.25">
      <c r="A1104" s="24"/>
      <c r="B1104" s="23"/>
      <c r="C1104" s="22"/>
      <c r="D1104" s="21"/>
      <c r="E1104" s="20" t="s">
        <v>1343</v>
      </c>
      <c r="F1104" s="20">
        <v>7.77</v>
      </c>
    </row>
    <row r="1107" spans="1:6" x14ac:dyDescent="0.25">
      <c r="A1107" s="31" t="s">
        <v>1420</v>
      </c>
      <c r="B1107" s="27"/>
      <c r="C1107" s="30"/>
      <c r="D1107" s="29"/>
      <c r="E1107" s="28"/>
      <c r="F1107" s="28"/>
    </row>
    <row r="1108" spans="1:6" x14ac:dyDescent="0.25">
      <c r="A1108" s="31" t="s">
        <v>1413</v>
      </c>
      <c r="B1108" s="27"/>
      <c r="C1108" s="30" t="s">
        <v>1373</v>
      </c>
      <c r="D1108" s="29"/>
      <c r="E1108" s="28" t="s">
        <v>1329</v>
      </c>
      <c r="F1108" s="28">
        <v>115.85</v>
      </c>
    </row>
    <row r="1109" spans="1:6" x14ac:dyDescent="0.25">
      <c r="A1109" s="27" t="s">
        <v>1330</v>
      </c>
      <c r="B1109" s="27" t="s">
        <v>1331</v>
      </c>
      <c r="C1109" s="26" t="s">
        <v>1332</v>
      </c>
      <c r="D1109" s="26" t="s">
        <v>1333</v>
      </c>
      <c r="E1109" s="25" t="s">
        <v>1334</v>
      </c>
      <c r="F1109" s="25" t="s">
        <v>1335</v>
      </c>
    </row>
    <row r="1110" spans="1:6" x14ac:dyDescent="0.25">
      <c r="A1110" s="19" t="s">
        <v>1350</v>
      </c>
      <c r="B1110" s="18" t="s">
        <v>1319</v>
      </c>
      <c r="C1110" s="17">
        <v>1</v>
      </c>
      <c r="D1110" s="16">
        <v>1.3332999999999999</v>
      </c>
      <c r="E1110" s="15">
        <v>19.23</v>
      </c>
      <c r="F1110" s="15">
        <v>25.64</v>
      </c>
    </row>
    <row r="1111" spans="1:6" x14ac:dyDescent="0.25">
      <c r="A1111" s="19" t="s">
        <v>1336</v>
      </c>
      <c r="B1111" s="18" t="s">
        <v>1319</v>
      </c>
      <c r="C1111" s="17">
        <v>1</v>
      </c>
      <c r="D1111" s="16">
        <v>1.3332999999999999</v>
      </c>
      <c r="E1111" s="15">
        <v>16.5</v>
      </c>
      <c r="F1111" s="15">
        <v>22</v>
      </c>
    </row>
    <row r="1112" spans="1:6" x14ac:dyDescent="0.25">
      <c r="A1112" s="24"/>
      <c r="B1112" s="23"/>
      <c r="C1112" s="22"/>
      <c r="D1112" s="21"/>
      <c r="E1112" s="20" t="s">
        <v>1337</v>
      </c>
      <c r="F1112" s="20">
        <v>47.64</v>
      </c>
    </row>
    <row r="1114" spans="1:6" x14ac:dyDescent="0.25">
      <c r="A1114" s="19" t="s">
        <v>1412</v>
      </c>
      <c r="B1114" s="18" t="s">
        <v>10</v>
      </c>
      <c r="D1114" s="16">
        <v>2</v>
      </c>
      <c r="E1114" s="15">
        <v>7.67</v>
      </c>
      <c r="F1114" s="15">
        <v>15.34</v>
      </c>
    </row>
    <row r="1115" spans="1:6" x14ac:dyDescent="0.25">
      <c r="A1115" s="19" t="s">
        <v>1411</v>
      </c>
      <c r="B1115" s="18" t="s">
        <v>1287</v>
      </c>
      <c r="D1115" s="16">
        <v>3</v>
      </c>
      <c r="E1115" s="15">
        <v>1</v>
      </c>
      <c r="F1115" s="15">
        <v>3</v>
      </c>
    </row>
    <row r="1116" spans="1:6" x14ac:dyDescent="0.25">
      <c r="A1116" s="19" t="s">
        <v>1419</v>
      </c>
      <c r="B1116" s="18" t="s">
        <v>10</v>
      </c>
      <c r="D1116" s="16">
        <v>1</v>
      </c>
      <c r="E1116" s="15">
        <v>4</v>
      </c>
      <c r="F1116" s="15">
        <v>4</v>
      </c>
    </row>
    <row r="1117" spans="1:6" x14ac:dyDescent="0.25">
      <c r="A1117" s="19" t="s">
        <v>1409</v>
      </c>
      <c r="B1117" s="18" t="s">
        <v>4</v>
      </c>
      <c r="D1117" s="16">
        <v>15</v>
      </c>
      <c r="E1117" s="15">
        <v>2.88</v>
      </c>
      <c r="F1117" s="15">
        <v>43.2</v>
      </c>
    </row>
    <row r="1118" spans="1:6" x14ac:dyDescent="0.25">
      <c r="A1118" s="19" t="s">
        <v>1408</v>
      </c>
      <c r="B1118" s="18" t="s">
        <v>10</v>
      </c>
      <c r="D1118" s="16">
        <v>0.05</v>
      </c>
      <c r="E1118" s="15">
        <v>5.7</v>
      </c>
      <c r="F1118" s="15">
        <v>0.28999999999999998</v>
      </c>
    </row>
    <row r="1119" spans="1:6" x14ac:dyDescent="0.25">
      <c r="A1119" s="24"/>
      <c r="B1119" s="23"/>
      <c r="C1119" s="22"/>
      <c r="D1119" s="21"/>
      <c r="E1119" s="20" t="s">
        <v>1343</v>
      </c>
      <c r="F1119" s="20">
        <v>65.830000000000013</v>
      </c>
    </row>
    <row r="1121" spans="1:6" x14ac:dyDescent="0.25">
      <c r="A1121" s="19" t="s">
        <v>1344</v>
      </c>
      <c r="B1121" s="18" t="s">
        <v>1345</v>
      </c>
      <c r="D1121" s="16">
        <v>5</v>
      </c>
      <c r="E1121" s="15">
        <v>47.64</v>
      </c>
      <c r="F1121" s="15">
        <v>2.38</v>
      </c>
    </row>
    <row r="1122" spans="1:6" x14ac:dyDescent="0.25">
      <c r="A1122" s="24"/>
      <c r="B1122" s="23"/>
      <c r="C1122" s="22"/>
      <c r="D1122" s="21"/>
      <c r="E1122" s="20" t="s">
        <v>1346</v>
      </c>
      <c r="F1122" s="20">
        <v>2.38</v>
      </c>
    </row>
    <row r="1125" spans="1:6" x14ac:dyDescent="0.25">
      <c r="A1125" s="31" t="s">
        <v>1418</v>
      </c>
      <c r="B1125" s="27"/>
      <c r="C1125" s="30"/>
      <c r="D1125" s="29"/>
      <c r="E1125" s="28"/>
      <c r="F1125" s="28"/>
    </row>
    <row r="1126" spans="1:6" x14ac:dyDescent="0.25">
      <c r="A1126" s="31" t="s">
        <v>1413</v>
      </c>
      <c r="B1126" s="27"/>
      <c r="C1126" s="30" t="s">
        <v>1373</v>
      </c>
      <c r="D1126" s="29"/>
      <c r="E1126" s="28" t="s">
        <v>1329</v>
      </c>
      <c r="F1126" s="28">
        <v>115.85</v>
      </c>
    </row>
    <row r="1127" spans="1:6" x14ac:dyDescent="0.25">
      <c r="A1127" s="27" t="s">
        <v>1330</v>
      </c>
      <c r="B1127" s="27" t="s">
        <v>1331</v>
      </c>
      <c r="C1127" s="26" t="s">
        <v>1332</v>
      </c>
      <c r="D1127" s="26" t="s">
        <v>1333</v>
      </c>
      <c r="E1127" s="25" t="s">
        <v>1334</v>
      </c>
      <c r="F1127" s="25" t="s">
        <v>1335</v>
      </c>
    </row>
    <row r="1128" spans="1:6" x14ac:dyDescent="0.25">
      <c r="A1128" s="19" t="s">
        <v>1350</v>
      </c>
      <c r="B1128" s="18" t="s">
        <v>1319</v>
      </c>
      <c r="C1128" s="17">
        <v>1</v>
      </c>
      <c r="D1128" s="16">
        <v>1.3332999999999999</v>
      </c>
      <c r="E1128" s="15">
        <v>19.23</v>
      </c>
      <c r="F1128" s="15">
        <v>25.64</v>
      </c>
    </row>
    <row r="1129" spans="1:6" x14ac:dyDescent="0.25">
      <c r="A1129" s="19" t="s">
        <v>1336</v>
      </c>
      <c r="B1129" s="18" t="s">
        <v>1319</v>
      </c>
      <c r="C1129" s="17">
        <v>1</v>
      </c>
      <c r="D1129" s="16">
        <v>1.3332999999999999</v>
      </c>
      <c r="E1129" s="15">
        <v>16.5</v>
      </c>
      <c r="F1129" s="15">
        <v>22</v>
      </c>
    </row>
    <row r="1130" spans="1:6" x14ac:dyDescent="0.25">
      <c r="A1130" s="24"/>
      <c r="B1130" s="23"/>
      <c r="C1130" s="22"/>
      <c r="D1130" s="21"/>
      <c r="E1130" s="20" t="s">
        <v>1337</v>
      </c>
      <c r="F1130" s="20">
        <v>47.64</v>
      </c>
    </row>
    <row r="1132" spans="1:6" x14ac:dyDescent="0.25">
      <c r="A1132" s="19" t="s">
        <v>1412</v>
      </c>
      <c r="B1132" s="18" t="s">
        <v>10</v>
      </c>
      <c r="D1132" s="16">
        <v>2</v>
      </c>
      <c r="E1132" s="15">
        <v>7.67</v>
      </c>
      <c r="F1132" s="15">
        <v>15.34</v>
      </c>
    </row>
    <row r="1133" spans="1:6" x14ac:dyDescent="0.25">
      <c r="A1133" s="19" t="s">
        <v>1411</v>
      </c>
      <c r="B1133" s="18" t="s">
        <v>1287</v>
      </c>
      <c r="D1133" s="16">
        <v>3</v>
      </c>
      <c r="E1133" s="15">
        <v>1</v>
      </c>
      <c r="F1133" s="15">
        <v>3</v>
      </c>
    </row>
    <row r="1134" spans="1:6" x14ac:dyDescent="0.25">
      <c r="A1134" s="19" t="s">
        <v>1410</v>
      </c>
      <c r="B1134" s="18" t="s">
        <v>10</v>
      </c>
      <c r="D1134" s="16">
        <v>1</v>
      </c>
      <c r="E1134" s="15">
        <v>4</v>
      </c>
      <c r="F1134" s="15">
        <v>4</v>
      </c>
    </row>
    <row r="1135" spans="1:6" x14ac:dyDescent="0.25">
      <c r="A1135" s="19" t="s">
        <v>1409</v>
      </c>
      <c r="B1135" s="18" t="s">
        <v>4</v>
      </c>
      <c r="D1135" s="16">
        <v>15</v>
      </c>
      <c r="E1135" s="15">
        <v>2.88</v>
      </c>
      <c r="F1135" s="15">
        <v>43.2</v>
      </c>
    </row>
    <row r="1136" spans="1:6" x14ac:dyDescent="0.25">
      <c r="A1136" s="19" t="s">
        <v>1408</v>
      </c>
      <c r="B1136" s="18" t="s">
        <v>10</v>
      </c>
      <c r="D1136" s="16">
        <v>0.05</v>
      </c>
      <c r="E1136" s="15">
        <v>5.7</v>
      </c>
      <c r="F1136" s="15">
        <v>0.28999999999999998</v>
      </c>
    </row>
    <row r="1137" spans="1:6" x14ac:dyDescent="0.25">
      <c r="A1137" s="24"/>
      <c r="B1137" s="23"/>
      <c r="C1137" s="22"/>
      <c r="D1137" s="21"/>
      <c r="E1137" s="20" t="s">
        <v>1343</v>
      </c>
      <c r="F1137" s="20">
        <v>65.830000000000013</v>
      </c>
    </row>
    <row r="1139" spans="1:6" x14ac:dyDescent="0.25">
      <c r="A1139" s="19" t="s">
        <v>1344</v>
      </c>
      <c r="B1139" s="18" t="s">
        <v>1345</v>
      </c>
      <c r="D1139" s="16">
        <v>5</v>
      </c>
      <c r="E1139" s="15">
        <v>47.64</v>
      </c>
      <c r="F1139" s="15">
        <v>2.38</v>
      </c>
    </row>
    <row r="1140" spans="1:6" x14ac:dyDescent="0.25">
      <c r="A1140" s="24"/>
      <c r="B1140" s="23"/>
      <c r="C1140" s="22"/>
      <c r="D1140" s="21"/>
      <c r="E1140" s="20" t="s">
        <v>1346</v>
      </c>
      <c r="F1140" s="20">
        <v>2.38</v>
      </c>
    </row>
    <row r="1143" spans="1:6" x14ac:dyDescent="0.25">
      <c r="A1143" s="31" t="s">
        <v>1417</v>
      </c>
      <c r="B1143" s="27"/>
      <c r="C1143" s="30"/>
      <c r="D1143" s="29"/>
      <c r="E1143" s="28"/>
      <c r="F1143" s="28"/>
    </row>
    <row r="1144" spans="1:6" x14ac:dyDescent="0.25">
      <c r="A1144" s="31" t="s">
        <v>1413</v>
      </c>
      <c r="B1144" s="27"/>
      <c r="C1144" s="30" t="s">
        <v>1373</v>
      </c>
      <c r="D1144" s="29"/>
      <c r="E1144" s="28" t="s">
        <v>1329</v>
      </c>
      <c r="F1144" s="28">
        <v>59.81</v>
      </c>
    </row>
    <row r="1145" spans="1:6" x14ac:dyDescent="0.25">
      <c r="A1145" s="27" t="s">
        <v>1330</v>
      </c>
      <c r="B1145" s="27" t="s">
        <v>1331</v>
      </c>
      <c r="C1145" s="26" t="s">
        <v>1332</v>
      </c>
      <c r="D1145" s="26" t="s">
        <v>1333</v>
      </c>
      <c r="E1145" s="25" t="s">
        <v>1334</v>
      </c>
      <c r="F1145" s="25" t="s">
        <v>1335</v>
      </c>
    </row>
    <row r="1146" spans="1:6" x14ac:dyDescent="0.25">
      <c r="A1146" s="19" t="s">
        <v>1350</v>
      </c>
      <c r="B1146" s="18" t="s">
        <v>1319</v>
      </c>
      <c r="C1146" s="17">
        <v>1</v>
      </c>
      <c r="D1146" s="16">
        <v>1.3332999999999999</v>
      </c>
      <c r="E1146" s="15">
        <v>19.23</v>
      </c>
      <c r="F1146" s="15">
        <v>25.64</v>
      </c>
    </row>
    <row r="1147" spans="1:6" x14ac:dyDescent="0.25">
      <c r="A1147" s="19" t="s">
        <v>1336</v>
      </c>
      <c r="B1147" s="18" t="s">
        <v>1319</v>
      </c>
      <c r="C1147" s="17">
        <v>1</v>
      </c>
      <c r="D1147" s="16">
        <v>1.3332999999999999</v>
      </c>
      <c r="E1147" s="15">
        <v>16.5</v>
      </c>
      <c r="F1147" s="15">
        <v>22</v>
      </c>
    </row>
    <row r="1148" spans="1:6" x14ac:dyDescent="0.25">
      <c r="A1148" s="24"/>
      <c r="B1148" s="23"/>
      <c r="C1148" s="22"/>
      <c r="D1148" s="21"/>
      <c r="E1148" s="20" t="s">
        <v>1337</v>
      </c>
      <c r="F1148" s="20">
        <v>47.64</v>
      </c>
    </row>
    <row r="1150" spans="1:6" x14ac:dyDescent="0.25">
      <c r="A1150" s="19" t="s">
        <v>1416</v>
      </c>
      <c r="B1150" s="18" t="s">
        <v>10</v>
      </c>
      <c r="D1150" s="16">
        <v>1</v>
      </c>
      <c r="E1150" s="15">
        <v>9.5</v>
      </c>
      <c r="F1150" s="15">
        <v>9.5</v>
      </c>
    </row>
    <row r="1151" spans="1:6" x14ac:dyDescent="0.25">
      <c r="A1151" s="19" t="s">
        <v>1408</v>
      </c>
      <c r="B1151" s="18" t="s">
        <v>10</v>
      </c>
      <c r="D1151" s="16">
        <v>0.05</v>
      </c>
      <c r="E1151" s="15">
        <v>5.7</v>
      </c>
      <c r="F1151" s="15">
        <v>0.28999999999999998</v>
      </c>
    </row>
    <row r="1152" spans="1:6" x14ac:dyDescent="0.25">
      <c r="A1152" s="24"/>
      <c r="B1152" s="23"/>
      <c r="C1152" s="22"/>
      <c r="D1152" s="21"/>
      <c r="E1152" s="20" t="s">
        <v>1343</v>
      </c>
      <c r="F1152" s="20">
        <v>9.7899999999999991</v>
      </c>
    </row>
    <row r="1154" spans="1:6" x14ac:dyDescent="0.25">
      <c r="A1154" s="19" t="s">
        <v>1344</v>
      </c>
      <c r="B1154" s="18" t="s">
        <v>1345</v>
      </c>
      <c r="D1154" s="16">
        <v>5</v>
      </c>
      <c r="E1154" s="15">
        <v>47.64</v>
      </c>
      <c r="F1154" s="15">
        <v>2.38</v>
      </c>
    </row>
    <row r="1155" spans="1:6" x14ac:dyDescent="0.25">
      <c r="A1155" s="24"/>
      <c r="B1155" s="23"/>
      <c r="C1155" s="22"/>
      <c r="D1155" s="21"/>
      <c r="E1155" s="20" t="s">
        <v>1346</v>
      </c>
      <c r="F1155" s="20">
        <v>2.38</v>
      </c>
    </row>
    <row r="1158" spans="1:6" x14ac:dyDescent="0.25">
      <c r="A1158" s="31" t="s">
        <v>1415</v>
      </c>
      <c r="B1158" s="27"/>
      <c r="C1158" s="30"/>
      <c r="D1158" s="29"/>
      <c r="E1158" s="28"/>
      <c r="F1158" s="28"/>
    </row>
    <row r="1159" spans="1:6" x14ac:dyDescent="0.25">
      <c r="A1159" s="31" t="s">
        <v>1413</v>
      </c>
      <c r="B1159" s="27"/>
      <c r="C1159" s="30" t="s">
        <v>1373</v>
      </c>
      <c r="D1159" s="29"/>
      <c r="E1159" s="28" t="s">
        <v>1329</v>
      </c>
      <c r="F1159" s="28">
        <v>115.85</v>
      </c>
    </row>
    <row r="1160" spans="1:6" x14ac:dyDescent="0.25">
      <c r="A1160" s="27" t="s">
        <v>1330</v>
      </c>
      <c r="B1160" s="27" t="s">
        <v>1331</v>
      </c>
      <c r="C1160" s="26" t="s">
        <v>1332</v>
      </c>
      <c r="D1160" s="26" t="s">
        <v>1333</v>
      </c>
      <c r="E1160" s="25" t="s">
        <v>1334</v>
      </c>
      <c r="F1160" s="25" t="s">
        <v>1335</v>
      </c>
    </row>
    <row r="1161" spans="1:6" x14ac:dyDescent="0.25">
      <c r="A1161" s="19" t="s">
        <v>1350</v>
      </c>
      <c r="B1161" s="18" t="s">
        <v>1319</v>
      </c>
      <c r="C1161" s="17">
        <v>1</v>
      </c>
      <c r="D1161" s="16">
        <v>1.3332999999999999</v>
      </c>
      <c r="E1161" s="15">
        <v>19.23</v>
      </c>
      <c r="F1161" s="15">
        <v>25.64</v>
      </c>
    </row>
    <row r="1162" spans="1:6" x14ac:dyDescent="0.25">
      <c r="A1162" s="19" t="s">
        <v>1336</v>
      </c>
      <c r="B1162" s="18" t="s">
        <v>1319</v>
      </c>
      <c r="C1162" s="17">
        <v>1</v>
      </c>
      <c r="D1162" s="16">
        <v>1.3332999999999999</v>
      </c>
      <c r="E1162" s="15">
        <v>16.5</v>
      </c>
      <c r="F1162" s="15">
        <v>22</v>
      </c>
    </row>
    <row r="1163" spans="1:6" x14ac:dyDescent="0.25">
      <c r="A1163" s="24"/>
      <c r="B1163" s="23"/>
      <c r="C1163" s="22"/>
      <c r="D1163" s="21"/>
      <c r="E1163" s="20" t="s">
        <v>1337</v>
      </c>
      <c r="F1163" s="20">
        <v>47.64</v>
      </c>
    </row>
    <row r="1165" spans="1:6" x14ac:dyDescent="0.25">
      <c r="A1165" s="19" t="s">
        <v>1412</v>
      </c>
      <c r="B1165" s="18" t="s">
        <v>10</v>
      </c>
      <c r="D1165" s="16">
        <v>2</v>
      </c>
      <c r="E1165" s="15">
        <v>7.67</v>
      </c>
      <c r="F1165" s="15">
        <v>15.34</v>
      </c>
    </row>
    <row r="1166" spans="1:6" x14ac:dyDescent="0.25">
      <c r="A1166" s="19" t="s">
        <v>1411</v>
      </c>
      <c r="B1166" s="18" t="s">
        <v>1287</v>
      </c>
      <c r="D1166" s="16">
        <v>3</v>
      </c>
      <c r="E1166" s="15">
        <v>1</v>
      </c>
      <c r="F1166" s="15">
        <v>3</v>
      </c>
    </row>
    <row r="1167" spans="1:6" x14ac:dyDescent="0.25">
      <c r="A1167" s="19" t="s">
        <v>1410</v>
      </c>
      <c r="B1167" s="18" t="s">
        <v>10</v>
      </c>
      <c r="D1167" s="16">
        <v>1</v>
      </c>
      <c r="E1167" s="15">
        <v>4</v>
      </c>
      <c r="F1167" s="15">
        <v>4</v>
      </c>
    </row>
    <row r="1168" spans="1:6" x14ac:dyDescent="0.25">
      <c r="A1168" s="19" t="s">
        <v>1409</v>
      </c>
      <c r="B1168" s="18" t="s">
        <v>4</v>
      </c>
      <c r="D1168" s="16">
        <v>15</v>
      </c>
      <c r="E1168" s="15">
        <v>2.88</v>
      </c>
      <c r="F1168" s="15">
        <v>43.2</v>
      </c>
    </row>
    <row r="1169" spans="1:6" x14ac:dyDescent="0.25">
      <c r="A1169" s="19" t="s">
        <v>1408</v>
      </c>
      <c r="B1169" s="18" t="s">
        <v>10</v>
      </c>
      <c r="D1169" s="16">
        <v>0.05</v>
      </c>
      <c r="E1169" s="15">
        <v>5.7</v>
      </c>
      <c r="F1169" s="15">
        <v>0.28999999999999998</v>
      </c>
    </row>
    <row r="1170" spans="1:6" x14ac:dyDescent="0.25">
      <c r="A1170" s="24"/>
      <c r="B1170" s="23"/>
      <c r="C1170" s="22"/>
      <c r="D1170" s="21"/>
      <c r="E1170" s="20" t="s">
        <v>1343</v>
      </c>
      <c r="F1170" s="20">
        <v>65.830000000000013</v>
      </c>
    </row>
    <row r="1172" spans="1:6" x14ac:dyDescent="0.25">
      <c r="A1172" s="19" t="s">
        <v>1344</v>
      </c>
      <c r="B1172" s="18" t="s">
        <v>1345</v>
      </c>
      <c r="D1172" s="16">
        <v>5</v>
      </c>
      <c r="E1172" s="15">
        <v>47.64</v>
      </c>
      <c r="F1172" s="15">
        <v>2.38</v>
      </c>
    </row>
    <row r="1173" spans="1:6" x14ac:dyDescent="0.25">
      <c r="A1173" s="24"/>
      <c r="B1173" s="23"/>
      <c r="C1173" s="22"/>
      <c r="D1173" s="21"/>
      <c r="E1173" s="20" t="s">
        <v>1346</v>
      </c>
      <c r="F1173" s="20">
        <v>2.38</v>
      </c>
    </row>
    <row r="1176" spans="1:6" x14ac:dyDescent="0.25">
      <c r="A1176" s="31" t="s">
        <v>1414</v>
      </c>
      <c r="B1176" s="27"/>
      <c r="C1176" s="30"/>
      <c r="D1176" s="29"/>
      <c r="E1176" s="28"/>
      <c r="F1176" s="28"/>
    </row>
    <row r="1177" spans="1:6" x14ac:dyDescent="0.25">
      <c r="A1177" s="31" t="s">
        <v>1413</v>
      </c>
      <c r="B1177" s="27"/>
      <c r="C1177" s="30" t="s">
        <v>1373</v>
      </c>
      <c r="D1177" s="29"/>
      <c r="E1177" s="28" t="s">
        <v>1329</v>
      </c>
      <c r="F1177" s="28">
        <v>115.85</v>
      </c>
    </row>
    <row r="1178" spans="1:6" x14ac:dyDescent="0.25">
      <c r="A1178" s="27" t="s">
        <v>1330</v>
      </c>
      <c r="B1178" s="27" t="s">
        <v>1331</v>
      </c>
      <c r="C1178" s="26" t="s">
        <v>1332</v>
      </c>
      <c r="D1178" s="26" t="s">
        <v>1333</v>
      </c>
      <c r="E1178" s="25" t="s">
        <v>1334</v>
      </c>
      <c r="F1178" s="25" t="s">
        <v>1335</v>
      </c>
    </row>
    <row r="1179" spans="1:6" x14ac:dyDescent="0.25">
      <c r="A1179" s="19" t="s">
        <v>1350</v>
      </c>
      <c r="B1179" s="18" t="s">
        <v>1319</v>
      </c>
      <c r="C1179" s="17">
        <v>1</v>
      </c>
      <c r="D1179" s="16">
        <v>1.3332999999999999</v>
      </c>
      <c r="E1179" s="15">
        <v>19.23</v>
      </c>
      <c r="F1179" s="15">
        <v>25.64</v>
      </c>
    </row>
    <row r="1180" spans="1:6" x14ac:dyDescent="0.25">
      <c r="A1180" s="19" t="s">
        <v>1336</v>
      </c>
      <c r="B1180" s="18" t="s">
        <v>1319</v>
      </c>
      <c r="C1180" s="17">
        <v>1</v>
      </c>
      <c r="D1180" s="16">
        <v>1.3332999999999999</v>
      </c>
      <c r="E1180" s="15">
        <v>16.5</v>
      </c>
      <c r="F1180" s="15">
        <v>22</v>
      </c>
    </row>
    <row r="1181" spans="1:6" x14ac:dyDescent="0.25">
      <c r="A1181" s="24"/>
      <c r="B1181" s="23"/>
      <c r="C1181" s="22"/>
      <c r="D1181" s="21"/>
      <c r="E1181" s="20" t="s">
        <v>1337</v>
      </c>
      <c r="F1181" s="20">
        <v>47.64</v>
      </c>
    </row>
    <row r="1183" spans="1:6" x14ac:dyDescent="0.25">
      <c r="A1183" s="19" t="s">
        <v>1412</v>
      </c>
      <c r="B1183" s="18" t="s">
        <v>10</v>
      </c>
      <c r="D1183" s="16">
        <v>2</v>
      </c>
      <c r="E1183" s="15">
        <v>7.67</v>
      </c>
      <c r="F1183" s="15">
        <v>15.34</v>
      </c>
    </row>
    <row r="1184" spans="1:6" x14ac:dyDescent="0.25">
      <c r="A1184" s="19" t="s">
        <v>1411</v>
      </c>
      <c r="B1184" s="18" t="s">
        <v>1287</v>
      </c>
      <c r="D1184" s="16">
        <v>3</v>
      </c>
      <c r="E1184" s="15">
        <v>1</v>
      </c>
      <c r="F1184" s="15">
        <v>3</v>
      </c>
    </row>
    <row r="1185" spans="1:6" x14ac:dyDescent="0.25">
      <c r="A1185" s="19" t="s">
        <v>1410</v>
      </c>
      <c r="B1185" s="18" t="s">
        <v>10</v>
      </c>
      <c r="D1185" s="16">
        <v>1</v>
      </c>
      <c r="E1185" s="15">
        <v>4</v>
      </c>
      <c r="F1185" s="15">
        <v>4</v>
      </c>
    </row>
    <row r="1186" spans="1:6" x14ac:dyDescent="0.25">
      <c r="A1186" s="19" t="s">
        <v>1409</v>
      </c>
      <c r="B1186" s="18" t="s">
        <v>4</v>
      </c>
      <c r="D1186" s="16">
        <v>15</v>
      </c>
      <c r="E1186" s="15">
        <v>2.88</v>
      </c>
      <c r="F1186" s="15">
        <v>43.2</v>
      </c>
    </row>
    <row r="1187" spans="1:6" x14ac:dyDescent="0.25">
      <c r="A1187" s="19" t="s">
        <v>1408</v>
      </c>
      <c r="B1187" s="18" t="s">
        <v>10</v>
      </c>
      <c r="D1187" s="16">
        <v>0.05</v>
      </c>
      <c r="E1187" s="15">
        <v>5.7</v>
      </c>
      <c r="F1187" s="15">
        <v>0.28999999999999998</v>
      </c>
    </row>
    <row r="1188" spans="1:6" x14ac:dyDescent="0.25">
      <c r="A1188" s="24"/>
      <c r="B1188" s="23"/>
      <c r="C1188" s="22"/>
      <c r="D1188" s="21"/>
      <c r="E1188" s="20" t="s">
        <v>1343</v>
      </c>
      <c r="F1188" s="20">
        <v>65.830000000000013</v>
      </c>
    </row>
    <row r="1190" spans="1:6" x14ac:dyDescent="0.25">
      <c r="A1190" s="19" t="s">
        <v>1344</v>
      </c>
      <c r="B1190" s="18" t="s">
        <v>1345</v>
      </c>
      <c r="D1190" s="16">
        <v>5</v>
      </c>
      <c r="E1190" s="15">
        <v>47.64</v>
      </c>
      <c r="F1190" s="15">
        <v>2.38</v>
      </c>
    </row>
    <row r="1191" spans="1:6" x14ac:dyDescent="0.25">
      <c r="A1191" s="24"/>
      <c r="B1191" s="23"/>
      <c r="C1191" s="22"/>
      <c r="D1191" s="21"/>
      <c r="E1191" s="20" t="s">
        <v>1346</v>
      </c>
      <c r="F1191" s="20">
        <v>2.38</v>
      </c>
    </row>
    <row r="1194" spans="1:6" x14ac:dyDescent="0.25">
      <c r="A1194" s="31" t="s">
        <v>1407</v>
      </c>
      <c r="B1194" s="27"/>
      <c r="C1194" s="30"/>
      <c r="D1194" s="29"/>
      <c r="E1194" s="28"/>
      <c r="F1194" s="28"/>
    </row>
    <row r="1195" spans="1:6" x14ac:dyDescent="0.25">
      <c r="A1195" s="31" t="s">
        <v>1352</v>
      </c>
      <c r="B1195" s="27"/>
      <c r="C1195" s="30" t="s">
        <v>1351</v>
      </c>
      <c r="D1195" s="29"/>
      <c r="E1195" s="28" t="s">
        <v>1329</v>
      </c>
      <c r="F1195" s="28">
        <v>709.13</v>
      </c>
    </row>
    <row r="1196" spans="1:6" x14ac:dyDescent="0.25">
      <c r="A1196" s="27" t="s">
        <v>1330</v>
      </c>
      <c r="B1196" s="27" t="s">
        <v>1331</v>
      </c>
      <c r="C1196" s="26" t="s">
        <v>1332</v>
      </c>
      <c r="D1196" s="26" t="s">
        <v>1333</v>
      </c>
      <c r="E1196" s="25" t="s">
        <v>1334</v>
      </c>
      <c r="F1196" s="25" t="s">
        <v>1335</v>
      </c>
    </row>
    <row r="1197" spans="1:6" x14ac:dyDescent="0.25">
      <c r="A1197" s="19" t="s">
        <v>1350</v>
      </c>
      <c r="B1197" s="18" t="s">
        <v>1319</v>
      </c>
      <c r="C1197" s="17">
        <v>1</v>
      </c>
      <c r="D1197" s="16">
        <v>8</v>
      </c>
      <c r="E1197" s="15">
        <v>19.23</v>
      </c>
      <c r="F1197" s="15">
        <v>153.84</v>
      </c>
    </row>
    <row r="1198" spans="1:6" x14ac:dyDescent="0.25">
      <c r="A1198" s="19" t="s">
        <v>1336</v>
      </c>
      <c r="B1198" s="18" t="s">
        <v>1319</v>
      </c>
      <c r="C1198" s="17">
        <v>1</v>
      </c>
      <c r="D1198" s="16">
        <v>8</v>
      </c>
      <c r="E1198" s="15">
        <v>16.5</v>
      </c>
      <c r="F1198" s="15">
        <v>132</v>
      </c>
    </row>
    <row r="1199" spans="1:6" x14ac:dyDescent="0.25">
      <c r="A1199" s="24"/>
      <c r="B1199" s="23"/>
      <c r="C1199" s="22"/>
      <c r="D1199" s="21"/>
      <c r="E1199" s="20" t="s">
        <v>1337</v>
      </c>
      <c r="F1199" s="20">
        <v>285.83999999999997</v>
      </c>
    </row>
    <row r="1201" spans="1:6" x14ac:dyDescent="0.25">
      <c r="A1201" s="19" t="s">
        <v>1406</v>
      </c>
      <c r="B1201" s="18" t="s">
        <v>22</v>
      </c>
      <c r="D1201" s="16">
        <v>2</v>
      </c>
      <c r="E1201" s="15">
        <v>70</v>
      </c>
      <c r="F1201" s="15">
        <v>140</v>
      </c>
    </row>
    <row r="1202" spans="1:6" x14ac:dyDescent="0.25">
      <c r="A1202" s="19" t="s">
        <v>1405</v>
      </c>
      <c r="B1202" s="18" t="s">
        <v>1287</v>
      </c>
      <c r="D1202" s="16">
        <v>1</v>
      </c>
      <c r="E1202" s="15">
        <v>12</v>
      </c>
      <c r="F1202" s="15">
        <v>12</v>
      </c>
    </row>
    <row r="1203" spans="1:6" x14ac:dyDescent="0.25">
      <c r="A1203" s="19" t="s">
        <v>1404</v>
      </c>
      <c r="B1203" s="18" t="s">
        <v>10</v>
      </c>
      <c r="D1203" s="16">
        <v>1</v>
      </c>
      <c r="E1203" s="15">
        <v>177</v>
      </c>
      <c r="F1203" s="15">
        <v>177</v>
      </c>
    </row>
    <row r="1204" spans="1:6" x14ac:dyDescent="0.25">
      <c r="A1204" s="19" t="s">
        <v>1403</v>
      </c>
      <c r="B1204" s="18" t="s">
        <v>10</v>
      </c>
      <c r="D1204" s="16">
        <v>1</v>
      </c>
      <c r="E1204" s="15">
        <v>45</v>
      </c>
      <c r="F1204" s="15">
        <v>45</v>
      </c>
    </row>
    <row r="1205" spans="1:6" x14ac:dyDescent="0.25">
      <c r="A1205" s="19" t="s">
        <v>1402</v>
      </c>
      <c r="B1205" s="18" t="s">
        <v>1287</v>
      </c>
      <c r="D1205" s="16">
        <v>1</v>
      </c>
      <c r="E1205" s="15">
        <v>35</v>
      </c>
      <c r="F1205" s="15">
        <v>35</v>
      </c>
    </row>
    <row r="1206" spans="1:6" x14ac:dyDescent="0.25">
      <c r="A1206" s="24"/>
      <c r="B1206" s="23"/>
      <c r="C1206" s="22"/>
      <c r="D1206" s="21"/>
      <c r="E1206" s="20" t="s">
        <v>1343</v>
      </c>
      <c r="F1206" s="20">
        <v>409</v>
      </c>
    </row>
    <row r="1208" spans="1:6" x14ac:dyDescent="0.25">
      <c r="A1208" s="19" t="s">
        <v>1344</v>
      </c>
      <c r="B1208" s="18" t="s">
        <v>1345</v>
      </c>
      <c r="D1208" s="16">
        <v>5</v>
      </c>
      <c r="E1208" s="15">
        <v>285.83999999999997</v>
      </c>
      <c r="F1208" s="15">
        <v>14.29</v>
      </c>
    </row>
    <row r="1209" spans="1:6" x14ac:dyDescent="0.25">
      <c r="A1209" s="24"/>
      <c r="B1209" s="23"/>
      <c r="C1209" s="22"/>
      <c r="D1209" s="21"/>
      <c r="E1209" s="20" t="s">
        <v>1346</v>
      </c>
      <c r="F1209" s="20">
        <v>14.29</v>
      </c>
    </row>
    <row r="1212" spans="1:6" x14ac:dyDescent="0.25">
      <c r="A1212" s="31" t="s">
        <v>1401</v>
      </c>
      <c r="B1212" s="27"/>
      <c r="C1212" s="30"/>
      <c r="D1212" s="29"/>
      <c r="E1212" s="28"/>
      <c r="F1212" s="28"/>
    </row>
    <row r="1213" spans="1:6" x14ac:dyDescent="0.25">
      <c r="A1213" s="31" t="s">
        <v>1352</v>
      </c>
      <c r="B1213" s="27"/>
      <c r="C1213" s="30" t="s">
        <v>1351</v>
      </c>
      <c r="D1213" s="29"/>
      <c r="E1213" s="28" t="s">
        <v>1329</v>
      </c>
      <c r="F1213" s="28">
        <v>897.21</v>
      </c>
    </row>
    <row r="1214" spans="1:6" x14ac:dyDescent="0.25">
      <c r="A1214" s="27" t="s">
        <v>1330</v>
      </c>
      <c r="B1214" s="27" t="s">
        <v>1331</v>
      </c>
      <c r="C1214" s="26" t="s">
        <v>1332</v>
      </c>
      <c r="D1214" s="26" t="s">
        <v>1333</v>
      </c>
      <c r="E1214" s="25" t="s">
        <v>1334</v>
      </c>
      <c r="F1214" s="25" t="s">
        <v>1335</v>
      </c>
    </row>
    <row r="1215" spans="1:6" x14ac:dyDescent="0.25">
      <c r="A1215" s="19" t="s">
        <v>1387</v>
      </c>
      <c r="B1215" s="18" t="s">
        <v>1319</v>
      </c>
      <c r="C1215" s="17">
        <v>0.1</v>
      </c>
      <c r="D1215" s="16">
        <v>0.8</v>
      </c>
      <c r="E1215" s="15">
        <v>24.5</v>
      </c>
      <c r="F1215" s="15">
        <v>19.600000000000001</v>
      </c>
    </row>
    <row r="1216" spans="1:6" x14ac:dyDescent="0.25">
      <c r="A1216" s="19" t="s">
        <v>1350</v>
      </c>
      <c r="B1216" s="18" t="s">
        <v>1319</v>
      </c>
      <c r="C1216" s="17">
        <v>1</v>
      </c>
      <c r="D1216" s="16">
        <v>8</v>
      </c>
      <c r="E1216" s="15">
        <v>19.23</v>
      </c>
      <c r="F1216" s="15">
        <v>153.84</v>
      </c>
    </row>
    <row r="1217" spans="1:6" x14ac:dyDescent="0.25">
      <c r="A1217" s="19" t="s">
        <v>1336</v>
      </c>
      <c r="B1217" s="18" t="s">
        <v>1319</v>
      </c>
      <c r="C1217" s="17">
        <v>1</v>
      </c>
      <c r="D1217" s="16">
        <v>8</v>
      </c>
      <c r="E1217" s="15">
        <v>16.5</v>
      </c>
      <c r="F1217" s="15">
        <v>132</v>
      </c>
    </row>
    <row r="1218" spans="1:6" x14ac:dyDescent="0.25">
      <c r="A1218" s="24"/>
      <c r="B1218" s="23"/>
      <c r="C1218" s="22"/>
      <c r="D1218" s="21"/>
      <c r="E1218" s="20" t="s">
        <v>1337</v>
      </c>
      <c r="F1218" s="20">
        <v>305.44</v>
      </c>
    </row>
    <row r="1220" spans="1:6" x14ac:dyDescent="0.25">
      <c r="A1220" s="19" t="s">
        <v>1400</v>
      </c>
      <c r="B1220" s="18" t="s">
        <v>10</v>
      </c>
      <c r="D1220" s="16">
        <v>1</v>
      </c>
      <c r="E1220" s="15">
        <v>147.5</v>
      </c>
      <c r="F1220" s="15">
        <v>147.5</v>
      </c>
    </row>
    <row r="1221" spans="1:6" x14ac:dyDescent="0.25">
      <c r="A1221" s="19" t="s">
        <v>1399</v>
      </c>
      <c r="B1221" s="18" t="s">
        <v>10</v>
      </c>
      <c r="D1221" s="16">
        <v>8</v>
      </c>
      <c r="E1221" s="15">
        <v>41.25</v>
      </c>
      <c r="F1221" s="15">
        <v>330</v>
      </c>
    </row>
    <row r="1222" spans="1:6" x14ac:dyDescent="0.25">
      <c r="A1222" s="19" t="s">
        <v>1398</v>
      </c>
      <c r="B1222" s="18" t="s">
        <v>10</v>
      </c>
      <c r="D1222" s="16">
        <v>1</v>
      </c>
      <c r="E1222" s="15">
        <v>99</v>
      </c>
      <c r="F1222" s="15">
        <v>99</v>
      </c>
    </row>
    <row r="1223" spans="1:6" x14ac:dyDescent="0.25">
      <c r="A1223" s="24"/>
      <c r="B1223" s="23"/>
      <c r="C1223" s="22"/>
      <c r="D1223" s="21"/>
      <c r="E1223" s="20" t="s">
        <v>1343</v>
      </c>
      <c r="F1223" s="20">
        <v>576.5</v>
      </c>
    </row>
    <row r="1225" spans="1:6" x14ac:dyDescent="0.25">
      <c r="A1225" s="19" t="s">
        <v>1344</v>
      </c>
      <c r="B1225" s="18" t="s">
        <v>1345</v>
      </c>
      <c r="D1225" s="16">
        <v>5</v>
      </c>
      <c r="E1225" s="15">
        <v>305.44</v>
      </c>
      <c r="F1225" s="15">
        <v>15.27</v>
      </c>
    </row>
    <row r="1226" spans="1:6" x14ac:dyDescent="0.25">
      <c r="A1226" s="24"/>
      <c r="B1226" s="23"/>
      <c r="C1226" s="22"/>
      <c r="D1226" s="21"/>
      <c r="E1226" s="20" t="s">
        <v>1346</v>
      </c>
      <c r="F1226" s="20">
        <v>15.27</v>
      </c>
    </row>
    <row r="1229" spans="1:6" x14ac:dyDescent="0.25">
      <c r="A1229" s="31" t="s">
        <v>1397</v>
      </c>
      <c r="B1229" s="27"/>
      <c r="C1229" s="30"/>
      <c r="D1229" s="29"/>
      <c r="E1229" s="28"/>
      <c r="F1229" s="28"/>
    </row>
    <row r="1230" spans="1:6" x14ac:dyDescent="0.25">
      <c r="A1230" s="31" t="s">
        <v>1388</v>
      </c>
      <c r="B1230" s="27"/>
      <c r="C1230" s="30" t="s">
        <v>1373</v>
      </c>
      <c r="D1230" s="29"/>
      <c r="E1230" s="28" t="s">
        <v>1329</v>
      </c>
      <c r="F1230" s="28">
        <v>155.35</v>
      </c>
    </row>
    <row r="1231" spans="1:6" x14ac:dyDescent="0.25">
      <c r="A1231" s="27" t="s">
        <v>1330</v>
      </c>
      <c r="B1231" s="27" t="s">
        <v>1331</v>
      </c>
      <c r="C1231" s="26" t="s">
        <v>1332</v>
      </c>
      <c r="D1231" s="26" t="s">
        <v>1333</v>
      </c>
      <c r="E1231" s="25" t="s">
        <v>1334</v>
      </c>
      <c r="F1231" s="25" t="s">
        <v>1335</v>
      </c>
    </row>
    <row r="1232" spans="1:6" x14ac:dyDescent="0.25">
      <c r="A1232" s="19" t="s">
        <v>1387</v>
      </c>
      <c r="B1232" s="18" t="s">
        <v>1319</v>
      </c>
      <c r="C1232" s="17">
        <v>0.1</v>
      </c>
      <c r="D1232" s="16">
        <v>0.2</v>
      </c>
      <c r="E1232" s="15">
        <v>24.5</v>
      </c>
      <c r="F1232" s="15">
        <v>4.9000000000000004</v>
      </c>
    </row>
    <row r="1233" spans="1:6" x14ac:dyDescent="0.25">
      <c r="A1233" s="19" t="s">
        <v>1350</v>
      </c>
      <c r="B1233" s="18" t="s">
        <v>1319</v>
      </c>
      <c r="C1233" s="17">
        <v>1</v>
      </c>
      <c r="D1233" s="16">
        <v>2</v>
      </c>
      <c r="E1233" s="15">
        <v>19.23</v>
      </c>
      <c r="F1233" s="15">
        <v>38.46</v>
      </c>
    </row>
    <row r="1234" spans="1:6" x14ac:dyDescent="0.25">
      <c r="A1234" s="19" t="s">
        <v>1336</v>
      </c>
      <c r="B1234" s="18" t="s">
        <v>1319</v>
      </c>
      <c r="C1234" s="17">
        <v>1</v>
      </c>
      <c r="D1234" s="16">
        <v>2</v>
      </c>
      <c r="E1234" s="15">
        <v>16.5</v>
      </c>
      <c r="F1234" s="15">
        <v>33</v>
      </c>
    </row>
    <row r="1235" spans="1:6" x14ac:dyDescent="0.25">
      <c r="A1235" s="24"/>
      <c r="B1235" s="23"/>
      <c r="C1235" s="22"/>
      <c r="D1235" s="21"/>
      <c r="E1235" s="20" t="s">
        <v>1337</v>
      </c>
      <c r="F1235" s="20">
        <v>76.36</v>
      </c>
    </row>
    <row r="1237" spans="1:6" x14ac:dyDescent="0.25">
      <c r="A1237" s="19" t="s">
        <v>1386</v>
      </c>
      <c r="B1237" s="18" t="s">
        <v>1385</v>
      </c>
      <c r="D1237" s="16">
        <v>0.03</v>
      </c>
      <c r="E1237" s="15">
        <v>170</v>
      </c>
      <c r="F1237" s="15">
        <v>5.0999999999999996</v>
      </c>
    </row>
    <row r="1238" spans="1:6" x14ac:dyDescent="0.25">
      <c r="A1238" s="19" t="s">
        <v>1396</v>
      </c>
      <c r="B1238" s="18" t="s">
        <v>10</v>
      </c>
      <c r="D1238" s="16">
        <v>1.03</v>
      </c>
      <c r="E1238" s="15">
        <v>11.5</v>
      </c>
      <c r="F1238" s="15">
        <v>11.85</v>
      </c>
    </row>
    <row r="1239" spans="1:6" x14ac:dyDescent="0.25">
      <c r="A1239" s="19" t="s">
        <v>1395</v>
      </c>
      <c r="B1239" s="18" t="s">
        <v>10</v>
      </c>
      <c r="D1239" s="16">
        <v>2</v>
      </c>
      <c r="E1239" s="15">
        <v>2.79</v>
      </c>
      <c r="F1239" s="15">
        <v>5.58</v>
      </c>
    </row>
    <row r="1240" spans="1:6" x14ac:dyDescent="0.25">
      <c r="A1240" s="19" t="s">
        <v>1391</v>
      </c>
      <c r="B1240" s="18" t="s">
        <v>10</v>
      </c>
      <c r="D1240" s="16">
        <v>1.03</v>
      </c>
      <c r="E1240" s="15">
        <v>35</v>
      </c>
      <c r="F1240" s="15">
        <v>36.049999999999997</v>
      </c>
    </row>
    <row r="1241" spans="1:6" x14ac:dyDescent="0.25">
      <c r="A1241" s="19" t="s">
        <v>1390</v>
      </c>
      <c r="B1241" s="18" t="s">
        <v>10</v>
      </c>
      <c r="D1241" s="16">
        <v>1.03</v>
      </c>
      <c r="E1241" s="15">
        <v>17.59</v>
      </c>
      <c r="F1241" s="15">
        <v>18.12</v>
      </c>
    </row>
    <row r="1242" spans="1:6" x14ac:dyDescent="0.25">
      <c r="A1242" s="24"/>
      <c r="B1242" s="23"/>
      <c r="C1242" s="22"/>
      <c r="D1242" s="21"/>
      <c r="E1242" s="20" t="s">
        <v>1343</v>
      </c>
      <c r="F1242" s="20">
        <v>76.7</v>
      </c>
    </row>
    <row r="1244" spans="1:6" x14ac:dyDescent="0.25">
      <c r="A1244" s="19" t="s">
        <v>1344</v>
      </c>
      <c r="B1244" s="18" t="s">
        <v>1345</v>
      </c>
      <c r="D1244" s="16">
        <v>3</v>
      </c>
      <c r="E1244" s="15">
        <v>76.36</v>
      </c>
      <c r="F1244" s="15">
        <v>2.29</v>
      </c>
    </row>
    <row r="1245" spans="1:6" x14ac:dyDescent="0.25">
      <c r="A1245" s="24"/>
      <c r="B1245" s="23"/>
      <c r="C1245" s="22"/>
      <c r="D1245" s="21"/>
      <c r="E1245" s="20" t="s">
        <v>1346</v>
      </c>
      <c r="F1245" s="20">
        <v>2.29</v>
      </c>
    </row>
    <row r="1248" spans="1:6" x14ac:dyDescent="0.25">
      <c r="A1248" s="31" t="s">
        <v>1394</v>
      </c>
      <c r="B1248" s="27"/>
      <c r="C1248" s="30"/>
      <c r="D1248" s="29"/>
      <c r="E1248" s="28"/>
      <c r="F1248" s="28"/>
    </row>
    <row r="1249" spans="1:6" x14ac:dyDescent="0.25">
      <c r="A1249" s="31" t="s">
        <v>1388</v>
      </c>
      <c r="B1249" s="27"/>
      <c r="C1249" s="30" t="s">
        <v>1373</v>
      </c>
      <c r="D1249" s="29"/>
      <c r="E1249" s="28" t="s">
        <v>1329</v>
      </c>
      <c r="F1249" s="28">
        <v>162.77000000000001</v>
      </c>
    </row>
    <row r="1250" spans="1:6" x14ac:dyDescent="0.25">
      <c r="A1250" s="27" t="s">
        <v>1330</v>
      </c>
      <c r="B1250" s="27" t="s">
        <v>1331</v>
      </c>
      <c r="C1250" s="26" t="s">
        <v>1332</v>
      </c>
      <c r="D1250" s="26" t="s">
        <v>1333</v>
      </c>
      <c r="E1250" s="25" t="s">
        <v>1334</v>
      </c>
      <c r="F1250" s="25" t="s">
        <v>1335</v>
      </c>
    </row>
    <row r="1251" spans="1:6" x14ac:dyDescent="0.25">
      <c r="A1251" s="19" t="s">
        <v>1387</v>
      </c>
      <c r="B1251" s="18" t="s">
        <v>1319</v>
      </c>
      <c r="C1251" s="17">
        <v>0.1</v>
      </c>
      <c r="D1251" s="16">
        <v>0.2</v>
      </c>
      <c r="E1251" s="15">
        <v>24.5</v>
      </c>
      <c r="F1251" s="15">
        <v>4.9000000000000004</v>
      </c>
    </row>
    <row r="1252" spans="1:6" x14ac:dyDescent="0.25">
      <c r="A1252" s="19" t="s">
        <v>1350</v>
      </c>
      <c r="B1252" s="18" t="s">
        <v>1319</v>
      </c>
      <c r="C1252" s="17">
        <v>1</v>
      </c>
      <c r="D1252" s="16">
        <v>2</v>
      </c>
      <c r="E1252" s="15">
        <v>19.23</v>
      </c>
      <c r="F1252" s="15">
        <v>38.46</v>
      </c>
    </row>
    <row r="1253" spans="1:6" x14ac:dyDescent="0.25">
      <c r="A1253" s="19" t="s">
        <v>1336</v>
      </c>
      <c r="B1253" s="18" t="s">
        <v>1319</v>
      </c>
      <c r="C1253" s="17">
        <v>1</v>
      </c>
      <c r="D1253" s="16">
        <v>2</v>
      </c>
      <c r="E1253" s="15">
        <v>16.5</v>
      </c>
      <c r="F1253" s="15">
        <v>33</v>
      </c>
    </row>
    <row r="1254" spans="1:6" x14ac:dyDescent="0.25">
      <c r="A1254" s="24"/>
      <c r="B1254" s="23"/>
      <c r="C1254" s="22"/>
      <c r="D1254" s="21"/>
      <c r="E1254" s="20" t="s">
        <v>1337</v>
      </c>
      <c r="F1254" s="20">
        <v>76.36</v>
      </c>
    </row>
    <row r="1256" spans="1:6" x14ac:dyDescent="0.25">
      <c r="A1256" s="19" t="s">
        <v>1386</v>
      </c>
      <c r="B1256" s="18" t="s">
        <v>1385</v>
      </c>
      <c r="D1256" s="16">
        <v>0.03</v>
      </c>
      <c r="E1256" s="15">
        <v>170</v>
      </c>
      <c r="F1256" s="15">
        <v>5.0999999999999996</v>
      </c>
    </row>
    <row r="1257" spans="1:6" x14ac:dyDescent="0.25">
      <c r="A1257" s="19" t="s">
        <v>1393</v>
      </c>
      <c r="B1257" s="18" t="s">
        <v>10</v>
      </c>
      <c r="D1257" s="16">
        <v>0.35</v>
      </c>
      <c r="E1257" s="15">
        <v>37.43</v>
      </c>
      <c r="F1257" s="15">
        <v>13.1</v>
      </c>
    </row>
    <row r="1258" spans="1:6" x14ac:dyDescent="0.25">
      <c r="A1258" s="19" t="s">
        <v>1392</v>
      </c>
      <c r="B1258" s="18" t="s">
        <v>10</v>
      </c>
      <c r="D1258" s="16">
        <v>1.03</v>
      </c>
      <c r="E1258" s="15">
        <v>11.41</v>
      </c>
      <c r="F1258" s="15">
        <v>11.75</v>
      </c>
    </row>
    <row r="1259" spans="1:6" x14ac:dyDescent="0.25">
      <c r="A1259" s="19" t="s">
        <v>1391</v>
      </c>
      <c r="B1259" s="18" t="s">
        <v>10</v>
      </c>
      <c r="D1259" s="16">
        <v>1.03</v>
      </c>
      <c r="E1259" s="15">
        <v>35</v>
      </c>
      <c r="F1259" s="15">
        <v>36.049999999999997</v>
      </c>
    </row>
    <row r="1260" spans="1:6" x14ac:dyDescent="0.25">
      <c r="A1260" s="19" t="s">
        <v>1390</v>
      </c>
      <c r="B1260" s="18" t="s">
        <v>10</v>
      </c>
      <c r="D1260" s="16">
        <v>1.03</v>
      </c>
      <c r="E1260" s="15">
        <v>17.59</v>
      </c>
      <c r="F1260" s="15">
        <v>18.12</v>
      </c>
    </row>
    <row r="1261" spans="1:6" x14ac:dyDescent="0.25">
      <c r="A1261" s="24"/>
      <c r="B1261" s="23"/>
      <c r="C1261" s="22"/>
      <c r="D1261" s="21"/>
      <c r="E1261" s="20" t="s">
        <v>1343</v>
      </c>
      <c r="F1261" s="20">
        <v>84.12</v>
      </c>
    </row>
    <row r="1263" spans="1:6" x14ac:dyDescent="0.25">
      <c r="A1263" s="19" t="s">
        <v>1344</v>
      </c>
      <c r="B1263" s="18" t="s">
        <v>1345</v>
      </c>
      <c r="D1263" s="16">
        <v>3</v>
      </c>
      <c r="E1263" s="15">
        <v>76.36</v>
      </c>
      <c r="F1263" s="15">
        <v>2.29</v>
      </c>
    </row>
    <row r="1264" spans="1:6" x14ac:dyDescent="0.25">
      <c r="A1264" s="24"/>
      <c r="B1264" s="23"/>
      <c r="C1264" s="22"/>
      <c r="D1264" s="21"/>
      <c r="E1264" s="20" t="s">
        <v>1346</v>
      </c>
      <c r="F1264" s="20">
        <v>2.29</v>
      </c>
    </row>
    <row r="1267" spans="1:6" x14ac:dyDescent="0.25">
      <c r="A1267" s="31" t="s">
        <v>1389</v>
      </c>
      <c r="B1267" s="27"/>
      <c r="C1267" s="30"/>
      <c r="D1267" s="29"/>
      <c r="E1267" s="28"/>
      <c r="F1267" s="28"/>
    </row>
    <row r="1268" spans="1:6" x14ac:dyDescent="0.25">
      <c r="A1268" s="31" t="s">
        <v>1388</v>
      </c>
      <c r="B1268" s="27"/>
      <c r="C1268" s="30" t="s">
        <v>1373</v>
      </c>
      <c r="D1268" s="29"/>
      <c r="E1268" s="28" t="s">
        <v>1329</v>
      </c>
      <c r="F1268" s="28">
        <v>111.02</v>
      </c>
    </row>
    <row r="1269" spans="1:6" x14ac:dyDescent="0.25">
      <c r="A1269" s="27" t="s">
        <v>1330</v>
      </c>
      <c r="B1269" s="27" t="s">
        <v>1331</v>
      </c>
      <c r="C1269" s="26" t="s">
        <v>1332</v>
      </c>
      <c r="D1269" s="26" t="s">
        <v>1333</v>
      </c>
      <c r="E1269" s="25" t="s">
        <v>1334</v>
      </c>
      <c r="F1269" s="25" t="s">
        <v>1335</v>
      </c>
    </row>
    <row r="1270" spans="1:6" x14ac:dyDescent="0.25">
      <c r="A1270" s="19" t="s">
        <v>1387</v>
      </c>
      <c r="B1270" s="18" t="s">
        <v>1319</v>
      </c>
      <c r="C1270" s="17">
        <v>0.1</v>
      </c>
      <c r="D1270" s="16">
        <v>0.2</v>
      </c>
      <c r="E1270" s="15">
        <v>24.5</v>
      </c>
      <c r="F1270" s="15">
        <v>4.9000000000000004</v>
      </c>
    </row>
    <row r="1271" spans="1:6" x14ac:dyDescent="0.25">
      <c r="A1271" s="19" t="s">
        <v>1350</v>
      </c>
      <c r="B1271" s="18" t="s">
        <v>1319</v>
      </c>
      <c r="C1271" s="17">
        <v>1</v>
      </c>
      <c r="D1271" s="16">
        <v>2</v>
      </c>
      <c r="E1271" s="15">
        <v>19.23</v>
      </c>
      <c r="F1271" s="15">
        <v>38.46</v>
      </c>
    </row>
    <row r="1272" spans="1:6" x14ac:dyDescent="0.25">
      <c r="A1272" s="19" t="s">
        <v>1336</v>
      </c>
      <c r="B1272" s="18" t="s">
        <v>1319</v>
      </c>
      <c r="C1272" s="17">
        <v>1</v>
      </c>
      <c r="D1272" s="16">
        <v>2</v>
      </c>
      <c r="E1272" s="15">
        <v>16.5</v>
      </c>
      <c r="F1272" s="15">
        <v>33</v>
      </c>
    </row>
    <row r="1273" spans="1:6" x14ac:dyDescent="0.25">
      <c r="A1273" s="24"/>
      <c r="B1273" s="23"/>
      <c r="C1273" s="22"/>
      <c r="D1273" s="21"/>
      <c r="E1273" s="20" t="s">
        <v>1337</v>
      </c>
      <c r="F1273" s="20">
        <v>76.36</v>
      </c>
    </row>
    <row r="1275" spans="1:6" x14ac:dyDescent="0.25">
      <c r="A1275" s="19" t="s">
        <v>1386</v>
      </c>
      <c r="B1275" s="18" t="s">
        <v>1385</v>
      </c>
      <c r="D1275" s="16">
        <v>0.03</v>
      </c>
      <c r="E1275" s="15">
        <v>170</v>
      </c>
      <c r="F1275" s="15">
        <v>5.0999999999999996</v>
      </c>
    </row>
    <row r="1276" spans="1:6" x14ac:dyDescent="0.25">
      <c r="A1276" s="19" t="s">
        <v>1384</v>
      </c>
      <c r="B1276" s="18" t="s">
        <v>10</v>
      </c>
      <c r="D1276" s="16">
        <v>1</v>
      </c>
      <c r="E1276" s="15">
        <v>14.48</v>
      </c>
      <c r="F1276" s="15">
        <v>14.48</v>
      </c>
    </row>
    <row r="1277" spans="1:6" x14ac:dyDescent="0.25">
      <c r="A1277" s="19" t="s">
        <v>1383</v>
      </c>
      <c r="B1277" s="18" t="s">
        <v>10</v>
      </c>
      <c r="D1277" s="16">
        <v>1</v>
      </c>
      <c r="E1277" s="15">
        <v>2.79</v>
      </c>
      <c r="F1277" s="15">
        <v>2.79</v>
      </c>
    </row>
    <row r="1278" spans="1:6" x14ac:dyDescent="0.25">
      <c r="A1278" s="19" t="s">
        <v>1382</v>
      </c>
      <c r="B1278" s="18" t="s">
        <v>10</v>
      </c>
      <c r="D1278" s="16">
        <v>1</v>
      </c>
      <c r="E1278" s="15">
        <v>10</v>
      </c>
      <c r="F1278" s="15">
        <v>10</v>
      </c>
    </row>
    <row r="1279" spans="1:6" x14ac:dyDescent="0.25">
      <c r="A1279" s="24"/>
      <c r="B1279" s="23"/>
      <c r="C1279" s="22"/>
      <c r="D1279" s="21"/>
      <c r="E1279" s="20" t="s">
        <v>1343</v>
      </c>
      <c r="F1279" s="20">
        <v>32.369999999999997</v>
      </c>
    </row>
    <row r="1281" spans="1:6" x14ac:dyDescent="0.25">
      <c r="A1281" s="19" t="s">
        <v>1344</v>
      </c>
      <c r="B1281" s="18" t="s">
        <v>1345</v>
      </c>
      <c r="D1281" s="16">
        <v>3</v>
      </c>
      <c r="E1281" s="15">
        <v>76.36</v>
      </c>
      <c r="F1281" s="15">
        <v>2.29</v>
      </c>
    </row>
    <row r="1282" spans="1:6" x14ac:dyDescent="0.25">
      <c r="A1282" s="24"/>
      <c r="B1282" s="23"/>
      <c r="C1282" s="22"/>
      <c r="D1282" s="21"/>
      <c r="E1282" s="20" t="s">
        <v>1346</v>
      </c>
      <c r="F1282" s="20">
        <v>2.29</v>
      </c>
    </row>
    <row r="1285" spans="1:6" x14ac:dyDescent="0.25">
      <c r="A1285" s="31" t="s">
        <v>1381</v>
      </c>
      <c r="B1285" s="27"/>
      <c r="C1285" s="30"/>
      <c r="D1285" s="29"/>
      <c r="E1285" s="28"/>
      <c r="F1285" s="28"/>
    </row>
    <row r="1286" spans="1:6" x14ac:dyDescent="0.25">
      <c r="A1286" s="31" t="s">
        <v>1380</v>
      </c>
      <c r="B1286" s="27"/>
      <c r="C1286" s="30" t="s">
        <v>1351</v>
      </c>
      <c r="D1286" s="29"/>
      <c r="E1286" s="28" t="s">
        <v>1329</v>
      </c>
      <c r="F1286" s="28">
        <v>52.88</v>
      </c>
    </row>
    <row r="1287" spans="1:6" x14ac:dyDescent="0.25">
      <c r="A1287" s="27" t="s">
        <v>1330</v>
      </c>
      <c r="B1287" s="27" t="s">
        <v>1331</v>
      </c>
      <c r="C1287" s="26" t="s">
        <v>1332</v>
      </c>
      <c r="D1287" s="26" t="s">
        <v>1333</v>
      </c>
      <c r="E1287" s="25" t="s">
        <v>1334</v>
      </c>
      <c r="F1287" s="25" t="s">
        <v>1335</v>
      </c>
    </row>
    <row r="1288" spans="1:6" x14ac:dyDescent="0.25">
      <c r="A1288" s="19" t="s">
        <v>1350</v>
      </c>
      <c r="B1288" s="18" t="s">
        <v>1319</v>
      </c>
      <c r="C1288" s="17">
        <v>1</v>
      </c>
      <c r="D1288" s="16">
        <v>1.1429</v>
      </c>
      <c r="E1288" s="15">
        <v>19.23</v>
      </c>
      <c r="F1288" s="15">
        <v>21.98</v>
      </c>
    </row>
    <row r="1289" spans="1:6" x14ac:dyDescent="0.25">
      <c r="A1289" s="19" t="s">
        <v>1336</v>
      </c>
      <c r="B1289" s="18" t="s">
        <v>1319</v>
      </c>
      <c r="C1289" s="17">
        <v>1</v>
      </c>
      <c r="D1289" s="16">
        <v>1.1429</v>
      </c>
      <c r="E1289" s="15">
        <v>16.5</v>
      </c>
      <c r="F1289" s="15">
        <v>18.86</v>
      </c>
    </row>
    <row r="1290" spans="1:6" x14ac:dyDescent="0.25">
      <c r="A1290" s="24"/>
      <c r="B1290" s="23"/>
      <c r="C1290" s="22"/>
      <c r="D1290" s="21"/>
      <c r="E1290" s="20" t="s">
        <v>1337</v>
      </c>
      <c r="F1290" s="20">
        <v>40.840000000000003</v>
      </c>
    </row>
    <row r="1292" spans="1:6" x14ac:dyDescent="0.25">
      <c r="A1292" s="19" t="s">
        <v>1379</v>
      </c>
      <c r="B1292" s="18" t="s">
        <v>10</v>
      </c>
      <c r="D1292" s="16">
        <v>1</v>
      </c>
      <c r="E1292" s="15">
        <v>10</v>
      </c>
      <c r="F1292" s="15">
        <v>10</v>
      </c>
    </row>
    <row r="1293" spans="1:6" x14ac:dyDescent="0.25">
      <c r="A1293" s="24"/>
      <c r="B1293" s="23"/>
      <c r="C1293" s="22"/>
      <c r="D1293" s="21"/>
      <c r="E1293" s="20" t="s">
        <v>1343</v>
      </c>
      <c r="F1293" s="20">
        <v>10</v>
      </c>
    </row>
    <row r="1295" spans="1:6" x14ac:dyDescent="0.25">
      <c r="A1295" s="19" t="s">
        <v>1344</v>
      </c>
      <c r="B1295" s="18" t="s">
        <v>1345</v>
      </c>
      <c r="D1295" s="16">
        <v>5</v>
      </c>
      <c r="E1295" s="15">
        <v>40.840000000000003</v>
      </c>
      <c r="F1295" s="15">
        <v>2.04</v>
      </c>
    </row>
    <row r="1296" spans="1:6" x14ac:dyDescent="0.25">
      <c r="A1296" s="24"/>
      <c r="B1296" s="23"/>
      <c r="C1296" s="22"/>
      <c r="D1296" s="21"/>
      <c r="E1296" s="20" t="s">
        <v>1346</v>
      </c>
      <c r="F1296" s="20">
        <v>2.04</v>
      </c>
    </row>
    <row r="1299" spans="1:6" x14ac:dyDescent="0.25">
      <c r="A1299" s="31" t="s">
        <v>1378</v>
      </c>
      <c r="B1299" s="27"/>
      <c r="C1299" s="30"/>
      <c r="D1299" s="29"/>
      <c r="E1299" s="28"/>
      <c r="F1299" s="28"/>
    </row>
    <row r="1300" spans="1:6" x14ac:dyDescent="0.25">
      <c r="A1300" s="31" t="s">
        <v>1377</v>
      </c>
      <c r="B1300" s="27"/>
      <c r="C1300" s="30" t="s">
        <v>1351</v>
      </c>
      <c r="D1300" s="29"/>
      <c r="E1300" s="28" t="s">
        <v>1329</v>
      </c>
      <c r="F1300" s="28">
        <v>90.03</v>
      </c>
    </row>
    <row r="1301" spans="1:6" x14ac:dyDescent="0.25">
      <c r="A1301" s="27" t="s">
        <v>1330</v>
      </c>
      <c r="B1301" s="27" t="s">
        <v>1331</v>
      </c>
      <c r="C1301" s="26" t="s">
        <v>1332</v>
      </c>
      <c r="D1301" s="26" t="s">
        <v>1333</v>
      </c>
      <c r="E1301" s="25" t="s">
        <v>1334</v>
      </c>
      <c r="F1301" s="25" t="s">
        <v>1335</v>
      </c>
    </row>
    <row r="1302" spans="1:6" x14ac:dyDescent="0.25">
      <c r="A1302" s="19" t="s">
        <v>1350</v>
      </c>
      <c r="B1302" s="18" t="s">
        <v>1319</v>
      </c>
      <c r="C1302" s="17">
        <v>1</v>
      </c>
      <c r="D1302" s="16">
        <v>1.6</v>
      </c>
      <c r="E1302" s="15">
        <v>19.23</v>
      </c>
      <c r="F1302" s="15">
        <v>30.77</v>
      </c>
    </row>
    <row r="1303" spans="1:6" x14ac:dyDescent="0.25">
      <c r="A1303" s="19" t="s">
        <v>1336</v>
      </c>
      <c r="B1303" s="18" t="s">
        <v>1319</v>
      </c>
      <c r="C1303" s="17">
        <v>1</v>
      </c>
      <c r="D1303" s="16">
        <v>1.6</v>
      </c>
      <c r="E1303" s="15">
        <v>16.5</v>
      </c>
      <c r="F1303" s="15">
        <v>26.4</v>
      </c>
    </row>
    <row r="1304" spans="1:6" x14ac:dyDescent="0.25">
      <c r="A1304" s="24"/>
      <c r="B1304" s="23"/>
      <c r="C1304" s="22"/>
      <c r="D1304" s="21"/>
      <c r="E1304" s="20" t="s">
        <v>1337</v>
      </c>
      <c r="F1304" s="20">
        <v>57.17</v>
      </c>
    </row>
    <row r="1306" spans="1:6" x14ac:dyDescent="0.25">
      <c r="A1306" s="19" t="s">
        <v>1376</v>
      </c>
      <c r="B1306" s="18" t="s">
        <v>10</v>
      </c>
      <c r="D1306" s="16">
        <v>1</v>
      </c>
      <c r="E1306" s="15">
        <v>30</v>
      </c>
      <c r="F1306" s="15">
        <v>30</v>
      </c>
    </row>
    <row r="1307" spans="1:6" x14ac:dyDescent="0.25">
      <c r="A1307" s="24"/>
      <c r="B1307" s="23"/>
      <c r="C1307" s="22"/>
      <c r="D1307" s="21"/>
      <c r="E1307" s="20" t="s">
        <v>1343</v>
      </c>
      <c r="F1307" s="20">
        <v>30</v>
      </c>
    </row>
    <row r="1309" spans="1:6" x14ac:dyDescent="0.25">
      <c r="A1309" s="19" t="s">
        <v>1344</v>
      </c>
      <c r="B1309" s="18" t="s">
        <v>1345</v>
      </c>
      <c r="D1309" s="16">
        <v>5</v>
      </c>
      <c r="E1309" s="15">
        <v>57.17</v>
      </c>
      <c r="F1309" s="15">
        <v>2.86</v>
      </c>
    </row>
    <row r="1310" spans="1:6" x14ac:dyDescent="0.25">
      <c r="A1310" s="24"/>
      <c r="B1310" s="23"/>
      <c r="C1310" s="22"/>
      <c r="D1310" s="21"/>
      <c r="E1310" s="20" t="s">
        <v>1346</v>
      </c>
      <c r="F1310" s="20">
        <v>2.86</v>
      </c>
    </row>
    <row r="1313" spans="1:6" x14ac:dyDescent="0.25">
      <c r="A1313" s="31" t="s">
        <v>1375</v>
      </c>
      <c r="B1313" s="27"/>
      <c r="C1313" s="30"/>
      <c r="D1313" s="29"/>
      <c r="E1313" s="28"/>
      <c r="F1313" s="28"/>
    </row>
    <row r="1314" spans="1:6" x14ac:dyDescent="0.25">
      <c r="A1314" s="31" t="s">
        <v>1374</v>
      </c>
      <c r="B1314" s="27"/>
      <c r="C1314" s="30" t="s">
        <v>1373</v>
      </c>
      <c r="D1314" s="29"/>
      <c r="E1314" s="28" t="s">
        <v>1329</v>
      </c>
      <c r="F1314" s="28">
        <v>109.04</v>
      </c>
    </row>
    <row r="1315" spans="1:6" x14ac:dyDescent="0.25">
      <c r="A1315" s="27" t="s">
        <v>1330</v>
      </c>
      <c r="B1315" s="27" t="s">
        <v>1331</v>
      </c>
      <c r="C1315" s="26" t="s">
        <v>1332</v>
      </c>
      <c r="D1315" s="26" t="s">
        <v>1333</v>
      </c>
      <c r="E1315" s="25" t="s">
        <v>1334</v>
      </c>
      <c r="F1315" s="25" t="s">
        <v>1335</v>
      </c>
    </row>
    <row r="1316" spans="1:6" x14ac:dyDescent="0.25">
      <c r="A1316" s="19" t="s">
        <v>1350</v>
      </c>
      <c r="B1316" s="18" t="s">
        <v>1319</v>
      </c>
      <c r="C1316" s="17">
        <v>1</v>
      </c>
      <c r="D1316" s="16">
        <v>2.6667000000000001</v>
      </c>
      <c r="E1316" s="15">
        <v>19.23</v>
      </c>
      <c r="F1316" s="15">
        <v>51.28</v>
      </c>
    </row>
    <row r="1317" spans="1:6" x14ac:dyDescent="0.25">
      <c r="A1317" s="19" t="s">
        <v>1336</v>
      </c>
      <c r="B1317" s="18" t="s">
        <v>1319</v>
      </c>
      <c r="C1317" s="17">
        <v>1</v>
      </c>
      <c r="D1317" s="16">
        <v>2.6667000000000001</v>
      </c>
      <c r="E1317" s="15">
        <v>16.5</v>
      </c>
      <c r="F1317" s="15">
        <v>44</v>
      </c>
    </row>
    <row r="1318" spans="1:6" x14ac:dyDescent="0.25">
      <c r="A1318" s="24"/>
      <c r="B1318" s="23"/>
      <c r="C1318" s="22"/>
      <c r="D1318" s="21"/>
      <c r="E1318" s="20" t="s">
        <v>1337</v>
      </c>
      <c r="F1318" s="20">
        <v>95.28</v>
      </c>
    </row>
    <row r="1320" spans="1:6" x14ac:dyDescent="0.25">
      <c r="A1320" s="19" t="s">
        <v>1369</v>
      </c>
      <c r="B1320" s="18" t="s">
        <v>10</v>
      </c>
      <c r="D1320" s="16">
        <v>0.2</v>
      </c>
      <c r="E1320" s="15">
        <v>19</v>
      </c>
      <c r="F1320" s="15">
        <v>3.8</v>
      </c>
    </row>
    <row r="1321" spans="1:6" x14ac:dyDescent="0.25">
      <c r="A1321" s="19" t="s">
        <v>1372</v>
      </c>
      <c r="B1321" s="18" t="s">
        <v>1287</v>
      </c>
      <c r="D1321" s="16">
        <v>2</v>
      </c>
      <c r="E1321" s="15">
        <v>1</v>
      </c>
      <c r="F1321" s="15">
        <v>2</v>
      </c>
    </row>
    <row r="1322" spans="1:6" x14ac:dyDescent="0.25">
      <c r="A1322" s="19" t="s">
        <v>1357</v>
      </c>
      <c r="B1322" s="18" t="s">
        <v>10</v>
      </c>
      <c r="D1322" s="16">
        <v>0.1</v>
      </c>
      <c r="E1322" s="15">
        <v>2</v>
      </c>
      <c r="F1322" s="15">
        <v>0.2</v>
      </c>
    </row>
    <row r="1323" spans="1:6" x14ac:dyDescent="0.25">
      <c r="A1323" s="19" t="s">
        <v>1371</v>
      </c>
      <c r="B1323" s="18" t="s">
        <v>1287</v>
      </c>
      <c r="D1323" s="16">
        <v>1</v>
      </c>
      <c r="E1323" s="15">
        <v>3</v>
      </c>
      <c r="F1323" s="15">
        <v>3</v>
      </c>
    </row>
    <row r="1324" spans="1:6" x14ac:dyDescent="0.25">
      <c r="A1324" s="24"/>
      <c r="B1324" s="23"/>
      <c r="C1324" s="22"/>
      <c r="D1324" s="21"/>
      <c r="E1324" s="20" t="s">
        <v>1343</v>
      </c>
      <c r="F1324" s="20">
        <v>9</v>
      </c>
    </row>
    <row r="1326" spans="1:6" x14ac:dyDescent="0.25">
      <c r="A1326" s="19" t="s">
        <v>1344</v>
      </c>
      <c r="B1326" s="18" t="s">
        <v>1345</v>
      </c>
      <c r="D1326" s="16">
        <v>5</v>
      </c>
      <c r="E1326" s="15">
        <v>95.28</v>
      </c>
      <c r="F1326" s="15">
        <v>4.76</v>
      </c>
    </row>
    <row r="1327" spans="1:6" x14ac:dyDescent="0.25">
      <c r="A1327" s="24"/>
      <c r="B1327" s="23"/>
      <c r="C1327" s="22"/>
      <c r="D1327" s="21"/>
      <c r="E1327" s="20" t="s">
        <v>1346</v>
      </c>
      <c r="F1327" s="20">
        <v>4.76</v>
      </c>
    </row>
    <row r="1330" spans="1:6" x14ac:dyDescent="0.25">
      <c r="A1330" s="31" t="s">
        <v>1370</v>
      </c>
      <c r="B1330" s="27"/>
      <c r="C1330" s="30"/>
      <c r="D1330" s="29"/>
      <c r="E1330" s="28"/>
      <c r="F1330" s="28"/>
    </row>
    <row r="1331" spans="1:6" x14ac:dyDescent="0.25">
      <c r="A1331" s="31" t="s">
        <v>1367</v>
      </c>
      <c r="B1331" s="27"/>
      <c r="C1331" s="30" t="s">
        <v>1366</v>
      </c>
      <c r="D1331" s="29"/>
      <c r="E1331" s="28" t="s">
        <v>1329</v>
      </c>
      <c r="F1331" s="28">
        <v>26.01</v>
      </c>
    </row>
    <row r="1332" spans="1:6" x14ac:dyDescent="0.25">
      <c r="A1332" s="27" t="s">
        <v>1330</v>
      </c>
      <c r="B1332" s="27" t="s">
        <v>1331</v>
      </c>
      <c r="C1332" s="26" t="s">
        <v>1332</v>
      </c>
      <c r="D1332" s="26" t="s">
        <v>1333</v>
      </c>
      <c r="E1332" s="25" t="s">
        <v>1334</v>
      </c>
      <c r="F1332" s="25" t="s">
        <v>1335</v>
      </c>
    </row>
    <row r="1333" spans="1:6" x14ac:dyDescent="0.25">
      <c r="A1333" s="19" t="s">
        <v>1350</v>
      </c>
      <c r="B1333" s="18" t="s">
        <v>1319</v>
      </c>
      <c r="C1333" s="17">
        <v>1</v>
      </c>
      <c r="D1333" s="16">
        <v>0.5333</v>
      </c>
      <c r="E1333" s="15">
        <v>19.23</v>
      </c>
      <c r="F1333" s="15">
        <v>10.26</v>
      </c>
    </row>
    <row r="1334" spans="1:6" x14ac:dyDescent="0.25">
      <c r="A1334" s="19" t="s">
        <v>1336</v>
      </c>
      <c r="B1334" s="18" t="s">
        <v>1319</v>
      </c>
      <c r="C1334" s="17">
        <v>1</v>
      </c>
      <c r="D1334" s="16">
        <v>0.5333</v>
      </c>
      <c r="E1334" s="15">
        <v>16.5</v>
      </c>
      <c r="F1334" s="15">
        <v>8.8000000000000007</v>
      </c>
    </row>
    <row r="1335" spans="1:6" x14ac:dyDescent="0.25">
      <c r="A1335" s="24"/>
      <c r="B1335" s="23"/>
      <c r="C1335" s="22"/>
      <c r="D1335" s="21"/>
      <c r="E1335" s="20" t="s">
        <v>1337</v>
      </c>
      <c r="F1335" s="20">
        <v>19.059999999999999</v>
      </c>
    </row>
    <row r="1337" spans="1:6" x14ac:dyDescent="0.25">
      <c r="A1337" s="19" t="s">
        <v>1369</v>
      </c>
      <c r="B1337" s="18" t="s">
        <v>10</v>
      </c>
      <c r="D1337" s="16">
        <v>0.2</v>
      </c>
      <c r="E1337" s="15">
        <v>19</v>
      </c>
      <c r="F1337" s="15">
        <v>3.8</v>
      </c>
    </row>
    <row r="1338" spans="1:6" x14ac:dyDescent="0.25">
      <c r="A1338" s="19" t="s">
        <v>1357</v>
      </c>
      <c r="B1338" s="18" t="s">
        <v>10</v>
      </c>
      <c r="D1338" s="16">
        <v>0.1</v>
      </c>
      <c r="E1338" s="15">
        <v>2</v>
      </c>
      <c r="F1338" s="15">
        <v>0.2</v>
      </c>
    </row>
    <row r="1339" spans="1:6" x14ac:dyDescent="0.25">
      <c r="A1339" s="19" t="s">
        <v>1364</v>
      </c>
      <c r="B1339" s="18" t="s">
        <v>10</v>
      </c>
      <c r="D1339" s="16">
        <v>1</v>
      </c>
      <c r="E1339" s="15">
        <v>2</v>
      </c>
      <c r="F1339" s="15">
        <v>2</v>
      </c>
    </row>
    <row r="1340" spans="1:6" x14ac:dyDescent="0.25">
      <c r="A1340" s="24"/>
      <c r="B1340" s="23"/>
      <c r="C1340" s="22"/>
      <c r="D1340" s="21"/>
      <c r="E1340" s="20" t="s">
        <v>1343</v>
      </c>
      <c r="F1340" s="20">
        <v>6</v>
      </c>
    </row>
    <row r="1342" spans="1:6" x14ac:dyDescent="0.25">
      <c r="A1342" s="19" t="s">
        <v>1344</v>
      </c>
      <c r="B1342" s="18" t="s">
        <v>1345</v>
      </c>
      <c r="D1342" s="16">
        <v>5</v>
      </c>
      <c r="E1342" s="15">
        <v>19.059999999999999</v>
      </c>
      <c r="F1342" s="15">
        <v>0.95</v>
      </c>
    </row>
    <row r="1343" spans="1:6" x14ac:dyDescent="0.25">
      <c r="A1343" s="24"/>
      <c r="B1343" s="23"/>
      <c r="C1343" s="22"/>
      <c r="D1343" s="21"/>
      <c r="E1343" s="20" t="s">
        <v>1346</v>
      </c>
      <c r="F1343" s="20">
        <v>0.95</v>
      </c>
    </row>
    <row r="1346" spans="1:6" x14ac:dyDescent="0.25">
      <c r="A1346" s="31" t="s">
        <v>1368</v>
      </c>
      <c r="B1346" s="27"/>
      <c r="C1346" s="30"/>
      <c r="D1346" s="29"/>
      <c r="E1346" s="28"/>
      <c r="F1346" s="28"/>
    </row>
    <row r="1347" spans="1:6" x14ac:dyDescent="0.25">
      <c r="A1347" s="31" t="s">
        <v>1367</v>
      </c>
      <c r="B1347" s="27"/>
      <c r="C1347" s="30" t="s">
        <v>1366</v>
      </c>
      <c r="D1347" s="29"/>
      <c r="E1347" s="28" t="s">
        <v>1329</v>
      </c>
      <c r="F1347" s="28">
        <v>26.41</v>
      </c>
    </row>
    <row r="1348" spans="1:6" x14ac:dyDescent="0.25">
      <c r="A1348" s="27" t="s">
        <v>1330</v>
      </c>
      <c r="B1348" s="27" t="s">
        <v>1331</v>
      </c>
      <c r="C1348" s="26" t="s">
        <v>1332</v>
      </c>
      <c r="D1348" s="26" t="s">
        <v>1333</v>
      </c>
      <c r="E1348" s="25" t="s">
        <v>1334</v>
      </c>
      <c r="F1348" s="25" t="s">
        <v>1335</v>
      </c>
    </row>
    <row r="1349" spans="1:6" x14ac:dyDescent="0.25">
      <c r="A1349" s="19" t="s">
        <v>1350</v>
      </c>
      <c r="B1349" s="18" t="s">
        <v>1319</v>
      </c>
      <c r="C1349" s="17">
        <v>1</v>
      </c>
      <c r="D1349" s="16">
        <v>0.5333</v>
      </c>
      <c r="E1349" s="15">
        <v>19.23</v>
      </c>
      <c r="F1349" s="15">
        <v>10.26</v>
      </c>
    </row>
    <row r="1350" spans="1:6" x14ac:dyDescent="0.25">
      <c r="A1350" s="19" t="s">
        <v>1336</v>
      </c>
      <c r="B1350" s="18" t="s">
        <v>1319</v>
      </c>
      <c r="C1350" s="17">
        <v>1</v>
      </c>
      <c r="D1350" s="16">
        <v>0.5333</v>
      </c>
      <c r="E1350" s="15">
        <v>16.5</v>
      </c>
      <c r="F1350" s="15">
        <v>8.8000000000000007</v>
      </c>
    </row>
    <row r="1351" spans="1:6" x14ac:dyDescent="0.25">
      <c r="A1351" s="24"/>
      <c r="B1351" s="23"/>
      <c r="C1351" s="22"/>
      <c r="D1351" s="21"/>
      <c r="E1351" s="20" t="s">
        <v>1337</v>
      </c>
      <c r="F1351" s="20">
        <v>19.059999999999999</v>
      </c>
    </row>
    <row r="1353" spans="1:6" x14ac:dyDescent="0.25">
      <c r="A1353" s="19" t="s">
        <v>1365</v>
      </c>
      <c r="B1353" s="18" t="s">
        <v>10</v>
      </c>
      <c r="D1353" s="16">
        <v>0.2</v>
      </c>
      <c r="E1353" s="15">
        <v>21</v>
      </c>
      <c r="F1353" s="15">
        <v>4.2</v>
      </c>
    </row>
    <row r="1354" spans="1:6" x14ac:dyDescent="0.25">
      <c r="A1354" s="19" t="s">
        <v>1357</v>
      </c>
      <c r="B1354" s="18" t="s">
        <v>10</v>
      </c>
      <c r="D1354" s="16">
        <v>0.1</v>
      </c>
      <c r="E1354" s="15">
        <v>2</v>
      </c>
      <c r="F1354" s="15">
        <v>0.2</v>
      </c>
    </row>
    <row r="1355" spans="1:6" x14ac:dyDescent="0.25">
      <c r="A1355" s="19" t="s">
        <v>1364</v>
      </c>
      <c r="B1355" s="18" t="s">
        <v>10</v>
      </c>
      <c r="D1355" s="16">
        <v>1</v>
      </c>
      <c r="E1355" s="15">
        <v>2</v>
      </c>
      <c r="F1355" s="15">
        <v>2</v>
      </c>
    </row>
    <row r="1356" spans="1:6" x14ac:dyDescent="0.25">
      <c r="A1356" s="24"/>
      <c r="B1356" s="23"/>
      <c r="C1356" s="22"/>
      <c r="D1356" s="21"/>
      <c r="E1356" s="20" t="s">
        <v>1343</v>
      </c>
      <c r="F1356" s="20">
        <v>6.4</v>
      </c>
    </row>
    <row r="1358" spans="1:6" x14ac:dyDescent="0.25">
      <c r="A1358" s="19" t="s">
        <v>1344</v>
      </c>
      <c r="B1358" s="18" t="s">
        <v>1345</v>
      </c>
      <c r="D1358" s="16">
        <v>5</v>
      </c>
      <c r="E1358" s="15">
        <v>19.059999999999999</v>
      </c>
      <c r="F1358" s="15">
        <v>0.95</v>
      </c>
    </row>
    <row r="1359" spans="1:6" x14ac:dyDescent="0.25">
      <c r="A1359" s="24"/>
      <c r="B1359" s="23"/>
      <c r="C1359" s="22"/>
      <c r="D1359" s="21"/>
      <c r="E1359" s="20" t="s">
        <v>1346</v>
      </c>
      <c r="F1359" s="20">
        <v>0.95</v>
      </c>
    </row>
    <row r="1362" spans="1:6" x14ac:dyDescent="0.25">
      <c r="A1362" s="31" t="s">
        <v>1363</v>
      </c>
      <c r="B1362" s="27"/>
      <c r="C1362" s="30"/>
      <c r="D1362" s="29"/>
      <c r="E1362" s="28"/>
      <c r="F1362" s="28"/>
    </row>
    <row r="1363" spans="1:6" x14ac:dyDescent="0.25">
      <c r="A1363" s="31" t="s">
        <v>1358</v>
      </c>
      <c r="B1363" s="27"/>
      <c r="C1363" s="30" t="s">
        <v>1351</v>
      </c>
      <c r="D1363" s="29"/>
      <c r="E1363" s="28" t="s">
        <v>1329</v>
      </c>
      <c r="F1363" s="28">
        <v>76.320000000000007</v>
      </c>
    </row>
    <row r="1364" spans="1:6" x14ac:dyDescent="0.25">
      <c r="A1364" s="27" t="s">
        <v>1330</v>
      </c>
      <c r="B1364" s="27" t="s">
        <v>1331</v>
      </c>
      <c r="C1364" s="26" t="s">
        <v>1332</v>
      </c>
      <c r="D1364" s="26" t="s">
        <v>1333</v>
      </c>
      <c r="E1364" s="25" t="s">
        <v>1334</v>
      </c>
      <c r="F1364" s="25" t="s">
        <v>1335</v>
      </c>
    </row>
    <row r="1365" spans="1:6" x14ac:dyDescent="0.25">
      <c r="A1365" s="19" t="s">
        <v>1350</v>
      </c>
      <c r="B1365" s="18" t="s">
        <v>1319</v>
      </c>
      <c r="C1365" s="17">
        <v>1</v>
      </c>
      <c r="D1365" s="16">
        <v>1</v>
      </c>
      <c r="E1365" s="15">
        <v>19.23</v>
      </c>
      <c r="F1365" s="15">
        <v>19.23</v>
      </c>
    </row>
    <row r="1366" spans="1:6" x14ac:dyDescent="0.25">
      <c r="A1366" s="19" t="s">
        <v>1336</v>
      </c>
      <c r="B1366" s="18" t="s">
        <v>1319</v>
      </c>
      <c r="C1366" s="17">
        <v>1</v>
      </c>
      <c r="D1366" s="16">
        <v>1</v>
      </c>
      <c r="E1366" s="15">
        <v>16.5</v>
      </c>
      <c r="F1366" s="15">
        <v>16.5</v>
      </c>
    </row>
    <row r="1367" spans="1:6" x14ac:dyDescent="0.25">
      <c r="A1367" s="24"/>
      <c r="B1367" s="23"/>
      <c r="C1367" s="22"/>
      <c r="D1367" s="21"/>
      <c r="E1367" s="20" t="s">
        <v>1337</v>
      </c>
      <c r="F1367" s="20">
        <v>35.729999999999997</v>
      </c>
    </row>
    <row r="1369" spans="1:6" x14ac:dyDescent="0.25">
      <c r="A1369" s="19" t="s">
        <v>1357</v>
      </c>
      <c r="B1369" s="18" t="s">
        <v>10</v>
      </c>
      <c r="D1369" s="16">
        <v>0.5</v>
      </c>
      <c r="E1369" s="15">
        <v>2</v>
      </c>
      <c r="F1369" s="15">
        <v>1</v>
      </c>
    </row>
    <row r="1370" spans="1:6" x14ac:dyDescent="0.25">
      <c r="A1370" s="19" t="s">
        <v>1362</v>
      </c>
      <c r="B1370" s="18" t="s">
        <v>10</v>
      </c>
      <c r="D1370" s="16">
        <v>2</v>
      </c>
      <c r="E1370" s="15">
        <v>5</v>
      </c>
      <c r="F1370" s="15">
        <v>10</v>
      </c>
    </row>
    <row r="1371" spans="1:6" x14ac:dyDescent="0.25">
      <c r="A1371" s="19" t="s">
        <v>1361</v>
      </c>
      <c r="B1371" s="18" t="s">
        <v>1287</v>
      </c>
      <c r="D1371" s="16">
        <v>1</v>
      </c>
      <c r="E1371" s="15">
        <v>22.8</v>
      </c>
      <c r="F1371" s="15">
        <v>22.8</v>
      </c>
    </row>
    <row r="1372" spans="1:6" x14ac:dyDescent="0.25">
      <c r="A1372" s="19" t="s">
        <v>1360</v>
      </c>
      <c r="B1372" s="18" t="s">
        <v>10</v>
      </c>
      <c r="D1372" s="16">
        <v>2</v>
      </c>
      <c r="E1372" s="15">
        <v>2.5</v>
      </c>
      <c r="F1372" s="15">
        <v>5</v>
      </c>
    </row>
    <row r="1373" spans="1:6" x14ac:dyDescent="0.25">
      <c r="A1373" s="24"/>
      <c r="B1373" s="23"/>
      <c r="C1373" s="22"/>
      <c r="D1373" s="21"/>
      <c r="E1373" s="20" t="s">
        <v>1343</v>
      </c>
      <c r="F1373" s="20">
        <v>38.799999999999997</v>
      </c>
    </row>
    <row r="1375" spans="1:6" x14ac:dyDescent="0.25">
      <c r="A1375" s="19" t="s">
        <v>1344</v>
      </c>
      <c r="B1375" s="18" t="s">
        <v>1345</v>
      </c>
      <c r="D1375" s="16">
        <v>5</v>
      </c>
      <c r="E1375" s="15">
        <v>35.729999999999997</v>
      </c>
      <c r="F1375" s="15">
        <v>1.79</v>
      </c>
    </row>
    <row r="1376" spans="1:6" x14ac:dyDescent="0.25">
      <c r="A1376" s="24"/>
      <c r="B1376" s="23"/>
      <c r="C1376" s="22"/>
      <c r="D1376" s="21"/>
      <c r="E1376" s="20" t="s">
        <v>1346</v>
      </c>
      <c r="F1376" s="20">
        <v>1.79</v>
      </c>
    </row>
    <row r="1379" spans="1:6" x14ac:dyDescent="0.25">
      <c r="A1379" s="31" t="s">
        <v>1359</v>
      </c>
      <c r="B1379" s="27"/>
      <c r="C1379" s="30"/>
      <c r="D1379" s="29"/>
      <c r="E1379" s="28"/>
      <c r="F1379" s="28"/>
    </row>
    <row r="1380" spans="1:6" x14ac:dyDescent="0.25">
      <c r="A1380" s="31" t="s">
        <v>1358</v>
      </c>
      <c r="B1380" s="27"/>
      <c r="C1380" s="30" t="s">
        <v>1351</v>
      </c>
      <c r="D1380" s="29"/>
      <c r="E1380" s="28" t="s">
        <v>1329</v>
      </c>
      <c r="F1380" s="28">
        <v>80.920000000000016</v>
      </c>
    </row>
    <row r="1381" spans="1:6" x14ac:dyDescent="0.25">
      <c r="A1381" s="27" t="s">
        <v>1330</v>
      </c>
      <c r="B1381" s="27" t="s">
        <v>1331</v>
      </c>
      <c r="C1381" s="26" t="s">
        <v>1332</v>
      </c>
      <c r="D1381" s="26" t="s">
        <v>1333</v>
      </c>
      <c r="E1381" s="25" t="s">
        <v>1334</v>
      </c>
      <c r="F1381" s="25" t="s">
        <v>1335</v>
      </c>
    </row>
    <row r="1382" spans="1:6" x14ac:dyDescent="0.25">
      <c r="A1382" s="19" t="s">
        <v>1350</v>
      </c>
      <c r="B1382" s="18" t="s">
        <v>1319</v>
      </c>
      <c r="C1382" s="17">
        <v>1</v>
      </c>
      <c r="D1382" s="16">
        <v>1</v>
      </c>
      <c r="E1382" s="15">
        <v>19.23</v>
      </c>
      <c r="F1382" s="15">
        <v>19.23</v>
      </c>
    </row>
    <row r="1383" spans="1:6" x14ac:dyDescent="0.25">
      <c r="A1383" s="19" t="s">
        <v>1336</v>
      </c>
      <c r="B1383" s="18" t="s">
        <v>1319</v>
      </c>
      <c r="C1383" s="17">
        <v>1</v>
      </c>
      <c r="D1383" s="16">
        <v>1</v>
      </c>
      <c r="E1383" s="15">
        <v>16.5</v>
      </c>
      <c r="F1383" s="15">
        <v>16.5</v>
      </c>
    </row>
    <row r="1384" spans="1:6" x14ac:dyDescent="0.25">
      <c r="A1384" s="24"/>
      <c r="B1384" s="23"/>
      <c r="C1384" s="22"/>
      <c r="D1384" s="21"/>
      <c r="E1384" s="20" t="s">
        <v>1337</v>
      </c>
      <c r="F1384" s="20">
        <v>35.729999999999997</v>
      </c>
    </row>
    <row r="1386" spans="1:6" x14ac:dyDescent="0.25">
      <c r="A1386" s="19" t="s">
        <v>1357</v>
      </c>
      <c r="B1386" s="18" t="s">
        <v>10</v>
      </c>
      <c r="D1386" s="16">
        <v>0.5</v>
      </c>
      <c r="E1386" s="15">
        <v>2</v>
      </c>
      <c r="F1386" s="15">
        <v>1</v>
      </c>
    </row>
    <row r="1387" spans="1:6" x14ac:dyDescent="0.25">
      <c r="A1387" s="19" t="s">
        <v>1356</v>
      </c>
      <c r="B1387" s="18" t="s">
        <v>10</v>
      </c>
      <c r="D1387" s="16">
        <v>2</v>
      </c>
      <c r="E1387" s="15">
        <v>6.5</v>
      </c>
      <c r="F1387" s="15">
        <v>13</v>
      </c>
    </row>
    <row r="1388" spans="1:6" x14ac:dyDescent="0.25">
      <c r="A1388" s="19" t="s">
        <v>1355</v>
      </c>
      <c r="B1388" s="18" t="s">
        <v>1287</v>
      </c>
      <c r="D1388" s="16">
        <v>1</v>
      </c>
      <c r="E1388" s="15">
        <v>24</v>
      </c>
      <c r="F1388" s="15">
        <v>24</v>
      </c>
    </row>
    <row r="1389" spans="1:6" x14ac:dyDescent="0.25">
      <c r="A1389" s="19" t="s">
        <v>1354</v>
      </c>
      <c r="B1389" s="18" t="s">
        <v>10</v>
      </c>
      <c r="D1389" s="16">
        <v>2</v>
      </c>
      <c r="E1389" s="15">
        <v>2.7</v>
      </c>
      <c r="F1389" s="15">
        <v>5.4</v>
      </c>
    </row>
    <row r="1390" spans="1:6" x14ac:dyDescent="0.25">
      <c r="A1390" s="24"/>
      <c r="B1390" s="23"/>
      <c r="C1390" s="22"/>
      <c r="D1390" s="21"/>
      <c r="E1390" s="20" t="s">
        <v>1343</v>
      </c>
      <c r="F1390" s="20">
        <v>43.4</v>
      </c>
    </row>
    <row r="1392" spans="1:6" x14ac:dyDescent="0.25">
      <c r="A1392" s="19" t="s">
        <v>1344</v>
      </c>
      <c r="B1392" s="18" t="s">
        <v>1345</v>
      </c>
      <c r="D1392" s="16">
        <v>5</v>
      </c>
      <c r="E1392" s="15">
        <v>35.729999999999997</v>
      </c>
      <c r="F1392" s="15">
        <v>1.79</v>
      </c>
    </row>
    <row r="1393" spans="1:6" x14ac:dyDescent="0.25">
      <c r="A1393" s="24"/>
      <c r="B1393" s="23"/>
      <c r="C1393" s="22"/>
      <c r="D1393" s="21"/>
      <c r="E1393" s="20" t="s">
        <v>1346</v>
      </c>
      <c r="F1393" s="20">
        <v>1.79</v>
      </c>
    </row>
    <row r="1396" spans="1:6" x14ac:dyDescent="0.25">
      <c r="A1396" s="31" t="s">
        <v>1353</v>
      </c>
      <c r="B1396" s="27"/>
      <c r="C1396" s="30"/>
      <c r="D1396" s="29"/>
      <c r="E1396" s="28"/>
      <c r="F1396" s="28"/>
    </row>
    <row r="1397" spans="1:6" x14ac:dyDescent="0.25">
      <c r="A1397" s="31" t="s">
        <v>1352</v>
      </c>
      <c r="B1397" s="27"/>
      <c r="C1397" s="30" t="s">
        <v>1351</v>
      </c>
      <c r="D1397" s="29"/>
      <c r="E1397" s="28" t="s">
        <v>1329</v>
      </c>
      <c r="F1397" s="28">
        <v>1238.73</v>
      </c>
    </row>
    <row r="1398" spans="1:6" x14ac:dyDescent="0.25">
      <c r="A1398" s="27" t="s">
        <v>1330</v>
      </c>
      <c r="B1398" s="27" t="s">
        <v>1331</v>
      </c>
      <c r="C1398" s="26" t="s">
        <v>1332</v>
      </c>
      <c r="D1398" s="26" t="s">
        <v>1333</v>
      </c>
      <c r="E1398" s="25" t="s">
        <v>1334</v>
      </c>
      <c r="F1398" s="25" t="s">
        <v>1335</v>
      </c>
    </row>
    <row r="1399" spans="1:6" x14ac:dyDescent="0.25">
      <c r="A1399" s="19" t="s">
        <v>1350</v>
      </c>
      <c r="B1399" s="18" t="s">
        <v>1319</v>
      </c>
      <c r="C1399" s="17">
        <v>1</v>
      </c>
      <c r="D1399" s="16">
        <v>8</v>
      </c>
      <c r="E1399" s="15">
        <v>19.23</v>
      </c>
      <c r="F1399" s="15">
        <v>153.84</v>
      </c>
    </row>
    <row r="1400" spans="1:6" x14ac:dyDescent="0.25">
      <c r="A1400" s="19" t="s">
        <v>1336</v>
      </c>
      <c r="B1400" s="18" t="s">
        <v>1319</v>
      </c>
      <c r="C1400" s="17">
        <v>2</v>
      </c>
      <c r="D1400" s="16">
        <v>16</v>
      </c>
      <c r="E1400" s="15">
        <v>16.5</v>
      </c>
      <c r="F1400" s="15">
        <v>264</v>
      </c>
    </row>
    <row r="1401" spans="1:6" x14ac:dyDescent="0.25">
      <c r="A1401" s="24"/>
      <c r="B1401" s="23"/>
      <c r="C1401" s="22"/>
      <c r="D1401" s="21"/>
      <c r="E1401" s="20" t="s">
        <v>1337</v>
      </c>
      <c r="F1401" s="20">
        <v>417.84</v>
      </c>
    </row>
    <row r="1403" spans="1:6" x14ac:dyDescent="0.25">
      <c r="A1403" s="19" t="s">
        <v>1349</v>
      </c>
      <c r="B1403" s="18" t="s">
        <v>10</v>
      </c>
      <c r="D1403" s="16">
        <v>1</v>
      </c>
      <c r="E1403" s="15">
        <v>800</v>
      </c>
      <c r="F1403" s="15">
        <v>800</v>
      </c>
    </row>
    <row r="1404" spans="1:6" x14ac:dyDescent="0.25">
      <c r="A1404" s="24"/>
      <c r="B1404" s="23"/>
      <c r="C1404" s="22"/>
      <c r="D1404" s="21"/>
      <c r="E1404" s="20" t="s">
        <v>1343</v>
      </c>
      <c r="F1404" s="20">
        <v>800</v>
      </c>
    </row>
    <row r="1406" spans="1:6" x14ac:dyDescent="0.25">
      <c r="A1406" s="19" t="s">
        <v>1344</v>
      </c>
      <c r="B1406" s="18" t="s">
        <v>1345</v>
      </c>
      <c r="D1406" s="16">
        <v>5</v>
      </c>
      <c r="E1406" s="15">
        <v>417.84</v>
      </c>
      <c r="F1406" s="15">
        <v>20.89</v>
      </c>
    </row>
    <row r="1407" spans="1:6" x14ac:dyDescent="0.25">
      <c r="A1407" s="24"/>
      <c r="B1407" s="23"/>
      <c r="C1407" s="22"/>
      <c r="D1407" s="21"/>
      <c r="E1407" s="20" t="s">
        <v>1346</v>
      </c>
      <c r="F1407" s="20">
        <v>20.89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C2629-594D-480F-9435-1E6B2A82E933}">
  <dimension ref="B3:I96"/>
  <sheetViews>
    <sheetView topLeftCell="A82" workbookViewId="0">
      <selection activeCell="B90" sqref="B90:H96"/>
    </sheetView>
  </sheetViews>
  <sheetFormatPr defaultRowHeight="12.75" x14ac:dyDescent="0.2"/>
  <sheetData>
    <row r="3" spans="2:9" x14ac:dyDescent="0.2">
      <c r="C3">
        <v>7</v>
      </c>
    </row>
    <row r="4" spans="2:9" ht="32.25" thickBot="1" x14ac:dyDescent="0.25">
      <c r="D4" s="10" t="s">
        <v>1318</v>
      </c>
      <c r="E4" s="11" t="s">
        <v>1319</v>
      </c>
      <c r="F4" s="12">
        <v>0.1</v>
      </c>
      <c r="G4" s="12">
        <v>0.1143</v>
      </c>
      <c r="H4" s="12">
        <v>20.83</v>
      </c>
      <c r="I4" s="12">
        <v>2.38</v>
      </c>
    </row>
    <row r="5" spans="2:9" ht="32.25" thickBot="1" x14ac:dyDescent="0.25">
      <c r="C5" s="13"/>
      <c r="D5" s="10" t="s">
        <v>1320</v>
      </c>
      <c r="E5" s="11" t="s">
        <v>1319</v>
      </c>
      <c r="F5" s="12">
        <v>2</v>
      </c>
      <c r="G5" s="12">
        <v>2.2856999999999998</v>
      </c>
      <c r="H5" s="12">
        <v>19.23</v>
      </c>
      <c r="I5" s="12">
        <v>43.95</v>
      </c>
    </row>
    <row r="6" spans="2:9" ht="16.5" thickBot="1" x14ac:dyDescent="0.25">
      <c r="C6" s="13"/>
      <c r="D6" s="10" t="s">
        <v>1321</v>
      </c>
      <c r="E6" s="11" t="s">
        <v>1319</v>
      </c>
      <c r="F6" s="12">
        <v>2</v>
      </c>
      <c r="G6" s="12">
        <v>2.2856999999999998</v>
      </c>
      <c r="H6" s="12">
        <v>15.94</v>
      </c>
      <c r="I6" s="12">
        <v>36.43</v>
      </c>
    </row>
    <row r="7" spans="2:9" ht="16.5" thickBot="1" x14ac:dyDescent="0.25">
      <c r="C7" s="13"/>
      <c r="D7" s="10" t="s">
        <v>1322</v>
      </c>
      <c r="E7" s="11" t="s">
        <v>1319</v>
      </c>
      <c r="F7" s="12">
        <v>4</v>
      </c>
      <c r="G7" s="12">
        <v>4.5713999999999997</v>
      </c>
      <c r="H7" s="12">
        <v>14.33</v>
      </c>
      <c r="I7" s="12">
        <v>65.510000000000005</v>
      </c>
    </row>
    <row r="8" spans="2:9" ht="63.75" thickBot="1" x14ac:dyDescent="0.25">
      <c r="C8" s="13"/>
      <c r="D8" s="10" t="s">
        <v>1323</v>
      </c>
      <c r="E8" s="11" t="s">
        <v>156</v>
      </c>
      <c r="F8" s="12"/>
      <c r="G8" s="12">
        <v>1.46E-2</v>
      </c>
      <c r="H8" s="12">
        <v>4.5</v>
      </c>
      <c r="I8" s="12">
        <v>7.0000000000000007E-2</v>
      </c>
    </row>
    <row r="9" spans="2:9" ht="63.75" thickBot="1" x14ac:dyDescent="0.25">
      <c r="C9" s="13"/>
      <c r="D9" s="10" t="s">
        <v>1324</v>
      </c>
      <c r="E9" s="11" t="s">
        <v>594</v>
      </c>
      <c r="F9" s="12"/>
      <c r="G9" s="12">
        <v>1.7</v>
      </c>
      <c r="H9" s="12">
        <v>4.5</v>
      </c>
      <c r="I9" s="12">
        <v>7.65</v>
      </c>
    </row>
    <row r="10" spans="2:9" ht="79.5" thickBot="1" x14ac:dyDescent="0.25">
      <c r="C10" s="13"/>
      <c r="D10" s="10" t="s">
        <v>1607</v>
      </c>
      <c r="E10" s="11" t="s">
        <v>1485</v>
      </c>
      <c r="F10" s="12"/>
      <c r="G10" s="12">
        <v>7.0999999999999994E-2</v>
      </c>
      <c r="H10" s="12">
        <v>60</v>
      </c>
      <c r="I10" s="12">
        <v>4.26</v>
      </c>
    </row>
    <row r="11" spans="2:9" ht="111" thickBot="1" x14ac:dyDescent="0.25">
      <c r="C11" s="13"/>
      <c r="D11" s="10" t="s">
        <v>1608</v>
      </c>
      <c r="E11" s="11" t="s">
        <v>10</v>
      </c>
      <c r="F11" s="12"/>
      <c r="G11" s="12">
        <v>0.16</v>
      </c>
      <c r="H11" s="12">
        <v>50</v>
      </c>
      <c r="I11" s="12">
        <v>8</v>
      </c>
    </row>
    <row r="12" spans="2:9" ht="79.5" thickBot="1" x14ac:dyDescent="0.25">
      <c r="C12" s="13"/>
      <c r="D12" s="10" t="s">
        <v>1609</v>
      </c>
      <c r="E12" s="11" t="s">
        <v>1345</v>
      </c>
      <c r="F12" s="12"/>
      <c r="G12" s="12">
        <v>5</v>
      </c>
      <c r="H12" s="12">
        <v>148.27000000000001</v>
      </c>
      <c r="I12" s="12">
        <v>7.41</v>
      </c>
    </row>
    <row r="13" spans="2:9" ht="95.25" thickBot="1" x14ac:dyDescent="0.25">
      <c r="C13" s="13"/>
      <c r="D13" s="10" t="s">
        <v>1610</v>
      </c>
      <c r="E13" s="11" t="s">
        <v>7</v>
      </c>
      <c r="F13" s="12"/>
      <c r="G13" s="12">
        <v>1</v>
      </c>
      <c r="H13" s="12">
        <v>25</v>
      </c>
      <c r="I13" s="12">
        <v>25</v>
      </c>
    </row>
    <row r="16" spans="2:9" x14ac:dyDescent="0.2">
      <c r="B16">
        <v>1</v>
      </c>
    </row>
    <row r="17" spans="3:9" ht="32.25" thickBot="1" x14ac:dyDescent="0.25">
      <c r="C17" s="10" t="s">
        <v>1318</v>
      </c>
      <c r="D17" s="11" t="s">
        <v>1319</v>
      </c>
      <c r="E17" s="12">
        <v>0.3</v>
      </c>
      <c r="F17" s="12">
        <v>2.4</v>
      </c>
      <c r="G17" s="12">
        <v>20.83</v>
      </c>
      <c r="H17" s="12">
        <v>49.99</v>
      </c>
    </row>
    <row r="18" spans="3:9" ht="32.25" thickBot="1" x14ac:dyDescent="0.25">
      <c r="C18" s="13"/>
      <c r="D18" s="10" t="s">
        <v>1320</v>
      </c>
      <c r="E18" s="11" t="s">
        <v>1319</v>
      </c>
      <c r="F18" s="12">
        <v>2</v>
      </c>
      <c r="G18" s="12">
        <v>16</v>
      </c>
      <c r="H18" s="12">
        <v>19.23</v>
      </c>
      <c r="I18" s="12">
        <v>307.68</v>
      </c>
    </row>
    <row r="19" spans="3:9" ht="16.5" thickBot="1" x14ac:dyDescent="0.25">
      <c r="C19" s="13"/>
      <c r="D19" s="10" t="s">
        <v>1321</v>
      </c>
      <c r="E19" s="11" t="s">
        <v>1319</v>
      </c>
      <c r="F19" s="12">
        <v>2</v>
      </c>
      <c r="G19" s="12">
        <v>16</v>
      </c>
      <c r="H19" s="12">
        <v>15.94</v>
      </c>
      <c r="I19" s="12">
        <v>255.04</v>
      </c>
    </row>
    <row r="20" spans="3:9" ht="16.5" thickBot="1" x14ac:dyDescent="0.25">
      <c r="C20" s="13"/>
      <c r="D20" s="10" t="s">
        <v>1322</v>
      </c>
      <c r="E20" s="11" t="s">
        <v>1319</v>
      </c>
      <c r="F20" s="12">
        <v>1</v>
      </c>
      <c r="G20" s="12">
        <v>8</v>
      </c>
      <c r="H20" s="12">
        <v>14.33</v>
      </c>
      <c r="I20" s="12">
        <v>114.64</v>
      </c>
    </row>
    <row r="21" spans="3:9" ht="63.75" thickBot="1" x14ac:dyDescent="0.25">
      <c r="C21" s="13"/>
      <c r="D21" s="10" t="s">
        <v>1611</v>
      </c>
      <c r="E21" s="11" t="s">
        <v>156</v>
      </c>
      <c r="F21" s="12"/>
      <c r="G21" s="12">
        <v>1.5</v>
      </c>
      <c r="H21" s="12">
        <v>4.5</v>
      </c>
      <c r="I21" s="12">
        <v>6.75</v>
      </c>
    </row>
    <row r="22" spans="3:9" ht="48" thickBot="1" x14ac:dyDescent="0.25">
      <c r="C22" s="13"/>
      <c r="D22" s="10" t="s">
        <v>1612</v>
      </c>
      <c r="E22" s="11" t="s">
        <v>22</v>
      </c>
      <c r="F22" s="12"/>
      <c r="G22" s="12">
        <v>0.97599999999999998</v>
      </c>
      <c r="H22" s="12">
        <v>80</v>
      </c>
      <c r="I22" s="12">
        <v>78.08</v>
      </c>
    </row>
    <row r="23" spans="3:9" ht="32.25" thickBot="1" x14ac:dyDescent="0.25">
      <c r="C23" s="13"/>
      <c r="D23" s="10" t="s">
        <v>1613</v>
      </c>
      <c r="E23" s="11" t="s">
        <v>22</v>
      </c>
      <c r="F23" s="12"/>
      <c r="G23" s="12">
        <v>0.97599999999999998</v>
      </c>
      <c r="H23" s="12">
        <v>60</v>
      </c>
      <c r="I23" s="12">
        <v>58.56</v>
      </c>
    </row>
    <row r="24" spans="3:9" ht="95.25" thickBot="1" x14ac:dyDescent="0.25">
      <c r="C24" s="13"/>
      <c r="D24" s="10" t="s">
        <v>1614</v>
      </c>
      <c r="E24" s="11" t="s">
        <v>1490</v>
      </c>
      <c r="F24" s="12"/>
      <c r="G24" s="12">
        <v>3</v>
      </c>
      <c r="H24" s="12">
        <v>17.5</v>
      </c>
      <c r="I24" s="12">
        <v>52.5</v>
      </c>
    </row>
    <row r="25" spans="3:9" ht="63.75" thickBot="1" x14ac:dyDescent="0.25">
      <c r="C25" s="13"/>
      <c r="D25" s="10" t="s">
        <v>1615</v>
      </c>
      <c r="E25" s="11" t="s">
        <v>10</v>
      </c>
      <c r="F25" s="12"/>
      <c r="G25" s="12">
        <v>3</v>
      </c>
      <c r="H25" s="12">
        <v>1.1000000000000001</v>
      </c>
      <c r="I25" s="12">
        <v>3.3</v>
      </c>
    </row>
    <row r="26" spans="3:9" ht="63.75" thickBot="1" x14ac:dyDescent="0.25">
      <c r="C26" s="13"/>
      <c r="D26" s="10" t="s">
        <v>1616</v>
      </c>
      <c r="E26" s="11" t="s">
        <v>10</v>
      </c>
      <c r="F26" s="12"/>
      <c r="G26" s="12">
        <v>15</v>
      </c>
      <c r="H26" s="12">
        <v>5</v>
      </c>
      <c r="I26" s="12">
        <v>75</v>
      </c>
    </row>
    <row r="27" spans="3:9" ht="32.25" thickBot="1" x14ac:dyDescent="0.25">
      <c r="C27" s="13"/>
      <c r="D27" s="10" t="s">
        <v>1617</v>
      </c>
      <c r="E27" s="11" t="s">
        <v>10</v>
      </c>
      <c r="F27" s="12"/>
      <c r="G27" s="12">
        <v>15</v>
      </c>
      <c r="H27" s="12">
        <v>0.65</v>
      </c>
      <c r="I27" s="12">
        <v>9.75</v>
      </c>
    </row>
    <row r="28" spans="3:9" ht="63.75" thickBot="1" x14ac:dyDescent="0.25">
      <c r="C28" s="13"/>
      <c r="D28" s="10" t="s">
        <v>1324</v>
      </c>
      <c r="E28" s="11" t="s">
        <v>594</v>
      </c>
      <c r="F28" s="12"/>
      <c r="G28" s="12">
        <v>150</v>
      </c>
      <c r="H28" s="12">
        <v>4.5</v>
      </c>
      <c r="I28" s="12">
        <v>675</v>
      </c>
    </row>
    <row r="29" spans="3:9" ht="79.5" thickBot="1" x14ac:dyDescent="0.25">
      <c r="C29" s="13"/>
      <c r="D29" s="10" t="s">
        <v>1607</v>
      </c>
      <c r="E29" s="11" t="s">
        <v>1485</v>
      </c>
      <c r="F29" s="12"/>
      <c r="G29" s="12">
        <v>9</v>
      </c>
      <c r="H29" s="12">
        <v>60</v>
      </c>
      <c r="I29" s="12">
        <v>540</v>
      </c>
    </row>
    <row r="30" spans="3:9" ht="63.75" thickBot="1" x14ac:dyDescent="0.25">
      <c r="C30" s="13"/>
      <c r="D30" s="10" t="s">
        <v>1618</v>
      </c>
      <c r="E30" s="11" t="s">
        <v>1385</v>
      </c>
      <c r="F30" s="12"/>
      <c r="G30" s="12">
        <v>1</v>
      </c>
      <c r="H30" s="12">
        <v>47</v>
      </c>
      <c r="I30" s="12">
        <v>47</v>
      </c>
    </row>
    <row r="31" spans="3:9" ht="79.5" thickBot="1" x14ac:dyDescent="0.25">
      <c r="C31" s="13"/>
      <c r="D31" s="10" t="s">
        <v>1609</v>
      </c>
      <c r="E31" s="11" t="s">
        <v>1345</v>
      </c>
      <c r="F31" s="12"/>
      <c r="G31" s="12">
        <v>5</v>
      </c>
      <c r="H31" s="12">
        <v>727.35</v>
      </c>
      <c r="I31" s="12">
        <v>36.369999999999997</v>
      </c>
    </row>
    <row r="33" spans="2:8" x14ac:dyDescent="0.2">
      <c r="B33">
        <v>40</v>
      </c>
    </row>
    <row r="34" spans="2:8" ht="32.25" thickBot="1" x14ac:dyDescent="0.25">
      <c r="B34" s="10" t="s">
        <v>1320</v>
      </c>
      <c r="C34" s="11" t="s">
        <v>1319</v>
      </c>
      <c r="D34" s="12">
        <v>0.1</v>
      </c>
      <c r="E34" s="12">
        <v>0.02</v>
      </c>
      <c r="F34" s="12">
        <v>19.23</v>
      </c>
      <c r="G34" s="12">
        <v>0.38</v>
      </c>
    </row>
    <row r="35" spans="2:8" ht="16.5" thickBot="1" x14ac:dyDescent="0.25">
      <c r="B35" s="13"/>
      <c r="C35" s="10" t="s">
        <v>1322</v>
      </c>
      <c r="D35" s="11" t="s">
        <v>1319</v>
      </c>
      <c r="E35" s="12">
        <v>1</v>
      </c>
      <c r="F35" s="12">
        <v>0.2</v>
      </c>
      <c r="G35" s="12">
        <v>14.33</v>
      </c>
      <c r="H35" s="12">
        <v>2.87</v>
      </c>
    </row>
    <row r="36" spans="2:8" ht="79.5" thickBot="1" x14ac:dyDescent="0.25">
      <c r="B36" s="13"/>
      <c r="C36" s="10" t="s">
        <v>1609</v>
      </c>
      <c r="D36" s="11" t="s">
        <v>1345</v>
      </c>
      <c r="E36" s="12"/>
      <c r="F36" s="12">
        <v>5</v>
      </c>
      <c r="G36" s="12">
        <v>3.25</v>
      </c>
      <c r="H36" s="12">
        <v>0.16</v>
      </c>
    </row>
    <row r="38" spans="2:8" x14ac:dyDescent="0.2">
      <c r="B38">
        <v>800</v>
      </c>
    </row>
    <row r="39" spans="2:8" ht="32.25" thickBot="1" x14ac:dyDescent="0.25">
      <c r="B39" s="10" t="s">
        <v>1318</v>
      </c>
      <c r="C39" s="11" t="s">
        <v>1319</v>
      </c>
      <c r="D39" s="12">
        <v>1</v>
      </c>
      <c r="E39" s="12">
        <v>0.01</v>
      </c>
      <c r="F39" s="12">
        <v>20.83</v>
      </c>
      <c r="G39" s="12">
        <v>0.21</v>
      </c>
    </row>
    <row r="40" spans="2:8" ht="16.5" thickBot="1" x14ac:dyDescent="0.25">
      <c r="B40" s="13"/>
      <c r="C40" s="10" t="s">
        <v>1322</v>
      </c>
      <c r="D40" s="11" t="s">
        <v>1319</v>
      </c>
      <c r="E40" s="12">
        <v>2</v>
      </c>
      <c r="F40" s="12">
        <v>0.02</v>
      </c>
      <c r="G40" s="12">
        <v>14.33</v>
      </c>
      <c r="H40" s="12">
        <v>0.28999999999999998</v>
      </c>
    </row>
    <row r="41" spans="2:8" ht="79.5" thickBot="1" x14ac:dyDescent="0.25">
      <c r="B41" s="13"/>
      <c r="C41" s="10" t="s">
        <v>1619</v>
      </c>
      <c r="D41" s="11" t="s">
        <v>1475</v>
      </c>
      <c r="E41" s="12">
        <v>1</v>
      </c>
      <c r="F41" s="12">
        <v>0.01</v>
      </c>
      <c r="G41" s="12">
        <v>168.25</v>
      </c>
      <c r="H41" s="12">
        <v>1.68</v>
      </c>
    </row>
    <row r="42" spans="2:8" ht="79.5" thickBot="1" x14ac:dyDescent="0.25">
      <c r="B42" s="13"/>
      <c r="C42" s="10" t="s">
        <v>1609</v>
      </c>
      <c r="D42" s="11" t="s">
        <v>1345</v>
      </c>
      <c r="E42" s="12"/>
      <c r="F42" s="12">
        <v>5</v>
      </c>
      <c r="G42" s="12">
        <v>0.5</v>
      </c>
      <c r="H42" s="12">
        <v>0.03</v>
      </c>
    </row>
    <row r="45" spans="2:8" x14ac:dyDescent="0.2">
      <c r="B45">
        <v>500</v>
      </c>
    </row>
    <row r="46" spans="2:8" ht="32.25" thickBot="1" x14ac:dyDescent="0.25">
      <c r="B46" s="10" t="s">
        <v>1620</v>
      </c>
      <c r="C46" s="11" t="s">
        <v>1319</v>
      </c>
      <c r="D46" s="12">
        <v>1</v>
      </c>
      <c r="E46" s="12">
        <v>1.6E-2</v>
      </c>
      <c r="F46" s="12">
        <v>20.83</v>
      </c>
      <c r="G46" s="12">
        <v>0.33</v>
      </c>
    </row>
    <row r="47" spans="2:8" ht="32.25" thickBot="1" x14ac:dyDescent="0.25">
      <c r="B47" s="13"/>
      <c r="C47" s="10" t="s">
        <v>1318</v>
      </c>
      <c r="D47" s="11" t="s">
        <v>1319</v>
      </c>
      <c r="E47" s="12">
        <v>0.1</v>
      </c>
      <c r="F47" s="12">
        <v>1.6000000000000001E-3</v>
      </c>
      <c r="G47" s="12">
        <v>20.83</v>
      </c>
      <c r="H47" s="12">
        <v>0.03</v>
      </c>
    </row>
    <row r="48" spans="2:8" ht="16.5" thickBot="1" x14ac:dyDescent="0.25">
      <c r="B48" s="13"/>
      <c r="C48" s="10" t="s">
        <v>1321</v>
      </c>
      <c r="D48" s="11" t="s">
        <v>1319</v>
      </c>
      <c r="E48" s="12">
        <v>1</v>
      </c>
      <c r="F48" s="12">
        <v>1.6E-2</v>
      </c>
      <c r="G48" s="12">
        <v>15.94</v>
      </c>
      <c r="H48" s="12">
        <v>0.26</v>
      </c>
    </row>
    <row r="49" spans="2:8" ht="16.5" thickBot="1" x14ac:dyDescent="0.25">
      <c r="B49" s="13"/>
      <c r="C49" s="10" t="s">
        <v>1322</v>
      </c>
      <c r="D49" s="11" t="s">
        <v>1319</v>
      </c>
      <c r="E49" s="12">
        <v>3</v>
      </c>
      <c r="F49" s="12">
        <v>4.8000000000000001E-2</v>
      </c>
      <c r="G49" s="12">
        <v>14.33</v>
      </c>
      <c r="H49" s="12">
        <v>0.69</v>
      </c>
    </row>
    <row r="50" spans="2:8" ht="32.25" thickBot="1" x14ac:dyDescent="0.25">
      <c r="B50" s="13"/>
      <c r="C50" s="10" t="s">
        <v>1621</v>
      </c>
      <c r="D50" s="11" t="s">
        <v>156</v>
      </c>
      <c r="E50" s="12"/>
      <c r="F50" s="12">
        <v>5.0000000000000001E-3</v>
      </c>
      <c r="G50" s="12">
        <v>4.5</v>
      </c>
      <c r="H50" s="12">
        <v>0.02</v>
      </c>
    </row>
    <row r="51" spans="2:8" ht="48" thickBot="1" x14ac:dyDescent="0.25">
      <c r="B51" s="13"/>
      <c r="C51" s="10" t="s">
        <v>1622</v>
      </c>
      <c r="D51" s="11" t="s">
        <v>1490</v>
      </c>
      <c r="E51" s="12"/>
      <c r="F51" s="12">
        <v>2.5000000000000001E-2</v>
      </c>
      <c r="G51" s="12">
        <v>15</v>
      </c>
      <c r="H51" s="12">
        <v>0.38</v>
      </c>
    </row>
    <row r="52" spans="2:8" ht="16.5" thickBot="1" x14ac:dyDescent="0.25">
      <c r="B52" s="13"/>
      <c r="C52" s="10" t="s">
        <v>1623</v>
      </c>
      <c r="D52" s="11" t="s">
        <v>10</v>
      </c>
      <c r="E52" s="12"/>
      <c r="F52" s="12">
        <v>1E-3</v>
      </c>
      <c r="G52" s="12">
        <v>30</v>
      </c>
      <c r="H52" s="12">
        <v>0.03</v>
      </c>
    </row>
    <row r="53" spans="2:8" ht="63.75" thickBot="1" x14ac:dyDescent="0.25">
      <c r="B53" s="13"/>
      <c r="C53" s="10" t="s">
        <v>1324</v>
      </c>
      <c r="D53" s="11" t="s">
        <v>594</v>
      </c>
      <c r="E53" s="12"/>
      <c r="F53" s="12">
        <v>2.64E-2</v>
      </c>
      <c r="G53" s="12">
        <v>4.5</v>
      </c>
      <c r="H53" s="12">
        <v>0.12</v>
      </c>
    </row>
    <row r="54" spans="2:8" ht="63.75" thickBot="1" x14ac:dyDescent="0.25">
      <c r="B54" s="13"/>
      <c r="C54" s="10" t="s">
        <v>1618</v>
      </c>
      <c r="D54" s="11" t="s">
        <v>1385</v>
      </c>
      <c r="E54" s="12"/>
      <c r="F54" s="12">
        <v>2E-3</v>
      </c>
      <c r="G54" s="12">
        <v>47</v>
      </c>
      <c r="H54" s="12">
        <v>0.09</v>
      </c>
    </row>
    <row r="55" spans="2:8" ht="48" thickBot="1" x14ac:dyDescent="0.25">
      <c r="B55" s="13"/>
      <c r="C55" s="10" t="s">
        <v>1624</v>
      </c>
      <c r="D55" s="11" t="s">
        <v>1475</v>
      </c>
      <c r="E55" s="12">
        <v>1</v>
      </c>
      <c r="F55" s="12">
        <v>1.6E-2</v>
      </c>
      <c r="G55" s="12">
        <v>1.2</v>
      </c>
      <c r="H55" s="12">
        <v>0.02</v>
      </c>
    </row>
    <row r="56" spans="2:8" ht="16.5" thickBot="1" x14ac:dyDescent="0.25">
      <c r="B56" s="13"/>
      <c r="C56" s="10" t="s">
        <v>1625</v>
      </c>
      <c r="D56" s="11" t="s">
        <v>1475</v>
      </c>
      <c r="E56" s="12">
        <v>2</v>
      </c>
      <c r="F56" s="12">
        <v>3.2000000000000001E-2</v>
      </c>
      <c r="G56" s="12">
        <v>1</v>
      </c>
      <c r="H56" s="12">
        <v>0.03</v>
      </c>
    </row>
    <row r="57" spans="2:8" ht="32.25" thickBot="1" x14ac:dyDescent="0.25">
      <c r="B57" s="13"/>
      <c r="C57" s="10" t="s">
        <v>1626</v>
      </c>
      <c r="D57" s="11" t="s">
        <v>1475</v>
      </c>
      <c r="E57" s="12">
        <v>1</v>
      </c>
      <c r="F57" s="12">
        <v>1.6E-2</v>
      </c>
      <c r="G57" s="12">
        <v>12.8</v>
      </c>
      <c r="H57" s="12">
        <v>0.2</v>
      </c>
    </row>
    <row r="58" spans="2:8" ht="79.5" thickBot="1" x14ac:dyDescent="0.25">
      <c r="B58" s="13"/>
      <c r="C58" s="10" t="s">
        <v>1609</v>
      </c>
      <c r="D58" s="11" t="s">
        <v>1345</v>
      </c>
      <c r="E58" s="12"/>
      <c r="F58" s="12">
        <v>5</v>
      </c>
      <c r="G58" s="12">
        <v>1.31</v>
      </c>
      <c r="H58" s="12">
        <v>7.0000000000000007E-2</v>
      </c>
    </row>
    <row r="60" spans="2:8" x14ac:dyDescent="0.2">
      <c r="B60">
        <v>80</v>
      </c>
    </row>
    <row r="61" spans="2:8" ht="32.25" thickBot="1" x14ac:dyDescent="0.25">
      <c r="B61" s="10" t="s">
        <v>1620</v>
      </c>
      <c r="C61" s="11" t="s">
        <v>1319</v>
      </c>
      <c r="D61" s="12">
        <v>1</v>
      </c>
      <c r="E61" s="12">
        <v>0.1</v>
      </c>
      <c r="F61" s="12">
        <v>20.83</v>
      </c>
      <c r="G61" s="12">
        <v>2.08</v>
      </c>
    </row>
    <row r="62" spans="2:8" ht="32.25" thickBot="1" x14ac:dyDescent="0.25">
      <c r="B62" s="13"/>
      <c r="C62" s="10" t="s">
        <v>1318</v>
      </c>
      <c r="D62" s="11" t="s">
        <v>1319</v>
      </c>
      <c r="E62" s="12">
        <v>1</v>
      </c>
      <c r="F62" s="12">
        <v>0.1</v>
      </c>
      <c r="G62" s="12">
        <v>20.83</v>
      </c>
      <c r="H62" s="12">
        <v>2.08</v>
      </c>
    </row>
    <row r="63" spans="2:8" ht="16.5" thickBot="1" x14ac:dyDescent="0.25">
      <c r="B63" s="13"/>
      <c r="C63" s="10" t="s">
        <v>1321</v>
      </c>
      <c r="D63" s="11" t="s">
        <v>1319</v>
      </c>
      <c r="E63" s="12">
        <v>1</v>
      </c>
      <c r="F63" s="12">
        <v>0.1</v>
      </c>
      <c r="G63" s="12">
        <v>15.94</v>
      </c>
      <c r="H63" s="12">
        <v>1.59</v>
      </c>
    </row>
    <row r="64" spans="2:8" ht="16.5" thickBot="1" x14ac:dyDescent="0.25">
      <c r="B64" s="13"/>
      <c r="C64" s="10" t="s">
        <v>1322</v>
      </c>
      <c r="D64" s="11" t="s">
        <v>1319</v>
      </c>
      <c r="E64" s="12">
        <v>3</v>
      </c>
      <c r="F64" s="12">
        <v>0.3</v>
      </c>
      <c r="G64" s="12">
        <v>14.33</v>
      </c>
      <c r="H64" s="12">
        <v>4.3</v>
      </c>
    </row>
    <row r="65" spans="2:8" ht="48" thickBot="1" x14ac:dyDescent="0.25">
      <c r="B65" s="13"/>
      <c r="C65" s="10" t="s">
        <v>1622</v>
      </c>
      <c r="D65" s="11" t="s">
        <v>1490</v>
      </c>
      <c r="E65" s="12"/>
      <c r="F65" s="12">
        <v>0.01</v>
      </c>
      <c r="G65" s="12">
        <v>15</v>
      </c>
      <c r="H65" s="12">
        <v>0.15</v>
      </c>
    </row>
    <row r="66" spans="2:8" ht="48" thickBot="1" x14ac:dyDescent="0.25">
      <c r="B66" s="13"/>
      <c r="C66" s="10" t="s">
        <v>1624</v>
      </c>
      <c r="D66" s="11" t="s">
        <v>1475</v>
      </c>
      <c r="E66" s="12">
        <v>1</v>
      </c>
      <c r="F66" s="12">
        <v>0.1</v>
      </c>
      <c r="G66" s="12">
        <v>1.2</v>
      </c>
      <c r="H66" s="12">
        <v>0.12</v>
      </c>
    </row>
    <row r="67" spans="2:8" ht="48" thickBot="1" x14ac:dyDescent="0.25">
      <c r="B67" s="13"/>
      <c r="C67" s="10" t="s">
        <v>1627</v>
      </c>
      <c r="D67" s="11" t="s">
        <v>1475</v>
      </c>
      <c r="E67" s="12">
        <v>1</v>
      </c>
      <c r="F67" s="12">
        <v>0.1</v>
      </c>
      <c r="G67" s="12">
        <v>10.15</v>
      </c>
      <c r="H67" s="12">
        <v>1.02</v>
      </c>
    </row>
    <row r="68" spans="2:8" ht="79.5" thickBot="1" x14ac:dyDescent="0.25">
      <c r="B68" s="13"/>
      <c r="C68" s="10" t="s">
        <v>1609</v>
      </c>
      <c r="D68" s="11" t="s">
        <v>1345</v>
      </c>
      <c r="E68" s="12"/>
      <c r="F68" s="12">
        <v>5</v>
      </c>
      <c r="G68" s="12">
        <v>10.050000000000001</v>
      </c>
      <c r="H68" s="12">
        <v>0.5</v>
      </c>
    </row>
    <row r="70" spans="2:8" x14ac:dyDescent="0.2">
      <c r="B70">
        <v>0.3</v>
      </c>
    </row>
    <row r="71" spans="2:8" ht="32.25" thickBot="1" x14ac:dyDescent="0.25">
      <c r="B71" s="10" t="s">
        <v>1318</v>
      </c>
      <c r="C71" s="11" t="s">
        <v>1319</v>
      </c>
      <c r="D71" s="12">
        <v>0.1</v>
      </c>
      <c r="E71" s="12">
        <v>2.6667000000000001</v>
      </c>
      <c r="F71" s="12">
        <v>20.83</v>
      </c>
      <c r="G71" s="12">
        <v>55.55</v>
      </c>
    </row>
    <row r="72" spans="2:8" ht="16.5" thickBot="1" x14ac:dyDescent="0.25">
      <c r="B72" s="13"/>
      <c r="C72" s="10" t="s">
        <v>1322</v>
      </c>
      <c r="D72" s="11" t="s">
        <v>1319</v>
      </c>
      <c r="E72" s="12">
        <v>1</v>
      </c>
      <c r="F72" s="12">
        <v>26.666699999999999</v>
      </c>
      <c r="G72" s="12">
        <v>14.33</v>
      </c>
      <c r="H72" s="12">
        <v>382.13</v>
      </c>
    </row>
    <row r="73" spans="2:8" ht="79.5" thickBot="1" x14ac:dyDescent="0.25">
      <c r="B73" s="13"/>
      <c r="C73" s="10" t="s">
        <v>1609</v>
      </c>
      <c r="D73" s="11" t="s">
        <v>1345</v>
      </c>
      <c r="E73" s="12"/>
      <c r="F73" s="12">
        <v>5</v>
      </c>
      <c r="G73" s="12">
        <v>437.68</v>
      </c>
      <c r="H73" s="12">
        <v>21.88</v>
      </c>
    </row>
    <row r="75" spans="2:8" x14ac:dyDescent="0.2">
      <c r="B75">
        <v>0.25</v>
      </c>
    </row>
    <row r="76" spans="2:8" ht="32.25" thickBot="1" x14ac:dyDescent="0.25">
      <c r="B76" s="10" t="s">
        <v>1318</v>
      </c>
      <c r="C76" s="11" t="s">
        <v>1319</v>
      </c>
      <c r="D76" s="12">
        <v>0.1</v>
      </c>
      <c r="E76" s="12">
        <v>3.2</v>
      </c>
      <c r="F76" s="12">
        <v>20.83</v>
      </c>
      <c r="G76" s="12">
        <v>66.66</v>
      </c>
    </row>
    <row r="77" spans="2:8" ht="16.5" thickBot="1" x14ac:dyDescent="0.25">
      <c r="B77" s="13"/>
      <c r="C77" s="10" t="s">
        <v>1322</v>
      </c>
      <c r="D77" s="11" t="s">
        <v>1319</v>
      </c>
      <c r="E77" s="12">
        <v>1</v>
      </c>
      <c r="F77" s="12">
        <v>32</v>
      </c>
      <c r="G77" s="12">
        <v>14.33</v>
      </c>
      <c r="H77" s="12">
        <v>458.56</v>
      </c>
    </row>
    <row r="78" spans="2:8" ht="79.5" thickBot="1" x14ac:dyDescent="0.25">
      <c r="B78" s="13"/>
      <c r="C78" s="10" t="s">
        <v>1609</v>
      </c>
      <c r="D78" s="11" t="s">
        <v>1345</v>
      </c>
      <c r="E78" s="12"/>
      <c r="F78" s="12">
        <v>5</v>
      </c>
      <c r="G78" s="12">
        <v>525.22</v>
      </c>
      <c r="H78" s="12">
        <v>26.26</v>
      </c>
    </row>
    <row r="80" spans="2:8" x14ac:dyDescent="0.2">
      <c r="B80">
        <v>4</v>
      </c>
    </row>
    <row r="81" spans="2:8" ht="32.25" thickBot="1" x14ac:dyDescent="0.25">
      <c r="B81" s="10" t="s">
        <v>1318</v>
      </c>
      <c r="C81" s="11" t="s">
        <v>1319</v>
      </c>
      <c r="D81" s="12">
        <v>0.1</v>
      </c>
      <c r="E81" s="12">
        <v>0.2</v>
      </c>
      <c r="F81" s="12">
        <v>20.83</v>
      </c>
      <c r="G81" s="12">
        <v>4.17</v>
      </c>
    </row>
    <row r="82" spans="2:8" ht="16.5" thickBot="1" x14ac:dyDescent="0.25">
      <c r="B82" s="13"/>
      <c r="C82" s="10" t="s">
        <v>1321</v>
      </c>
      <c r="D82" s="11" t="s">
        <v>1319</v>
      </c>
      <c r="E82" s="12">
        <v>2</v>
      </c>
      <c r="F82" s="12">
        <v>4</v>
      </c>
      <c r="G82" s="12">
        <v>15.94</v>
      </c>
      <c r="H82" s="12">
        <v>63.76</v>
      </c>
    </row>
    <row r="83" spans="2:8" ht="16.5" thickBot="1" x14ac:dyDescent="0.25">
      <c r="B83" s="13"/>
      <c r="C83" s="10" t="s">
        <v>1322</v>
      </c>
      <c r="D83" s="11" t="s">
        <v>1319</v>
      </c>
      <c r="E83" s="12">
        <v>1</v>
      </c>
      <c r="F83" s="12">
        <v>2</v>
      </c>
      <c r="G83" s="12">
        <v>14.33</v>
      </c>
      <c r="H83" s="12">
        <v>28.66</v>
      </c>
    </row>
    <row r="84" spans="2:8" ht="63.75" thickBot="1" x14ac:dyDescent="0.25">
      <c r="B84" s="13"/>
      <c r="C84" s="10" t="s">
        <v>1628</v>
      </c>
      <c r="D84" s="11" t="s">
        <v>1319</v>
      </c>
      <c r="E84" s="12">
        <v>2</v>
      </c>
      <c r="F84" s="12">
        <v>4</v>
      </c>
      <c r="G84" s="12">
        <v>20.73</v>
      </c>
      <c r="H84" s="12">
        <v>82.92</v>
      </c>
    </row>
    <row r="85" spans="2:8" ht="111" thickBot="1" x14ac:dyDescent="0.25">
      <c r="B85" s="13"/>
      <c r="C85" s="10" t="s">
        <v>1629</v>
      </c>
      <c r="D85" s="11" t="s">
        <v>1475</v>
      </c>
      <c r="E85" s="12">
        <v>1</v>
      </c>
      <c r="F85" s="12">
        <v>2</v>
      </c>
      <c r="G85" s="12">
        <v>62.07</v>
      </c>
      <c r="H85" s="12">
        <v>124.14</v>
      </c>
    </row>
    <row r="86" spans="2:8" ht="79.5" thickBot="1" x14ac:dyDescent="0.25">
      <c r="B86" s="13"/>
      <c r="C86" s="10" t="s">
        <v>1630</v>
      </c>
      <c r="D86" s="11" t="s">
        <v>1475</v>
      </c>
      <c r="E86" s="12">
        <v>2</v>
      </c>
      <c r="F86" s="12">
        <v>4</v>
      </c>
      <c r="G86" s="12">
        <v>4.75</v>
      </c>
      <c r="H86" s="12">
        <v>19</v>
      </c>
    </row>
    <row r="87" spans="2:8" ht="79.5" thickBot="1" x14ac:dyDescent="0.25">
      <c r="B87" s="13"/>
      <c r="C87" s="10" t="s">
        <v>1609</v>
      </c>
      <c r="D87" s="11" t="s">
        <v>1345</v>
      </c>
      <c r="E87" s="12"/>
      <c r="F87" s="12">
        <v>5</v>
      </c>
      <c r="G87" s="12">
        <v>179.51</v>
      </c>
      <c r="H87" s="12">
        <v>8.98</v>
      </c>
    </row>
    <row r="89" spans="2:8" x14ac:dyDescent="0.2">
      <c r="B89">
        <v>100</v>
      </c>
    </row>
    <row r="90" spans="2:8" ht="32.25" thickBot="1" x14ac:dyDescent="0.25">
      <c r="B90" s="10" t="s">
        <v>1318</v>
      </c>
      <c r="C90" s="11" t="s">
        <v>1319</v>
      </c>
      <c r="D90" s="12">
        <v>0.1</v>
      </c>
      <c r="E90" s="12">
        <v>8.0000000000000002E-3</v>
      </c>
      <c r="F90" s="12">
        <v>20.83</v>
      </c>
      <c r="G90" s="12">
        <v>0.17</v>
      </c>
    </row>
    <row r="91" spans="2:8" ht="16.5" thickBot="1" x14ac:dyDescent="0.25">
      <c r="B91" s="13"/>
      <c r="C91" s="10" t="s">
        <v>1321</v>
      </c>
      <c r="D91" s="11" t="s">
        <v>1319</v>
      </c>
      <c r="E91" s="12">
        <v>2</v>
      </c>
      <c r="F91" s="12">
        <v>0.16</v>
      </c>
      <c r="G91" s="12">
        <v>15.94</v>
      </c>
      <c r="H91" s="12">
        <v>2.5499999999999998</v>
      </c>
    </row>
    <row r="92" spans="2:8" ht="16.5" thickBot="1" x14ac:dyDescent="0.25">
      <c r="B92" s="13"/>
      <c r="C92" s="10" t="s">
        <v>1322</v>
      </c>
      <c r="D92" s="11" t="s">
        <v>1319</v>
      </c>
      <c r="E92" s="12">
        <v>4</v>
      </c>
      <c r="F92" s="12">
        <v>0.32</v>
      </c>
      <c r="G92" s="12">
        <v>14.33</v>
      </c>
      <c r="H92" s="12">
        <v>4.59</v>
      </c>
    </row>
    <row r="93" spans="2:8" ht="63.75" thickBot="1" x14ac:dyDescent="0.25">
      <c r="B93" s="13"/>
      <c r="C93" s="10" t="s">
        <v>1628</v>
      </c>
      <c r="D93" s="11" t="s">
        <v>1319</v>
      </c>
      <c r="E93" s="12">
        <v>2</v>
      </c>
      <c r="F93" s="12">
        <v>0.16</v>
      </c>
      <c r="G93" s="12">
        <v>20.73</v>
      </c>
      <c r="H93" s="12">
        <v>3.32</v>
      </c>
    </row>
    <row r="94" spans="2:8" ht="111" thickBot="1" x14ac:dyDescent="0.25">
      <c r="B94" s="13"/>
      <c r="C94" s="10" t="s">
        <v>1629</v>
      </c>
      <c r="D94" s="11" t="s">
        <v>1475</v>
      </c>
      <c r="E94" s="12">
        <v>1</v>
      </c>
      <c r="F94" s="12">
        <v>0.08</v>
      </c>
      <c r="G94" s="12">
        <v>62.07</v>
      </c>
      <c r="H94" s="12">
        <v>4.97</v>
      </c>
    </row>
    <row r="95" spans="2:8" ht="79.5" thickBot="1" x14ac:dyDescent="0.25">
      <c r="B95" s="13"/>
      <c r="C95" s="10" t="s">
        <v>1630</v>
      </c>
      <c r="D95" s="11" t="s">
        <v>1475</v>
      </c>
      <c r="E95" s="12">
        <v>2</v>
      </c>
      <c r="F95" s="12">
        <v>0.16</v>
      </c>
      <c r="G95" s="12">
        <v>4.75</v>
      </c>
      <c r="H95" s="12">
        <v>0.76</v>
      </c>
    </row>
    <row r="96" spans="2:8" ht="79.5" thickBot="1" x14ac:dyDescent="0.25">
      <c r="B96" s="13"/>
      <c r="C96" s="10" t="s">
        <v>1609</v>
      </c>
      <c r="D96" s="11" t="s">
        <v>1345</v>
      </c>
      <c r="E96" s="12"/>
      <c r="F96" s="12">
        <v>5</v>
      </c>
      <c r="G96" s="12">
        <v>10.63</v>
      </c>
      <c r="H96" s="12">
        <v>0.53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PARTIDAS</vt:lpstr>
      <vt:lpstr>Análisis de precios unitarios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Darcy Govea</cp:lastModifiedBy>
  <dcterms:modified xsi:type="dcterms:W3CDTF">2026-05-20T01:18:17Z</dcterms:modified>
</cp:coreProperties>
</file>