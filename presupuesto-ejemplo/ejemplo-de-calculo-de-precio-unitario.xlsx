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<sst xmlns="http://schemas.openxmlformats.org/spreadsheetml/2006/main" count="42" uniqueCount="36">
  <si>
    <t>Ejemplo de Calculo de precio unitario</t>
  </si>
  <si>
    <t>ACERO DE REFUERZO F´Y = 4200 KG/CM2</t>
  </si>
  <si>
    <t>Rendimiento:</t>
  </si>
  <si>
    <t xml:space="preserve"> KG/DIA</t>
  </si>
  <si>
    <t>Unidad: KG</t>
  </si>
  <si>
    <t>Costo Unitario:</t>
  </si>
  <si>
    <t>Insumo</t>
  </si>
  <si>
    <t>Unidad</t>
  </si>
  <si>
    <t>Cuadrilla</t>
  </si>
  <si>
    <t>Cantidad</t>
  </si>
  <si>
    <t>PU</t>
  </si>
  <si>
    <t>Parcial</t>
  </si>
  <si>
    <t xml:space="preserve">  CAPATAZ</t>
  </si>
  <si>
    <t>HH</t>
  </si>
  <si>
    <t xml:space="preserve">  OPERARIO</t>
  </si>
  <si>
    <t xml:space="preserve">  OFICIAL</t>
  </si>
  <si>
    <t xml:space="preserve">  PEON</t>
  </si>
  <si>
    <t>Mano de obra:</t>
  </si>
  <si>
    <t xml:space="preserve">  ALAMBRE NEGRO N° 16</t>
  </si>
  <si>
    <t>KG</t>
  </si>
  <si>
    <t xml:space="preserve">  ACERO CORRUGADO F´Y = 4200 KG/CM2 GRADO 60</t>
  </si>
  <si>
    <t>Materiales:</t>
  </si>
  <si>
    <t xml:space="preserve">  HERRAMIENTAS MANUALES</t>
  </si>
  <si>
    <t>%MO</t>
  </si>
  <si>
    <t>Equipo:</t>
  </si>
  <si>
    <t>Notas</t>
  </si>
  <si>
    <t>El precio unitario esta confromado por la suma de la mano de obra mas materiales mas equipo</t>
  </si>
  <si>
    <t>Fórmulas Clave</t>
  </si>
  <si>
    <t>Cantidad de Mano de Obra (Jornal/Unidad):</t>
  </si>
  <si>
    <t>Se obtiene de, cuadrilla multiplicada por Jornada(8 hr) dividido entre el rendimiento diario</t>
  </si>
  <si>
    <t>Costo de Mano de Obra:</t>
  </si>
  <si>
    <t xml:space="preserve">Se obtiene de, cantidad multiplicada por PU </t>
  </si>
  <si>
    <t>Costo de Materiales</t>
  </si>
  <si>
    <t>Costo de Equipo</t>
  </si>
  <si>
    <t>Las herramientas manuales se calcula multiplicando la cantidad con el PU dividido entre 100</t>
  </si>
  <si>
    <t>Puedes ver archivos en el internet para saber como se realiza el analisis de precios unitarios si aun tienes mas dudas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</si>
</sst>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ont="1"/>
    <xf borderId="0" fillId="2" fontId="3" numFmtId="164" xfId="0" applyFont="1" applyNumberFormat="1"/>
    <xf borderId="0" fillId="2" fontId="3" numFmtId="4" xfId="0" applyFont="1" applyNumberFormat="1"/>
    <xf borderId="0" fillId="0" fontId="3" numFmtId="0" xfId="0" applyAlignment="1" applyFont="1">
      <alignment vertical="bottom"/>
    </xf>
    <xf borderId="0" fillId="2" fontId="3" numFmtId="0" xfId="0" applyAlignment="1" applyFont="1">
      <alignment readingOrder="0"/>
    </xf>
    <xf borderId="0" fillId="2" fontId="2" numFmtId="164" xfId="0" applyFont="1" applyNumberFormat="1"/>
    <xf borderId="0" fillId="2" fontId="2" numFmtId="4" xfId="0" applyAlignment="1" applyFont="1" applyNumberFormat="1">
      <alignment horizontal="right"/>
    </xf>
    <xf borderId="0" fillId="2" fontId="2" numFmtId="0" xfId="0" applyAlignment="1" applyFont="1">
      <alignment horizontal="center"/>
    </xf>
    <xf borderId="0" fillId="2" fontId="2" numFmtId="164" xfId="0" applyAlignment="1" applyFont="1" applyNumberFormat="1">
      <alignment horizontal="center"/>
    </xf>
    <xf borderId="0" fillId="2" fontId="2" numFmtId="4" xfId="0" applyAlignment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165" xfId="0" applyAlignment="1" applyFont="1" applyNumberFormat="1">
      <alignment horizontal="right" vertical="bottom"/>
    </xf>
    <xf borderId="0" fillId="0" fontId="3" numFmtId="164" xfId="0" applyFont="1" applyNumberFormat="1"/>
    <xf borderId="0" fillId="0" fontId="2" numFmtId="4" xfId="0" applyAlignment="1" applyFont="1" applyNumberFormat="1">
      <alignment horizontal="right"/>
    </xf>
    <xf borderId="0" fillId="0" fontId="3" numFmtId="4" xfId="0" applyFont="1" applyNumberFormat="1"/>
    <xf borderId="0" fillId="0" fontId="3" numFmtId="2" xfId="0" applyAlignment="1" applyFont="1" applyNumberForma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9.38"/>
    <col customWidth="1" min="4" max="4" width="7.75"/>
  </cols>
  <sheetData>
    <row r="1">
      <c r="B1" s="1" t="s">
        <v>0</v>
      </c>
    </row>
    <row r="3">
      <c r="B3" s="2" t="s">
        <v>1</v>
      </c>
      <c r="C3" s="3"/>
      <c r="D3" s="4"/>
      <c r="E3" s="4"/>
      <c r="F3" s="4"/>
      <c r="G3" s="5"/>
      <c r="H3" s="5"/>
      <c r="I3" s="6"/>
      <c r="J3" s="6"/>
    </row>
    <row r="4">
      <c r="B4" s="2" t="s">
        <v>2</v>
      </c>
      <c r="C4" s="7">
        <v>250.0</v>
      </c>
      <c r="D4" s="7" t="s">
        <v>3</v>
      </c>
      <c r="E4" s="8" t="s">
        <v>4</v>
      </c>
      <c r="F4" s="4"/>
      <c r="G4" s="9" t="s">
        <v>5</v>
      </c>
      <c r="H4" s="9">
        <f>H10+H14+H17</f>
        <v>6.0725</v>
      </c>
      <c r="I4" s="6"/>
      <c r="J4" s="6"/>
    </row>
    <row r="5">
      <c r="B5" s="10" t="s">
        <v>6</v>
      </c>
      <c r="C5" s="10" t="s">
        <v>7</v>
      </c>
      <c r="D5" s="11"/>
      <c r="E5" s="11" t="s">
        <v>8</v>
      </c>
      <c r="F5" s="11" t="s">
        <v>9</v>
      </c>
      <c r="G5" s="12" t="s">
        <v>10</v>
      </c>
      <c r="H5" s="12" t="s">
        <v>11</v>
      </c>
      <c r="I5" s="6"/>
      <c r="J5" s="6"/>
    </row>
    <row r="6">
      <c r="B6" s="13" t="s">
        <v>12</v>
      </c>
      <c r="C6" s="14" t="s">
        <v>13</v>
      </c>
      <c r="D6" s="15"/>
      <c r="E6" s="16">
        <v>0.1</v>
      </c>
      <c r="F6" s="17">
        <f t="shared" ref="F6:F9" si="1">E6*8/250</f>
        <v>0.0032</v>
      </c>
      <c r="G6" s="16">
        <v>24.5</v>
      </c>
      <c r="H6" s="16">
        <f t="shared" ref="H6:H9" si="2">ROUND(G6*F6, 2)</f>
        <v>0.08</v>
      </c>
      <c r="I6" s="6"/>
    </row>
    <row r="7">
      <c r="B7" s="13" t="s">
        <v>14</v>
      </c>
      <c r="C7" s="14" t="s">
        <v>13</v>
      </c>
      <c r="D7" s="15"/>
      <c r="E7" s="16">
        <v>1.0</v>
      </c>
      <c r="F7" s="17">
        <f t="shared" si="1"/>
        <v>0.032</v>
      </c>
      <c r="G7" s="16">
        <v>19.23</v>
      </c>
      <c r="H7" s="16">
        <f t="shared" si="2"/>
        <v>0.62</v>
      </c>
      <c r="I7" s="6"/>
      <c r="J7" s="6"/>
    </row>
    <row r="8">
      <c r="B8" s="13" t="s">
        <v>15</v>
      </c>
      <c r="C8" s="14" t="s">
        <v>13</v>
      </c>
      <c r="D8" s="15"/>
      <c r="E8" s="16">
        <v>1.0</v>
      </c>
      <c r="F8" s="17">
        <f t="shared" si="1"/>
        <v>0.032</v>
      </c>
      <c r="G8" s="16">
        <v>15.94</v>
      </c>
      <c r="H8" s="16">
        <f t="shared" si="2"/>
        <v>0.51</v>
      </c>
      <c r="I8" s="6"/>
      <c r="J8" s="6"/>
    </row>
    <row r="9">
      <c r="B9" s="13" t="s">
        <v>16</v>
      </c>
      <c r="C9" s="14" t="s">
        <v>13</v>
      </c>
      <c r="D9" s="15"/>
      <c r="E9" s="16">
        <v>1.0</v>
      </c>
      <c r="F9" s="17">
        <f t="shared" si="1"/>
        <v>0.032</v>
      </c>
      <c r="G9" s="16">
        <v>16.5</v>
      </c>
      <c r="H9" s="16">
        <f t="shared" si="2"/>
        <v>0.53</v>
      </c>
      <c r="I9" s="6"/>
      <c r="J9" s="6"/>
    </row>
    <row r="10">
      <c r="B10" s="13"/>
      <c r="C10" s="13"/>
      <c r="D10" s="18"/>
      <c r="E10" s="18"/>
      <c r="F10" s="18"/>
      <c r="G10" s="19" t="s">
        <v>17</v>
      </c>
      <c r="H10" s="19">
        <f>SUM(H6:H9)</f>
        <v>1.74</v>
      </c>
      <c r="I10" s="6"/>
      <c r="J10" s="6"/>
    </row>
    <row r="11">
      <c r="B11" s="13"/>
      <c r="C11" s="13"/>
      <c r="D11" s="18"/>
      <c r="E11" s="18"/>
      <c r="F11" s="18"/>
      <c r="G11" s="20"/>
      <c r="H11" s="20"/>
      <c r="I11" s="6"/>
      <c r="J11" s="6"/>
    </row>
    <row r="12">
      <c r="B12" s="13" t="s">
        <v>18</v>
      </c>
      <c r="C12" s="14" t="s">
        <v>19</v>
      </c>
      <c r="D12" s="18"/>
      <c r="E12" s="18"/>
      <c r="F12" s="16">
        <v>0.05</v>
      </c>
      <c r="G12" s="16">
        <v>4.0</v>
      </c>
      <c r="H12" s="16">
        <f>ROUND(G12*F12, 2)</f>
        <v>0.2</v>
      </c>
      <c r="I12" s="6"/>
      <c r="J12" s="6"/>
    </row>
    <row r="13">
      <c r="B13" s="13" t="s">
        <v>20</v>
      </c>
      <c r="C13" s="14" t="s">
        <v>19</v>
      </c>
      <c r="D13" s="18"/>
      <c r="E13" s="18"/>
      <c r="F13" s="16">
        <v>1.05</v>
      </c>
      <c r="G13" s="16">
        <v>3.85</v>
      </c>
      <c r="H13" s="16">
        <f>G13*F13</f>
        <v>4.0425</v>
      </c>
      <c r="I13" s="6"/>
      <c r="J13" s="6"/>
    </row>
    <row r="14">
      <c r="B14" s="13"/>
      <c r="C14" s="13"/>
      <c r="D14" s="18"/>
      <c r="E14" s="18"/>
      <c r="F14" s="18"/>
      <c r="G14" s="19" t="s">
        <v>21</v>
      </c>
      <c r="H14" s="19">
        <f>SUM(H12:H13)</f>
        <v>4.2425</v>
      </c>
      <c r="I14" s="6"/>
      <c r="J14" s="6"/>
    </row>
    <row r="15">
      <c r="B15" s="13"/>
      <c r="C15" s="13"/>
      <c r="D15" s="18"/>
      <c r="E15" s="18"/>
      <c r="F15" s="18"/>
      <c r="G15" s="20"/>
      <c r="H15" s="20"/>
      <c r="I15" s="6"/>
      <c r="J15" s="6"/>
    </row>
    <row r="16">
      <c r="B16" s="13" t="s">
        <v>22</v>
      </c>
      <c r="C16" s="14" t="s">
        <v>23</v>
      </c>
      <c r="D16" s="18"/>
      <c r="E16" s="18"/>
      <c r="F16" s="16">
        <v>5.0</v>
      </c>
      <c r="G16" s="16">
        <f>H10</f>
        <v>1.74</v>
      </c>
      <c r="H16" s="16">
        <f>ROUND(G16/100*F16, 2)</f>
        <v>0.09</v>
      </c>
      <c r="I16" s="6"/>
      <c r="J16" s="21"/>
    </row>
    <row r="17">
      <c r="B17" s="13"/>
      <c r="C17" s="13"/>
      <c r="D17" s="18"/>
      <c r="E17" s="18"/>
      <c r="F17" s="18"/>
      <c r="G17" s="19" t="s">
        <v>24</v>
      </c>
      <c r="H17" s="19">
        <f>SUM(H16)</f>
        <v>0.09</v>
      </c>
      <c r="I17" s="6"/>
      <c r="J17" s="6"/>
    </row>
    <row r="21">
      <c r="B21" s="22" t="s">
        <v>25</v>
      </c>
    </row>
    <row r="22">
      <c r="B22" s="1" t="s">
        <v>26</v>
      </c>
    </row>
    <row r="23">
      <c r="B23" s="1"/>
    </row>
    <row r="24">
      <c r="B24" s="22" t="s">
        <v>27</v>
      </c>
    </row>
    <row r="25">
      <c r="B25" s="1" t="s">
        <v>28</v>
      </c>
      <c r="C25" s="1" t="s">
        <v>29</v>
      </c>
    </row>
    <row r="27">
      <c r="B27" s="1" t="s">
        <v>30</v>
      </c>
      <c r="C27" s="1" t="s">
        <v>31</v>
      </c>
    </row>
    <row r="28">
      <c r="B28" s="1" t="s">
        <v>32</v>
      </c>
      <c r="C28" s="1" t="s">
        <v>31</v>
      </c>
    </row>
    <row r="29">
      <c r="B29" s="1" t="s">
        <v>33</v>
      </c>
      <c r="C29" s="1" t="s">
        <v>31</v>
      </c>
    </row>
    <row r="31">
      <c r="B31" s="1" t="s">
        <v>34</v>
      </c>
    </row>
    <row r="33">
      <c r="B33" s="1" t="s">
        <v>35</v>
      </c>
    </row>
  </sheetData>
  <drawing r:id="rId1"/>
</worksheet>
</file>