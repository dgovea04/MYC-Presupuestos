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<sst xmlns="http://schemas.openxmlformats.org/spreadsheetml/2006/main" count="24" uniqueCount="24">
  <si>
    <t>VARIABLE</t>
  </si>
  <si>
    <t>DESCRIPCION</t>
  </si>
  <si>
    <t>FORMULA</t>
  </si>
  <si>
    <t xml:space="preserve">VALOR </t>
  </si>
  <si>
    <t>IU</t>
  </si>
  <si>
    <t>RESALTAR</t>
  </si>
  <si>
    <t>CD</t>
  </si>
  <si>
    <t>COSTO DIRECTO</t>
  </si>
  <si>
    <t>PGG</t>
  </si>
  <si>
    <t>GASTOS GENERALES 47.03%</t>
  </si>
  <si>
    <t>CD*0.470334</t>
  </si>
  <si>
    <t>UTI</t>
  </si>
  <si>
    <t>UTILIDAD 10%</t>
  </si>
  <si>
    <t>CD*0.10</t>
  </si>
  <si>
    <t>ST</t>
  </si>
  <si>
    <t>SUB TOTAL</t>
  </si>
  <si>
    <t>CD+PGG+UTI</t>
  </si>
  <si>
    <t>IGV</t>
  </si>
  <si>
    <t>IGV 18%</t>
  </si>
  <si>
    <t>CD*0.18</t>
  </si>
  <si>
    <t>TOTAL</t>
  </si>
  <si>
    <t>TOTAL PRESUPUESTO</t>
  </si>
  <si>
    <t>ST+IGV</t>
  </si>
  <si>
    <t>SON: OCHENTA Y OCHO MIL DOSCIENTOS SESENTA Y SEIS CON 85/100 SOLES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</si>
</sst>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right" shrinkToFit="0" wrapText="0"/>
    </xf>
    <xf borderId="0" fillId="0" fontId="1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/>
    </xf>
    <xf borderId="0" fillId="0" fontId="1" numFmtId="2" xfId="0" applyAlignment="1" applyFont="1" applyNumberFormat="1">
      <alignment horizontal="right"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right" shrinkToFit="0" wrapText="0"/>
    </xf>
    <xf borderId="0" fillId="0" fontId="3" numFmtId="2" xfId="0" applyAlignment="1" applyFont="1" applyNumberFormat="1">
      <alignment horizontal="right" readingOrder="0" shrinkToFit="0" wrapText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4" max="4" width="15.75"/>
  </cols>
  <sheetData>
    <row r="2">
      <c r="A2" s="1" t="s">
        <v>0</v>
      </c>
      <c r="B2" s="1" t="s">
        <v>1</v>
      </c>
      <c r="C2" s="2" t="s">
        <v>2</v>
      </c>
      <c r="D2" s="3"/>
      <c r="E2" s="3"/>
      <c r="F2" s="4" t="s">
        <v>3</v>
      </c>
      <c r="G2" s="1" t="s">
        <v>4</v>
      </c>
      <c r="H2" s="1" t="s">
        <v>5</v>
      </c>
    </row>
    <row r="3">
      <c r="A3" s="5" t="s">
        <v>6</v>
      </c>
      <c r="B3" s="1" t="s">
        <v>7</v>
      </c>
      <c r="D3" s="3"/>
      <c r="E3" s="3"/>
      <c r="F3" s="6">
        <v>47000.66</v>
      </c>
      <c r="H3" s="5" t="b">
        <v>1</v>
      </c>
    </row>
    <row r="4">
      <c r="A4" s="5" t="s">
        <v>8</v>
      </c>
      <c r="B4" s="7" t="s">
        <v>9</v>
      </c>
      <c r="C4" s="8" t="s">
        <v>10</v>
      </c>
      <c r="D4" s="9"/>
      <c r="E4" s="9"/>
      <c r="F4" s="10">
        <f>F3*0.470334</f>
        <v>22106.00842</v>
      </c>
      <c r="G4" s="5">
        <v>39.0</v>
      </c>
      <c r="H4" s="11" t="b">
        <v>0</v>
      </c>
      <c r="I4" s="12"/>
      <c r="J4" s="12"/>
    </row>
    <row r="5">
      <c r="A5" s="5" t="s">
        <v>11</v>
      </c>
      <c r="B5" s="7" t="s">
        <v>12</v>
      </c>
      <c r="C5" s="8" t="s">
        <v>13</v>
      </c>
      <c r="D5" s="9"/>
      <c r="E5" s="9"/>
      <c r="F5" s="10">
        <f>F3*0.1</f>
        <v>4700.066</v>
      </c>
      <c r="G5" s="5">
        <v>39.0</v>
      </c>
      <c r="H5" s="11" t="b">
        <v>0</v>
      </c>
    </row>
    <row r="6">
      <c r="A6" s="5" t="s">
        <v>14</v>
      </c>
      <c r="B6" s="1" t="s">
        <v>15</v>
      </c>
      <c r="C6" s="8" t="s">
        <v>16</v>
      </c>
      <c r="D6" s="3"/>
      <c r="E6" s="3"/>
      <c r="F6" s="6">
        <f>F3+F4+F5</f>
        <v>73806.73442</v>
      </c>
      <c r="H6" s="5" t="b">
        <v>1</v>
      </c>
    </row>
    <row r="7">
      <c r="A7" s="5" t="s">
        <v>17</v>
      </c>
      <c r="B7" s="7" t="s">
        <v>18</v>
      </c>
      <c r="C7" s="8" t="s">
        <v>19</v>
      </c>
      <c r="D7" s="9"/>
      <c r="E7" s="9"/>
      <c r="F7" s="10">
        <f>F3*0.18</f>
        <v>8460.1188</v>
      </c>
      <c r="H7" s="11" t="b">
        <v>0</v>
      </c>
    </row>
    <row r="8">
      <c r="A8" s="5" t="s">
        <v>20</v>
      </c>
      <c r="B8" s="1" t="s">
        <v>21</v>
      </c>
      <c r="C8" s="8" t="s">
        <v>22</v>
      </c>
      <c r="D8" s="3"/>
      <c r="E8" s="3"/>
      <c r="F8" s="6">
        <f>F7+F6</f>
        <v>82266.85322</v>
      </c>
      <c r="H8" s="5" t="b">
        <v>1</v>
      </c>
    </row>
    <row r="9">
      <c r="B9" s="13"/>
      <c r="C9" s="14"/>
      <c r="D9" s="3"/>
      <c r="E9" s="3"/>
      <c r="F9" s="3"/>
    </row>
    <row r="10">
      <c r="B10" s="15" t="s">
        <v>23</v>
      </c>
      <c r="E10" s="3"/>
      <c r="F10" s="3"/>
    </row>
  </sheetData>
  <mergeCells count="1">
    <mergeCell ref="B10:D10"/>
  </mergeCells>
  <drawing r:id="rId1"/>
</worksheet>
</file>